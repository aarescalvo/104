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60" yWindow="60" windowWidth="11775" windowHeight="7425" tabRatio="847" activeTab="8"/>
  </bookViews>
  <sheets>
    <sheet name="RESUMEN 2026" sheetId="7" r:id="rId1"/>
    <sheet name="DETALLE" sheetId="6" r:id="rId2"/>
    <sheet name="SERVICIO FAENA" sheetId="1" r:id="rId3"/>
    <sheet name="SERVICIO DESPOSTE" sheetId="9" r:id="rId4"/>
    <sheet name="MENUDENCIAS" sheetId="2" r:id="rId5"/>
    <sheet name="RENDERING" sheetId="3" r:id="rId6"/>
    <sheet name="CUEROS" sheetId="4" r:id="rId7"/>
    <sheet name="GRASA DREASING" sheetId="5" r:id="rId8"/>
    <sheet name="MERCADO INTERNO" sheetId="8" r:id="rId9"/>
  </sheets>
  <definedNames>
    <definedName name="_xlnm._FilterDatabase" localSheetId="6" hidden="1">CUEROS!$A$1:$R$785</definedName>
    <definedName name="_xlnm._FilterDatabase" localSheetId="1" hidden="1">DETALLE!$A$1:$Q$449</definedName>
    <definedName name="_xlnm._FilterDatabase" localSheetId="4" hidden="1">MENUDENCIAS!$A$2:$T$2</definedName>
    <definedName name="_xlnm._FilterDatabase" localSheetId="8" hidden="1">'MERCADO INTERNO'!$D$3:$AC$37</definedName>
    <definedName name="_xlnm._FilterDatabase" localSheetId="2" hidden="1">'SERVICIO FAENA'!$A$1:$P$717</definedName>
    <definedName name="_xlnm.Print_Area" localSheetId="5">RENDERING!$A$1:$O$35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4" i="7" l="1"/>
  <c r="F4" i="7"/>
  <c r="E4" i="7"/>
  <c r="D4" i="7"/>
  <c r="C4" i="7"/>
  <c r="B4" i="7"/>
  <c r="D99" i="6"/>
  <c r="I87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54" i="6"/>
  <c r="L5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3" i="6"/>
  <c r="L2" i="6"/>
  <c r="J87" i="9" l="1"/>
  <c r="E3" i="4" l="1"/>
  <c r="D3" i="4"/>
  <c r="H2" i="4"/>
  <c r="F54" i="4"/>
  <c r="W42" i="9" l="1"/>
  <c r="H41" i="6" s="1"/>
  <c r="W43" i="9"/>
  <c r="H42" i="6" s="1"/>
  <c r="W44" i="9"/>
  <c r="H43" i="6" s="1"/>
  <c r="W45" i="9"/>
  <c r="H44" i="6" s="1"/>
  <c r="W46" i="9"/>
  <c r="H45" i="6" s="1"/>
  <c r="W47" i="9"/>
  <c r="H46" i="6" s="1"/>
  <c r="W48" i="9"/>
  <c r="H47" i="6" s="1"/>
  <c r="W49" i="9"/>
  <c r="H48" i="6" s="1"/>
  <c r="W50" i="9"/>
  <c r="H49" i="6" s="1"/>
  <c r="W51" i="9"/>
  <c r="H50" i="6" s="1"/>
  <c r="W52" i="9"/>
  <c r="H51" i="6" s="1"/>
  <c r="W53" i="9"/>
  <c r="H53" i="6" s="1"/>
  <c r="W54" i="9"/>
  <c r="H54" i="6" s="1"/>
  <c r="W55" i="9"/>
  <c r="H55" i="6" s="1"/>
  <c r="W56" i="9"/>
  <c r="H56" i="6" s="1"/>
  <c r="W57" i="9"/>
  <c r="H57" i="6" s="1"/>
  <c r="W58" i="9"/>
  <c r="H58" i="6" s="1"/>
  <c r="W59" i="9"/>
  <c r="H59" i="6" s="1"/>
  <c r="W60" i="9"/>
  <c r="H60" i="6" s="1"/>
  <c r="W61" i="9"/>
  <c r="H61" i="6" s="1"/>
  <c r="W62" i="9"/>
  <c r="H62" i="6" s="1"/>
  <c r="W63" i="9"/>
  <c r="H63" i="6" s="1"/>
  <c r="W64" i="9"/>
  <c r="H64" i="6" s="1"/>
  <c r="W65" i="9"/>
  <c r="H65" i="6" s="1"/>
  <c r="W66" i="9"/>
  <c r="H66" i="6" s="1"/>
  <c r="W67" i="9"/>
  <c r="H67" i="6" s="1"/>
  <c r="W68" i="9"/>
  <c r="H68" i="6" s="1"/>
  <c r="W69" i="9"/>
  <c r="H69" i="6" s="1"/>
  <c r="W70" i="9"/>
  <c r="H70" i="6" s="1"/>
  <c r="W71" i="9"/>
  <c r="H71" i="6" s="1"/>
  <c r="W72" i="9"/>
  <c r="H72" i="6" s="1"/>
  <c r="W73" i="9"/>
  <c r="H73" i="6" s="1"/>
  <c r="W74" i="9"/>
  <c r="H74" i="6" s="1"/>
  <c r="W75" i="9"/>
  <c r="H75" i="6" s="1"/>
  <c r="W76" i="9"/>
  <c r="H76" i="6" s="1"/>
  <c r="W77" i="9"/>
  <c r="H77" i="6" s="1"/>
  <c r="W78" i="9"/>
  <c r="H78" i="6" s="1"/>
  <c r="W79" i="9"/>
  <c r="H79" i="6" s="1"/>
  <c r="W80" i="9"/>
  <c r="H80" i="6" s="1"/>
  <c r="W81" i="9"/>
  <c r="H81" i="6" s="1"/>
  <c r="W82" i="9"/>
  <c r="H82" i="6" s="1"/>
  <c r="W83" i="9"/>
  <c r="H83" i="6" s="1"/>
  <c r="W84" i="9"/>
  <c r="H84" i="6" s="1"/>
  <c r="W85" i="9"/>
  <c r="H85" i="6" s="1"/>
  <c r="W86" i="9"/>
  <c r="H86" i="6" s="1"/>
  <c r="W87" i="9"/>
  <c r="H87" i="6" s="1"/>
  <c r="W88" i="9"/>
  <c r="H88" i="6" s="1"/>
  <c r="W89" i="9"/>
  <c r="H89" i="6" s="1"/>
  <c r="W90" i="9"/>
  <c r="H90" i="6" s="1"/>
  <c r="W91" i="9"/>
  <c r="H91" i="6" s="1"/>
  <c r="W92" i="9"/>
  <c r="H92" i="6" s="1"/>
  <c r="W93" i="9"/>
  <c r="H93" i="6" s="1"/>
  <c r="W94" i="9"/>
  <c r="H94" i="6" s="1"/>
  <c r="W95" i="9"/>
  <c r="H95" i="6" s="1"/>
  <c r="W96" i="9"/>
  <c r="H96" i="6" s="1"/>
  <c r="W97" i="9"/>
  <c r="H97" i="6" s="1"/>
  <c r="W98" i="9"/>
  <c r="H98" i="6" s="1"/>
  <c r="W99" i="9"/>
  <c r="H100" i="6" s="1"/>
  <c r="W100" i="9"/>
  <c r="H101" i="6" s="1"/>
  <c r="W101" i="9"/>
  <c r="H102" i="6" s="1"/>
  <c r="W102" i="9"/>
  <c r="H103" i="6" s="1"/>
  <c r="W103" i="9"/>
  <c r="H104" i="6" s="1"/>
  <c r="W104" i="9"/>
  <c r="H105" i="6" s="1"/>
  <c r="W105" i="9"/>
  <c r="H106" i="6" s="1"/>
  <c r="W106" i="9"/>
  <c r="H107" i="6" s="1"/>
  <c r="W107" i="9"/>
  <c r="H108" i="6" s="1"/>
  <c r="W108" i="9"/>
  <c r="H109" i="6" s="1"/>
  <c r="W109" i="9"/>
  <c r="H110" i="6" s="1"/>
  <c r="W110" i="9"/>
  <c r="H111" i="6" s="1"/>
  <c r="W111" i="9"/>
  <c r="H112" i="6" s="1"/>
  <c r="W112" i="9"/>
  <c r="H113" i="6" s="1"/>
  <c r="W113" i="9"/>
  <c r="H114" i="6" s="1"/>
  <c r="W114" i="9"/>
  <c r="H115" i="6" s="1"/>
  <c r="W115" i="9"/>
  <c r="H116" i="6" s="1"/>
  <c r="W116" i="9"/>
  <c r="H117" i="6" s="1"/>
  <c r="W117" i="9"/>
  <c r="H118" i="6" s="1"/>
  <c r="W118" i="9"/>
  <c r="H119" i="6" s="1"/>
  <c r="W119" i="9"/>
  <c r="H120" i="6" s="1"/>
  <c r="W120" i="9"/>
  <c r="H121" i="6" s="1"/>
  <c r="W121" i="9"/>
  <c r="H122" i="6" s="1"/>
  <c r="W122" i="9"/>
  <c r="H123" i="6" s="1"/>
  <c r="W123" i="9"/>
  <c r="H124" i="6" s="1"/>
  <c r="W124" i="9"/>
  <c r="H125" i="6" s="1"/>
  <c r="W125" i="9"/>
  <c r="H126" i="6" s="1"/>
  <c r="W126" i="9"/>
  <c r="H127" i="6" s="1"/>
  <c r="W127" i="9"/>
  <c r="H128" i="6" s="1"/>
  <c r="W128" i="9"/>
  <c r="H129" i="6" s="1"/>
  <c r="W129" i="9"/>
  <c r="H130" i="6" s="1"/>
  <c r="W130" i="9"/>
  <c r="H131" i="6" s="1"/>
  <c r="W131" i="9"/>
  <c r="H132" i="6" s="1"/>
  <c r="W132" i="9"/>
  <c r="H133" i="6" s="1"/>
  <c r="W133" i="9"/>
  <c r="H134" i="6" s="1"/>
  <c r="W134" i="9"/>
  <c r="H135" i="6" s="1"/>
  <c r="W135" i="9"/>
  <c r="H136" i="6" s="1"/>
  <c r="W136" i="9"/>
  <c r="H137" i="6" s="1"/>
  <c r="W137" i="9"/>
  <c r="H138" i="6" s="1"/>
  <c r="W138" i="9"/>
  <c r="H139" i="6" s="1"/>
  <c r="W139" i="9"/>
  <c r="H140" i="6" s="1"/>
  <c r="W140" i="9"/>
  <c r="H141" i="6" s="1"/>
  <c r="W141" i="9"/>
  <c r="H142" i="6" s="1"/>
  <c r="W142" i="9"/>
  <c r="H143" i="6" s="1"/>
  <c r="W143" i="9"/>
  <c r="H144" i="6" s="1"/>
  <c r="W144" i="9"/>
  <c r="H145" i="6" s="1"/>
  <c r="W145" i="9"/>
  <c r="H146" i="6" s="1"/>
  <c r="W146" i="9"/>
  <c r="H147" i="6" s="1"/>
  <c r="W147" i="9"/>
  <c r="H148" i="6" s="1"/>
  <c r="W148" i="9"/>
  <c r="H149" i="6" s="1"/>
  <c r="W149" i="9"/>
  <c r="H150" i="6" s="1"/>
  <c r="W150" i="9"/>
  <c r="H151" i="6" s="1"/>
  <c r="W151" i="9"/>
  <c r="H152" i="6" s="1"/>
  <c r="W152" i="9"/>
  <c r="H153" i="6" s="1"/>
  <c r="W153" i="9"/>
  <c r="H154" i="6" s="1"/>
  <c r="W154" i="9"/>
  <c r="H155" i="6" s="1"/>
  <c r="W155" i="9"/>
  <c r="H156" i="6" s="1"/>
  <c r="W156" i="9"/>
  <c r="H157" i="6" s="1"/>
  <c r="W157" i="9"/>
  <c r="H158" i="6" s="1"/>
  <c r="W158" i="9"/>
  <c r="H159" i="6" s="1"/>
  <c r="W159" i="9"/>
  <c r="H160" i="6" s="1"/>
  <c r="W160" i="9"/>
  <c r="H161" i="6" s="1"/>
  <c r="W161" i="9"/>
  <c r="H162" i="6" s="1"/>
  <c r="W162" i="9"/>
  <c r="H163" i="6" s="1"/>
  <c r="W163" i="9"/>
  <c r="H164" i="6" s="1"/>
  <c r="W164" i="9"/>
  <c r="H165" i="6" s="1"/>
  <c r="W165" i="9"/>
  <c r="H166" i="6" s="1"/>
  <c r="W166" i="9"/>
  <c r="H167" i="6" s="1"/>
  <c r="W167" i="9"/>
  <c r="H168" i="6" s="1"/>
  <c r="W168" i="9"/>
  <c r="H169" i="6" s="1"/>
  <c r="W169" i="9"/>
  <c r="H170" i="6" s="1"/>
  <c r="W170" i="9"/>
  <c r="H171" i="6" s="1"/>
  <c r="W171" i="9"/>
  <c r="H172" i="6" s="1"/>
  <c r="W172" i="9"/>
  <c r="H173" i="6" s="1"/>
  <c r="W173" i="9"/>
  <c r="H174" i="6" s="1"/>
  <c r="W174" i="9"/>
  <c r="H175" i="6" s="1"/>
  <c r="W175" i="9"/>
  <c r="H176" i="6" s="1"/>
  <c r="W176" i="9"/>
  <c r="H177" i="6" s="1"/>
  <c r="W177" i="9"/>
  <c r="H178" i="6" s="1"/>
  <c r="W178" i="9"/>
  <c r="H179" i="6" s="1"/>
  <c r="W179" i="9"/>
  <c r="H180" i="6" s="1"/>
  <c r="W180" i="9"/>
  <c r="H181" i="6" s="1"/>
  <c r="W181" i="9"/>
  <c r="H182" i="6" s="1"/>
  <c r="W182" i="9"/>
  <c r="H183" i="6" s="1"/>
  <c r="W183" i="9"/>
  <c r="H184" i="6" s="1"/>
  <c r="W184" i="9"/>
  <c r="H185" i="6" s="1"/>
  <c r="W185" i="9"/>
  <c r="H186" i="6" s="1"/>
  <c r="W186" i="9"/>
  <c r="H187" i="6" s="1"/>
  <c r="W187" i="9"/>
  <c r="H188" i="6" s="1"/>
  <c r="W188" i="9"/>
  <c r="H189" i="6" s="1"/>
  <c r="W189" i="9"/>
  <c r="H190" i="6" s="1"/>
  <c r="W190" i="9"/>
  <c r="H191" i="6" s="1"/>
  <c r="W191" i="9"/>
  <c r="H192" i="6" s="1"/>
  <c r="W192" i="9"/>
  <c r="H193" i="6" s="1"/>
  <c r="W193" i="9"/>
  <c r="H194" i="6" s="1"/>
  <c r="W194" i="9"/>
  <c r="H195" i="6" s="1"/>
  <c r="W195" i="9"/>
  <c r="H196" i="6" s="1"/>
  <c r="W196" i="9"/>
  <c r="H197" i="6" s="1"/>
  <c r="W197" i="9"/>
  <c r="H198" i="6" s="1"/>
  <c r="W198" i="9"/>
  <c r="H199" i="6" s="1"/>
  <c r="W199" i="9"/>
  <c r="H200" i="6" s="1"/>
  <c r="W200" i="9"/>
  <c r="H201" i="6" s="1"/>
  <c r="W201" i="9"/>
  <c r="H202" i="6" s="1"/>
  <c r="W202" i="9"/>
  <c r="H203" i="6" s="1"/>
  <c r="W203" i="9"/>
  <c r="H204" i="6" s="1"/>
  <c r="W204" i="9"/>
  <c r="H205" i="6" s="1"/>
  <c r="W205" i="9"/>
  <c r="H206" i="6" s="1"/>
  <c r="W206" i="9"/>
  <c r="H207" i="6" s="1"/>
  <c r="W207" i="9"/>
  <c r="H208" i="6" s="1"/>
  <c r="W208" i="9"/>
  <c r="H209" i="6" s="1"/>
  <c r="W209" i="9"/>
  <c r="H210" i="6" s="1"/>
  <c r="W210" i="9"/>
  <c r="H211" i="6" s="1"/>
  <c r="W211" i="9"/>
  <c r="H212" i="6" s="1"/>
  <c r="W212" i="9"/>
  <c r="H213" i="6" s="1"/>
  <c r="W213" i="9"/>
  <c r="H214" i="6" s="1"/>
  <c r="W214" i="9"/>
  <c r="H215" i="6" s="1"/>
  <c r="W215" i="9"/>
  <c r="H216" i="6" s="1"/>
  <c r="W216" i="9"/>
  <c r="H217" i="6" s="1"/>
  <c r="W217" i="9"/>
  <c r="H218" i="6" s="1"/>
  <c r="W218" i="9"/>
  <c r="H219" i="6" s="1"/>
  <c r="W219" i="9"/>
  <c r="H220" i="6" s="1"/>
  <c r="W220" i="9"/>
  <c r="H221" i="6" s="1"/>
  <c r="W221" i="9"/>
  <c r="H222" i="6" s="1"/>
  <c r="W222" i="9"/>
  <c r="H223" i="6" s="1"/>
  <c r="W223" i="9"/>
  <c r="H224" i="6" s="1"/>
  <c r="W224" i="9"/>
  <c r="H225" i="6" s="1"/>
  <c r="W225" i="9"/>
  <c r="H226" i="6" s="1"/>
  <c r="W226" i="9"/>
  <c r="H227" i="6" s="1"/>
  <c r="W227" i="9"/>
  <c r="H228" i="6" s="1"/>
  <c r="W228" i="9"/>
  <c r="H229" i="6" s="1"/>
  <c r="W229" i="9"/>
  <c r="H230" i="6" s="1"/>
  <c r="W230" i="9"/>
  <c r="H231" i="6" s="1"/>
  <c r="W231" i="9"/>
  <c r="H232" i="6" s="1"/>
  <c r="W232" i="9"/>
  <c r="H233" i="6" s="1"/>
  <c r="W233" i="9"/>
  <c r="H234" i="6" s="1"/>
  <c r="W234" i="9"/>
  <c r="H235" i="6" s="1"/>
  <c r="W235" i="9"/>
  <c r="H236" i="6" s="1"/>
  <c r="W236" i="9"/>
  <c r="H237" i="6" s="1"/>
  <c r="W237" i="9"/>
  <c r="H238" i="6" s="1"/>
  <c r="W238" i="9"/>
  <c r="H239" i="6" s="1"/>
  <c r="W239" i="9"/>
  <c r="H240" i="6" s="1"/>
  <c r="W240" i="9"/>
  <c r="H241" i="6" s="1"/>
  <c r="W241" i="9"/>
  <c r="H242" i="6" s="1"/>
  <c r="W242" i="9"/>
  <c r="H243" i="6" s="1"/>
  <c r="W243" i="9"/>
  <c r="H244" i="6" s="1"/>
  <c r="W244" i="9"/>
  <c r="H245" i="6" s="1"/>
  <c r="W245" i="9"/>
  <c r="H246" i="6" s="1"/>
  <c r="W246" i="9"/>
  <c r="H247" i="6" s="1"/>
  <c r="W247" i="9"/>
  <c r="H248" i="6" s="1"/>
  <c r="W248" i="9"/>
  <c r="H249" i="6" s="1"/>
  <c r="W249" i="9"/>
  <c r="H250" i="6" s="1"/>
  <c r="W250" i="9"/>
  <c r="H251" i="6" s="1"/>
  <c r="W251" i="9"/>
  <c r="H252" i="6" s="1"/>
  <c r="W252" i="9"/>
  <c r="H253" i="6" s="1"/>
  <c r="W253" i="9"/>
  <c r="H254" i="6" s="1"/>
  <c r="W254" i="9"/>
  <c r="H255" i="6" s="1"/>
  <c r="W255" i="9"/>
  <c r="H256" i="6" s="1"/>
  <c r="W256" i="9"/>
  <c r="H257" i="6" s="1"/>
  <c r="W257" i="9"/>
  <c r="H258" i="6" s="1"/>
  <c r="W258" i="9"/>
  <c r="H259" i="6" s="1"/>
  <c r="W259" i="9"/>
  <c r="H260" i="6" s="1"/>
  <c r="W260" i="9"/>
  <c r="H261" i="6" s="1"/>
  <c r="W261" i="9"/>
  <c r="H262" i="6" s="1"/>
  <c r="W262" i="9"/>
  <c r="H263" i="6" s="1"/>
  <c r="W263" i="9"/>
  <c r="H264" i="6" s="1"/>
  <c r="W264" i="9"/>
  <c r="H265" i="6" s="1"/>
  <c r="W265" i="9"/>
  <c r="H266" i="6" s="1"/>
  <c r="W266" i="9"/>
  <c r="H267" i="6" s="1"/>
  <c r="W267" i="9"/>
  <c r="H268" i="6" s="1"/>
  <c r="W268" i="9"/>
  <c r="H269" i="6" s="1"/>
  <c r="W269" i="9"/>
  <c r="H270" i="6" s="1"/>
  <c r="W270" i="9"/>
  <c r="H271" i="6" s="1"/>
  <c r="W271" i="9"/>
  <c r="H272" i="6" s="1"/>
  <c r="W272" i="9"/>
  <c r="H273" i="6" s="1"/>
  <c r="W273" i="9"/>
  <c r="H274" i="6" s="1"/>
  <c r="W274" i="9"/>
  <c r="H275" i="6" s="1"/>
  <c r="W275" i="9"/>
  <c r="H276" i="6" s="1"/>
  <c r="W276" i="9"/>
  <c r="H277" i="6" s="1"/>
  <c r="W277" i="9"/>
  <c r="H278" i="6" s="1"/>
  <c r="W278" i="9"/>
  <c r="H279" i="6" s="1"/>
  <c r="W279" i="9"/>
  <c r="H280" i="6" s="1"/>
  <c r="W280" i="9"/>
  <c r="H281" i="6" s="1"/>
  <c r="W281" i="9"/>
  <c r="H282" i="6" s="1"/>
  <c r="W282" i="9"/>
  <c r="H283" i="6" s="1"/>
  <c r="W283" i="9"/>
  <c r="H284" i="6" s="1"/>
  <c r="W284" i="9"/>
  <c r="H285" i="6" s="1"/>
  <c r="W285" i="9"/>
  <c r="H286" i="6" s="1"/>
  <c r="W286" i="9"/>
  <c r="H287" i="6" s="1"/>
  <c r="W287" i="9"/>
  <c r="H288" i="6" s="1"/>
  <c r="W288" i="9"/>
  <c r="H289" i="6" s="1"/>
  <c r="W289" i="9"/>
  <c r="H290" i="6" s="1"/>
  <c r="W290" i="9"/>
  <c r="H291" i="6" s="1"/>
  <c r="W291" i="9"/>
  <c r="H292" i="6" s="1"/>
  <c r="W292" i="9"/>
  <c r="H293" i="6" s="1"/>
  <c r="W293" i="9"/>
  <c r="H294" i="6" s="1"/>
  <c r="W294" i="9"/>
  <c r="H295" i="6" s="1"/>
  <c r="W295" i="9"/>
  <c r="H296" i="6" s="1"/>
  <c r="W296" i="9"/>
  <c r="H297" i="6" s="1"/>
  <c r="W297" i="9"/>
  <c r="H298" i="6" s="1"/>
  <c r="W298" i="9"/>
  <c r="H299" i="6" s="1"/>
  <c r="W299" i="9"/>
  <c r="H300" i="6" s="1"/>
  <c r="W300" i="9"/>
  <c r="H301" i="6" s="1"/>
  <c r="W301" i="9"/>
  <c r="H302" i="6" s="1"/>
  <c r="W302" i="9"/>
  <c r="H303" i="6" s="1"/>
  <c r="W303" i="9"/>
  <c r="H304" i="6" s="1"/>
  <c r="W304" i="9"/>
  <c r="H305" i="6" s="1"/>
  <c r="W305" i="9"/>
  <c r="H306" i="6" s="1"/>
  <c r="W306" i="9"/>
  <c r="H307" i="6" s="1"/>
  <c r="W307" i="9"/>
  <c r="H308" i="6" s="1"/>
  <c r="W308" i="9"/>
  <c r="H309" i="6" s="1"/>
  <c r="W309" i="9"/>
  <c r="H310" i="6" s="1"/>
  <c r="W310" i="9"/>
  <c r="H311" i="6" s="1"/>
  <c r="W311" i="9"/>
  <c r="H312" i="6" s="1"/>
  <c r="W312" i="9"/>
  <c r="H313" i="6" s="1"/>
  <c r="W313" i="9"/>
  <c r="H314" i="6" s="1"/>
  <c r="W314" i="9"/>
  <c r="H315" i="6" s="1"/>
  <c r="W315" i="9"/>
  <c r="H316" i="6" s="1"/>
  <c r="W316" i="9"/>
  <c r="H317" i="6" s="1"/>
  <c r="W317" i="9"/>
  <c r="H318" i="6" s="1"/>
  <c r="W318" i="9"/>
  <c r="H319" i="6" s="1"/>
  <c r="W319" i="9"/>
  <c r="H320" i="6" s="1"/>
  <c r="W320" i="9"/>
  <c r="H321" i="6" s="1"/>
  <c r="W321" i="9"/>
  <c r="H322" i="6" s="1"/>
  <c r="W322" i="9"/>
  <c r="H323" i="6" s="1"/>
  <c r="W323" i="9"/>
  <c r="H324" i="6" s="1"/>
  <c r="W324" i="9"/>
  <c r="H325" i="6" s="1"/>
  <c r="W325" i="9"/>
  <c r="H326" i="6" s="1"/>
  <c r="W326" i="9"/>
  <c r="H327" i="6" s="1"/>
  <c r="W327" i="9"/>
  <c r="H328" i="6" s="1"/>
  <c r="W328" i="9"/>
  <c r="H329" i="6" s="1"/>
  <c r="W329" i="9"/>
  <c r="H330" i="6" s="1"/>
  <c r="W330" i="9"/>
  <c r="H331" i="6" s="1"/>
  <c r="W331" i="9"/>
  <c r="H332" i="6" s="1"/>
  <c r="W332" i="9"/>
  <c r="H333" i="6" s="1"/>
  <c r="W333" i="9"/>
  <c r="H334" i="6" s="1"/>
  <c r="W334" i="9"/>
  <c r="H335" i="6" s="1"/>
  <c r="W335" i="9"/>
  <c r="H336" i="6" s="1"/>
  <c r="W336" i="9"/>
  <c r="H337" i="6" s="1"/>
  <c r="W337" i="9"/>
  <c r="H338" i="6" s="1"/>
  <c r="W338" i="9"/>
  <c r="H339" i="6" s="1"/>
  <c r="W339" i="9"/>
  <c r="H340" i="6" s="1"/>
  <c r="W340" i="9"/>
  <c r="H341" i="6" s="1"/>
  <c r="W341" i="9"/>
  <c r="H342" i="6" s="1"/>
  <c r="W342" i="9"/>
  <c r="H343" i="6" s="1"/>
  <c r="W343" i="9"/>
  <c r="H344" i="6" s="1"/>
  <c r="W344" i="9"/>
  <c r="H345" i="6" s="1"/>
  <c r="W345" i="9"/>
  <c r="H346" i="6" s="1"/>
  <c r="W346" i="9"/>
  <c r="H347" i="6" s="1"/>
  <c r="W347" i="9"/>
  <c r="H348" i="6" s="1"/>
  <c r="W348" i="9"/>
  <c r="H349" i="6" s="1"/>
  <c r="W349" i="9"/>
  <c r="H350" i="6" s="1"/>
  <c r="W350" i="9"/>
  <c r="H351" i="6" s="1"/>
  <c r="W351" i="9"/>
  <c r="H352" i="6" s="1"/>
  <c r="W352" i="9"/>
  <c r="H353" i="6" s="1"/>
  <c r="W353" i="9"/>
  <c r="H354" i="6" s="1"/>
  <c r="W354" i="9"/>
  <c r="H355" i="6" s="1"/>
  <c r="W355" i="9"/>
  <c r="H356" i="6" s="1"/>
  <c r="W356" i="9"/>
  <c r="H357" i="6" s="1"/>
  <c r="W357" i="9"/>
  <c r="H358" i="6" s="1"/>
  <c r="W358" i="9"/>
  <c r="H359" i="6" s="1"/>
  <c r="W359" i="9"/>
  <c r="H360" i="6" s="1"/>
  <c r="W360" i="9"/>
  <c r="H361" i="6" s="1"/>
  <c r="W361" i="9"/>
  <c r="H362" i="6" s="1"/>
  <c r="W362" i="9"/>
  <c r="H363" i="6" s="1"/>
  <c r="W363" i="9"/>
  <c r="H364" i="6" s="1"/>
  <c r="W364" i="9"/>
  <c r="H365" i="6" s="1"/>
  <c r="W365" i="9"/>
  <c r="H366" i="6" s="1"/>
  <c r="W366" i="9"/>
  <c r="H367" i="6" s="1"/>
  <c r="W367" i="9"/>
  <c r="H368" i="6" s="1"/>
  <c r="W368" i="9"/>
  <c r="H369" i="6" s="1"/>
  <c r="W369" i="9"/>
  <c r="H370" i="6" s="1"/>
  <c r="W370" i="9"/>
  <c r="H371" i="6" s="1"/>
  <c r="W371" i="9"/>
  <c r="H372" i="6" s="1"/>
  <c r="W372" i="9"/>
  <c r="H373" i="6" s="1"/>
  <c r="W373" i="9"/>
  <c r="H374" i="6" s="1"/>
  <c r="W374" i="9"/>
  <c r="H375" i="6" s="1"/>
  <c r="W375" i="9"/>
  <c r="H376" i="6" s="1"/>
  <c r="W376" i="9"/>
  <c r="H377" i="6" s="1"/>
  <c r="W377" i="9"/>
  <c r="H378" i="6" s="1"/>
  <c r="W378" i="9"/>
  <c r="H379" i="6" s="1"/>
  <c r="W379" i="9"/>
  <c r="H380" i="6" s="1"/>
  <c r="W380" i="9"/>
  <c r="H381" i="6" s="1"/>
  <c r="W381" i="9"/>
  <c r="H382" i="6" s="1"/>
  <c r="W382" i="9"/>
  <c r="H383" i="6" s="1"/>
  <c r="W383" i="9"/>
  <c r="H384" i="6" s="1"/>
  <c r="W384" i="9"/>
  <c r="H385" i="6" s="1"/>
  <c r="W385" i="9"/>
  <c r="H386" i="6" s="1"/>
  <c r="W386" i="9"/>
  <c r="H387" i="6" s="1"/>
  <c r="W387" i="9"/>
  <c r="H388" i="6" s="1"/>
  <c r="W388" i="9"/>
  <c r="H389" i="6" s="1"/>
  <c r="W389" i="9"/>
  <c r="H390" i="6" s="1"/>
  <c r="W390" i="9"/>
  <c r="H391" i="6" s="1"/>
  <c r="W391" i="9"/>
  <c r="H392" i="6" s="1"/>
  <c r="W392" i="9"/>
  <c r="H393" i="6" s="1"/>
  <c r="W393" i="9"/>
  <c r="H394" i="6" s="1"/>
  <c r="W394" i="9"/>
  <c r="H395" i="6" s="1"/>
  <c r="W395" i="9"/>
  <c r="H396" i="6" s="1"/>
  <c r="W396" i="9"/>
  <c r="H397" i="6" s="1"/>
  <c r="W397" i="9"/>
  <c r="H398" i="6" s="1"/>
  <c r="W398" i="9"/>
  <c r="H399" i="6" s="1"/>
  <c r="W399" i="9"/>
  <c r="H400" i="6" s="1"/>
  <c r="W400" i="9"/>
  <c r="H401" i="6" s="1"/>
  <c r="W401" i="9"/>
  <c r="H402" i="6" s="1"/>
  <c r="W402" i="9"/>
  <c r="H403" i="6" s="1"/>
  <c r="W403" i="9"/>
  <c r="H404" i="6" s="1"/>
  <c r="W404" i="9"/>
  <c r="H405" i="6" s="1"/>
  <c r="W405" i="9"/>
  <c r="H406" i="6" s="1"/>
  <c r="W406" i="9"/>
  <c r="H407" i="6" s="1"/>
  <c r="W407" i="9"/>
  <c r="H408" i="6" s="1"/>
  <c r="W408" i="9"/>
  <c r="H409" i="6" s="1"/>
  <c r="W409" i="9"/>
  <c r="H410" i="6" s="1"/>
  <c r="W410" i="9"/>
  <c r="H411" i="6" s="1"/>
  <c r="W411" i="9"/>
  <c r="H412" i="6" s="1"/>
  <c r="W412" i="9"/>
  <c r="H413" i="6" s="1"/>
  <c r="W413" i="9"/>
  <c r="H414" i="6" s="1"/>
  <c r="W414" i="9"/>
  <c r="H415" i="6" s="1"/>
  <c r="W415" i="9"/>
  <c r="H416" i="6" s="1"/>
  <c r="W416" i="9"/>
  <c r="H417" i="6" s="1"/>
  <c r="W417" i="9"/>
  <c r="H418" i="6" s="1"/>
  <c r="W418" i="9"/>
  <c r="H419" i="6" s="1"/>
  <c r="W419" i="9"/>
  <c r="H420" i="6" s="1"/>
  <c r="W420" i="9"/>
  <c r="H421" i="6" s="1"/>
  <c r="W421" i="9"/>
  <c r="H422" i="6" s="1"/>
  <c r="W422" i="9"/>
  <c r="H423" i="6" s="1"/>
  <c r="W423" i="9"/>
  <c r="H424" i="6" s="1"/>
  <c r="W424" i="9"/>
  <c r="H425" i="6" s="1"/>
  <c r="W425" i="9"/>
  <c r="H426" i="6" s="1"/>
  <c r="W426" i="9"/>
  <c r="H427" i="6" s="1"/>
  <c r="W427" i="9"/>
  <c r="H428" i="6" s="1"/>
  <c r="W428" i="9"/>
  <c r="H429" i="6" s="1"/>
  <c r="W429" i="9"/>
  <c r="H430" i="6" s="1"/>
  <c r="W430" i="9"/>
  <c r="H431" i="6" s="1"/>
  <c r="W431" i="9"/>
  <c r="H432" i="6" s="1"/>
  <c r="W432" i="9"/>
  <c r="H433" i="6" s="1"/>
  <c r="W433" i="9"/>
  <c r="H434" i="6" s="1"/>
  <c r="W434" i="9"/>
  <c r="H435" i="6" s="1"/>
  <c r="W435" i="9"/>
  <c r="H436" i="6" s="1"/>
  <c r="W436" i="9"/>
  <c r="H437" i="6" s="1"/>
  <c r="W437" i="9"/>
  <c r="H438" i="6" s="1"/>
  <c r="W438" i="9"/>
  <c r="H439" i="6" s="1"/>
  <c r="W439" i="9"/>
  <c r="H440" i="6" s="1"/>
  <c r="W440" i="9"/>
  <c r="H441" i="6" s="1"/>
  <c r="W441" i="9"/>
  <c r="H442" i="6" s="1"/>
  <c r="W442" i="9"/>
  <c r="H443" i="6" s="1"/>
  <c r="W443" i="9"/>
  <c r="H444" i="6" s="1"/>
  <c r="W444" i="9"/>
  <c r="H445" i="6" s="1"/>
  <c r="W445" i="9"/>
  <c r="H446" i="6" s="1"/>
  <c r="W446" i="9"/>
  <c r="H447" i="6" s="1"/>
  <c r="W447" i="9"/>
  <c r="H448" i="6" s="1"/>
  <c r="W448" i="9"/>
  <c r="H449" i="6" s="1"/>
  <c r="W449" i="9"/>
  <c r="W450" i="9"/>
  <c r="W451" i="9"/>
  <c r="W452" i="9"/>
  <c r="W453" i="9"/>
  <c r="W454" i="9"/>
  <c r="W455" i="9"/>
  <c r="W456" i="9"/>
  <c r="W457" i="9"/>
  <c r="W458" i="9"/>
  <c r="W459" i="9"/>
  <c r="W460" i="9"/>
  <c r="W461" i="9"/>
  <c r="W462" i="9"/>
  <c r="W463" i="9"/>
  <c r="W464" i="9"/>
  <c r="W465" i="9"/>
  <c r="W466" i="9"/>
  <c r="W467" i="9"/>
  <c r="W468" i="9"/>
  <c r="W469" i="9"/>
  <c r="W470" i="9"/>
  <c r="W471" i="9"/>
  <c r="W472" i="9"/>
  <c r="W473" i="9"/>
  <c r="W474" i="9"/>
  <c r="W475" i="9"/>
  <c r="W476" i="9"/>
  <c r="W477" i="9"/>
  <c r="W478" i="9"/>
  <c r="W479" i="9"/>
  <c r="W480" i="9"/>
  <c r="W481" i="9"/>
  <c r="W482" i="9"/>
  <c r="W483" i="9"/>
  <c r="W484" i="9"/>
  <c r="W485" i="9"/>
  <c r="W486" i="9"/>
  <c r="W487" i="9"/>
  <c r="W488" i="9"/>
  <c r="W489" i="9"/>
  <c r="W490" i="9"/>
  <c r="W491" i="9"/>
  <c r="W492" i="9"/>
  <c r="W493" i="9"/>
  <c r="W494" i="9"/>
  <c r="W495" i="9"/>
  <c r="W496" i="9"/>
  <c r="W497" i="9"/>
  <c r="W498" i="9"/>
  <c r="W499" i="9"/>
  <c r="W500" i="9"/>
  <c r="W501" i="9"/>
  <c r="W502" i="9"/>
  <c r="W503" i="9"/>
  <c r="W504" i="9"/>
  <c r="W505" i="9"/>
  <c r="W506" i="9"/>
  <c r="W507" i="9"/>
  <c r="W508" i="9"/>
  <c r="W509" i="9"/>
  <c r="W510" i="9"/>
  <c r="W511" i="9"/>
  <c r="W512" i="9"/>
  <c r="W513" i="9"/>
  <c r="W514" i="9"/>
  <c r="W515" i="9"/>
  <c r="W516" i="9"/>
  <c r="W517" i="9"/>
  <c r="W518" i="9"/>
  <c r="W519" i="9"/>
  <c r="W520" i="9"/>
  <c r="W521" i="9"/>
  <c r="W522" i="9"/>
  <c r="W523" i="9"/>
  <c r="W524" i="9"/>
  <c r="W525" i="9"/>
  <c r="W526" i="9"/>
  <c r="W527" i="9"/>
  <c r="W528" i="9"/>
  <c r="W529" i="9"/>
  <c r="W530" i="9"/>
  <c r="W531" i="9"/>
  <c r="W532" i="9"/>
  <c r="W533" i="9"/>
  <c r="W534" i="9"/>
  <c r="W535" i="9"/>
  <c r="W536" i="9"/>
  <c r="W537" i="9"/>
  <c r="W538" i="9"/>
  <c r="W539" i="9"/>
  <c r="W540" i="9"/>
  <c r="W541" i="9"/>
  <c r="W542" i="9"/>
  <c r="W543" i="9"/>
  <c r="W544" i="9"/>
  <c r="W545" i="9"/>
  <c r="W546" i="9"/>
  <c r="W547" i="9"/>
  <c r="W548" i="9"/>
  <c r="W549" i="9"/>
  <c r="W550" i="9"/>
  <c r="W551" i="9"/>
  <c r="W552" i="9"/>
  <c r="W553" i="9"/>
  <c r="W554" i="9"/>
  <c r="W555" i="9"/>
  <c r="W556" i="9"/>
  <c r="W557" i="9"/>
  <c r="W558" i="9"/>
  <c r="W559" i="9"/>
  <c r="W560" i="9"/>
  <c r="W561" i="9"/>
  <c r="W562" i="9"/>
  <c r="W563" i="9"/>
  <c r="W564" i="9"/>
  <c r="W565" i="9"/>
  <c r="W566" i="9"/>
  <c r="W567" i="9"/>
  <c r="W568" i="9"/>
  <c r="W569" i="9"/>
  <c r="W570" i="9"/>
  <c r="W571" i="9"/>
  <c r="W572" i="9"/>
  <c r="W573" i="9"/>
  <c r="W574" i="9"/>
  <c r="W575" i="9"/>
  <c r="W576" i="9"/>
  <c r="W577" i="9"/>
  <c r="W578" i="9"/>
  <c r="W579" i="9"/>
  <c r="W580" i="9"/>
  <c r="W581" i="9"/>
  <c r="W582" i="9"/>
  <c r="W583" i="9"/>
  <c r="W584" i="9"/>
  <c r="W585" i="9"/>
  <c r="W586" i="9"/>
  <c r="W587" i="9"/>
  <c r="W588" i="9"/>
  <c r="W589" i="9"/>
  <c r="W590" i="9"/>
  <c r="W591" i="9"/>
  <c r="W592" i="9"/>
  <c r="W593" i="9"/>
  <c r="W594" i="9"/>
  <c r="W595" i="9"/>
  <c r="W596" i="9"/>
  <c r="W597" i="9"/>
  <c r="W598" i="9"/>
  <c r="W599" i="9"/>
  <c r="W600" i="9"/>
  <c r="W601" i="9"/>
  <c r="W602" i="9"/>
  <c r="W603" i="9"/>
  <c r="W604" i="9"/>
  <c r="W605" i="9"/>
  <c r="W606" i="9"/>
  <c r="W607" i="9"/>
  <c r="W608" i="9"/>
  <c r="W609" i="9"/>
  <c r="W610" i="9"/>
  <c r="W611" i="9"/>
  <c r="W612" i="9"/>
  <c r="W613" i="9"/>
  <c r="W614" i="9"/>
  <c r="W615" i="9"/>
  <c r="W616" i="9"/>
  <c r="W617" i="9"/>
  <c r="W618" i="9"/>
  <c r="W619" i="9"/>
  <c r="W620" i="9"/>
  <c r="W621" i="9"/>
  <c r="W622" i="9"/>
  <c r="W623" i="9"/>
  <c r="W624" i="9"/>
  <c r="W625" i="9"/>
  <c r="W626" i="9"/>
  <c r="W627" i="9"/>
  <c r="W628" i="9"/>
  <c r="W629" i="9"/>
  <c r="W630" i="9"/>
  <c r="W631" i="9"/>
  <c r="W632" i="9"/>
  <c r="W633" i="9"/>
  <c r="W634" i="9"/>
  <c r="W635" i="9"/>
  <c r="W636" i="9"/>
  <c r="W637" i="9"/>
  <c r="W638" i="9"/>
  <c r="W639" i="9"/>
  <c r="W640" i="9"/>
  <c r="W641" i="9"/>
  <c r="W642" i="9"/>
  <c r="W643" i="9"/>
  <c r="W644" i="9"/>
  <c r="W645" i="9"/>
  <c r="W646" i="9"/>
  <c r="W647" i="9"/>
  <c r="W648" i="9"/>
  <c r="W649" i="9"/>
  <c r="W650" i="9"/>
  <c r="W651" i="9"/>
  <c r="W652" i="9"/>
  <c r="W653" i="9"/>
  <c r="W654" i="9"/>
  <c r="W655" i="9"/>
  <c r="W656" i="9"/>
  <c r="W657" i="9"/>
  <c r="W658" i="9"/>
  <c r="W659" i="9"/>
  <c r="W660" i="9"/>
  <c r="W661" i="9"/>
  <c r="W662" i="9"/>
  <c r="W663" i="9"/>
  <c r="W664" i="9"/>
  <c r="W665" i="9"/>
  <c r="W666" i="9"/>
  <c r="W667" i="9"/>
  <c r="W668" i="9"/>
  <c r="W669" i="9"/>
  <c r="W670" i="9"/>
  <c r="W671" i="9"/>
  <c r="W672" i="9"/>
  <c r="W673" i="9"/>
  <c r="W674" i="9"/>
  <c r="W675" i="9"/>
  <c r="W676" i="9"/>
  <c r="W677" i="9"/>
  <c r="W678" i="9"/>
  <c r="W679" i="9"/>
  <c r="W680" i="9"/>
  <c r="W681" i="9"/>
  <c r="W682" i="9"/>
  <c r="W683" i="9"/>
  <c r="W684" i="9"/>
  <c r="W685" i="9"/>
  <c r="W686" i="9"/>
  <c r="W687" i="9"/>
  <c r="W688" i="9"/>
  <c r="W689" i="9"/>
  <c r="W690" i="9"/>
  <c r="W691" i="9"/>
  <c r="W692" i="9"/>
  <c r="W693" i="9"/>
  <c r="W694" i="9"/>
  <c r="W695" i="9"/>
  <c r="W696" i="9"/>
  <c r="W697" i="9"/>
  <c r="W698" i="9"/>
  <c r="W699" i="9"/>
  <c r="W700" i="9"/>
  <c r="W701" i="9"/>
  <c r="W702" i="9"/>
  <c r="W703" i="9"/>
  <c r="W704" i="9"/>
  <c r="W705" i="9"/>
  <c r="W706" i="9"/>
  <c r="W707" i="9"/>
  <c r="W708" i="9"/>
  <c r="W709" i="9"/>
  <c r="W710" i="9"/>
  <c r="W711" i="9"/>
  <c r="W712" i="9"/>
  <c r="W713" i="9"/>
  <c r="W714" i="9"/>
  <c r="W715" i="9"/>
  <c r="W716" i="9"/>
  <c r="W717" i="9"/>
  <c r="W718" i="9"/>
  <c r="W719" i="9"/>
  <c r="W720" i="9"/>
  <c r="W721" i="9"/>
  <c r="W722" i="9"/>
  <c r="W723" i="9"/>
  <c r="W724" i="9"/>
  <c r="W725" i="9"/>
  <c r="W726" i="9"/>
  <c r="W727" i="9"/>
  <c r="W728" i="9"/>
  <c r="W729" i="9"/>
  <c r="W730" i="9"/>
  <c r="W731" i="9"/>
  <c r="W732" i="9"/>
  <c r="W733" i="9"/>
  <c r="W734" i="9"/>
  <c r="W735" i="9"/>
  <c r="W736" i="9"/>
  <c r="W737" i="9"/>
  <c r="W738" i="9"/>
  <c r="W739" i="9"/>
  <c r="W740" i="9"/>
  <c r="W741" i="9"/>
  <c r="W742" i="9"/>
  <c r="W743" i="9"/>
  <c r="W744" i="9"/>
  <c r="W745" i="9"/>
  <c r="W746" i="9"/>
  <c r="W747" i="9"/>
  <c r="W748" i="9"/>
  <c r="W749" i="9"/>
  <c r="W750" i="9"/>
  <c r="W751" i="9"/>
  <c r="W752" i="9"/>
  <c r="W753" i="9"/>
  <c r="W754" i="9"/>
  <c r="W755" i="9"/>
  <c r="W756" i="9"/>
  <c r="W757" i="9"/>
  <c r="W758" i="9"/>
  <c r="W759" i="9"/>
  <c r="W760" i="9"/>
  <c r="W761" i="9"/>
  <c r="W762" i="9"/>
  <c r="W763" i="9"/>
  <c r="W764" i="9"/>
  <c r="W765" i="9"/>
  <c r="W766" i="9"/>
  <c r="W767" i="9"/>
  <c r="W768" i="9"/>
  <c r="W769" i="9"/>
  <c r="W770" i="9"/>
  <c r="W771" i="9"/>
  <c r="W772" i="9"/>
  <c r="W773" i="9"/>
  <c r="W774" i="9"/>
  <c r="W775" i="9"/>
  <c r="W776" i="9"/>
  <c r="W777" i="9"/>
  <c r="W778" i="9"/>
  <c r="W779" i="9"/>
  <c r="W780" i="9"/>
  <c r="W781" i="9"/>
  <c r="W782" i="9"/>
  <c r="W783" i="9"/>
  <c r="W784" i="9"/>
  <c r="W785" i="9"/>
  <c r="W786" i="9"/>
  <c r="W787" i="9"/>
  <c r="W788" i="9"/>
  <c r="W789" i="9"/>
  <c r="W790" i="9"/>
  <c r="W791" i="9"/>
  <c r="W792" i="9"/>
  <c r="W793" i="9"/>
  <c r="W794" i="9"/>
  <c r="W795" i="9"/>
  <c r="W796" i="9"/>
  <c r="W797" i="9"/>
  <c r="W798" i="9"/>
  <c r="W799" i="9"/>
  <c r="W800" i="9"/>
  <c r="W801" i="9"/>
  <c r="W802" i="9"/>
  <c r="W803" i="9"/>
  <c r="W804" i="9"/>
  <c r="W805" i="9"/>
  <c r="W806" i="9"/>
  <c r="W807" i="9"/>
  <c r="W808" i="9"/>
  <c r="W809" i="9"/>
  <c r="W810" i="9"/>
  <c r="W811" i="9"/>
  <c r="W812" i="9"/>
  <c r="W813" i="9"/>
  <c r="W814" i="9"/>
  <c r="W815" i="9"/>
  <c r="W816" i="9"/>
  <c r="W817" i="9"/>
  <c r="W818" i="9"/>
  <c r="W819" i="9"/>
  <c r="W820" i="9"/>
  <c r="W821" i="9"/>
  <c r="W822" i="9"/>
  <c r="W823" i="9"/>
  <c r="W824" i="9"/>
  <c r="W825" i="9"/>
  <c r="W826" i="9"/>
  <c r="W827" i="9"/>
  <c r="W828" i="9"/>
  <c r="W829" i="9"/>
  <c r="W830" i="9"/>
  <c r="W831" i="9"/>
  <c r="W832" i="9"/>
  <c r="W833" i="9"/>
  <c r="W834" i="9"/>
  <c r="W835" i="9"/>
  <c r="W836" i="9"/>
  <c r="W837" i="9"/>
  <c r="W838" i="9"/>
  <c r="W839" i="9"/>
  <c r="W840" i="9"/>
  <c r="W841" i="9"/>
  <c r="W842" i="9"/>
  <c r="W843" i="9"/>
  <c r="W844" i="9"/>
  <c r="W845" i="9"/>
  <c r="W846" i="9"/>
  <c r="W847" i="9"/>
  <c r="W848" i="9"/>
  <c r="W849" i="9"/>
  <c r="W850" i="9"/>
  <c r="W851" i="9"/>
  <c r="W852" i="9"/>
  <c r="W853" i="9"/>
  <c r="W854" i="9"/>
  <c r="W855" i="9"/>
  <c r="W856" i="9"/>
  <c r="W857" i="9"/>
  <c r="W858" i="9"/>
  <c r="W859" i="9"/>
  <c r="W860" i="9"/>
  <c r="W861" i="9"/>
  <c r="W862" i="9"/>
  <c r="W863" i="9"/>
  <c r="W864" i="9"/>
  <c r="W865" i="9"/>
  <c r="W866" i="9"/>
  <c r="W867" i="9"/>
  <c r="W868" i="9"/>
  <c r="W869" i="9"/>
  <c r="W870" i="9"/>
  <c r="W871" i="9"/>
  <c r="W872" i="9"/>
  <c r="W873" i="9"/>
  <c r="W874" i="9"/>
  <c r="W875" i="9"/>
  <c r="W876" i="9"/>
  <c r="W877" i="9"/>
  <c r="W878" i="9"/>
  <c r="W879" i="9"/>
  <c r="W880" i="9"/>
  <c r="W881" i="9"/>
  <c r="W882" i="9"/>
  <c r="W883" i="9"/>
  <c r="W884" i="9"/>
  <c r="W885" i="9"/>
  <c r="W886" i="9"/>
  <c r="W887" i="9"/>
  <c r="W888" i="9"/>
  <c r="W889" i="9"/>
  <c r="W890" i="9"/>
  <c r="W891" i="9"/>
  <c r="W892" i="9"/>
  <c r="W893" i="9"/>
  <c r="W3" i="9"/>
  <c r="H2" i="6" s="1"/>
  <c r="W4" i="9"/>
  <c r="H3" i="6" s="1"/>
  <c r="W5" i="9"/>
  <c r="H4" i="6" s="1"/>
  <c r="W6" i="9"/>
  <c r="H5" i="6" s="1"/>
  <c r="W7" i="9"/>
  <c r="H6" i="6" s="1"/>
  <c r="W8" i="9"/>
  <c r="H7" i="6" s="1"/>
  <c r="W9" i="9"/>
  <c r="H8" i="6" s="1"/>
  <c r="W10" i="9"/>
  <c r="H9" i="6" s="1"/>
  <c r="W11" i="9"/>
  <c r="H10" i="6" s="1"/>
  <c r="W12" i="9"/>
  <c r="H11" i="6" s="1"/>
  <c r="W13" i="9"/>
  <c r="H12" i="6" s="1"/>
  <c r="W14" i="9"/>
  <c r="H13" i="6" s="1"/>
  <c r="W15" i="9"/>
  <c r="H14" i="6" s="1"/>
  <c r="W16" i="9"/>
  <c r="H15" i="6" s="1"/>
  <c r="W17" i="9"/>
  <c r="H16" i="6" s="1"/>
  <c r="W18" i="9"/>
  <c r="H17" i="6" s="1"/>
  <c r="W19" i="9"/>
  <c r="H18" i="6" s="1"/>
  <c r="W20" i="9"/>
  <c r="H19" i="6" s="1"/>
  <c r="W21" i="9"/>
  <c r="H20" i="6" s="1"/>
  <c r="W22" i="9"/>
  <c r="H21" i="6" s="1"/>
  <c r="W23" i="9"/>
  <c r="H22" i="6" s="1"/>
  <c r="W24" i="9"/>
  <c r="H23" i="6" s="1"/>
  <c r="W25" i="9"/>
  <c r="H24" i="6" s="1"/>
  <c r="W26" i="9"/>
  <c r="H25" i="6" s="1"/>
  <c r="W27" i="9"/>
  <c r="H26" i="6" s="1"/>
  <c r="W28" i="9"/>
  <c r="H27" i="6" s="1"/>
  <c r="W29" i="9"/>
  <c r="H28" i="6" s="1"/>
  <c r="W30" i="9"/>
  <c r="H29" i="6" s="1"/>
  <c r="W31" i="9"/>
  <c r="H30" i="6" s="1"/>
  <c r="W32" i="9"/>
  <c r="H31" i="6" s="1"/>
  <c r="W33" i="9"/>
  <c r="H32" i="6" s="1"/>
  <c r="W34" i="9"/>
  <c r="H33" i="6" s="1"/>
  <c r="W35" i="9"/>
  <c r="H34" i="6" s="1"/>
  <c r="W36" i="9"/>
  <c r="H35" i="6" s="1"/>
  <c r="W37" i="9"/>
  <c r="H36" i="6" s="1"/>
  <c r="W38" i="9"/>
  <c r="H37" i="6" s="1"/>
  <c r="W39" i="9"/>
  <c r="H38" i="6" s="1"/>
  <c r="W40" i="9"/>
  <c r="H39" i="6" s="1"/>
  <c r="W41" i="9"/>
  <c r="H40" i="6" s="1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N101" i="9"/>
  <c r="N102" i="9"/>
  <c r="N103" i="9"/>
  <c r="N104" i="9"/>
  <c r="N105" i="9"/>
  <c r="N106" i="9"/>
  <c r="N107" i="9"/>
  <c r="N108" i="9"/>
  <c r="N109" i="9"/>
  <c r="N110" i="9"/>
  <c r="N111" i="9"/>
  <c r="N112" i="9"/>
  <c r="N113" i="9"/>
  <c r="N114" i="9"/>
  <c r="N115" i="9"/>
  <c r="N116" i="9"/>
  <c r="N117" i="9"/>
  <c r="N118" i="9"/>
  <c r="N119" i="9"/>
  <c r="N120" i="9"/>
  <c r="N121" i="9"/>
  <c r="N122" i="9"/>
  <c r="N123" i="9"/>
  <c r="N124" i="9"/>
  <c r="N125" i="9"/>
  <c r="N126" i="9"/>
  <c r="N127" i="9"/>
  <c r="N128" i="9"/>
  <c r="N129" i="9"/>
  <c r="N130" i="9"/>
  <c r="N131" i="9"/>
  <c r="N132" i="9"/>
  <c r="N133" i="9"/>
  <c r="N134" i="9"/>
  <c r="N135" i="9"/>
  <c r="N136" i="9"/>
  <c r="N137" i="9"/>
  <c r="N138" i="9"/>
  <c r="N139" i="9"/>
  <c r="N140" i="9"/>
  <c r="N141" i="9"/>
  <c r="N142" i="9"/>
  <c r="N143" i="9"/>
  <c r="N144" i="9"/>
  <c r="N145" i="9"/>
  <c r="N146" i="9"/>
  <c r="N147" i="9"/>
  <c r="N148" i="9"/>
  <c r="N149" i="9"/>
  <c r="N150" i="9"/>
  <c r="N151" i="9"/>
  <c r="N152" i="9"/>
  <c r="N153" i="9"/>
  <c r="N154" i="9"/>
  <c r="N155" i="9"/>
  <c r="N156" i="9"/>
  <c r="N157" i="9"/>
  <c r="N158" i="9"/>
  <c r="N159" i="9"/>
  <c r="N160" i="9"/>
  <c r="N161" i="9"/>
  <c r="N162" i="9"/>
  <c r="N163" i="9"/>
  <c r="N164" i="9"/>
  <c r="N165" i="9"/>
  <c r="N166" i="9"/>
  <c r="N167" i="9"/>
  <c r="N168" i="9"/>
  <c r="N169" i="9"/>
  <c r="N170" i="9"/>
  <c r="N171" i="9"/>
  <c r="N172" i="9"/>
  <c r="N173" i="9"/>
  <c r="N174" i="9"/>
  <c r="N175" i="9"/>
  <c r="N176" i="9"/>
  <c r="N177" i="9"/>
  <c r="N178" i="9"/>
  <c r="N179" i="9"/>
  <c r="N180" i="9"/>
  <c r="N181" i="9"/>
  <c r="N182" i="9"/>
  <c r="N183" i="9"/>
  <c r="N184" i="9"/>
  <c r="N185" i="9"/>
  <c r="N186" i="9"/>
  <c r="N187" i="9"/>
  <c r="N188" i="9"/>
  <c r="N189" i="9"/>
  <c r="N190" i="9"/>
  <c r="N191" i="9"/>
  <c r="N192" i="9"/>
  <c r="N193" i="9"/>
  <c r="N194" i="9"/>
  <c r="N195" i="9"/>
  <c r="N196" i="9"/>
  <c r="N197" i="9"/>
  <c r="N198" i="9"/>
  <c r="N199" i="9"/>
  <c r="N200" i="9"/>
  <c r="N201" i="9"/>
  <c r="N202" i="9"/>
  <c r="N203" i="9"/>
  <c r="N204" i="9"/>
  <c r="N205" i="9"/>
  <c r="N206" i="9"/>
  <c r="N207" i="9"/>
  <c r="N208" i="9"/>
  <c r="N209" i="9"/>
  <c r="N210" i="9"/>
  <c r="N211" i="9"/>
  <c r="N212" i="9"/>
  <c r="N213" i="9"/>
  <c r="N214" i="9"/>
  <c r="N215" i="9"/>
  <c r="N216" i="9"/>
  <c r="N217" i="9"/>
  <c r="N218" i="9"/>
  <c r="N219" i="9"/>
  <c r="N220" i="9"/>
  <c r="N221" i="9"/>
  <c r="N222" i="9"/>
  <c r="N223" i="9"/>
  <c r="N224" i="9"/>
  <c r="N225" i="9"/>
  <c r="N226" i="9"/>
  <c r="N227" i="9"/>
  <c r="N228" i="9"/>
  <c r="N229" i="9"/>
  <c r="N230" i="9"/>
  <c r="N231" i="9"/>
  <c r="N232" i="9"/>
  <c r="N233" i="9"/>
  <c r="N234" i="9"/>
  <c r="N235" i="9"/>
  <c r="N236" i="9"/>
  <c r="N237" i="9"/>
  <c r="N238" i="9"/>
  <c r="N239" i="9"/>
  <c r="N240" i="9"/>
  <c r="N241" i="9"/>
  <c r="N242" i="9"/>
  <c r="N243" i="9"/>
  <c r="N244" i="9"/>
  <c r="N245" i="9"/>
  <c r="N246" i="9"/>
  <c r="N247" i="9"/>
  <c r="N248" i="9"/>
  <c r="N249" i="9"/>
  <c r="N250" i="9"/>
  <c r="N251" i="9"/>
  <c r="N252" i="9"/>
  <c r="N253" i="9"/>
  <c r="N254" i="9"/>
  <c r="N255" i="9"/>
  <c r="N256" i="9"/>
  <c r="N257" i="9"/>
  <c r="N258" i="9"/>
  <c r="N259" i="9"/>
  <c r="N260" i="9"/>
  <c r="N261" i="9"/>
  <c r="N262" i="9"/>
  <c r="N263" i="9"/>
  <c r="N264" i="9"/>
  <c r="N265" i="9"/>
  <c r="N266" i="9"/>
  <c r="N267" i="9"/>
  <c r="N268" i="9"/>
  <c r="N269" i="9"/>
  <c r="N270" i="9"/>
  <c r="N271" i="9"/>
  <c r="N272" i="9"/>
  <c r="N273" i="9"/>
  <c r="N274" i="9"/>
  <c r="N275" i="9"/>
  <c r="N276" i="9"/>
  <c r="N277" i="9"/>
  <c r="N278" i="9"/>
  <c r="N279" i="9"/>
  <c r="N280" i="9"/>
  <c r="N281" i="9"/>
  <c r="N282" i="9"/>
  <c r="N283" i="9"/>
  <c r="N284" i="9"/>
  <c r="N285" i="9"/>
  <c r="N286" i="9"/>
  <c r="N287" i="9"/>
  <c r="N288" i="9"/>
  <c r="N289" i="9"/>
  <c r="N290" i="9"/>
  <c r="N291" i="9"/>
  <c r="N292" i="9"/>
  <c r="N293" i="9"/>
  <c r="N294" i="9"/>
  <c r="N295" i="9"/>
  <c r="N296" i="9"/>
  <c r="N297" i="9"/>
  <c r="N298" i="9"/>
  <c r="N299" i="9"/>
  <c r="N300" i="9"/>
  <c r="N301" i="9"/>
  <c r="N302" i="9"/>
  <c r="N303" i="9"/>
  <c r="N304" i="9"/>
  <c r="N305" i="9"/>
  <c r="N306" i="9"/>
  <c r="N307" i="9"/>
  <c r="N308" i="9"/>
  <c r="N309" i="9"/>
  <c r="N310" i="9"/>
  <c r="N311" i="9"/>
  <c r="N312" i="9"/>
  <c r="N313" i="9"/>
  <c r="N314" i="9"/>
  <c r="N315" i="9"/>
  <c r="N316" i="9"/>
  <c r="N317" i="9"/>
  <c r="N318" i="9"/>
  <c r="N319" i="9"/>
  <c r="N320" i="9"/>
  <c r="N321" i="9"/>
  <c r="N322" i="9"/>
  <c r="N323" i="9"/>
  <c r="N324" i="9"/>
  <c r="N325" i="9"/>
  <c r="N326" i="9"/>
  <c r="N327" i="9"/>
  <c r="N328" i="9"/>
  <c r="N329" i="9"/>
  <c r="N330" i="9"/>
  <c r="N331" i="9"/>
  <c r="N332" i="9"/>
  <c r="N333" i="9"/>
  <c r="N334" i="9"/>
  <c r="N335" i="9"/>
  <c r="N336" i="9"/>
  <c r="N337" i="9"/>
  <c r="N338" i="9"/>
  <c r="N339" i="9"/>
  <c r="N340" i="9"/>
  <c r="N341" i="9"/>
  <c r="N342" i="9"/>
  <c r="N343" i="9"/>
  <c r="N344" i="9"/>
  <c r="N345" i="9"/>
  <c r="N346" i="9"/>
  <c r="N347" i="9"/>
  <c r="N348" i="9"/>
  <c r="N349" i="9"/>
  <c r="N350" i="9"/>
  <c r="N351" i="9"/>
  <c r="N352" i="9"/>
  <c r="N353" i="9"/>
  <c r="N354" i="9"/>
  <c r="N355" i="9"/>
  <c r="N356" i="9"/>
  <c r="N357" i="9"/>
  <c r="N358" i="9"/>
  <c r="N359" i="9"/>
  <c r="N360" i="9"/>
  <c r="N361" i="9"/>
  <c r="N362" i="9"/>
  <c r="N363" i="9"/>
  <c r="N364" i="9"/>
  <c r="N365" i="9"/>
  <c r="N366" i="9"/>
  <c r="N367" i="9"/>
  <c r="N368" i="9"/>
  <c r="N369" i="9"/>
  <c r="N370" i="9"/>
  <c r="N371" i="9"/>
  <c r="N372" i="9"/>
  <c r="N373" i="9"/>
  <c r="N374" i="9"/>
  <c r="N375" i="9"/>
  <c r="N376" i="9"/>
  <c r="N377" i="9"/>
  <c r="N378" i="9"/>
  <c r="N379" i="9"/>
  <c r="N380" i="9"/>
  <c r="N381" i="9"/>
  <c r="N382" i="9"/>
  <c r="N383" i="9"/>
  <c r="N384" i="9"/>
  <c r="N385" i="9"/>
  <c r="N386" i="9"/>
  <c r="N387" i="9"/>
  <c r="N388" i="9"/>
  <c r="N389" i="9"/>
  <c r="N390" i="9"/>
  <c r="N391" i="9"/>
  <c r="N392" i="9"/>
  <c r="N393" i="9"/>
  <c r="N394" i="9"/>
  <c r="N395" i="9"/>
  <c r="N396" i="9"/>
  <c r="N397" i="9"/>
  <c r="N398" i="9"/>
  <c r="N399" i="9"/>
  <c r="N400" i="9"/>
  <c r="N401" i="9"/>
  <c r="N402" i="9"/>
  <c r="N403" i="9"/>
  <c r="N404" i="9"/>
  <c r="N405" i="9"/>
  <c r="N406" i="9"/>
  <c r="N407" i="9"/>
  <c r="N408" i="9"/>
  <c r="N409" i="9"/>
  <c r="N410" i="9"/>
  <c r="N411" i="9"/>
  <c r="N412" i="9"/>
  <c r="N413" i="9"/>
  <c r="N414" i="9"/>
  <c r="N415" i="9"/>
  <c r="N416" i="9"/>
  <c r="N417" i="9"/>
  <c r="N418" i="9"/>
  <c r="N419" i="9"/>
  <c r="N420" i="9"/>
  <c r="N421" i="9"/>
  <c r="N422" i="9"/>
  <c r="N423" i="9"/>
  <c r="N424" i="9"/>
  <c r="N425" i="9"/>
  <c r="N426" i="9"/>
  <c r="N427" i="9"/>
  <c r="N428" i="9"/>
  <c r="N429" i="9"/>
  <c r="N430" i="9"/>
  <c r="N431" i="9"/>
  <c r="N432" i="9"/>
  <c r="N433" i="9"/>
  <c r="N434" i="9"/>
  <c r="N435" i="9"/>
  <c r="N436" i="9"/>
  <c r="N437" i="9"/>
  <c r="N438" i="9"/>
  <c r="N439" i="9"/>
  <c r="N440" i="9"/>
  <c r="N441" i="9"/>
  <c r="N442" i="9"/>
  <c r="N443" i="9"/>
  <c r="N444" i="9"/>
  <c r="N445" i="9"/>
  <c r="N446" i="9"/>
  <c r="N447" i="9"/>
  <c r="N448" i="9"/>
  <c r="N449" i="9"/>
  <c r="N450" i="9"/>
  <c r="N451" i="9"/>
  <c r="N452" i="9"/>
  <c r="N453" i="9"/>
  <c r="N454" i="9"/>
  <c r="N455" i="9"/>
  <c r="N456" i="9"/>
  <c r="N457" i="9"/>
  <c r="N458" i="9"/>
  <c r="N459" i="9"/>
  <c r="N460" i="9"/>
  <c r="N461" i="9"/>
  <c r="N462" i="9"/>
  <c r="N463" i="9"/>
  <c r="N464" i="9"/>
  <c r="N465" i="9"/>
  <c r="N466" i="9"/>
  <c r="N467" i="9"/>
  <c r="N468" i="9"/>
  <c r="N469" i="9"/>
  <c r="N470" i="9"/>
  <c r="N471" i="9"/>
  <c r="N472" i="9"/>
  <c r="N473" i="9"/>
  <c r="N474" i="9"/>
  <c r="N475" i="9"/>
  <c r="N476" i="9"/>
  <c r="N477" i="9"/>
  <c r="N478" i="9"/>
  <c r="N479" i="9"/>
  <c r="N480" i="9"/>
  <c r="N481" i="9"/>
  <c r="N482" i="9"/>
  <c r="N483" i="9"/>
  <c r="N484" i="9"/>
  <c r="N485" i="9"/>
  <c r="N486" i="9"/>
  <c r="N487" i="9"/>
  <c r="N488" i="9"/>
  <c r="N489" i="9"/>
  <c r="N490" i="9"/>
  <c r="N491" i="9"/>
  <c r="N492" i="9"/>
  <c r="N493" i="9"/>
  <c r="N494" i="9"/>
  <c r="N495" i="9"/>
  <c r="N496" i="9"/>
  <c r="N497" i="9"/>
  <c r="N498" i="9"/>
  <c r="N499" i="9"/>
  <c r="N500" i="9"/>
  <c r="N501" i="9"/>
  <c r="N502" i="9"/>
  <c r="N503" i="9"/>
  <c r="N504" i="9"/>
  <c r="N505" i="9"/>
  <c r="N506" i="9"/>
  <c r="N507" i="9"/>
  <c r="N508" i="9"/>
  <c r="N509" i="9"/>
  <c r="N510" i="9"/>
  <c r="N511" i="9"/>
  <c r="N512" i="9"/>
  <c r="N513" i="9"/>
  <c r="N514" i="9"/>
  <c r="N515" i="9"/>
  <c r="N516" i="9"/>
  <c r="N517" i="9"/>
  <c r="N518" i="9"/>
  <c r="N519" i="9"/>
  <c r="N520" i="9"/>
  <c r="N521" i="9"/>
  <c r="N522" i="9"/>
  <c r="N523" i="9"/>
  <c r="N524" i="9"/>
  <c r="N525" i="9"/>
  <c r="N526" i="9"/>
  <c r="N527" i="9"/>
  <c r="N528" i="9"/>
  <c r="N529" i="9"/>
  <c r="N530" i="9"/>
  <c r="N531" i="9"/>
  <c r="N532" i="9"/>
  <c r="N533" i="9"/>
  <c r="N534" i="9"/>
  <c r="N535" i="9"/>
  <c r="N536" i="9"/>
  <c r="N537" i="9"/>
  <c r="N538" i="9"/>
  <c r="N539" i="9"/>
  <c r="N540" i="9"/>
  <c r="N541" i="9"/>
  <c r="N542" i="9"/>
  <c r="N543" i="9"/>
  <c r="N544" i="9"/>
  <c r="N545" i="9"/>
  <c r="N546" i="9"/>
  <c r="N547" i="9"/>
  <c r="N548" i="9"/>
  <c r="N549" i="9"/>
  <c r="N550" i="9"/>
  <c r="N551" i="9"/>
  <c r="N552" i="9"/>
  <c r="N553" i="9"/>
  <c r="N554" i="9"/>
  <c r="N555" i="9"/>
  <c r="N556" i="9"/>
  <c r="N557" i="9"/>
  <c r="N558" i="9"/>
  <c r="N559" i="9"/>
  <c r="N560" i="9"/>
  <c r="N561" i="9"/>
  <c r="N562" i="9"/>
  <c r="N563" i="9"/>
  <c r="N564" i="9"/>
  <c r="N565" i="9"/>
  <c r="N566" i="9"/>
  <c r="N567" i="9"/>
  <c r="N568" i="9"/>
  <c r="N569" i="9"/>
  <c r="N570" i="9"/>
  <c r="N571" i="9"/>
  <c r="N572" i="9"/>
  <c r="N573" i="9"/>
  <c r="N574" i="9"/>
  <c r="N575" i="9"/>
  <c r="N576" i="9"/>
  <c r="N577" i="9"/>
  <c r="N578" i="9"/>
  <c r="N579" i="9"/>
  <c r="N580" i="9"/>
  <c r="N581" i="9"/>
  <c r="N582" i="9"/>
  <c r="N583" i="9"/>
  <c r="N584" i="9"/>
  <c r="N585" i="9"/>
  <c r="N586" i="9"/>
  <c r="N587" i="9"/>
  <c r="N588" i="9"/>
  <c r="N589" i="9"/>
  <c r="N590" i="9"/>
  <c r="N591" i="9"/>
  <c r="N592" i="9"/>
  <c r="N593" i="9"/>
  <c r="N594" i="9"/>
  <c r="N595" i="9"/>
  <c r="N596" i="9"/>
  <c r="N597" i="9"/>
  <c r="N598" i="9"/>
  <c r="N599" i="9"/>
  <c r="N600" i="9"/>
  <c r="N601" i="9"/>
  <c r="N602" i="9"/>
  <c r="N603" i="9"/>
  <c r="N604" i="9"/>
  <c r="N605" i="9"/>
  <c r="N606" i="9"/>
  <c r="N607" i="9"/>
  <c r="N608" i="9"/>
  <c r="N609" i="9"/>
  <c r="N610" i="9"/>
  <c r="N611" i="9"/>
  <c r="N612" i="9"/>
  <c r="N613" i="9"/>
  <c r="N614" i="9"/>
  <c r="N615" i="9"/>
  <c r="N616" i="9"/>
  <c r="N617" i="9"/>
  <c r="N618" i="9"/>
  <c r="N619" i="9"/>
  <c r="N620" i="9"/>
  <c r="N621" i="9"/>
  <c r="N622" i="9"/>
  <c r="N623" i="9"/>
  <c r="N624" i="9"/>
  <c r="N625" i="9"/>
  <c r="N626" i="9"/>
  <c r="N627" i="9"/>
  <c r="N628" i="9"/>
  <c r="N629" i="9"/>
  <c r="N630" i="9"/>
  <c r="N631" i="9"/>
  <c r="N632" i="9"/>
  <c r="N633" i="9"/>
  <c r="N634" i="9"/>
  <c r="N635" i="9"/>
  <c r="N636" i="9"/>
  <c r="N637" i="9"/>
  <c r="N638" i="9"/>
  <c r="N639" i="9"/>
  <c r="N640" i="9"/>
  <c r="N641" i="9"/>
  <c r="N642" i="9"/>
  <c r="N643" i="9"/>
  <c r="N644" i="9"/>
  <c r="N645" i="9"/>
  <c r="N646" i="9"/>
  <c r="N647" i="9"/>
  <c r="N648" i="9"/>
  <c r="N649" i="9"/>
  <c r="N650" i="9"/>
  <c r="N651" i="9"/>
  <c r="N652" i="9"/>
  <c r="N653" i="9"/>
  <c r="N654" i="9"/>
  <c r="N655" i="9"/>
  <c r="N656" i="9"/>
  <c r="N657" i="9"/>
  <c r="N658" i="9"/>
  <c r="N659" i="9"/>
  <c r="N660" i="9"/>
  <c r="N661" i="9"/>
  <c r="N662" i="9"/>
  <c r="N663" i="9"/>
  <c r="N664" i="9"/>
  <c r="N665" i="9"/>
  <c r="N666" i="9"/>
  <c r="N667" i="9"/>
  <c r="N668" i="9"/>
  <c r="N669" i="9"/>
  <c r="N670" i="9"/>
  <c r="N671" i="9"/>
  <c r="N672" i="9"/>
  <c r="N673" i="9"/>
  <c r="N674" i="9"/>
  <c r="N675" i="9"/>
  <c r="N676" i="9"/>
  <c r="N677" i="9"/>
  <c r="N678" i="9"/>
  <c r="N679" i="9"/>
  <c r="N680" i="9"/>
  <c r="N681" i="9"/>
  <c r="N682" i="9"/>
  <c r="N683" i="9"/>
  <c r="N684" i="9"/>
  <c r="N685" i="9"/>
  <c r="N686" i="9"/>
  <c r="N687" i="9"/>
  <c r="N688" i="9"/>
  <c r="N689" i="9"/>
  <c r="N690" i="9"/>
  <c r="N691" i="9"/>
  <c r="N692" i="9"/>
  <c r="N693" i="9"/>
  <c r="N694" i="9"/>
  <c r="N695" i="9"/>
  <c r="N696" i="9"/>
  <c r="N697" i="9"/>
  <c r="N698" i="9"/>
  <c r="N699" i="9"/>
  <c r="N700" i="9"/>
  <c r="N701" i="9"/>
  <c r="N702" i="9"/>
  <c r="N703" i="9"/>
  <c r="N704" i="9"/>
  <c r="N705" i="9"/>
  <c r="N706" i="9"/>
  <c r="N707" i="9"/>
  <c r="N708" i="9"/>
  <c r="N709" i="9"/>
  <c r="N710" i="9"/>
  <c r="N711" i="9"/>
  <c r="N712" i="9"/>
  <c r="N713" i="9"/>
  <c r="N714" i="9"/>
  <c r="N715" i="9"/>
  <c r="N716" i="9"/>
  <c r="N717" i="9"/>
  <c r="N718" i="9"/>
  <c r="N719" i="9"/>
  <c r="N720" i="9"/>
  <c r="N721" i="9"/>
  <c r="N722" i="9"/>
  <c r="N723" i="9"/>
  <c r="N724" i="9"/>
  <c r="N725" i="9"/>
  <c r="N726" i="9"/>
  <c r="N727" i="9"/>
  <c r="N728" i="9"/>
  <c r="N729" i="9"/>
  <c r="N730" i="9"/>
  <c r="N731" i="9"/>
  <c r="N732" i="9"/>
  <c r="N733" i="9"/>
  <c r="N734" i="9"/>
  <c r="N735" i="9"/>
  <c r="N736" i="9"/>
  <c r="N737" i="9"/>
  <c r="N738" i="9"/>
  <c r="N739" i="9"/>
  <c r="N740" i="9"/>
  <c r="N741" i="9"/>
  <c r="N742" i="9"/>
  <c r="N743" i="9"/>
  <c r="N744" i="9"/>
  <c r="N745" i="9"/>
  <c r="N746" i="9"/>
  <c r="N747" i="9"/>
  <c r="N748" i="9"/>
  <c r="N749" i="9"/>
  <c r="N750" i="9"/>
  <c r="N751" i="9"/>
  <c r="N752" i="9"/>
  <c r="N753" i="9"/>
  <c r="N754" i="9"/>
  <c r="N755" i="9"/>
  <c r="N756" i="9"/>
  <c r="N757" i="9"/>
  <c r="N758" i="9"/>
  <c r="N759" i="9"/>
  <c r="N760" i="9"/>
  <c r="N761" i="9"/>
  <c r="N762" i="9"/>
  <c r="N763" i="9"/>
  <c r="N764" i="9"/>
  <c r="N765" i="9"/>
  <c r="N766" i="9"/>
  <c r="N767" i="9"/>
  <c r="N768" i="9"/>
  <c r="N769" i="9"/>
  <c r="N770" i="9"/>
  <c r="N771" i="9"/>
  <c r="N772" i="9"/>
  <c r="N773" i="9"/>
  <c r="N774" i="9"/>
  <c r="N775" i="9"/>
  <c r="N776" i="9"/>
  <c r="N777" i="9"/>
  <c r="N778" i="9"/>
  <c r="N779" i="9"/>
  <c r="N780" i="9"/>
  <c r="N781" i="9"/>
  <c r="N782" i="9"/>
  <c r="N783" i="9"/>
  <c r="N784" i="9"/>
  <c r="N785" i="9"/>
  <c r="N786" i="9"/>
  <c r="N787" i="9"/>
  <c r="N788" i="9"/>
  <c r="N789" i="9"/>
  <c r="N790" i="9"/>
  <c r="N791" i="9"/>
  <c r="N792" i="9"/>
  <c r="N793" i="9"/>
  <c r="N794" i="9"/>
  <c r="N795" i="9"/>
  <c r="N796" i="9"/>
  <c r="N797" i="9"/>
  <c r="N798" i="9"/>
  <c r="N799" i="9"/>
  <c r="N800" i="9"/>
  <c r="N801" i="9"/>
  <c r="N802" i="9"/>
  <c r="N803" i="9"/>
  <c r="N804" i="9"/>
  <c r="N805" i="9"/>
  <c r="N806" i="9"/>
  <c r="N807" i="9"/>
  <c r="N808" i="9"/>
  <c r="N809" i="9"/>
  <c r="N810" i="9"/>
  <c r="N811" i="9"/>
  <c r="N812" i="9"/>
  <c r="N813" i="9"/>
  <c r="N814" i="9"/>
  <c r="N815" i="9"/>
  <c r="N816" i="9"/>
  <c r="N817" i="9"/>
  <c r="N818" i="9"/>
  <c r="N819" i="9"/>
  <c r="N820" i="9"/>
  <c r="N821" i="9"/>
  <c r="N822" i="9"/>
  <c r="N823" i="9"/>
  <c r="N824" i="9"/>
  <c r="N825" i="9"/>
  <c r="N826" i="9"/>
  <c r="N827" i="9"/>
  <c r="N828" i="9"/>
  <c r="N829" i="9"/>
  <c r="N830" i="9"/>
  <c r="N831" i="9"/>
  <c r="N832" i="9"/>
  <c r="N833" i="9"/>
  <c r="N834" i="9"/>
  <c r="N835" i="9"/>
  <c r="N836" i="9"/>
  <c r="N837" i="9"/>
  <c r="N838" i="9"/>
  <c r="N839" i="9"/>
  <c r="N840" i="9"/>
  <c r="N841" i="9"/>
  <c r="N842" i="9"/>
  <c r="N843" i="9"/>
  <c r="N844" i="9"/>
  <c r="N845" i="9"/>
  <c r="N846" i="9"/>
  <c r="N847" i="9"/>
  <c r="N848" i="9"/>
  <c r="N849" i="9"/>
  <c r="N850" i="9"/>
  <c r="N851" i="9"/>
  <c r="N852" i="9"/>
  <c r="N853" i="9"/>
  <c r="N854" i="9"/>
  <c r="N855" i="9"/>
  <c r="N856" i="9"/>
  <c r="N857" i="9"/>
  <c r="N858" i="9"/>
  <c r="N859" i="9"/>
  <c r="N860" i="9"/>
  <c r="N861" i="9"/>
  <c r="N862" i="9"/>
  <c r="N863" i="9"/>
  <c r="N864" i="9"/>
  <c r="N865" i="9"/>
  <c r="N866" i="9"/>
  <c r="N867" i="9"/>
  <c r="N868" i="9"/>
  <c r="N869" i="9"/>
  <c r="N870" i="9"/>
  <c r="N871" i="9"/>
  <c r="N872" i="9"/>
  <c r="N873" i="9"/>
  <c r="N874" i="9"/>
  <c r="N875" i="9"/>
  <c r="N876" i="9"/>
  <c r="N877" i="9"/>
  <c r="N878" i="9"/>
  <c r="N879" i="9"/>
  <c r="N880" i="9"/>
  <c r="N881" i="9"/>
  <c r="N882" i="9"/>
  <c r="N883" i="9"/>
  <c r="N884" i="9"/>
  <c r="N885" i="9"/>
  <c r="N886" i="9"/>
  <c r="N887" i="9"/>
  <c r="N888" i="9"/>
  <c r="N889" i="9"/>
  <c r="N890" i="9"/>
  <c r="N891" i="9"/>
  <c r="N892" i="9"/>
  <c r="N893" i="9"/>
  <c r="N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V41" i="9" s="1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109" i="9"/>
  <c r="J110" i="9"/>
  <c r="J111" i="9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J132" i="9"/>
  <c r="J133" i="9"/>
  <c r="J134" i="9"/>
  <c r="J135" i="9"/>
  <c r="J136" i="9"/>
  <c r="J137" i="9"/>
  <c r="J138" i="9"/>
  <c r="J139" i="9"/>
  <c r="J140" i="9"/>
  <c r="J141" i="9"/>
  <c r="J142" i="9"/>
  <c r="J143" i="9"/>
  <c r="J144" i="9"/>
  <c r="J145" i="9"/>
  <c r="J146" i="9"/>
  <c r="J147" i="9"/>
  <c r="J148" i="9"/>
  <c r="J149" i="9"/>
  <c r="J150" i="9"/>
  <c r="J151" i="9"/>
  <c r="J152" i="9"/>
  <c r="J153" i="9"/>
  <c r="J154" i="9"/>
  <c r="J155" i="9"/>
  <c r="J156" i="9"/>
  <c r="J157" i="9"/>
  <c r="J158" i="9"/>
  <c r="J159" i="9"/>
  <c r="J160" i="9"/>
  <c r="J161" i="9"/>
  <c r="J162" i="9"/>
  <c r="J163" i="9"/>
  <c r="J164" i="9"/>
  <c r="J165" i="9"/>
  <c r="J166" i="9"/>
  <c r="J167" i="9"/>
  <c r="J168" i="9"/>
  <c r="J169" i="9"/>
  <c r="J170" i="9"/>
  <c r="J171" i="9"/>
  <c r="J172" i="9"/>
  <c r="J173" i="9"/>
  <c r="J174" i="9"/>
  <c r="J175" i="9"/>
  <c r="J176" i="9"/>
  <c r="J177" i="9"/>
  <c r="J178" i="9"/>
  <c r="J179" i="9"/>
  <c r="J180" i="9"/>
  <c r="J181" i="9"/>
  <c r="J182" i="9"/>
  <c r="J183" i="9"/>
  <c r="J184" i="9"/>
  <c r="J185" i="9"/>
  <c r="J186" i="9"/>
  <c r="J187" i="9"/>
  <c r="J188" i="9"/>
  <c r="J189" i="9"/>
  <c r="J190" i="9"/>
  <c r="J191" i="9"/>
  <c r="J192" i="9"/>
  <c r="J193" i="9"/>
  <c r="J194" i="9"/>
  <c r="J195" i="9"/>
  <c r="J196" i="9"/>
  <c r="J197" i="9"/>
  <c r="J198" i="9"/>
  <c r="J199" i="9"/>
  <c r="J200" i="9"/>
  <c r="J201" i="9"/>
  <c r="J202" i="9"/>
  <c r="J203" i="9"/>
  <c r="J204" i="9"/>
  <c r="J205" i="9"/>
  <c r="J206" i="9"/>
  <c r="J207" i="9"/>
  <c r="J208" i="9"/>
  <c r="J209" i="9"/>
  <c r="J210" i="9"/>
  <c r="J211" i="9"/>
  <c r="J212" i="9"/>
  <c r="J213" i="9"/>
  <c r="J214" i="9"/>
  <c r="J215" i="9"/>
  <c r="J216" i="9"/>
  <c r="J217" i="9"/>
  <c r="J218" i="9"/>
  <c r="J219" i="9"/>
  <c r="J220" i="9"/>
  <c r="J221" i="9"/>
  <c r="J222" i="9"/>
  <c r="J223" i="9"/>
  <c r="J224" i="9"/>
  <c r="J225" i="9"/>
  <c r="J226" i="9"/>
  <c r="J227" i="9"/>
  <c r="J228" i="9"/>
  <c r="J229" i="9"/>
  <c r="J230" i="9"/>
  <c r="J231" i="9"/>
  <c r="J232" i="9"/>
  <c r="J233" i="9"/>
  <c r="J234" i="9"/>
  <c r="J235" i="9"/>
  <c r="J236" i="9"/>
  <c r="J237" i="9"/>
  <c r="J238" i="9"/>
  <c r="J239" i="9"/>
  <c r="J240" i="9"/>
  <c r="J241" i="9"/>
  <c r="J242" i="9"/>
  <c r="J243" i="9"/>
  <c r="J244" i="9"/>
  <c r="J245" i="9"/>
  <c r="J246" i="9"/>
  <c r="J247" i="9"/>
  <c r="J248" i="9"/>
  <c r="J249" i="9"/>
  <c r="J250" i="9"/>
  <c r="J251" i="9"/>
  <c r="J252" i="9"/>
  <c r="J253" i="9"/>
  <c r="J254" i="9"/>
  <c r="J255" i="9"/>
  <c r="J256" i="9"/>
  <c r="J257" i="9"/>
  <c r="J258" i="9"/>
  <c r="J259" i="9"/>
  <c r="J260" i="9"/>
  <c r="J261" i="9"/>
  <c r="J262" i="9"/>
  <c r="J263" i="9"/>
  <c r="J264" i="9"/>
  <c r="J265" i="9"/>
  <c r="J266" i="9"/>
  <c r="J267" i="9"/>
  <c r="J268" i="9"/>
  <c r="J269" i="9"/>
  <c r="J270" i="9"/>
  <c r="J271" i="9"/>
  <c r="J272" i="9"/>
  <c r="J273" i="9"/>
  <c r="J274" i="9"/>
  <c r="J275" i="9"/>
  <c r="J276" i="9"/>
  <c r="J277" i="9"/>
  <c r="J278" i="9"/>
  <c r="J279" i="9"/>
  <c r="J280" i="9"/>
  <c r="J281" i="9"/>
  <c r="J282" i="9"/>
  <c r="J283" i="9"/>
  <c r="J284" i="9"/>
  <c r="J285" i="9"/>
  <c r="J286" i="9"/>
  <c r="J287" i="9"/>
  <c r="J288" i="9"/>
  <c r="J289" i="9"/>
  <c r="J290" i="9"/>
  <c r="J291" i="9"/>
  <c r="J292" i="9"/>
  <c r="J293" i="9"/>
  <c r="J294" i="9"/>
  <c r="J295" i="9"/>
  <c r="J296" i="9"/>
  <c r="J297" i="9"/>
  <c r="J298" i="9"/>
  <c r="J299" i="9"/>
  <c r="J300" i="9"/>
  <c r="J301" i="9"/>
  <c r="J302" i="9"/>
  <c r="J303" i="9"/>
  <c r="J304" i="9"/>
  <c r="J305" i="9"/>
  <c r="J306" i="9"/>
  <c r="J307" i="9"/>
  <c r="J308" i="9"/>
  <c r="J309" i="9"/>
  <c r="J310" i="9"/>
  <c r="J311" i="9"/>
  <c r="J312" i="9"/>
  <c r="J313" i="9"/>
  <c r="J314" i="9"/>
  <c r="J315" i="9"/>
  <c r="J316" i="9"/>
  <c r="J317" i="9"/>
  <c r="J318" i="9"/>
  <c r="J319" i="9"/>
  <c r="J320" i="9"/>
  <c r="J321" i="9"/>
  <c r="J322" i="9"/>
  <c r="J323" i="9"/>
  <c r="J324" i="9"/>
  <c r="J325" i="9"/>
  <c r="J326" i="9"/>
  <c r="J327" i="9"/>
  <c r="J328" i="9"/>
  <c r="J329" i="9"/>
  <c r="J330" i="9"/>
  <c r="J331" i="9"/>
  <c r="J332" i="9"/>
  <c r="J333" i="9"/>
  <c r="J334" i="9"/>
  <c r="J335" i="9"/>
  <c r="J336" i="9"/>
  <c r="J337" i="9"/>
  <c r="J338" i="9"/>
  <c r="J339" i="9"/>
  <c r="J340" i="9"/>
  <c r="J341" i="9"/>
  <c r="J342" i="9"/>
  <c r="J343" i="9"/>
  <c r="J344" i="9"/>
  <c r="J345" i="9"/>
  <c r="J346" i="9"/>
  <c r="J347" i="9"/>
  <c r="J348" i="9"/>
  <c r="J349" i="9"/>
  <c r="J350" i="9"/>
  <c r="J351" i="9"/>
  <c r="J352" i="9"/>
  <c r="J353" i="9"/>
  <c r="J354" i="9"/>
  <c r="J355" i="9"/>
  <c r="J356" i="9"/>
  <c r="J357" i="9"/>
  <c r="J358" i="9"/>
  <c r="J359" i="9"/>
  <c r="J360" i="9"/>
  <c r="J361" i="9"/>
  <c r="J362" i="9"/>
  <c r="J363" i="9"/>
  <c r="J364" i="9"/>
  <c r="J365" i="9"/>
  <c r="J366" i="9"/>
  <c r="J367" i="9"/>
  <c r="J368" i="9"/>
  <c r="J369" i="9"/>
  <c r="J370" i="9"/>
  <c r="J371" i="9"/>
  <c r="J372" i="9"/>
  <c r="J373" i="9"/>
  <c r="J374" i="9"/>
  <c r="J375" i="9"/>
  <c r="J376" i="9"/>
  <c r="J377" i="9"/>
  <c r="J378" i="9"/>
  <c r="J379" i="9"/>
  <c r="J380" i="9"/>
  <c r="J381" i="9"/>
  <c r="J382" i="9"/>
  <c r="J383" i="9"/>
  <c r="J384" i="9"/>
  <c r="J385" i="9"/>
  <c r="J386" i="9"/>
  <c r="J387" i="9"/>
  <c r="J388" i="9"/>
  <c r="J389" i="9"/>
  <c r="J390" i="9"/>
  <c r="J391" i="9"/>
  <c r="J392" i="9"/>
  <c r="J393" i="9"/>
  <c r="J394" i="9"/>
  <c r="J395" i="9"/>
  <c r="J396" i="9"/>
  <c r="J397" i="9"/>
  <c r="J398" i="9"/>
  <c r="J399" i="9"/>
  <c r="J400" i="9"/>
  <c r="J401" i="9"/>
  <c r="J402" i="9"/>
  <c r="J403" i="9"/>
  <c r="J404" i="9"/>
  <c r="J405" i="9"/>
  <c r="J406" i="9"/>
  <c r="J407" i="9"/>
  <c r="J408" i="9"/>
  <c r="J409" i="9"/>
  <c r="J410" i="9"/>
  <c r="J411" i="9"/>
  <c r="J412" i="9"/>
  <c r="J413" i="9"/>
  <c r="J414" i="9"/>
  <c r="J415" i="9"/>
  <c r="J416" i="9"/>
  <c r="J417" i="9"/>
  <c r="J418" i="9"/>
  <c r="J419" i="9"/>
  <c r="J420" i="9"/>
  <c r="J421" i="9"/>
  <c r="J422" i="9"/>
  <c r="J423" i="9"/>
  <c r="J424" i="9"/>
  <c r="J425" i="9"/>
  <c r="J426" i="9"/>
  <c r="J427" i="9"/>
  <c r="J428" i="9"/>
  <c r="J429" i="9"/>
  <c r="J430" i="9"/>
  <c r="J431" i="9"/>
  <c r="J432" i="9"/>
  <c r="J433" i="9"/>
  <c r="J434" i="9"/>
  <c r="J435" i="9"/>
  <c r="J436" i="9"/>
  <c r="J437" i="9"/>
  <c r="J438" i="9"/>
  <c r="J439" i="9"/>
  <c r="J440" i="9"/>
  <c r="J441" i="9"/>
  <c r="J442" i="9"/>
  <c r="J443" i="9"/>
  <c r="J444" i="9"/>
  <c r="J445" i="9"/>
  <c r="J446" i="9"/>
  <c r="J447" i="9"/>
  <c r="J448" i="9"/>
  <c r="J449" i="9"/>
  <c r="J450" i="9"/>
  <c r="J451" i="9"/>
  <c r="J452" i="9"/>
  <c r="J453" i="9"/>
  <c r="J454" i="9"/>
  <c r="J455" i="9"/>
  <c r="J456" i="9"/>
  <c r="J457" i="9"/>
  <c r="J458" i="9"/>
  <c r="J459" i="9"/>
  <c r="J460" i="9"/>
  <c r="J461" i="9"/>
  <c r="J462" i="9"/>
  <c r="J463" i="9"/>
  <c r="J464" i="9"/>
  <c r="J465" i="9"/>
  <c r="J466" i="9"/>
  <c r="J467" i="9"/>
  <c r="J468" i="9"/>
  <c r="J469" i="9"/>
  <c r="J470" i="9"/>
  <c r="J471" i="9"/>
  <c r="J472" i="9"/>
  <c r="J473" i="9"/>
  <c r="J474" i="9"/>
  <c r="J475" i="9"/>
  <c r="J476" i="9"/>
  <c r="J477" i="9"/>
  <c r="J478" i="9"/>
  <c r="J479" i="9"/>
  <c r="J480" i="9"/>
  <c r="J481" i="9"/>
  <c r="J482" i="9"/>
  <c r="J483" i="9"/>
  <c r="J484" i="9"/>
  <c r="J485" i="9"/>
  <c r="J486" i="9"/>
  <c r="J487" i="9"/>
  <c r="J488" i="9"/>
  <c r="J489" i="9"/>
  <c r="J490" i="9"/>
  <c r="J491" i="9"/>
  <c r="J492" i="9"/>
  <c r="J493" i="9"/>
  <c r="J494" i="9"/>
  <c r="J495" i="9"/>
  <c r="J496" i="9"/>
  <c r="J497" i="9"/>
  <c r="J498" i="9"/>
  <c r="J499" i="9"/>
  <c r="J500" i="9"/>
  <c r="J501" i="9"/>
  <c r="J502" i="9"/>
  <c r="J503" i="9"/>
  <c r="J504" i="9"/>
  <c r="J505" i="9"/>
  <c r="J506" i="9"/>
  <c r="J507" i="9"/>
  <c r="J508" i="9"/>
  <c r="J509" i="9"/>
  <c r="J510" i="9"/>
  <c r="J511" i="9"/>
  <c r="J512" i="9"/>
  <c r="J513" i="9"/>
  <c r="J514" i="9"/>
  <c r="J515" i="9"/>
  <c r="J516" i="9"/>
  <c r="J517" i="9"/>
  <c r="J518" i="9"/>
  <c r="J519" i="9"/>
  <c r="J520" i="9"/>
  <c r="J521" i="9"/>
  <c r="J522" i="9"/>
  <c r="J523" i="9"/>
  <c r="J524" i="9"/>
  <c r="J525" i="9"/>
  <c r="J526" i="9"/>
  <c r="J527" i="9"/>
  <c r="J528" i="9"/>
  <c r="J529" i="9"/>
  <c r="J530" i="9"/>
  <c r="J531" i="9"/>
  <c r="J532" i="9"/>
  <c r="J533" i="9"/>
  <c r="J534" i="9"/>
  <c r="J535" i="9"/>
  <c r="J536" i="9"/>
  <c r="J537" i="9"/>
  <c r="J538" i="9"/>
  <c r="J539" i="9"/>
  <c r="J540" i="9"/>
  <c r="J541" i="9"/>
  <c r="J542" i="9"/>
  <c r="J543" i="9"/>
  <c r="J544" i="9"/>
  <c r="J545" i="9"/>
  <c r="J546" i="9"/>
  <c r="J547" i="9"/>
  <c r="J548" i="9"/>
  <c r="J549" i="9"/>
  <c r="J550" i="9"/>
  <c r="J551" i="9"/>
  <c r="J552" i="9"/>
  <c r="J553" i="9"/>
  <c r="J554" i="9"/>
  <c r="J555" i="9"/>
  <c r="J556" i="9"/>
  <c r="J557" i="9"/>
  <c r="J558" i="9"/>
  <c r="J559" i="9"/>
  <c r="J560" i="9"/>
  <c r="J561" i="9"/>
  <c r="J562" i="9"/>
  <c r="J563" i="9"/>
  <c r="J564" i="9"/>
  <c r="J565" i="9"/>
  <c r="J566" i="9"/>
  <c r="J567" i="9"/>
  <c r="J568" i="9"/>
  <c r="J569" i="9"/>
  <c r="J570" i="9"/>
  <c r="J571" i="9"/>
  <c r="J572" i="9"/>
  <c r="J573" i="9"/>
  <c r="J574" i="9"/>
  <c r="J575" i="9"/>
  <c r="J576" i="9"/>
  <c r="J577" i="9"/>
  <c r="J578" i="9"/>
  <c r="J579" i="9"/>
  <c r="J580" i="9"/>
  <c r="J581" i="9"/>
  <c r="J582" i="9"/>
  <c r="J583" i="9"/>
  <c r="J584" i="9"/>
  <c r="J585" i="9"/>
  <c r="J586" i="9"/>
  <c r="J587" i="9"/>
  <c r="J588" i="9"/>
  <c r="J589" i="9"/>
  <c r="J590" i="9"/>
  <c r="J591" i="9"/>
  <c r="J592" i="9"/>
  <c r="J593" i="9"/>
  <c r="J594" i="9"/>
  <c r="J595" i="9"/>
  <c r="J596" i="9"/>
  <c r="J597" i="9"/>
  <c r="J598" i="9"/>
  <c r="J599" i="9"/>
  <c r="J600" i="9"/>
  <c r="J601" i="9"/>
  <c r="J602" i="9"/>
  <c r="J603" i="9"/>
  <c r="J604" i="9"/>
  <c r="J605" i="9"/>
  <c r="J606" i="9"/>
  <c r="J607" i="9"/>
  <c r="J608" i="9"/>
  <c r="J609" i="9"/>
  <c r="J610" i="9"/>
  <c r="J611" i="9"/>
  <c r="J612" i="9"/>
  <c r="J613" i="9"/>
  <c r="J614" i="9"/>
  <c r="J615" i="9"/>
  <c r="J616" i="9"/>
  <c r="J617" i="9"/>
  <c r="J618" i="9"/>
  <c r="J619" i="9"/>
  <c r="J620" i="9"/>
  <c r="J621" i="9"/>
  <c r="J622" i="9"/>
  <c r="J623" i="9"/>
  <c r="J624" i="9"/>
  <c r="J625" i="9"/>
  <c r="J626" i="9"/>
  <c r="J627" i="9"/>
  <c r="J628" i="9"/>
  <c r="J629" i="9"/>
  <c r="J630" i="9"/>
  <c r="J631" i="9"/>
  <c r="J632" i="9"/>
  <c r="J633" i="9"/>
  <c r="J634" i="9"/>
  <c r="J635" i="9"/>
  <c r="J636" i="9"/>
  <c r="J637" i="9"/>
  <c r="J638" i="9"/>
  <c r="J639" i="9"/>
  <c r="J640" i="9"/>
  <c r="J641" i="9"/>
  <c r="J642" i="9"/>
  <c r="J643" i="9"/>
  <c r="J644" i="9"/>
  <c r="J645" i="9"/>
  <c r="J646" i="9"/>
  <c r="J647" i="9"/>
  <c r="J648" i="9"/>
  <c r="J649" i="9"/>
  <c r="J650" i="9"/>
  <c r="J651" i="9"/>
  <c r="J652" i="9"/>
  <c r="J653" i="9"/>
  <c r="J654" i="9"/>
  <c r="J655" i="9"/>
  <c r="J656" i="9"/>
  <c r="J657" i="9"/>
  <c r="J658" i="9"/>
  <c r="J659" i="9"/>
  <c r="J660" i="9"/>
  <c r="J661" i="9"/>
  <c r="J662" i="9"/>
  <c r="J663" i="9"/>
  <c r="J664" i="9"/>
  <c r="J665" i="9"/>
  <c r="J666" i="9"/>
  <c r="J667" i="9"/>
  <c r="J668" i="9"/>
  <c r="J669" i="9"/>
  <c r="J670" i="9"/>
  <c r="J671" i="9"/>
  <c r="J672" i="9"/>
  <c r="J673" i="9"/>
  <c r="J674" i="9"/>
  <c r="J675" i="9"/>
  <c r="J676" i="9"/>
  <c r="J677" i="9"/>
  <c r="J678" i="9"/>
  <c r="J679" i="9"/>
  <c r="J680" i="9"/>
  <c r="J681" i="9"/>
  <c r="J682" i="9"/>
  <c r="J683" i="9"/>
  <c r="J684" i="9"/>
  <c r="J685" i="9"/>
  <c r="J686" i="9"/>
  <c r="J687" i="9"/>
  <c r="J688" i="9"/>
  <c r="J689" i="9"/>
  <c r="J690" i="9"/>
  <c r="J691" i="9"/>
  <c r="J692" i="9"/>
  <c r="J693" i="9"/>
  <c r="J694" i="9"/>
  <c r="J695" i="9"/>
  <c r="J696" i="9"/>
  <c r="J697" i="9"/>
  <c r="J698" i="9"/>
  <c r="J699" i="9"/>
  <c r="J700" i="9"/>
  <c r="J701" i="9"/>
  <c r="J702" i="9"/>
  <c r="J703" i="9"/>
  <c r="J704" i="9"/>
  <c r="J705" i="9"/>
  <c r="J706" i="9"/>
  <c r="J707" i="9"/>
  <c r="J708" i="9"/>
  <c r="J709" i="9"/>
  <c r="J710" i="9"/>
  <c r="J711" i="9"/>
  <c r="J712" i="9"/>
  <c r="J713" i="9"/>
  <c r="J714" i="9"/>
  <c r="J715" i="9"/>
  <c r="J716" i="9"/>
  <c r="J717" i="9"/>
  <c r="J718" i="9"/>
  <c r="J719" i="9"/>
  <c r="J720" i="9"/>
  <c r="J721" i="9"/>
  <c r="J722" i="9"/>
  <c r="J723" i="9"/>
  <c r="J724" i="9"/>
  <c r="J725" i="9"/>
  <c r="J726" i="9"/>
  <c r="J727" i="9"/>
  <c r="J728" i="9"/>
  <c r="J729" i="9"/>
  <c r="J730" i="9"/>
  <c r="J731" i="9"/>
  <c r="J732" i="9"/>
  <c r="J733" i="9"/>
  <c r="J734" i="9"/>
  <c r="J735" i="9"/>
  <c r="J736" i="9"/>
  <c r="J737" i="9"/>
  <c r="J738" i="9"/>
  <c r="J739" i="9"/>
  <c r="J740" i="9"/>
  <c r="J741" i="9"/>
  <c r="J742" i="9"/>
  <c r="J743" i="9"/>
  <c r="J744" i="9"/>
  <c r="J745" i="9"/>
  <c r="J746" i="9"/>
  <c r="J747" i="9"/>
  <c r="J748" i="9"/>
  <c r="J749" i="9"/>
  <c r="J750" i="9"/>
  <c r="J751" i="9"/>
  <c r="J752" i="9"/>
  <c r="J753" i="9"/>
  <c r="J754" i="9"/>
  <c r="J755" i="9"/>
  <c r="J756" i="9"/>
  <c r="J757" i="9"/>
  <c r="J758" i="9"/>
  <c r="J759" i="9"/>
  <c r="J760" i="9"/>
  <c r="J761" i="9"/>
  <c r="J762" i="9"/>
  <c r="J763" i="9"/>
  <c r="J764" i="9"/>
  <c r="J765" i="9"/>
  <c r="J766" i="9"/>
  <c r="J767" i="9"/>
  <c r="J768" i="9"/>
  <c r="J769" i="9"/>
  <c r="J770" i="9"/>
  <c r="J771" i="9"/>
  <c r="J772" i="9"/>
  <c r="J773" i="9"/>
  <c r="J774" i="9"/>
  <c r="J775" i="9"/>
  <c r="J776" i="9"/>
  <c r="J777" i="9"/>
  <c r="J778" i="9"/>
  <c r="J779" i="9"/>
  <c r="J780" i="9"/>
  <c r="J781" i="9"/>
  <c r="J782" i="9"/>
  <c r="J783" i="9"/>
  <c r="J784" i="9"/>
  <c r="J785" i="9"/>
  <c r="J786" i="9"/>
  <c r="J787" i="9"/>
  <c r="J788" i="9"/>
  <c r="J789" i="9"/>
  <c r="J790" i="9"/>
  <c r="J791" i="9"/>
  <c r="J792" i="9"/>
  <c r="J793" i="9"/>
  <c r="J794" i="9"/>
  <c r="J795" i="9"/>
  <c r="J796" i="9"/>
  <c r="J797" i="9"/>
  <c r="J798" i="9"/>
  <c r="J799" i="9"/>
  <c r="J800" i="9"/>
  <c r="J801" i="9"/>
  <c r="J802" i="9"/>
  <c r="J803" i="9"/>
  <c r="J804" i="9"/>
  <c r="J805" i="9"/>
  <c r="J806" i="9"/>
  <c r="J807" i="9"/>
  <c r="J808" i="9"/>
  <c r="J809" i="9"/>
  <c r="J810" i="9"/>
  <c r="J811" i="9"/>
  <c r="J812" i="9"/>
  <c r="J813" i="9"/>
  <c r="J814" i="9"/>
  <c r="J815" i="9"/>
  <c r="J816" i="9"/>
  <c r="J817" i="9"/>
  <c r="J818" i="9"/>
  <c r="J819" i="9"/>
  <c r="J820" i="9"/>
  <c r="J821" i="9"/>
  <c r="J822" i="9"/>
  <c r="J823" i="9"/>
  <c r="J824" i="9"/>
  <c r="J825" i="9"/>
  <c r="J826" i="9"/>
  <c r="J827" i="9"/>
  <c r="J828" i="9"/>
  <c r="J829" i="9"/>
  <c r="J830" i="9"/>
  <c r="J831" i="9"/>
  <c r="J832" i="9"/>
  <c r="J833" i="9"/>
  <c r="J834" i="9"/>
  <c r="J835" i="9"/>
  <c r="J836" i="9"/>
  <c r="J837" i="9"/>
  <c r="J838" i="9"/>
  <c r="J839" i="9"/>
  <c r="J840" i="9"/>
  <c r="J841" i="9"/>
  <c r="J842" i="9"/>
  <c r="J843" i="9"/>
  <c r="J844" i="9"/>
  <c r="J845" i="9"/>
  <c r="J846" i="9"/>
  <c r="J847" i="9"/>
  <c r="J848" i="9"/>
  <c r="J849" i="9"/>
  <c r="J850" i="9"/>
  <c r="J851" i="9"/>
  <c r="J852" i="9"/>
  <c r="J853" i="9"/>
  <c r="J854" i="9"/>
  <c r="J855" i="9"/>
  <c r="J856" i="9"/>
  <c r="J857" i="9"/>
  <c r="J858" i="9"/>
  <c r="J859" i="9"/>
  <c r="J860" i="9"/>
  <c r="J861" i="9"/>
  <c r="J862" i="9"/>
  <c r="J863" i="9"/>
  <c r="J864" i="9"/>
  <c r="J865" i="9"/>
  <c r="J866" i="9"/>
  <c r="J867" i="9"/>
  <c r="J868" i="9"/>
  <c r="J869" i="9"/>
  <c r="J870" i="9"/>
  <c r="J871" i="9"/>
  <c r="J872" i="9"/>
  <c r="J873" i="9"/>
  <c r="J874" i="9"/>
  <c r="J875" i="9"/>
  <c r="J876" i="9"/>
  <c r="J877" i="9"/>
  <c r="J878" i="9"/>
  <c r="J879" i="9"/>
  <c r="J880" i="9"/>
  <c r="J881" i="9"/>
  <c r="J882" i="9"/>
  <c r="J883" i="9"/>
  <c r="J884" i="9"/>
  <c r="J885" i="9"/>
  <c r="J886" i="9"/>
  <c r="J887" i="9"/>
  <c r="J888" i="9"/>
  <c r="J889" i="9"/>
  <c r="J890" i="9"/>
  <c r="J891" i="9"/>
  <c r="J892" i="9"/>
  <c r="J893" i="9"/>
  <c r="J41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301" i="9"/>
  <c r="G302" i="9"/>
  <c r="G303" i="9"/>
  <c r="G304" i="9"/>
  <c r="G305" i="9"/>
  <c r="G306" i="9"/>
  <c r="G307" i="9"/>
  <c r="G308" i="9"/>
  <c r="G309" i="9"/>
  <c r="G310" i="9"/>
  <c r="G311" i="9"/>
  <c r="G312" i="9"/>
  <c r="G313" i="9"/>
  <c r="G314" i="9"/>
  <c r="G315" i="9"/>
  <c r="G316" i="9"/>
  <c r="G317" i="9"/>
  <c r="G318" i="9"/>
  <c r="G319" i="9"/>
  <c r="G320" i="9"/>
  <c r="G321" i="9"/>
  <c r="G322" i="9"/>
  <c r="G323" i="9"/>
  <c r="G324" i="9"/>
  <c r="G325" i="9"/>
  <c r="G326" i="9"/>
  <c r="G327" i="9"/>
  <c r="G328" i="9"/>
  <c r="G329" i="9"/>
  <c r="G330" i="9"/>
  <c r="G331" i="9"/>
  <c r="G332" i="9"/>
  <c r="G333" i="9"/>
  <c r="G334" i="9"/>
  <c r="G335" i="9"/>
  <c r="G336" i="9"/>
  <c r="G337" i="9"/>
  <c r="G338" i="9"/>
  <c r="G339" i="9"/>
  <c r="G340" i="9"/>
  <c r="G341" i="9"/>
  <c r="G342" i="9"/>
  <c r="G343" i="9"/>
  <c r="G344" i="9"/>
  <c r="G345" i="9"/>
  <c r="G346" i="9"/>
  <c r="G347" i="9"/>
  <c r="G348" i="9"/>
  <c r="G349" i="9"/>
  <c r="G350" i="9"/>
  <c r="G351" i="9"/>
  <c r="G352" i="9"/>
  <c r="G353" i="9"/>
  <c r="G354" i="9"/>
  <c r="G355" i="9"/>
  <c r="G356" i="9"/>
  <c r="G357" i="9"/>
  <c r="G358" i="9"/>
  <c r="G359" i="9"/>
  <c r="G360" i="9"/>
  <c r="G361" i="9"/>
  <c r="G362" i="9"/>
  <c r="G363" i="9"/>
  <c r="G364" i="9"/>
  <c r="G365" i="9"/>
  <c r="G366" i="9"/>
  <c r="G367" i="9"/>
  <c r="G368" i="9"/>
  <c r="G369" i="9"/>
  <c r="G370" i="9"/>
  <c r="G371" i="9"/>
  <c r="G372" i="9"/>
  <c r="G373" i="9"/>
  <c r="G374" i="9"/>
  <c r="G375" i="9"/>
  <c r="G376" i="9"/>
  <c r="G377" i="9"/>
  <c r="G378" i="9"/>
  <c r="G379" i="9"/>
  <c r="G380" i="9"/>
  <c r="G381" i="9"/>
  <c r="G382" i="9"/>
  <c r="G383" i="9"/>
  <c r="G384" i="9"/>
  <c r="G385" i="9"/>
  <c r="G386" i="9"/>
  <c r="G387" i="9"/>
  <c r="G388" i="9"/>
  <c r="G389" i="9"/>
  <c r="G390" i="9"/>
  <c r="G391" i="9"/>
  <c r="G392" i="9"/>
  <c r="G393" i="9"/>
  <c r="G394" i="9"/>
  <c r="G395" i="9"/>
  <c r="G396" i="9"/>
  <c r="G397" i="9"/>
  <c r="G398" i="9"/>
  <c r="G399" i="9"/>
  <c r="G400" i="9"/>
  <c r="G401" i="9"/>
  <c r="G402" i="9"/>
  <c r="G403" i="9"/>
  <c r="G404" i="9"/>
  <c r="G405" i="9"/>
  <c r="G406" i="9"/>
  <c r="G407" i="9"/>
  <c r="G408" i="9"/>
  <c r="G409" i="9"/>
  <c r="G410" i="9"/>
  <c r="G411" i="9"/>
  <c r="G412" i="9"/>
  <c r="G413" i="9"/>
  <c r="G414" i="9"/>
  <c r="G415" i="9"/>
  <c r="G416" i="9"/>
  <c r="G417" i="9"/>
  <c r="G418" i="9"/>
  <c r="G419" i="9"/>
  <c r="G420" i="9"/>
  <c r="G421" i="9"/>
  <c r="G422" i="9"/>
  <c r="G423" i="9"/>
  <c r="G424" i="9"/>
  <c r="G425" i="9"/>
  <c r="G426" i="9"/>
  <c r="G427" i="9"/>
  <c r="G428" i="9"/>
  <c r="G429" i="9"/>
  <c r="G430" i="9"/>
  <c r="G431" i="9"/>
  <c r="G432" i="9"/>
  <c r="G433" i="9"/>
  <c r="G434" i="9"/>
  <c r="G435" i="9"/>
  <c r="G436" i="9"/>
  <c r="G437" i="9"/>
  <c r="G438" i="9"/>
  <c r="G439" i="9"/>
  <c r="G440" i="9"/>
  <c r="G441" i="9"/>
  <c r="G442" i="9"/>
  <c r="G443" i="9"/>
  <c r="G444" i="9"/>
  <c r="G445" i="9"/>
  <c r="G446" i="9"/>
  <c r="G447" i="9"/>
  <c r="G448" i="9"/>
  <c r="G449" i="9"/>
  <c r="G450" i="9"/>
  <c r="G451" i="9"/>
  <c r="G452" i="9"/>
  <c r="G453" i="9"/>
  <c r="G454" i="9"/>
  <c r="G455" i="9"/>
  <c r="G456" i="9"/>
  <c r="G457" i="9"/>
  <c r="G458" i="9"/>
  <c r="G459" i="9"/>
  <c r="G460" i="9"/>
  <c r="G461" i="9"/>
  <c r="G462" i="9"/>
  <c r="G463" i="9"/>
  <c r="G464" i="9"/>
  <c r="G465" i="9"/>
  <c r="G466" i="9"/>
  <c r="G467" i="9"/>
  <c r="G468" i="9"/>
  <c r="G469" i="9"/>
  <c r="G470" i="9"/>
  <c r="G471" i="9"/>
  <c r="G472" i="9"/>
  <c r="G473" i="9"/>
  <c r="G474" i="9"/>
  <c r="G475" i="9"/>
  <c r="G476" i="9"/>
  <c r="G477" i="9"/>
  <c r="G478" i="9"/>
  <c r="G479" i="9"/>
  <c r="G480" i="9"/>
  <c r="G481" i="9"/>
  <c r="G482" i="9"/>
  <c r="G483" i="9"/>
  <c r="G484" i="9"/>
  <c r="G485" i="9"/>
  <c r="G486" i="9"/>
  <c r="G487" i="9"/>
  <c r="G488" i="9"/>
  <c r="G489" i="9"/>
  <c r="G490" i="9"/>
  <c r="G491" i="9"/>
  <c r="G492" i="9"/>
  <c r="G493" i="9"/>
  <c r="G494" i="9"/>
  <c r="G495" i="9"/>
  <c r="G496" i="9"/>
  <c r="G497" i="9"/>
  <c r="G498" i="9"/>
  <c r="G499" i="9"/>
  <c r="G500" i="9"/>
  <c r="G501" i="9"/>
  <c r="G502" i="9"/>
  <c r="G503" i="9"/>
  <c r="G504" i="9"/>
  <c r="G505" i="9"/>
  <c r="G506" i="9"/>
  <c r="G507" i="9"/>
  <c r="G508" i="9"/>
  <c r="G509" i="9"/>
  <c r="G510" i="9"/>
  <c r="G511" i="9"/>
  <c r="G512" i="9"/>
  <c r="G513" i="9"/>
  <c r="G514" i="9"/>
  <c r="G515" i="9"/>
  <c r="G516" i="9"/>
  <c r="G517" i="9"/>
  <c r="G518" i="9"/>
  <c r="G519" i="9"/>
  <c r="G520" i="9"/>
  <c r="G521" i="9"/>
  <c r="G522" i="9"/>
  <c r="G523" i="9"/>
  <c r="G524" i="9"/>
  <c r="G525" i="9"/>
  <c r="G526" i="9"/>
  <c r="G527" i="9"/>
  <c r="G528" i="9"/>
  <c r="G529" i="9"/>
  <c r="G530" i="9"/>
  <c r="G531" i="9"/>
  <c r="G532" i="9"/>
  <c r="G533" i="9"/>
  <c r="G534" i="9"/>
  <c r="G535" i="9"/>
  <c r="G536" i="9"/>
  <c r="G537" i="9"/>
  <c r="G538" i="9"/>
  <c r="G539" i="9"/>
  <c r="G540" i="9"/>
  <c r="G541" i="9"/>
  <c r="G542" i="9"/>
  <c r="G543" i="9"/>
  <c r="G544" i="9"/>
  <c r="G545" i="9"/>
  <c r="G546" i="9"/>
  <c r="G547" i="9"/>
  <c r="G548" i="9"/>
  <c r="G549" i="9"/>
  <c r="G550" i="9"/>
  <c r="G551" i="9"/>
  <c r="G552" i="9"/>
  <c r="G553" i="9"/>
  <c r="G554" i="9"/>
  <c r="G555" i="9"/>
  <c r="G556" i="9"/>
  <c r="G557" i="9"/>
  <c r="G558" i="9"/>
  <c r="G559" i="9"/>
  <c r="G560" i="9"/>
  <c r="G561" i="9"/>
  <c r="G562" i="9"/>
  <c r="G563" i="9"/>
  <c r="G564" i="9"/>
  <c r="G565" i="9"/>
  <c r="G566" i="9"/>
  <c r="G567" i="9"/>
  <c r="G568" i="9"/>
  <c r="G569" i="9"/>
  <c r="G570" i="9"/>
  <c r="G571" i="9"/>
  <c r="G572" i="9"/>
  <c r="G573" i="9"/>
  <c r="G574" i="9"/>
  <c r="G575" i="9"/>
  <c r="G576" i="9"/>
  <c r="G577" i="9"/>
  <c r="G578" i="9"/>
  <c r="G579" i="9"/>
  <c r="G580" i="9"/>
  <c r="G581" i="9"/>
  <c r="G582" i="9"/>
  <c r="G583" i="9"/>
  <c r="G584" i="9"/>
  <c r="G585" i="9"/>
  <c r="G586" i="9"/>
  <c r="G587" i="9"/>
  <c r="G588" i="9"/>
  <c r="G589" i="9"/>
  <c r="G590" i="9"/>
  <c r="G591" i="9"/>
  <c r="G592" i="9"/>
  <c r="G593" i="9"/>
  <c r="G594" i="9"/>
  <c r="G595" i="9"/>
  <c r="G596" i="9"/>
  <c r="G597" i="9"/>
  <c r="G598" i="9"/>
  <c r="G599" i="9"/>
  <c r="G600" i="9"/>
  <c r="G601" i="9"/>
  <c r="G602" i="9"/>
  <c r="G603" i="9"/>
  <c r="G604" i="9"/>
  <c r="G605" i="9"/>
  <c r="G606" i="9"/>
  <c r="G607" i="9"/>
  <c r="G608" i="9"/>
  <c r="G609" i="9"/>
  <c r="G610" i="9"/>
  <c r="G611" i="9"/>
  <c r="G612" i="9"/>
  <c r="G613" i="9"/>
  <c r="G614" i="9"/>
  <c r="G615" i="9"/>
  <c r="G616" i="9"/>
  <c r="G617" i="9"/>
  <c r="G618" i="9"/>
  <c r="G619" i="9"/>
  <c r="G620" i="9"/>
  <c r="G621" i="9"/>
  <c r="G622" i="9"/>
  <c r="G623" i="9"/>
  <c r="G624" i="9"/>
  <c r="G625" i="9"/>
  <c r="G626" i="9"/>
  <c r="G627" i="9"/>
  <c r="G628" i="9"/>
  <c r="G629" i="9"/>
  <c r="G630" i="9"/>
  <c r="G631" i="9"/>
  <c r="G632" i="9"/>
  <c r="G633" i="9"/>
  <c r="G634" i="9"/>
  <c r="G635" i="9"/>
  <c r="G636" i="9"/>
  <c r="G637" i="9"/>
  <c r="G638" i="9"/>
  <c r="G639" i="9"/>
  <c r="G640" i="9"/>
  <c r="G641" i="9"/>
  <c r="G642" i="9"/>
  <c r="G643" i="9"/>
  <c r="G644" i="9"/>
  <c r="G645" i="9"/>
  <c r="G646" i="9"/>
  <c r="G647" i="9"/>
  <c r="G648" i="9"/>
  <c r="G649" i="9"/>
  <c r="G650" i="9"/>
  <c r="G651" i="9"/>
  <c r="G652" i="9"/>
  <c r="G653" i="9"/>
  <c r="G654" i="9"/>
  <c r="G655" i="9"/>
  <c r="G656" i="9"/>
  <c r="G657" i="9"/>
  <c r="G658" i="9"/>
  <c r="G659" i="9"/>
  <c r="G660" i="9"/>
  <c r="G661" i="9"/>
  <c r="G662" i="9"/>
  <c r="G663" i="9"/>
  <c r="G664" i="9"/>
  <c r="G665" i="9"/>
  <c r="G666" i="9"/>
  <c r="G667" i="9"/>
  <c r="G668" i="9"/>
  <c r="G669" i="9"/>
  <c r="G670" i="9"/>
  <c r="G671" i="9"/>
  <c r="G672" i="9"/>
  <c r="G673" i="9"/>
  <c r="G674" i="9"/>
  <c r="G675" i="9"/>
  <c r="G676" i="9"/>
  <c r="G677" i="9"/>
  <c r="G678" i="9"/>
  <c r="G679" i="9"/>
  <c r="G680" i="9"/>
  <c r="G681" i="9"/>
  <c r="G682" i="9"/>
  <c r="G683" i="9"/>
  <c r="G684" i="9"/>
  <c r="G685" i="9"/>
  <c r="G686" i="9"/>
  <c r="G687" i="9"/>
  <c r="G688" i="9"/>
  <c r="G689" i="9"/>
  <c r="G690" i="9"/>
  <c r="G691" i="9"/>
  <c r="G692" i="9"/>
  <c r="G693" i="9"/>
  <c r="G694" i="9"/>
  <c r="G695" i="9"/>
  <c r="G696" i="9"/>
  <c r="G697" i="9"/>
  <c r="G698" i="9"/>
  <c r="G699" i="9"/>
  <c r="G700" i="9"/>
  <c r="G701" i="9"/>
  <c r="G702" i="9"/>
  <c r="G703" i="9"/>
  <c r="G704" i="9"/>
  <c r="G705" i="9"/>
  <c r="G706" i="9"/>
  <c r="G707" i="9"/>
  <c r="G708" i="9"/>
  <c r="G709" i="9"/>
  <c r="G710" i="9"/>
  <c r="G711" i="9"/>
  <c r="G712" i="9"/>
  <c r="G713" i="9"/>
  <c r="G714" i="9"/>
  <c r="G715" i="9"/>
  <c r="G716" i="9"/>
  <c r="G717" i="9"/>
  <c r="G718" i="9"/>
  <c r="G719" i="9"/>
  <c r="G720" i="9"/>
  <c r="G721" i="9"/>
  <c r="G722" i="9"/>
  <c r="G723" i="9"/>
  <c r="G724" i="9"/>
  <c r="G725" i="9"/>
  <c r="G726" i="9"/>
  <c r="G727" i="9"/>
  <c r="G728" i="9"/>
  <c r="G729" i="9"/>
  <c r="G730" i="9"/>
  <c r="G731" i="9"/>
  <c r="G732" i="9"/>
  <c r="G733" i="9"/>
  <c r="G734" i="9"/>
  <c r="G735" i="9"/>
  <c r="G736" i="9"/>
  <c r="G737" i="9"/>
  <c r="G738" i="9"/>
  <c r="G739" i="9"/>
  <c r="G740" i="9"/>
  <c r="G741" i="9"/>
  <c r="G742" i="9"/>
  <c r="G743" i="9"/>
  <c r="G744" i="9"/>
  <c r="G745" i="9"/>
  <c r="G746" i="9"/>
  <c r="G747" i="9"/>
  <c r="G748" i="9"/>
  <c r="G749" i="9"/>
  <c r="G750" i="9"/>
  <c r="G751" i="9"/>
  <c r="G752" i="9"/>
  <c r="G753" i="9"/>
  <c r="G754" i="9"/>
  <c r="G755" i="9"/>
  <c r="G756" i="9"/>
  <c r="G757" i="9"/>
  <c r="G758" i="9"/>
  <c r="G759" i="9"/>
  <c r="G760" i="9"/>
  <c r="G761" i="9"/>
  <c r="G762" i="9"/>
  <c r="G763" i="9"/>
  <c r="G764" i="9"/>
  <c r="G765" i="9"/>
  <c r="G766" i="9"/>
  <c r="G767" i="9"/>
  <c r="G768" i="9"/>
  <c r="G769" i="9"/>
  <c r="G770" i="9"/>
  <c r="G771" i="9"/>
  <c r="G772" i="9"/>
  <c r="G773" i="9"/>
  <c r="G774" i="9"/>
  <c r="G775" i="9"/>
  <c r="G776" i="9"/>
  <c r="G777" i="9"/>
  <c r="G778" i="9"/>
  <c r="G779" i="9"/>
  <c r="G780" i="9"/>
  <c r="G781" i="9"/>
  <c r="G782" i="9"/>
  <c r="G783" i="9"/>
  <c r="G784" i="9"/>
  <c r="G785" i="9"/>
  <c r="G786" i="9"/>
  <c r="G787" i="9"/>
  <c r="G788" i="9"/>
  <c r="G789" i="9"/>
  <c r="G790" i="9"/>
  <c r="G791" i="9"/>
  <c r="G792" i="9"/>
  <c r="G793" i="9"/>
  <c r="G794" i="9"/>
  <c r="G795" i="9"/>
  <c r="G796" i="9"/>
  <c r="G797" i="9"/>
  <c r="G798" i="9"/>
  <c r="G799" i="9"/>
  <c r="G800" i="9"/>
  <c r="G801" i="9"/>
  <c r="G802" i="9"/>
  <c r="G803" i="9"/>
  <c r="G804" i="9"/>
  <c r="G805" i="9"/>
  <c r="G806" i="9"/>
  <c r="G807" i="9"/>
  <c r="G808" i="9"/>
  <c r="G809" i="9"/>
  <c r="G810" i="9"/>
  <c r="G811" i="9"/>
  <c r="G812" i="9"/>
  <c r="G813" i="9"/>
  <c r="G814" i="9"/>
  <c r="G815" i="9"/>
  <c r="G816" i="9"/>
  <c r="G817" i="9"/>
  <c r="G818" i="9"/>
  <c r="G819" i="9"/>
  <c r="G820" i="9"/>
  <c r="G821" i="9"/>
  <c r="G822" i="9"/>
  <c r="G823" i="9"/>
  <c r="G824" i="9"/>
  <c r="G825" i="9"/>
  <c r="G826" i="9"/>
  <c r="G827" i="9"/>
  <c r="G828" i="9"/>
  <c r="G829" i="9"/>
  <c r="G830" i="9"/>
  <c r="G831" i="9"/>
  <c r="G832" i="9"/>
  <c r="G833" i="9"/>
  <c r="G834" i="9"/>
  <c r="G835" i="9"/>
  <c r="G836" i="9"/>
  <c r="G837" i="9"/>
  <c r="G838" i="9"/>
  <c r="G839" i="9"/>
  <c r="G840" i="9"/>
  <c r="G841" i="9"/>
  <c r="G842" i="9"/>
  <c r="G843" i="9"/>
  <c r="G844" i="9"/>
  <c r="G845" i="9"/>
  <c r="G846" i="9"/>
  <c r="G847" i="9"/>
  <c r="G848" i="9"/>
  <c r="G849" i="9"/>
  <c r="G850" i="9"/>
  <c r="G851" i="9"/>
  <c r="G852" i="9"/>
  <c r="G853" i="9"/>
  <c r="G854" i="9"/>
  <c r="G855" i="9"/>
  <c r="G856" i="9"/>
  <c r="G857" i="9"/>
  <c r="G858" i="9"/>
  <c r="G859" i="9"/>
  <c r="G860" i="9"/>
  <c r="G861" i="9"/>
  <c r="G862" i="9"/>
  <c r="G863" i="9"/>
  <c r="G864" i="9"/>
  <c r="G865" i="9"/>
  <c r="G866" i="9"/>
  <c r="G867" i="9"/>
  <c r="G868" i="9"/>
  <c r="G869" i="9"/>
  <c r="G870" i="9"/>
  <c r="G871" i="9"/>
  <c r="G872" i="9"/>
  <c r="G873" i="9"/>
  <c r="G874" i="9"/>
  <c r="G875" i="9"/>
  <c r="G876" i="9"/>
  <c r="G877" i="9"/>
  <c r="G878" i="9"/>
  <c r="G879" i="9"/>
  <c r="G880" i="9"/>
  <c r="G881" i="9"/>
  <c r="G882" i="9"/>
  <c r="G883" i="9"/>
  <c r="G884" i="9"/>
  <c r="G885" i="9"/>
  <c r="G886" i="9"/>
  <c r="G887" i="9"/>
  <c r="G888" i="9"/>
  <c r="G889" i="9"/>
  <c r="G890" i="9"/>
  <c r="G891" i="9"/>
  <c r="G892" i="9"/>
  <c r="G893" i="9"/>
  <c r="G3" i="9"/>
  <c r="X4" i="9"/>
  <c r="X5" i="9"/>
  <c r="X6" i="9"/>
  <c r="X7" i="9"/>
  <c r="X8" i="9"/>
  <c r="X9" i="9"/>
  <c r="X10" i="9"/>
  <c r="X11" i="9"/>
  <c r="X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32" i="9"/>
  <c r="X33" i="9"/>
  <c r="X34" i="9"/>
  <c r="X35" i="9"/>
  <c r="X36" i="9"/>
  <c r="X37" i="9"/>
  <c r="X38" i="9"/>
  <c r="X39" i="9"/>
  <c r="X40" i="9"/>
  <c r="X41" i="9"/>
  <c r="AC41" i="9" s="1"/>
  <c r="X42" i="9"/>
  <c r="X43" i="9"/>
  <c r="X44" i="9"/>
  <c r="X45" i="9"/>
  <c r="X46" i="9"/>
  <c r="X47" i="9"/>
  <c r="X48" i="9"/>
  <c r="X49" i="9"/>
  <c r="X50" i="9"/>
  <c r="X51" i="9"/>
  <c r="X52" i="9"/>
  <c r="X53" i="9"/>
  <c r="X54" i="9"/>
  <c r="X55" i="9"/>
  <c r="X56" i="9"/>
  <c r="X57" i="9"/>
  <c r="X58" i="9"/>
  <c r="X59" i="9"/>
  <c r="X60" i="9"/>
  <c r="X61" i="9"/>
  <c r="X62" i="9"/>
  <c r="X63" i="9"/>
  <c r="X64" i="9"/>
  <c r="X65" i="9"/>
  <c r="X66" i="9"/>
  <c r="X67" i="9"/>
  <c r="X68" i="9"/>
  <c r="X69" i="9"/>
  <c r="X70" i="9"/>
  <c r="X71" i="9"/>
  <c r="X72" i="9"/>
  <c r="X73" i="9"/>
  <c r="X74" i="9"/>
  <c r="X75" i="9"/>
  <c r="X76" i="9"/>
  <c r="X77" i="9"/>
  <c r="X78" i="9"/>
  <c r="X79" i="9"/>
  <c r="X80" i="9"/>
  <c r="X81" i="9"/>
  <c r="X82" i="9"/>
  <c r="X83" i="9"/>
  <c r="X84" i="9"/>
  <c r="X85" i="9"/>
  <c r="X86" i="9"/>
  <c r="X87" i="9"/>
  <c r="X88" i="9"/>
  <c r="X89" i="9"/>
  <c r="X90" i="9"/>
  <c r="X91" i="9"/>
  <c r="X92" i="9"/>
  <c r="X93" i="9"/>
  <c r="X94" i="9"/>
  <c r="X95" i="9"/>
  <c r="X96" i="9"/>
  <c r="X97" i="9"/>
  <c r="X98" i="9"/>
  <c r="X99" i="9"/>
  <c r="X100" i="9"/>
  <c r="X101" i="9"/>
  <c r="X102" i="9"/>
  <c r="X103" i="9"/>
  <c r="X104" i="9"/>
  <c r="X105" i="9"/>
  <c r="X106" i="9"/>
  <c r="X107" i="9"/>
  <c r="X108" i="9"/>
  <c r="X109" i="9"/>
  <c r="X110" i="9"/>
  <c r="X111" i="9"/>
  <c r="X112" i="9"/>
  <c r="X113" i="9"/>
  <c r="X114" i="9"/>
  <c r="X115" i="9"/>
  <c r="X116" i="9"/>
  <c r="X117" i="9"/>
  <c r="X118" i="9"/>
  <c r="X119" i="9"/>
  <c r="X120" i="9"/>
  <c r="X121" i="9"/>
  <c r="X122" i="9"/>
  <c r="X123" i="9"/>
  <c r="X124" i="9"/>
  <c r="X125" i="9"/>
  <c r="X126" i="9"/>
  <c r="X127" i="9"/>
  <c r="X128" i="9"/>
  <c r="X129" i="9"/>
  <c r="X130" i="9"/>
  <c r="X131" i="9"/>
  <c r="X132" i="9"/>
  <c r="X133" i="9"/>
  <c r="X134" i="9"/>
  <c r="X135" i="9"/>
  <c r="X136" i="9"/>
  <c r="X137" i="9"/>
  <c r="X138" i="9"/>
  <c r="X139" i="9"/>
  <c r="X140" i="9"/>
  <c r="X141" i="9"/>
  <c r="X142" i="9"/>
  <c r="X143" i="9"/>
  <c r="X144" i="9"/>
  <c r="X145" i="9"/>
  <c r="X146" i="9"/>
  <c r="X147" i="9"/>
  <c r="X148" i="9"/>
  <c r="X149" i="9"/>
  <c r="X150" i="9"/>
  <c r="X151" i="9"/>
  <c r="X152" i="9"/>
  <c r="X153" i="9"/>
  <c r="X154" i="9"/>
  <c r="X155" i="9"/>
  <c r="X156" i="9"/>
  <c r="X157" i="9"/>
  <c r="X158" i="9"/>
  <c r="X159" i="9"/>
  <c r="X160" i="9"/>
  <c r="X161" i="9"/>
  <c r="X162" i="9"/>
  <c r="X163" i="9"/>
  <c r="X164" i="9"/>
  <c r="X165" i="9"/>
  <c r="X166" i="9"/>
  <c r="X167" i="9"/>
  <c r="X168" i="9"/>
  <c r="X169" i="9"/>
  <c r="X170" i="9"/>
  <c r="X171" i="9"/>
  <c r="X172" i="9"/>
  <c r="X173" i="9"/>
  <c r="X174" i="9"/>
  <c r="X175" i="9"/>
  <c r="X176" i="9"/>
  <c r="X177" i="9"/>
  <c r="X178" i="9"/>
  <c r="X179" i="9"/>
  <c r="X180" i="9"/>
  <c r="X181" i="9"/>
  <c r="X182" i="9"/>
  <c r="X183" i="9"/>
  <c r="X184" i="9"/>
  <c r="X185" i="9"/>
  <c r="X186" i="9"/>
  <c r="X187" i="9"/>
  <c r="X188" i="9"/>
  <c r="X189" i="9"/>
  <c r="X190" i="9"/>
  <c r="X191" i="9"/>
  <c r="X192" i="9"/>
  <c r="X193" i="9"/>
  <c r="X194" i="9"/>
  <c r="X195" i="9"/>
  <c r="X196" i="9"/>
  <c r="X197" i="9"/>
  <c r="X198" i="9"/>
  <c r="X199" i="9"/>
  <c r="X200" i="9"/>
  <c r="X201" i="9"/>
  <c r="X202" i="9"/>
  <c r="X203" i="9"/>
  <c r="X204" i="9"/>
  <c r="X205" i="9"/>
  <c r="X206" i="9"/>
  <c r="X207" i="9"/>
  <c r="X208" i="9"/>
  <c r="X209" i="9"/>
  <c r="X210" i="9"/>
  <c r="X211" i="9"/>
  <c r="X212" i="9"/>
  <c r="X213" i="9"/>
  <c r="X214" i="9"/>
  <c r="X215" i="9"/>
  <c r="X216" i="9"/>
  <c r="X217" i="9"/>
  <c r="X218" i="9"/>
  <c r="X219" i="9"/>
  <c r="X220" i="9"/>
  <c r="X221" i="9"/>
  <c r="X222" i="9"/>
  <c r="X223" i="9"/>
  <c r="X224" i="9"/>
  <c r="X225" i="9"/>
  <c r="X226" i="9"/>
  <c r="X227" i="9"/>
  <c r="X228" i="9"/>
  <c r="X229" i="9"/>
  <c r="X230" i="9"/>
  <c r="X231" i="9"/>
  <c r="X232" i="9"/>
  <c r="X233" i="9"/>
  <c r="X234" i="9"/>
  <c r="X235" i="9"/>
  <c r="X236" i="9"/>
  <c r="X237" i="9"/>
  <c r="X238" i="9"/>
  <c r="X239" i="9"/>
  <c r="X240" i="9"/>
  <c r="X241" i="9"/>
  <c r="X242" i="9"/>
  <c r="X243" i="9"/>
  <c r="X244" i="9"/>
  <c r="X245" i="9"/>
  <c r="X246" i="9"/>
  <c r="X247" i="9"/>
  <c r="X248" i="9"/>
  <c r="X249" i="9"/>
  <c r="X250" i="9"/>
  <c r="X251" i="9"/>
  <c r="X252" i="9"/>
  <c r="X253" i="9"/>
  <c r="X254" i="9"/>
  <c r="X255" i="9"/>
  <c r="X256" i="9"/>
  <c r="X257" i="9"/>
  <c r="X258" i="9"/>
  <c r="X259" i="9"/>
  <c r="X260" i="9"/>
  <c r="X261" i="9"/>
  <c r="X262" i="9"/>
  <c r="X263" i="9"/>
  <c r="X264" i="9"/>
  <c r="X265" i="9"/>
  <c r="X266" i="9"/>
  <c r="X267" i="9"/>
  <c r="X268" i="9"/>
  <c r="X269" i="9"/>
  <c r="X270" i="9"/>
  <c r="X271" i="9"/>
  <c r="X272" i="9"/>
  <c r="X273" i="9"/>
  <c r="X274" i="9"/>
  <c r="X275" i="9"/>
  <c r="X276" i="9"/>
  <c r="X277" i="9"/>
  <c r="X278" i="9"/>
  <c r="X279" i="9"/>
  <c r="X280" i="9"/>
  <c r="X281" i="9"/>
  <c r="X282" i="9"/>
  <c r="X283" i="9"/>
  <c r="X284" i="9"/>
  <c r="X285" i="9"/>
  <c r="X286" i="9"/>
  <c r="X287" i="9"/>
  <c r="X288" i="9"/>
  <c r="X289" i="9"/>
  <c r="X290" i="9"/>
  <c r="X291" i="9"/>
  <c r="X292" i="9"/>
  <c r="X293" i="9"/>
  <c r="X294" i="9"/>
  <c r="X295" i="9"/>
  <c r="X296" i="9"/>
  <c r="X297" i="9"/>
  <c r="X298" i="9"/>
  <c r="X299" i="9"/>
  <c r="X300" i="9"/>
  <c r="X301" i="9"/>
  <c r="X302" i="9"/>
  <c r="X303" i="9"/>
  <c r="X304" i="9"/>
  <c r="X305" i="9"/>
  <c r="X306" i="9"/>
  <c r="X307" i="9"/>
  <c r="X308" i="9"/>
  <c r="X309" i="9"/>
  <c r="X310" i="9"/>
  <c r="X311" i="9"/>
  <c r="X312" i="9"/>
  <c r="X313" i="9"/>
  <c r="X314" i="9"/>
  <c r="X315" i="9"/>
  <c r="X316" i="9"/>
  <c r="X317" i="9"/>
  <c r="X318" i="9"/>
  <c r="X319" i="9"/>
  <c r="X320" i="9"/>
  <c r="X321" i="9"/>
  <c r="X322" i="9"/>
  <c r="X323" i="9"/>
  <c r="X324" i="9"/>
  <c r="X325" i="9"/>
  <c r="X326" i="9"/>
  <c r="X327" i="9"/>
  <c r="X328" i="9"/>
  <c r="X329" i="9"/>
  <c r="X330" i="9"/>
  <c r="X331" i="9"/>
  <c r="X332" i="9"/>
  <c r="X333" i="9"/>
  <c r="X334" i="9"/>
  <c r="X335" i="9"/>
  <c r="X336" i="9"/>
  <c r="X337" i="9"/>
  <c r="X338" i="9"/>
  <c r="X339" i="9"/>
  <c r="X340" i="9"/>
  <c r="X341" i="9"/>
  <c r="X342" i="9"/>
  <c r="X343" i="9"/>
  <c r="X344" i="9"/>
  <c r="X345" i="9"/>
  <c r="X346" i="9"/>
  <c r="X347" i="9"/>
  <c r="X348" i="9"/>
  <c r="X349" i="9"/>
  <c r="X350" i="9"/>
  <c r="X351" i="9"/>
  <c r="X352" i="9"/>
  <c r="X353" i="9"/>
  <c r="X354" i="9"/>
  <c r="X355" i="9"/>
  <c r="X356" i="9"/>
  <c r="X357" i="9"/>
  <c r="X358" i="9"/>
  <c r="X359" i="9"/>
  <c r="X360" i="9"/>
  <c r="X361" i="9"/>
  <c r="X362" i="9"/>
  <c r="X363" i="9"/>
  <c r="X364" i="9"/>
  <c r="X365" i="9"/>
  <c r="X366" i="9"/>
  <c r="X367" i="9"/>
  <c r="X368" i="9"/>
  <c r="X369" i="9"/>
  <c r="X370" i="9"/>
  <c r="X371" i="9"/>
  <c r="X372" i="9"/>
  <c r="X373" i="9"/>
  <c r="X374" i="9"/>
  <c r="X375" i="9"/>
  <c r="X376" i="9"/>
  <c r="X377" i="9"/>
  <c r="X378" i="9"/>
  <c r="X379" i="9"/>
  <c r="X380" i="9"/>
  <c r="X381" i="9"/>
  <c r="X382" i="9"/>
  <c r="X383" i="9"/>
  <c r="X384" i="9"/>
  <c r="X385" i="9"/>
  <c r="X386" i="9"/>
  <c r="X387" i="9"/>
  <c r="X388" i="9"/>
  <c r="X389" i="9"/>
  <c r="X390" i="9"/>
  <c r="X391" i="9"/>
  <c r="X392" i="9"/>
  <c r="X393" i="9"/>
  <c r="X394" i="9"/>
  <c r="X395" i="9"/>
  <c r="X396" i="9"/>
  <c r="X397" i="9"/>
  <c r="X398" i="9"/>
  <c r="X399" i="9"/>
  <c r="X400" i="9"/>
  <c r="X401" i="9"/>
  <c r="X402" i="9"/>
  <c r="X403" i="9"/>
  <c r="X404" i="9"/>
  <c r="X405" i="9"/>
  <c r="X406" i="9"/>
  <c r="X407" i="9"/>
  <c r="X408" i="9"/>
  <c r="X409" i="9"/>
  <c r="X410" i="9"/>
  <c r="X411" i="9"/>
  <c r="X412" i="9"/>
  <c r="X413" i="9"/>
  <c r="X414" i="9"/>
  <c r="X415" i="9"/>
  <c r="X416" i="9"/>
  <c r="X417" i="9"/>
  <c r="X418" i="9"/>
  <c r="X419" i="9"/>
  <c r="X420" i="9"/>
  <c r="X421" i="9"/>
  <c r="X422" i="9"/>
  <c r="X423" i="9"/>
  <c r="X424" i="9"/>
  <c r="X425" i="9"/>
  <c r="X426" i="9"/>
  <c r="X427" i="9"/>
  <c r="X428" i="9"/>
  <c r="X429" i="9"/>
  <c r="X430" i="9"/>
  <c r="X431" i="9"/>
  <c r="X432" i="9"/>
  <c r="X433" i="9"/>
  <c r="X434" i="9"/>
  <c r="X435" i="9"/>
  <c r="X436" i="9"/>
  <c r="X437" i="9"/>
  <c r="X438" i="9"/>
  <c r="X439" i="9"/>
  <c r="X440" i="9"/>
  <c r="X441" i="9"/>
  <c r="X442" i="9"/>
  <c r="X443" i="9"/>
  <c r="X444" i="9"/>
  <c r="X445" i="9"/>
  <c r="X446" i="9"/>
  <c r="X447" i="9"/>
  <c r="X448" i="9"/>
  <c r="X449" i="9"/>
  <c r="X450" i="9"/>
  <c r="X451" i="9"/>
  <c r="X452" i="9"/>
  <c r="X453" i="9"/>
  <c r="X454" i="9"/>
  <c r="X455" i="9"/>
  <c r="X456" i="9"/>
  <c r="X457" i="9"/>
  <c r="X458" i="9"/>
  <c r="X459" i="9"/>
  <c r="X460" i="9"/>
  <c r="X461" i="9"/>
  <c r="X462" i="9"/>
  <c r="X463" i="9"/>
  <c r="X464" i="9"/>
  <c r="X465" i="9"/>
  <c r="X466" i="9"/>
  <c r="X467" i="9"/>
  <c r="X468" i="9"/>
  <c r="X469" i="9"/>
  <c r="X470" i="9"/>
  <c r="X471" i="9"/>
  <c r="X472" i="9"/>
  <c r="X473" i="9"/>
  <c r="X474" i="9"/>
  <c r="X475" i="9"/>
  <c r="X476" i="9"/>
  <c r="X477" i="9"/>
  <c r="X478" i="9"/>
  <c r="X479" i="9"/>
  <c r="X480" i="9"/>
  <c r="X481" i="9"/>
  <c r="X482" i="9"/>
  <c r="X483" i="9"/>
  <c r="X484" i="9"/>
  <c r="X485" i="9"/>
  <c r="X486" i="9"/>
  <c r="X487" i="9"/>
  <c r="X488" i="9"/>
  <c r="X489" i="9"/>
  <c r="X490" i="9"/>
  <c r="X491" i="9"/>
  <c r="X492" i="9"/>
  <c r="X493" i="9"/>
  <c r="X494" i="9"/>
  <c r="X495" i="9"/>
  <c r="X496" i="9"/>
  <c r="X497" i="9"/>
  <c r="X498" i="9"/>
  <c r="X499" i="9"/>
  <c r="X500" i="9"/>
  <c r="X501" i="9"/>
  <c r="X502" i="9"/>
  <c r="X503" i="9"/>
  <c r="X504" i="9"/>
  <c r="X505" i="9"/>
  <c r="X506" i="9"/>
  <c r="X507" i="9"/>
  <c r="X508" i="9"/>
  <c r="X509" i="9"/>
  <c r="X510" i="9"/>
  <c r="X511" i="9"/>
  <c r="X512" i="9"/>
  <c r="X513" i="9"/>
  <c r="X514" i="9"/>
  <c r="X515" i="9"/>
  <c r="X516" i="9"/>
  <c r="X517" i="9"/>
  <c r="X518" i="9"/>
  <c r="X519" i="9"/>
  <c r="X520" i="9"/>
  <c r="X521" i="9"/>
  <c r="X522" i="9"/>
  <c r="X523" i="9"/>
  <c r="X524" i="9"/>
  <c r="X525" i="9"/>
  <c r="X526" i="9"/>
  <c r="X527" i="9"/>
  <c r="X528" i="9"/>
  <c r="X529" i="9"/>
  <c r="X530" i="9"/>
  <c r="X531" i="9"/>
  <c r="X532" i="9"/>
  <c r="X533" i="9"/>
  <c r="X534" i="9"/>
  <c r="X535" i="9"/>
  <c r="X536" i="9"/>
  <c r="X537" i="9"/>
  <c r="X538" i="9"/>
  <c r="X539" i="9"/>
  <c r="X540" i="9"/>
  <c r="X541" i="9"/>
  <c r="X542" i="9"/>
  <c r="X543" i="9"/>
  <c r="X544" i="9"/>
  <c r="X545" i="9"/>
  <c r="X546" i="9"/>
  <c r="X547" i="9"/>
  <c r="X548" i="9"/>
  <c r="X549" i="9"/>
  <c r="X550" i="9"/>
  <c r="X551" i="9"/>
  <c r="X552" i="9"/>
  <c r="X553" i="9"/>
  <c r="X554" i="9"/>
  <c r="X555" i="9"/>
  <c r="X556" i="9"/>
  <c r="X557" i="9"/>
  <c r="X558" i="9"/>
  <c r="X559" i="9"/>
  <c r="X560" i="9"/>
  <c r="X561" i="9"/>
  <c r="X562" i="9"/>
  <c r="X563" i="9"/>
  <c r="X564" i="9"/>
  <c r="X565" i="9"/>
  <c r="X566" i="9"/>
  <c r="X567" i="9"/>
  <c r="X568" i="9"/>
  <c r="X569" i="9"/>
  <c r="X570" i="9"/>
  <c r="X571" i="9"/>
  <c r="X572" i="9"/>
  <c r="X573" i="9"/>
  <c r="X574" i="9"/>
  <c r="X575" i="9"/>
  <c r="X576" i="9"/>
  <c r="X577" i="9"/>
  <c r="X578" i="9"/>
  <c r="X579" i="9"/>
  <c r="X580" i="9"/>
  <c r="X581" i="9"/>
  <c r="X582" i="9"/>
  <c r="X583" i="9"/>
  <c r="X584" i="9"/>
  <c r="X585" i="9"/>
  <c r="X586" i="9"/>
  <c r="X587" i="9"/>
  <c r="X588" i="9"/>
  <c r="X589" i="9"/>
  <c r="X590" i="9"/>
  <c r="X591" i="9"/>
  <c r="X592" i="9"/>
  <c r="X593" i="9"/>
  <c r="X594" i="9"/>
  <c r="X595" i="9"/>
  <c r="X596" i="9"/>
  <c r="X597" i="9"/>
  <c r="X598" i="9"/>
  <c r="X599" i="9"/>
  <c r="X600" i="9"/>
  <c r="X601" i="9"/>
  <c r="X602" i="9"/>
  <c r="X603" i="9"/>
  <c r="X604" i="9"/>
  <c r="X605" i="9"/>
  <c r="X606" i="9"/>
  <c r="X607" i="9"/>
  <c r="X608" i="9"/>
  <c r="X609" i="9"/>
  <c r="X610" i="9"/>
  <c r="X611" i="9"/>
  <c r="X612" i="9"/>
  <c r="X613" i="9"/>
  <c r="X614" i="9"/>
  <c r="X615" i="9"/>
  <c r="X616" i="9"/>
  <c r="X617" i="9"/>
  <c r="X618" i="9"/>
  <c r="X619" i="9"/>
  <c r="X620" i="9"/>
  <c r="X621" i="9"/>
  <c r="X622" i="9"/>
  <c r="X623" i="9"/>
  <c r="X624" i="9"/>
  <c r="X625" i="9"/>
  <c r="X626" i="9"/>
  <c r="X627" i="9"/>
  <c r="X628" i="9"/>
  <c r="X629" i="9"/>
  <c r="X630" i="9"/>
  <c r="X631" i="9"/>
  <c r="X632" i="9"/>
  <c r="X633" i="9"/>
  <c r="X634" i="9"/>
  <c r="X635" i="9"/>
  <c r="X636" i="9"/>
  <c r="X637" i="9"/>
  <c r="X638" i="9"/>
  <c r="X639" i="9"/>
  <c r="X640" i="9"/>
  <c r="X641" i="9"/>
  <c r="X642" i="9"/>
  <c r="X643" i="9"/>
  <c r="X644" i="9"/>
  <c r="X645" i="9"/>
  <c r="X646" i="9"/>
  <c r="X647" i="9"/>
  <c r="X648" i="9"/>
  <c r="X649" i="9"/>
  <c r="X650" i="9"/>
  <c r="X651" i="9"/>
  <c r="X652" i="9"/>
  <c r="X653" i="9"/>
  <c r="X654" i="9"/>
  <c r="X655" i="9"/>
  <c r="X656" i="9"/>
  <c r="X657" i="9"/>
  <c r="X658" i="9"/>
  <c r="X659" i="9"/>
  <c r="X660" i="9"/>
  <c r="X661" i="9"/>
  <c r="X662" i="9"/>
  <c r="X663" i="9"/>
  <c r="X664" i="9"/>
  <c r="X665" i="9"/>
  <c r="X666" i="9"/>
  <c r="X667" i="9"/>
  <c r="X668" i="9"/>
  <c r="X669" i="9"/>
  <c r="X670" i="9"/>
  <c r="X671" i="9"/>
  <c r="X672" i="9"/>
  <c r="X673" i="9"/>
  <c r="X674" i="9"/>
  <c r="X675" i="9"/>
  <c r="X676" i="9"/>
  <c r="X677" i="9"/>
  <c r="X678" i="9"/>
  <c r="X679" i="9"/>
  <c r="X680" i="9"/>
  <c r="X681" i="9"/>
  <c r="X682" i="9"/>
  <c r="X683" i="9"/>
  <c r="X684" i="9"/>
  <c r="X685" i="9"/>
  <c r="X686" i="9"/>
  <c r="X687" i="9"/>
  <c r="X688" i="9"/>
  <c r="X689" i="9"/>
  <c r="X690" i="9"/>
  <c r="X691" i="9"/>
  <c r="X692" i="9"/>
  <c r="X693" i="9"/>
  <c r="X694" i="9"/>
  <c r="X695" i="9"/>
  <c r="X696" i="9"/>
  <c r="X697" i="9"/>
  <c r="X698" i="9"/>
  <c r="X699" i="9"/>
  <c r="X700" i="9"/>
  <c r="X701" i="9"/>
  <c r="X702" i="9"/>
  <c r="X703" i="9"/>
  <c r="X704" i="9"/>
  <c r="X705" i="9"/>
  <c r="X706" i="9"/>
  <c r="X707" i="9"/>
  <c r="X708" i="9"/>
  <c r="X709" i="9"/>
  <c r="X710" i="9"/>
  <c r="X711" i="9"/>
  <c r="X712" i="9"/>
  <c r="X713" i="9"/>
  <c r="X714" i="9"/>
  <c r="X715" i="9"/>
  <c r="X716" i="9"/>
  <c r="X717" i="9"/>
  <c r="X718" i="9"/>
  <c r="X719" i="9"/>
  <c r="X720" i="9"/>
  <c r="X721" i="9"/>
  <c r="X722" i="9"/>
  <c r="X723" i="9"/>
  <c r="X724" i="9"/>
  <c r="X725" i="9"/>
  <c r="X726" i="9"/>
  <c r="X727" i="9"/>
  <c r="X728" i="9"/>
  <c r="X729" i="9"/>
  <c r="X730" i="9"/>
  <c r="X731" i="9"/>
  <c r="X732" i="9"/>
  <c r="X733" i="9"/>
  <c r="X734" i="9"/>
  <c r="X735" i="9"/>
  <c r="X736" i="9"/>
  <c r="X737" i="9"/>
  <c r="X738" i="9"/>
  <c r="X739" i="9"/>
  <c r="X740" i="9"/>
  <c r="X741" i="9"/>
  <c r="X742" i="9"/>
  <c r="X743" i="9"/>
  <c r="X744" i="9"/>
  <c r="X745" i="9"/>
  <c r="X746" i="9"/>
  <c r="X747" i="9"/>
  <c r="X748" i="9"/>
  <c r="X749" i="9"/>
  <c r="X750" i="9"/>
  <c r="X751" i="9"/>
  <c r="X752" i="9"/>
  <c r="X753" i="9"/>
  <c r="X754" i="9"/>
  <c r="X755" i="9"/>
  <c r="X756" i="9"/>
  <c r="X757" i="9"/>
  <c r="X758" i="9"/>
  <c r="X759" i="9"/>
  <c r="X760" i="9"/>
  <c r="X761" i="9"/>
  <c r="X762" i="9"/>
  <c r="X763" i="9"/>
  <c r="X764" i="9"/>
  <c r="X765" i="9"/>
  <c r="X766" i="9"/>
  <c r="X767" i="9"/>
  <c r="X768" i="9"/>
  <c r="X769" i="9"/>
  <c r="X770" i="9"/>
  <c r="X771" i="9"/>
  <c r="X772" i="9"/>
  <c r="X773" i="9"/>
  <c r="X774" i="9"/>
  <c r="X775" i="9"/>
  <c r="X776" i="9"/>
  <c r="X777" i="9"/>
  <c r="X778" i="9"/>
  <c r="X779" i="9"/>
  <c r="X780" i="9"/>
  <c r="X781" i="9"/>
  <c r="X782" i="9"/>
  <c r="X783" i="9"/>
  <c r="X784" i="9"/>
  <c r="X785" i="9"/>
  <c r="X786" i="9"/>
  <c r="X787" i="9"/>
  <c r="X788" i="9"/>
  <c r="X789" i="9"/>
  <c r="X790" i="9"/>
  <c r="X791" i="9"/>
  <c r="X792" i="9"/>
  <c r="X793" i="9"/>
  <c r="X794" i="9"/>
  <c r="X795" i="9"/>
  <c r="X796" i="9"/>
  <c r="X797" i="9"/>
  <c r="X798" i="9"/>
  <c r="X799" i="9"/>
  <c r="X800" i="9"/>
  <c r="X801" i="9"/>
  <c r="X802" i="9"/>
  <c r="X803" i="9"/>
  <c r="X804" i="9"/>
  <c r="X805" i="9"/>
  <c r="X806" i="9"/>
  <c r="X807" i="9"/>
  <c r="X808" i="9"/>
  <c r="X809" i="9"/>
  <c r="X810" i="9"/>
  <c r="X811" i="9"/>
  <c r="X812" i="9"/>
  <c r="X813" i="9"/>
  <c r="X814" i="9"/>
  <c r="X815" i="9"/>
  <c r="X816" i="9"/>
  <c r="X817" i="9"/>
  <c r="X818" i="9"/>
  <c r="X819" i="9"/>
  <c r="X820" i="9"/>
  <c r="X821" i="9"/>
  <c r="X822" i="9"/>
  <c r="X823" i="9"/>
  <c r="X824" i="9"/>
  <c r="X825" i="9"/>
  <c r="X826" i="9"/>
  <c r="X827" i="9"/>
  <c r="X828" i="9"/>
  <c r="X829" i="9"/>
  <c r="X830" i="9"/>
  <c r="X831" i="9"/>
  <c r="X832" i="9"/>
  <c r="X833" i="9"/>
  <c r="X834" i="9"/>
  <c r="X835" i="9"/>
  <c r="X836" i="9"/>
  <c r="X837" i="9"/>
  <c r="X838" i="9"/>
  <c r="X839" i="9"/>
  <c r="X840" i="9"/>
  <c r="X841" i="9"/>
  <c r="X842" i="9"/>
  <c r="X843" i="9"/>
  <c r="X844" i="9"/>
  <c r="X845" i="9"/>
  <c r="X846" i="9"/>
  <c r="X847" i="9"/>
  <c r="X848" i="9"/>
  <c r="X849" i="9"/>
  <c r="X850" i="9"/>
  <c r="X851" i="9"/>
  <c r="X852" i="9"/>
  <c r="X853" i="9"/>
  <c r="X854" i="9"/>
  <c r="X855" i="9"/>
  <c r="X856" i="9"/>
  <c r="X857" i="9"/>
  <c r="X858" i="9"/>
  <c r="X859" i="9"/>
  <c r="X860" i="9"/>
  <c r="X861" i="9"/>
  <c r="X862" i="9"/>
  <c r="X863" i="9"/>
  <c r="X864" i="9"/>
  <c r="X865" i="9"/>
  <c r="X866" i="9"/>
  <c r="X867" i="9"/>
  <c r="X868" i="9"/>
  <c r="X869" i="9"/>
  <c r="X870" i="9"/>
  <c r="X871" i="9"/>
  <c r="X872" i="9"/>
  <c r="X873" i="9"/>
  <c r="X874" i="9"/>
  <c r="X875" i="9"/>
  <c r="X876" i="9"/>
  <c r="X877" i="9"/>
  <c r="X878" i="9"/>
  <c r="X879" i="9"/>
  <c r="X880" i="9"/>
  <c r="X881" i="9"/>
  <c r="X882" i="9"/>
  <c r="X883" i="9"/>
  <c r="X884" i="9"/>
  <c r="X885" i="9"/>
  <c r="X886" i="9"/>
  <c r="X887" i="9"/>
  <c r="X888" i="9"/>
  <c r="X889" i="9"/>
  <c r="X890" i="9"/>
  <c r="X891" i="9"/>
  <c r="X892" i="9"/>
  <c r="X893" i="9"/>
  <c r="X3" i="9"/>
  <c r="V87" i="9" l="1"/>
  <c r="U87" i="9"/>
  <c r="U41" i="9"/>
  <c r="E4" i="9" l="1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E257" i="9"/>
  <c r="E258" i="9"/>
  <c r="E259" i="9"/>
  <c r="E260" i="9"/>
  <c r="E261" i="9"/>
  <c r="E262" i="9"/>
  <c r="E263" i="9"/>
  <c r="E264" i="9"/>
  <c r="E265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E284" i="9"/>
  <c r="E285" i="9"/>
  <c r="E286" i="9"/>
  <c r="E287" i="9"/>
  <c r="E288" i="9"/>
  <c r="E289" i="9"/>
  <c r="E290" i="9"/>
  <c r="E291" i="9"/>
  <c r="E292" i="9"/>
  <c r="E293" i="9"/>
  <c r="E294" i="9"/>
  <c r="E295" i="9"/>
  <c r="E296" i="9"/>
  <c r="E297" i="9"/>
  <c r="E298" i="9"/>
  <c r="E299" i="9"/>
  <c r="E300" i="9"/>
  <c r="E301" i="9"/>
  <c r="E302" i="9"/>
  <c r="E303" i="9"/>
  <c r="E304" i="9"/>
  <c r="E305" i="9"/>
  <c r="E306" i="9"/>
  <c r="E307" i="9"/>
  <c r="E308" i="9"/>
  <c r="E309" i="9"/>
  <c r="E310" i="9"/>
  <c r="E311" i="9"/>
  <c r="E312" i="9"/>
  <c r="E313" i="9"/>
  <c r="E314" i="9"/>
  <c r="E315" i="9"/>
  <c r="E316" i="9"/>
  <c r="E317" i="9"/>
  <c r="E318" i="9"/>
  <c r="E319" i="9"/>
  <c r="E320" i="9"/>
  <c r="E321" i="9"/>
  <c r="E322" i="9"/>
  <c r="E323" i="9"/>
  <c r="E324" i="9"/>
  <c r="E325" i="9"/>
  <c r="E326" i="9"/>
  <c r="E327" i="9"/>
  <c r="E328" i="9"/>
  <c r="E329" i="9"/>
  <c r="E330" i="9"/>
  <c r="E331" i="9"/>
  <c r="E332" i="9"/>
  <c r="E333" i="9"/>
  <c r="E334" i="9"/>
  <c r="E335" i="9"/>
  <c r="E336" i="9"/>
  <c r="E337" i="9"/>
  <c r="E338" i="9"/>
  <c r="E339" i="9"/>
  <c r="E340" i="9"/>
  <c r="E341" i="9"/>
  <c r="E342" i="9"/>
  <c r="E343" i="9"/>
  <c r="E344" i="9"/>
  <c r="E345" i="9"/>
  <c r="E346" i="9"/>
  <c r="E347" i="9"/>
  <c r="E348" i="9"/>
  <c r="E349" i="9"/>
  <c r="E350" i="9"/>
  <c r="E351" i="9"/>
  <c r="E352" i="9"/>
  <c r="E353" i="9"/>
  <c r="E354" i="9"/>
  <c r="E355" i="9"/>
  <c r="E356" i="9"/>
  <c r="E357" i="9"/>
  <c r="E358" i="9"/>
  <c r="E359" i="9"/>
  <c r="E360" i="9"/>
  <c r="E361" i="9"/>
  <c r="E362" i="9"/>
  <c r="E363" i="9"/>
  <c r="E364" i="9"/>
  <c r="E365" i="9"/>
  <c r="E366" i="9"/>
  <c r="E367" i="9"/>
  <c r="E368" i="9"/>
  <c r="E369" i="9"/>
  <c r="E370" i="9"/>
  <c r="E371" i="9"/>
  <c r="E372" i="9"/>
  <c r="E373" i="9"/>
  <c r="E374" i="9"/>
  <c r="E375" i="9"/>
  <c r="E376" i="9"/>
  <c r="E377" i="9"/>
  <c r="E378" i="9"/>
  <c r="E379" i="9"/>
  <c r="E380" i="9"/>
  <c r="E381" i="9"/>
  <c r="E382" i="9"/>
  <c r="E383" i="9"/>
  <c r="E384" i="9"/>
  <c r="E385" i="9"/>
  <c r="E386" i="9"/>
  <c r="E387" i="9"/>
  <c r="E388" i="9"/>
  <c r="E389" i="9"/>
  <c r="E390" i="9"/>
  <c r="E391" i="9"/>
  <c r="E392" i="9"/>
  <c r="E393" i="9"/>
  <c r="E394" i="9"/>
  <c r="E395" i="9"/>
  <c r="E396" i="9"/>
  <c r="E397" i="9"/>
  <c r="E398" i="9"/>
  <c r="E399" i="9"/>
  <c r="E400" i="9"/>
  <c r="E401" i="9"/>
  <c r="E402" i="9"/>
  <c r="E403" i="9"/>
  <c r="E404" i="9"/>
  <c r="E405" i="9"/>
  <c r="E406" i="9"/>
  <c r="E407" i="9"/>
  <c r="E408" i="9"/>
  <c r="E409" i="9"/>
  <c r="E410" i="9"/>
  <c r="E411" i="9"/>
  <c r="E412" i="9"/>
  <c r="E413" i="9"/>
  <c r="E414" i="9"/>
  <c r="E415" i="9"/>
  <c r="E416" i="9"/>
  <c r="E417" i="9"/>
  <c r="E418" i="9"/>
  <c r="E419" i="9"/>
  <c r="E420" i="9"/>
  <c r="E421" i="9"/>
  <c r="E422" i="9"/>
  <c r="E423" i="9"/>
  <c r="E424" i="9"/>
  <c r="E425" i="9"/>
  <c r="E426" i="9"/>
  <c r="E427" i="9"/>
  <c r="E428" i="9"/>
  <c r="E429" i="9"/>
  <c r="E430" i="9"/>
  <c r="E431" i="9"/>
  <c r="E432" i="9"/>
  <c r="E433" i="9"/>
  <c r="E434" i="9"/>
  <c r="E435" i="9"/>
  <c r="E436" i="9"/>
  <c r="E437" i="9"/>
  <c r="E438" i="9"/>
  <c r="E439" i="9"/>
  <c r="E440" i="9"/>
  <c r="E441" i="9"/>
  <c r="E442" i="9"/>
  <c r="E443" i="9"/>
  <c r="E444" i="9"/>
  <c r="E445" i="9"/>
  <c r="E446" i="9"/>
  <c r="E447" i="9"/>
  <c r="E448" i="9"/>
  <c r="E449" i="9"/>
  <c r="E450" i="9"/>
  <c r="E451" i="9"/>
  <c r="E452" i="9"/>
  <c r="E453" i="9"/>
  <c r="E454" i="9"/>
  <c r="E455" i="9"/>
  <c r="E456" i="9"/>
  <c r="E457" i="9"/>
  <c r="E458" i="9"/>
  <c r="E459" i="9"/>
  <c r="E460" i="9"/>
  <c r="E461" i="9"/>
  <c r="E462" i="9"/>
  <c r="E463" i="9"/>
  <c r="E464" i="9"/>
  <c r="E465" i="9"/>
  <c r="E466" i="9"/>
  <c r="E467" i="9"/>
  <c r="E468" i="9"/>
  <c r="E469" i="9"/>
  <c r="E470" i="9"/>
  <c r="E471" i="9"/>
  <c r="E472" i="9"/>
  <c r="E473" i="9"/>
  <c r="E474" i="9"/>
  <c r="E475" i="9"/>
  <c r="E476" i="9"/>
  <c r="E477" i="9"/>
  <c r="E478" i="9"/>
  <c r="E479" i="9"/>
  <c r="E480" i="9"/>
  <c r="E481" i="9"/>
  <c r="E482" i="9"/>
  <c r="E483" i="9"/>
  <c r="E484" i="9"/>
  <c r="E485" i="9"/>
  <c r="E486" i="9"/>
  <c r="E487" i="9"/>
  <c r="E488" i="9"/>
  <c r="E489" i="9"/>
  <c r="E490" i="9"/>
  <c r="E491" i="9"/>
  <c r="E492" i="9"/>
  <c r="E493" i="9"/>
  <c r="E494" i="9"/>
  <c r="E495" i="9"/>
  <c r="E496" i="9"/>
  <c r="E497" i="9"/>
  <c r="E498" i="9"/>
  <c r="E499" i="9"/>
  <c r="E500" i="9"/>
  <c r="E501" i="9"/>
  <c r="E502" i="9"/>
  <c r="E503" i="9"/>
  <c r="E504" i="9"/>
  <c r="E505" i="9"/>
  <c r="E506" i="9"/>
  <c r="E507" i="9"/>
  <c r="E508" i="9"/>
  <c r="E509" i="9"/>
  <c r="E510" i="9"/>
  <c r="E511" i="9"/>
  <c r="E512" i="9"/>
  <c r="E513" i="9"/>
  <c r="E514" i="9"/>
  <c r="E515" i="9"/>
  <c r="E516" i="9"/>
  <c r="E517" i="9"/>
  <c r="E518" i="9"/>
  <c r="E519" i="9"/>
  <c r="E520" i="9"/>
  <c r="E521" i="9"/>
  <c r="E522" i="9"/>
  <c r="E523" i="9"/>
  <c r="E524" i="9"/>
  <c r="E525" i="9"/>
  <c r="E526" i="9"/>
  <c r="E527" i="9"/>
  <c r="E528" i="9"/>
  <c r="E529" i="9"/>
  <c r="E530" i="9"/>
  <c r="E531" i="9"/>
  <c r="E532" i="9"/>
  <c r="E533" i="9"/>
  <c r="E534" i="9"/>
  <c r="E535" i="9"/>
  <c r="E536" i="9"/>
  <c r="E537" i="9"/>
  <c r="E538" i="9"/>
  <c r="E539" i="9"/>
  <c r="E540" i="9"/>
  <c r="E541" i="9"/>
  <c r="E542" i="9"/>
  <c r="E543" i="9"/>
  <c r="E544" i="9"/>
  <c r="E545" i="9"/>
  <c r="E546" i="9"/>
  <c r="E547" i="9"/>
  <c r="E548" i="9"/>
  <c r="E549" i="9"/>
  <c r="E550" i="9"/>
  <c r="E551" i="9"/>
  <c r="E552" i="9"/>
  <c r="E553" i="9"/>
  <c r="E554" i="9"/>
  <c r="E555" i="9"/>
  <c r="E556" i="9"/>
  <c r="E557" i="9"/>
  <c r="E558" i="9"/>
  <c r="E559" i="9"/>
  <c r="E560" i="9"/>
  <c r="E561" i="9"/>
  <c r="E562" i="9"/>
  <c r="E563" i="9"/>
  <c r="E564" i="9"/>
  <c r="E565" i="9"/>
  <c r="E566" i="9"/>
  <c r="E567" i="9"/>
  <c r="E568" i="9"/>
  <c r="E569" i="9"/>
  <c r="E570" i="9"/>
  <c r="E571" i="9"/>
  <c r="E572" i="9"/>
  <c r="E573" i="9"/>
  <c r="E574" i="9"/>
  <c r="E575" i="9"/>
  <c r="E576" i="9"/>
  <c r="E577" i="9"/>
  <c r="E578" i="9"/>
  <c r="E579" i="9"/>
  <c r="E580" i="9"/>
  <c r="E581" i="9"/>
  <c r="E582" i="9"/>
  <c r="E583" i="9"/>
  <c r="E584" i="9"/>
  <c r="E585" i="9"/>
  <c r="E586" i="9"/>
  <c r="E587" i="9"/>
  <c r="E588" i="9"/>
  <c r="E589" i="9"/>
  <c r="E590" i="9"/>
  <c r="E591" i="9"/>
  <c r="E592" i="9"/>
  <c r="E593" i="9"/>
  <c r="E594" i="9"/>
  <c r="E595" i="9"/>
  <c r="E596" i="9"/>
  <c r="E597" i="9"/>
  <c r="E598" i="9"/>
  <c r="E599" i="9"/>
  <c r="E600" i="9"/>
  <c r="E601" i="9"/>
  <c r="E602" i="9"/>
  <c r="E603" i="9"/>
  <c r="E604" i="9"/>
  <c r="E605" i="9"/>
  <c r="E606" i="9"/>
  <c r="E607" i="9"/>
  <c r="E608" i="9"/>
  <c r="E609" i="9"/>
  <c r="E610" i="9"/>
  <c r="E611" i="9"/>
  <c r="E612" i="9"/>
  <c r="E613" i="9"/>
  <c r="E614" i="9"/>
  <c r="E615" i="9"/>
  <c r="E616" i="9"/>
  <c r="E617" i="9"/>
  <c r="E618" i="9"/>
  <c r="E619" i="9"/>
  <c r="E620" i="9"/>
  <c r="E621" i="9"/>
  <c r="E622" i="9"/>
  <c r="E623" i="9"/>
  <c r="E624" i="9"/>
  <c r="E625" i="9"/>
  <c r="E626" i="9"/>
  <c r="E627" i="9"/>
  <c r="E628" i="9"/>
  <c r="E629" i="9"/>
  <c r="E630" i="9"/>
  <c r="E631" i="9"/>
  <c r="E632" i="9"/>
  <c r="E633" i="9"/>
  <c r="E634" i="9"/>
  <c r="E635" i="9"/>
  <c r="E636" i="9"/>
  <c r="E637" i="9"/>
  <c r="E638" i="9"/>
  <c r="E639" i="9"/>
  <c r="E640" i="9"/>
  <c r="E641" i="9"/>
  <c r="E642" i="9"/>
  <c r="E643" i="9"/>
  <c r="E644" i="9"/>
  <c r="E645" i="9"/>
  <c r="E646" i="9"/>
  <c r="E647" i="9"/>
  <c r="E648" i="9"/>
  <c r="E649" i="9"/>
  <c r="E650" i="9"/>
  <c r="E651" i="9"/>
  <c r="E652" i="9"/>
  <c r="E653" i="9"/>
  <c r="E654" i="9"/>
  <c r="E655" i="9"/>
  <c r="E656" i="9"/>
  <c r="E657" i="9"/>
  <c r="E658" i="9"/>
  <c r="E659" i="9"/>
  <c r="E660" i="9"/>
  <c r="E661" i="9"/>
  <c r="E662" i="9"/>
  <c r="E663" i="9"/>
  <c r="E664" i="9"/>
  <c r="E665" i="9"/>
  <c r="E666" i="9"/>
  <c r="E667" i="9"/>
  <c r="E668" i="9"/>
  <c r="E669" i="9"/>
  <c r="E670" i="9"/>
  <c r="E671" i="9"/>
  <c r="E672" i="9"/>
  <c r="E673" i="9"/>
  <c r="E674" i="9"/>
  <c r="E675" i="9"/>
  <c r="E676" i="9"/>
  <c r="E677" i="9"/>
  <c r="E678" i="9"/>
  <c r="E679" i="9"/>
  <c r="E680" i="9"/>
  <c r="E681" i="9"/>
  <c r="E682" i="9"/>
  <c r="E683" i="9"/>
  <c r="E684" i="9"/>
  <c r="E685" i="9"/>
  <c r="E686" i="9"/>
  <c r="E687" i="9"/>
  <c r="E688" i="9"/>
  <c r="E689" i="9"/>
  <c r="E690" i="9"/>
  <c r="E691" i="9"/>
  <c r="E692" i="9"/>
  <c r="E693" i="9"/>
  <c r="E694" i="9"/>
  <c r="E695" i="9"/>
  <c r="E696" i="9"/>
  <c r="E697" i="9"/>
  <c r="E698" i="9"/>
  <c r="E699" i="9"/>
  <c r="E700" i="9"/>
  <c r="E701" i="9"/>
  <c r="E702" i="9"/>
  <c r="E703" i="9"/>
  <c r="E704" i="9"/>
  <c r="E705" i="9"/>
  <c r="E706" i="9"/>
  <c r="E707" i="9"/>
  <c r="E708" i="9"/>
  <c r="E709" i="9"/>
  <c r="E710" i="9"/>
  <c r="E711" i="9"/>
  <c r="E712" i="9"/>
  <c r="E713" i="9"/>
  <c r="E714" i="9"/>
  <c r="E715" i="9"/>
  <c r="E716" i="9"/>
  <c r="E717" i="9"/>
  <c r="E718" i="9"/>
  <c r="E719" i="9"/>
  <c r="E720" i="9"/>
  <c r="E721" i="9"/>
  <c r="E722" i="9"/>
  <c r="E723" i="9"/>
  <c r="E724" i="9"/>
  <c r="E725" i="9"/>
  <c r="E726" i="9"/>
  <c r="E727" i="9"/>
  <c r="E728" i="9"/>
  <c r="E729" i="9"/>
  <c r="E730" i="9"/>
  <c r="E731" i="9"/>
  <c r="E732" i="9"/>
  <c r="E733" i="9"/>
  <c r="E734" i="9"/>
  <c r="E735" i="9"/>
  <c r="E736" i="9"/>
  <c r="E737" i="9"/>
  <c r="E738" i="9"/>
  <c r="E739" i="9"/>
  <c r="E740" i="9"/>
  <c r="E741" i="9"/>
  <c r="E742" i="9"/>
  <c r="E743" i="9"/>
  <c r="E744" i="9"/>
  <c r="E745" i="9"/>
  <c r="E746" i="9"/>
  <c r="E747" i="9"/>
  <c r="E748" i="9"/>
  <c r="E749" i="9"/>
  <c r="E750" i="9"/>
  <c r="E751" i="9"/>
  <c r="E752" i="9"/>
  <c r="E753" i="9"/>
  <c r="E754" i="9"/>
  <c r="E755" i="9"/>
  <c r="E756" i="9"/>
  <c r="E757" i="9"/>
  <c r="E758" i="9"/>
  <c r="E759" i="9"/>
  <c r="E760" i="9"/>
  <c r="E761" i="9"/>
  <c r="E762" i="9"/>
  <c r="E763" i="9"/>
  <c r="E764" i="9"/>
  <c r="E765" i="9"/>
  <c r="E766" i="9"/>
  <c r="E767" i="9"/>
  <c r="E768" i="9"/>
  <c r="E769" i="9"/>
  <c r="E770" i="9"/>
  <c r="E771" i="9"/>
  <c r="E772" i="9"/>
  <c r="E773" i="9"/>
  <c r="E774" i="9"/>
  <c r="E775" i="9"/>
  <c r="E776" i="9"/>
  <c r="E777" i="9"/>
  <c r="E778" i="9"/>
  <c r="E779" i="9"/>
  <c r="E780" i="9"/>
  <c r="E781" i="9"/>
  <c r="E782" i="9"/>
  <c r="E783" i="9"/>
  <c r="E784" i="9"/>
  <c r="E785" i="9"/>
  <c r="E786" i="9"/>
  <c r="E787" i="9"/>
  <c r="E788" i="9"/>
  <c r="E789" i="9"/>
  <c r="E790" i="9"/>
  <c r="E791" i="9"/>
  <c r="E792" i="9"/>
  <c r="E793" i="9"/>
  <c r="E794" i="9"/>
  <c r="E795" i="9"/>
  <c r="E796" i="9"/>
  <c r="E797" i="9"/>
  <c r="E798" i="9"/>
  <c r="E799" i="9"/>
  <c r="E800" i="9"/>
  <c r="E801" i="9"/>
  <c r="E802" i="9"/>
  <c r="E803" i="9"/>
  <c r="E804" i="9"/>
  <c r="E805" i="9"/>
  <c r="E806" i="9"/>
  <c r="E807" i="9"/>
  <c r="E808" i="9"/>
  <c r="E809" i="9"/>
  <c r="E810" i="9"/>
  <c r="E811" i="9"/>
  <c r="E812" i="9"/>
  <c r="E813" i="9"/>
  <c r="E814" i="9"/>
  <c r="E815" i="9"/>
  <c r="E816" i="9"/>
  <c r="E817" i="9"/>
  <c r="E818" i="9"/>
  <c r="E819" i="9"/>
  <c r="E820" i="9"/>
  <c r="E821" i="9"/>
  <c r="E822" i="9"/>
  <c r="E823" i="9"/>
  <c r="E824" i="9"/>
  <c r="E825" i="9"/>
  <c r="E826" i="9"/>
  <c r="E827" i="9"/>
  <c r="E828" i="9"/>
  <c r="E829" i="9"/>
  <c r="E830" i="9"/>
  <c r="E831" i="9"/>
  <c r="E832" i="9"/>
  <c r="E833" i="9"/>
  <c r="E834" i="9"/>
  <c r="E835" i="9"/>
  <c r="E836" i="9"/>
  <c r="E837" i="9"/>
  <c r="E838" i="9"/>
  <c r="E839" i="9"/>
  <c r="E840" i="9"/>
  <c r="E841" i="9"/>
  <c r="E842" i="9"/>
  <c r="E843" i="9"/>
  <c r="E844" i="9"/>
  <c r="E845" i="9"/>
  <c r="E846" i="9"/>
  <c r="E847" i="9"/>
  <c r="E848" i="9"/>
  <c r="E849" i="9"/>
  <c r="E850" i="9"/>
  <c r="E851" i="9"/>
  <c r="E852" i="9"/>
  <c r="E853" i="9"/>
  <c r="E854" i="9"/>
  <c r="E855" i="9"/>
  <c r="E856" i="9"/>
  <c r="E857" i="9"/>
  <c r="E858" i="9"/>
  <c r="E859" i="9"/>
  <c r="E860" i="9"/>
  <c r="E861" i="9"/>
  <c r="E862" i="9"/>
  <c r="E863" i="9"/>
  <c r="E864" i="9"/>
  <c r="E865" i="9"/>
  <c r="E866" i="9"/>
  <c r="E867" i="9"/>
  <c r="E868" i="9"/>
  <c r="E869" i="9"/>
  <c r="E870" i="9"/>
  <c r="E871" i="9"/>
  <c r="E872" i="9"/>
  <c r="E873" i="9"/>
  <c r="E874" i="9"/>
  <c r="E875" i="9"/>
  <c r="E876" i="9"/>
  <c r="E877" i="9"/>
  <c r="E878" i="9"/>
  <c r="E879" i="9"/>
  <c r="E880" i="9"/>
  <c r="E881" i="9"/>
  <c r="E882" i="9"/>
  <c r="E883" i="9"/>
  <c r="E884" i="9"/>
  <c r="E885" i="9"/>
  <c r="E886" i="9"/>
  <c r="E887" i="9"/>
  <c r="E888" i="9"/>
  <c r="E889" i="9"/>
  <c r="E890" i="9"/>
  <c r="E891" i="9"/>
  <c r="E892" i="9"/>
  <c r="E893" i="9"/>
  <c r="E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2" i="9"/>
  <c r="B253" i="9"/>
  <c r="B254" i="9"/>
  <c r="B255" i="9"/>
  <c r="B256" i="9"/>
  <c r="B257" i="9"/>
  <c r="B258" i="9"/>
  <c r="B259" i="9"/>
  <c r="B260" i="9"/>
  <c r="B261" i="9"/>
  <c r="B262" i="9"/>
  <c r="B263" i="9"/>
  <c r="B264" i="9"/>
  <c r="B265" i="9"/>
  <c r="B266" i="9"/>
  <c r="B267" i="9"/>
  <c r="B268" i="9"/>
  <c r="B269" i="9"/>
  <c r="B270" i="9"/>
  <c r="B271" i="9"/>
  <c r="B272" i="9"/>
  <c r="B273" i="9"/>
  <c r="B274" i="9"/>
  <c r="B275" i="9"/>
  <c r="B276" i="9"/>
  <c r="B277" i="9"/>
  <c r="B278" i="9"/>
  <c r="B279" i="9"/>
  <c r="B280" i="9"/>
  <c r="B281" i="9"/>
  <c r="B282" i="9"/>
  <c r="B283" i="9"/>
  <c r="B284" i="9"/>
  <c r="B285" i="9"/>
  <c r="B286" i="9"/>
  <c r="B287" i="9"/>
  <c r="B288" i="9"/>
  <c r="B289" i="9"/>
  <c r="B290" i="9"/>
  <c r="B291" i="9"/>
  <c r="B292" i="9"/>
  <c r="B293" i="9"/>
  <c r="B294" i="9"/>
  <c r="B295" i="9"/>
  <c r="B296" i="9"/>
  <c r="B297" i="9"/>
  <c r="B298" i="9"/>
  <c r="B299" i="9"/>
  <c r="B300" i="9"/>
  <c r="B301" i="9"/>
  <c r="B302" i="9"/>
  <c r="B303" i="9"/>
  <c r="B304" i="9"/>
  <c r="B305" i="9"/>
  <c r="B306" i="9"/>
  <c r="B307" i="9"/>
  <c r="B308" i="9"/>
  <c r="B309" i="9"/>
  <c r="B310" i="9"/>
  <c r="B311" i="9"/>
  <c r="B312" i="9"/>
  <c r="B313" i="9"/>
  <c r="B314" i="9"/>
  <c r="B315" i="9"/>
  <c r="B316" i="9"/>
  <c r="B317" i="9"/>
  <c r="B318" i="9"/>
  <c r="B319" i="9"/>
  <c r="B320" i="9"/>
  <c r="B321" i="9"/>
  <c r="B322" i="9"/>
  <c r="B323" i="9"/>
  <c r="B324" i="9"/>
  <c r="B325" i="9"/>
  <c r="B326" i="9"/>
  <c r="B327" i="9"/>
  <c r="B328" i="9"/>
  <c r="B329" i="9"/>
  <c r="B330" i="9"/>
  <c r="B331" i="9"/>
  <c r="B332" i="9"/>
  <c r="B333" i="9"/>
  <c r="B334" i="9"/>
  <c r="B335" i="9"/>
  <c r="B336" i="9"/>
  <c r="B337" i="9"/>
  <c r="B338" i="9"/>
  <c r="B339" i="9"/>
  <c r="B340" i="9"/>
  <c r="B341" i="9"/>
  <c r="B342" i="9"/>
  <c r="B343" i="9"/>
  <c r="B344" i="9"/>
  <c r="B345" i="9"/>
  <c r="B346" i="9"/>
  <c r="B347" i="9"/>
  <c r="B348" i="9"/>
  <c r="B349" i="9"/>
  <c r="B350" i="9"/>
  <c r="B351" i="9"/>
  <c r="B352" i="9"/>
  <c r="B353" i="9"/>
  <c r="B354" i="9"/>
  <c r="B355" i="9"/>
  <c r="B356" i="9"/>
  <c r="B357" i="9"/>
  <c r="B358" i="9"/>
  <c r="B359" i="9"/>
  <c r="B360" i="9"/>
  <c r="B361" i="9"/>
  <c r="B362" i="9"/>
  <c r="B363" i="9"/>
  <c r="B364" i="9"/>
  <c r="B365" i="9"/>
  <c r="B366" i="9"/>
  <c r="B367" i="9"/>
  <c r="B368" i="9"/>
  <c r="B369" i="9"/>
  <c r="B370" i="9"/>
  <c r="B371" i="9"/>
  <c r="B372" i="9"/>
  <c r="B373" i="9"/>
  <c r="B374" i="9"/>
  <c r="B375" i="9"/>
  <c r="B376" i="9"/>
  <c r="B377" i="9"/>
  <c r="B378" i="9"/>
  <c r="B379" i="9"/>
  <c r="B380" i="9"/>
  <c r="B381" i="9"/>
  <c r="B382" i="9"/>
  <c r="B383" i="9"/>
  <c r="B384" i="9"/>
  <c r="B385" i="9"/>
  <c r="B386" i="9"/>
  <c r="B387" i="9"/>
  <c r="B388" i="9"/>
  <c r="B389" i="9"/>
  <c r="B390" i="9"/>
  <c r="B391" i="9"/>
  <c r="B392" i="9"/>
  <c r="B393" i="9"/>
  <c r="B394" i="9"/>
  <c r="B395" i="9"/>
  <c r="B396" i="9"/>
  <c r="B397" i="9"/>
  <c r="B398" i="9"/>
  <c r="B399" i="9"/>
  <c r="B400" i="9"/>
  <c r="B401" i="9"/>
  <c r="B402" i="9"/>
  <c r="B403" i="9"/>
  <c r="B404" i="9"/>
  <c r="B405" i="9"/>
  <c r="B406" i="9"/>
  <c r="B407" i="9"/>
  <c r="B408" i="9"/>
  <c r="B409" i="9"/>
  <c r="B410" i="9"/>
  <c r="B411" i="9"/>
  <c r="B412" i="9"/>
  <c r="B413" i="9"/>
  <c r="B414" i="9"/>
  <c r="B415" i="9"/>
  <c r="B416" i="9"/>
  <c r="B417" i="9"/>
  <c r="B418" i="9"/>
  <c r="B419" i="9"/>
  <c r="B420" i="9"/>
  <c r="B421" i="9"/>
  <c r="B422" i="9"/>
  <c r="B423" i="9"/>
  <c r="B424" i="9"/>
  <c r="B425" i="9"/>
  <c r="B426" i="9"/>
  <c r="B427" i="9"/>
  <c r="B428" i="9"/>
  <c r="B429" i="9"/>
  <c r="B430" i="9"/>
  <c r="B431" i="9"/>
  <c r="B432" i="9"/>
  <c r="B433" i="9"/>
  <c r="B434" i="9"/>
  <c r="B435" i="9"/>
  <c r="B436" i="9"/>
  <c r="B437" i="9"/>
  <c r="B438" i="9"/>
  <c r="B439" i="9"/>
  <c r="B440" i="9"/>
  <c r="B441" i="9"/>
  <c r="B442" i="9"/>
  <c r="B443" i="9"/>
  <c r="B444" i="9"/>
  <c r="B445" i="9"/>
  <c r="B446" i="9"/>
  <c r="B447" i="9"/>
  <c r="B448" i="9"/>
  <c r="B449" i="9"/>
  <c r="B450" i="9"/>
  <c r="B451" i="9"/>
  <c r="B452" i="9"/>
  <c r="B453" i="9"/>
  <c r="B454" i="9"/>
  <c r="B455" i="9"/>
  <c r="B456" i="9"/>
  <c r="B457" i="9"/>
  <c r="B458" i="9"/>
  <c r="B459" i="9"/>
  <c r="B460" i="9"/>
  <c r="B461" i="9"/>
  <c r="B462" i="9"/>
  <c r="B463" i="9"/>
  <c r="B464" i="9"/>
  <c r="B465" i="9"/>
  <c r="B466" i="9"/>
  <c r="B467" i="9"/>
  <c r="B468" i="9"/>
  <c r="B469" i="9"/>
  <c r="B470" i="9"/>
  <c r="B471" i="9"/>
  <c r="B472" i="9"/>
  <c r="B473" i="9"/>
  <c r="B474" i="9"/>
  <c r="B475" i="9"/>
  <c r="B476" i="9"/>
  <c r="B477" i="9"/>
  <c r="B478" i="9"/>
  <c r="B479" i="9"/>
  <c r="B480" i="9"/>
  <c r="B481" i="9"/>
  <c r="B482" i="9"/>
  <c r="B483" i="9"/>
  <c r="B484" i="9"/>
  <c r="B485" i="9"/>
  <c r="B486" i="9"/>
  <c r="B487" i="9"/>
  <c r="B488" i="9"/>
  <c r="B489" i="9"/>
  <c r="B490" i="9"/>
  <c r="B491" i="9"/>
  <c r="B492" i="9"/>
  <c r="B493" i="9"/>
  <c r="B494" i="9"/>
  <c r="B495" i="9"/>
  <c r="B496" i="9"/>
  <c r="B497" i="9"/>
  <c r="B498" i="9"/>
  <c r="B499" i="9"/>
  <c r="B500" i="9"/>
  <c r="B501" i="9"/>
  <c r="B502" i="9"/>
  <c r="B503" i="9"/>
  <c r="B504" i="9"/>
  <c r="B505" i="9"/>
  <c r="B506" i="9"/>
  <c r="B507" i="9"/>
  <c r="B508" i="9"/>
  <c r="B509" i="9"/>
  <c r="B510" i="9"/>
  <c r="B511" i="9"/>
  <c r="B512" i="9"/>
  <c r="B513" i="9"/>
  <c r="B514" i="9"/>
  <c r="B515" i="9"/>
  <c r="B516" i="9"/>
  <c r="B517" i="9"/>
  <c r="B518" i="9"/>
  <c r="B519" i="9"/>
  <c r="B520" i="9"/>
  <c r="B521" i="9"/>
  <c r="B522" i="9"/>
  <c r="B523" i="9"/>
  <c r="B524" i="9"/>
  <c r="B525" i="9"/>
  <c r="B526" i="9"/>
  <c r="B527" i="9"/>
  <c r="B528" i="9"/>
  <c r="B529" i="9"/>
  <c r="B530" i="9"/>
  <c r="B531" i="9"/>
  <c r="B532" i="9"/>
  <c r="B533" i="9"/>
  <c r="B534" i="9"/>
  <c r="B535" i="9"/>
  <c r="B536" i="9"/>
  <c r="B537" i="9"/>
  <c r="B538" i="9"/>
  <c r="B539" i="9"/>
  <c r="B540" i="9"/>
  <c r="B541" i="9"/>
  <c r="B542" i="9"/>
  <c r="B543" i="9"/>
  <c r="B544" i="9"/>
  <c r="B545" i="9"/>
  <c r="B546" i="9"/>
  <c r="B547" i="9"/>
  <c r="B548" i="9"/>
  <c r="B549" i="9"/>
  <c r="B550" i="9"/>
  <c r="B551" i="9"/>
  <c r="B552" i="9"/>
  <c r="B553" i="9"/>
  <c r="B554" i="9"/>
  <c r="B555" i="9"/>
  <c r="B556" i="9"/>
  <c r="B557" i="9"/>
  <c r="B558" i="9"/>
  <c r="B559" i="9"/>
  <c r="B560" i="9"/>
  <c r="B561" i="9"/>
  <c r="B562" i="9"/>
  <c r="B563" i="9"/>
  <c r="B564" i="9"/>
  <c r="B565" i="9"/>
  <c r="B566" i="9"/>
  <c r="B567" i="9"/>
  <c r="B568" i="9"/>
  <c r="B569" i="9"/>
  <c r="B570" i="9"/>
  <c r="B571" i="9"/>
  <c r="B572" i="9"/>
  <c r="B573" i="9"/>
  <c r="B574" i="9"/>
  <c r="B575" i="9"/>
  <c r="B576" i="9"/>
  <c r="B577" i="9"/>
  <c r="B578" i="9"/>
  <c r="B579" i="9"/>
  <c r="B580" i="9"/>
  <c r="B581" i="9"/>
  <c r="B582" i="9"/>
  <c r="B583" i="9"/>
  <c r="B584" i="9"/>
  <c r="B585" i="9"/>
  <c r="B586" i="9"/>
  <c r="B587" i="9"/>
  <c r="B588" i="9"/>
  <c r="B589" i="9"/>
  <c r="B590" i="9"/>
  <c r="B591" i="9"/>
  <c r="B592" i="9"/>
  <c r="B593" i="9"/>
  <c r="B594" i="9"/>
  <c r="B595" i="9"/>
  <c r="B596" i="9"/>
  <c r="B597" i="9"/>
  <c r="B598" i="9"/>
  <c r="B599" i="9"/>
  <c r="B600" i="9"/>
  <c r="B601" i="9"/>
  <c r="B602" i="9"/>
  <c r="B603" i="9"/>
  <c r="B604" i="9"/>
  <c r="B605" i="9"/>
  <c r="B606" i="9"/>
  <c r="B607" i="9"/>
  <c r="B608" i="9"/>
  <c r="B609" i="9"/>
  <c r="B610" i="9"/>
  <c r="B611" i="9"/>
  <c r="B612" i="9"/>
  <c r="B613" i="9"/>
  <c r="B614" i="9"/>
  <c r="B615" i="9"/>
  <c r="B616" i="9"/>
  <c r="B617" i="9"/>
  <c r="B618" i="9"/>
  <c r="B619" i="9"/>
  <c r="B620" i="9"/>
  <c r="B621" i="9"/>
  <c r="B622" i="9"/>
  <c r="B623" i="9"/>
  <c r="B624" i="9"/>
  <c r="B625" i="9"/>
  <c r="B626" i="9"/>
  <c r="B627" i="9"/>
  <c r="B628" i="9"/>
  <c r="B629" i="9"/>
  <c r="B630" i="9"/>
  <c r="B631" i="9"/>
  <c r="B632" i="9"/>
  <c r="B633" i="9"/>
  <c r="B634" i="9"/>
  <c r="B635" i="9"/>
  <c r="B636" i="9"/>
  <c r="B637" i="9"/>
  <c r="B638" i="9"/>
  <c r="B639" i="9"/>
  <c r="B640" i="9"/>
  <c r="B641" i="9"/>
  <c r="B642" i="9"/>
  <c r="B643" i="9"/>
  <c r="B644" i="9"/>
  <c r="B645" i="9"/>
  <c r="B646" i="9"/>
  <c r="B647" i="9"/>
  <c r="B648" i="9"/>
  <c r="B649" i="9"/>
  <c r="B650" i="9"/>
  <c r="B651" i="9"/>
  <c r="B652" i="9"/>
  <c r="B653" i="9"/>
  <c r="B654" i="9"/>
  <c r="B655" i="9"/>
  <c r="B656" i="9"/>
  <c r="B657" i="9"/>
  <c r="B658" i="9"/>
  <c r="B659" i="9"/>
  <c r="B660" i="9"/>
  <c r="B661" i="9"/>
  <c r="B662" i="9"/>
  <c r="B663" i="9"/>
  <c r="B664" i="9"/>
  <c r="B665" i="9"/>
  <c r="B666" i="9"/>
  <c r="B667" i="9"/>
  <c r="B668" i="9"/>
  <c r="B669" i="9"/>
  <c r="B670" i="9"/>
  <c r="B671" i="9"/>
  <c r="B672" i="9"/>
  <c r="B673" i="9"/>
  <c r="B674" i="9"/>
  <c r="B675" i="9"/>
  <c r="B676" i="9"/>
  <c r="B677" i="9"/>
  <c r="B678" i="9"/>
  <c r="B679" i="9"/>
  <c r="B680" i="9"/>
  <c r="B681" i="9"/>
  <c r="B682" i="9"/>
  <c r="B683" i="9"/>
  <c r="B684" i="9"/>
  <c r="B685" i="9"/>
  <c r="B686" i="9"/>
  <c r="B687" i="9"/>
  <c r="B688" i="9"/>
  <c r="B689" i="9"/>
  <c r="B690" i="9"/>
  <c r="B691" i="9"/>
  <c r="B692" i="9"/>
  <c r="B693" i="9"/>
  <c r="B694" i="9"/>
  <c r="B695" i="9"/>
  <c r="B696" i="9"/>
  <c r="B697" i="9"/>
  <c r="B698" i="9"/>
  <c r="B699" i="9"/>
  <c r="B700" i="9"/>
  <c r="B701" i="9"/>
  <c r="B702" i="9"/>
  <c r="B703" i="9"/>
  <c r="B704" i="9"/>
  <c r="B705" i="9"/>
  <c r="B706" i="9"/>
  <c r="B707" i="9"/>
  <c r="B708" i="9"/>
  <c r="B709" i="9"/>
  <c r="B710" i="9"/>
  <c r="B711" i="9"/>
  <c r="B712" i="9"/>
  <c r="B713" i="9"/>
  <c r="B714" i="9"/>
  <c r="B715" i="9"/>
  <c r="B716" i="9"/>
  <c r="B717" i="9"/>
  <c r="B718" i="9"/>
  <c r="B719" i="9"/>
  <c r="B720" i="9"/>
  <c r="B721" i="9"/>
  <c r="B722" i="9"/>
  <c r="B723" i="9"/>
  <c r="B724" i="9"/>
  <c r="B725" i="9"/>
  <c r="B726" i="9"/>
  <c r="B727" i="9"/>
  <c r="B728" i="9"/>
  <c r="B729" i="9"/>
  <c r="B730" i="9"/>
  <c r="B731" i="9"/>
  <c r="B732" i="9"/>
  <c r="B733" i="9"/>
  <c r="B734" i="9"/>
  <c r="B735" i="9"/>
  <c r="B736" i="9"/>
  <c r="B737" i="9"/>
  <c r="B738" i="9"/>
  <c r="B739" i="9"/>
  <c r="B740" i="9"/>
  <c r="B741" i="9"/>
  <c r="B742" i="9"/>
  <c r="B743" i="9"/>
  <c r="B744" i="9"/>
  <c r="B745" i="9"/>
  <c r="B746" i="9"/>
  <c r="B747" i="9"/>
  <c r="B748" i="9"/>
  <c r="B749" i="9"/>
  <c r="B750" i="9"/>
  <c r="B751" i="9"/>
  <c r="B752" i="9"/>
  <c r="B753" i="9"/>
  <c r="B754" i="9"/>
  <c r="B755" i="9"/>
  <c r="B756" i="9"/>
  <c r="B757" i="9"/>
  <c r="B758" i="9"/>
  <c r="B759" i="9"/>
  <c r="B760" i="9"/>
  <c r="B761" i="9"/>
  <c r="B762" i="9"/>
  <c r="B763" i="9"/>
  <c r="B764" i="9"/>
  <c r="B765" i="9"/>
  <c r="B766" i="9"/>
  <c r="B767" i="9"/>
  <c r="B768" i="9"/>
  <c r="B769" i="9"/>
  <c r="B770" i="9"/>
  <c r="B771" i="9"/>
  <c r="B772" i="9"/>
  <c r="B773" i="9"/>
  <c r="B774" i="9"/>
  <c r="B775" i="9"/>
  <c r="B776" i="9"/>
  <c r="B777" i="9"/>
  <c r="B778" i="9"/>
  <c r="B779" i="9"/>
  <c r="B780" i="9"/>
  <c r="B781" i="9"/>
  <c r="B782" i="9"/>
  <c r="B783" i="9"/>
  <c r="B784" i="9"/>
  <c r="B785" i="9"/>
  <c r="B786" i="9"/>
  <c r="B787" i="9"/>
  <c r="B788" i="9"/>
  <c r="B789" i="9"/>
  <c r="B790" i="9"/>
  <c r="B791" i="9"/>
  <c r="B792" i="9"/>
  <c r="B793" i="9"/>
  <c r="B794" i="9"/>
  <c r="B795" i="9"/>
  <c r="B796" i="9"/>
  <c r="B797" i="9"/>
  <c r="B798" i="9"/>
  <c r="B799" i="9"/>
  <c r="B800" i="9"/>
  <c r="B801" i="9"/>
  <c r="B802" i="9"/>
  <c r="B803" i="9"/>
  <c r="B804" i="9"/>
  <c r="B805" i="9"/>
  <c r="B806" i="9"/>
  <c r="B807" i="9"/>
  <c r="B808" i="9"/>
  <c r="B809" i="9"/>
  <c r="B810" i="9"/>
  <c r="B811" i="9"/>
  <c r="B812" i="9"/>
  <c r="B813" i="9"/>
  <c r="B814" i="9"/>
  <c r="B815" i="9"/>
  <c r="B816" i="9"/>
  <c r="B817" i="9"/>
  <c r="B818" i="9"/>
  <c r="B819" i="9"/>
  <c r="B820" i="9"/>
  <c r="B821" i="9"/>
  <c r="B822" i="9"/>
  <c r="B823" i="9"/>
  <c r="B824" i="9"/>
  <c r="B825" i="9"/>
  <c r="B826" i="9"/>
  <c r="B827" i="9"/>
  <c r="B828" i="9"/>
  <c r="B829" i="9"/>
  <c r="B830" i="9"/>
  <c r="B831" i="9"/>
  <c r="B832" i="9"/>
  <c r="B833" i="9"/>
  <c r="B834" i="9"/>
  <c r="B835" i="9"/>
  <c r="B836" i="9"/>
  <c r="B837" i="9"/>
  <c r="B838" i="9"/>
  <c r="B839" i="9"/>
  <c r="B840" i="9"/>
  <c r="B841" i="9"/>
  <c r="B842" i="9"/>
  <c r="B843" i="9"/>
  <c r="B844" i="9"/>
  <c r="B845" i="9"/>
  <c r="B846" i="9"/>
  <c r="B847" i="9"/>
  <c r="B848" i="9"/>
  <c r="B849" i="9"/>
  <c r="B850" i="9"/>
  <c r="B851" i="9"/>
  <c r="B852" i="9"/>
  <c r="B853" i="9"/>
  <c r="B854" i="9"/>
  <c r="B855" i="9"/>
  <c r="B856" i="9"/>
  <c r="B857" i="9"/>
  <c r="B858" i="9"/>
  <c r="B859" i="9"/>
  <c r="B860" i="9"/>
  <c r="B861" i="9"/>
  <c r="B862" i="9"/>
  <c r="B863" i="9"/>
  <c r="B864" i="9"/>
  <c r="B865" i="9"/>
  <c r="B866" i="9"/>
  <c r="B867" i="9"/>
  <c r="B868" i="9"/>
  <c r="B869" i="9"/>
  <c r="B870" i="9"/>
  <c r="B871" i="9"/>
  <c r="B872" i="9"/>
  <c r="B873" i="9"/>
  <c r="B874" i="9"/>
  <c r="B875" i="9"/>
  <c r="B876" i="9"/>
  <c r="B877" i="9"/>
  <c r="B878" i="9"/>
  <c r="B879" i="9"/>
  <c r="B880" i="9"/>
  <c r="B881" i="9"/>
  <c r="B882" i="9"/>
  <c r="B883" i="9"/>
  <c r="B884" i="9"/>
  <c r="B885" i="9"/>
  <c r="B886" i="9"/>
  <c r="B887" i="9"/>
  <c r="B888" i="9"/>
  <c r="B889" i="9"/>
  <c r="B890" i="9"/>
  <c r="B891" i="9"/>
  <c r="B892" i="9"/>
  <c r="B893" i="9"/>
  <c r="B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A98" i="9"/>
  <c r="A99" i="9"/>
  <c r="A100" i="9"/>
  <c r="A101" i="9"/>
  <c r="A102" i="9"/>
  <c r="A103" i="9"/>
  <c r="A104" i="9"/>
  <c r="A105" i="9"/>
  <c r="A106" i="9"/>
  <c r="A107" i="9"/>
  <c r="A108" i="9"/>
  <c r="A109" i="9"/>
  <c r="A110" i="9"/>
  <c r="A111" i="9"/>
  <c r="A112" i="9"/>
  <c r="A113" i="9"/>
  <c r="A114" i="9"/>
  <c r="A115" i="9"/>
  <c r="A116" i="9"/>
  <c r="A117" i="9"/>
  <c r="A118" i="9"/>
  <c r="A119" i="9"/>
  <c r="A120" i="9"/>
  <c r="A121" i="9"/>
  <c r="A122" i="9"/>
  <c r="A123" i="9"/>
  <c r="A124" i="9"/>
  <c r="A125" i="9"/>
  <c r="A126" i="9"/>
  <c r="A127" i="9"/>
  <c r="A128" i="9"/>
  <c r="A129" i="9"/>
  <c r="A130" i="9"/>
  <c r="A131" i="9"/>
  <c r="A132" i="9"/>
  <c r="A133" i="9"/>
  <c r="A134" i="9"/>
  <c r="A135" i="9"/>
  <c r="A136" i="9"/>
  <c r="A137" i="9"/>
  <c r="A138" i="9"/>
  <c r="A139" i="9"/>
  <c r="A140" i="9"/>
  <c r="A141" i="9"/>
  <c r="A142" i="9"/>
  <c r="A143" i="9"/>
  <c r="A144" i="9"/>
  <c r="A145" i="9"/>
  <c r="A146" i="9"/>
  <c r="A147" i="9"/>
  <c r="A148" i="9"/>
  <c r="A149" i="9"/>
  <c r="A150" i="9"/>
  <c r="A151" i="9"/>
  <c r="A152" i="9"/>
  <c r="A153" i="9"/>
  <c r="A154" i="9"/>
  <c r="A155" i="9"/>
  <c r="A156" i="9"/>
  <c r="A157" i="9"/>
  <c r="A158" i="9"/>
  <c r="A159" i="9"/>
  <c r="A160" i="9"/>
  <c r="A161" i="9"/>
  <c r="A162" i="9"/>
  <c r="A163" i="9"/>
  <c r="A164" i="9"/>
  <c r="A165" i="9"/>
  <c r="A166" i="9"/>
  <c r="A167" i="9"/>
  <c r="A168" i="9"/>
  <c r="A169" i="9"/>
  <c r="A170" i="9"/>
  <c r="A171" i="9"/>
  <c r="A172" i="9"/>
  <c r="A173" i="9"/>
  <c r="A174" i="9"/>
  <c r="A175" i="9"/>
  <c r="A176" i="9"/>
  <c r="A177" i="9"/>
  <c r="A178" i="9"/>
  <c r="A179" i="9"/>
  <c r="A180" i="9"/>
  <c r="A181" i="9"/>
  <c r="A182" i="9"/>
  <c r="A183" i="9"/>
  <c r="A184" i="9"/>
  <c r="A185" i="9"/>
  <c r="A186" i="9"/>
  <c r="A187" i="9"/>
  <c r="A188" i="9"/>
  <c r="A189" i="9"/>
  <c r="A190" i="9"/>
  <c r="A191" i="9"/>
  <c r="A192" i="9"/>
  <c r="A193" i="9"/>
  <c r="A194" i="9"/>
  <c r="A195" i="9"/>
  <c r="A196" i="9"/>
  <c r="A197" i="9"/>
  <c r="A198" i="9"/>
  <c r="A199" i="9"/>
  <c r="A200" i="9"/>
  <c r="A201" i="9"/>
  <c r="A202" i="9"/>
  <c r="A203" i="9"/>
  <c r="A204" i="9"/>
  <c r="A205" i="9"/>
  <c r="A206" i="9"/>
  <c r="A207" i="9"/>
  <c r="A208" i="9"/>
  <c r="A209" i="9"/>
  <c r="A210" i="9"/>
  <c r="A211" i="9"/>
  <c r="A212" i="9"/>
  <c r="A213" i="9"/>
  <c r="A214" i="9"/>
  <c r="A215" i="9"/>
  <c r="A216" i="9"/>
  <c r="A217" i="9"/>
  <c r="A218" i="9"/>
  <c r="A219" i="9"/>
  <c r="A220" i="9"/>
  <c r="A221" i="9"/>
  <c r="A222" i="9"/>
  <c r="A223" i="9"/>
  <c r="A224" i="9"/>
  <c r="A225" i="9"/>
  <c r="A226" i="9"/>
  <c r="A227" i="9"/>
  <c r="A228" i="9"/>
  <c r="A229" i="9"/>
  <c r="A230" i="9"/>
  <c r="A231" i="9"/>
  <c r="A232" i="9"/>
  <c r="A233" i="9"/>
  <c r="A234" i="9"/>
  <c r="A235" i="9"/>
  <c r="A236" i="9"/>
  <c r="A237" i="9"/>
  <c r="A238" i="9"/>
  <c r="A239" i="9"/>
  <c r="A240" i="9"/>
  <c r="A241" i="9"/>
  <c r="A242" i="9"/>
  <c r="A243" i="9"/>
  <c r="A244" i="9"/>
  <c r="A245" i="9"/>
  <c r="A246" i="9"/>
  <c r="A247" i="9"/>
  <c r="A248" i="9"/>
  <c r="A249" i="9"/>
  <c r="A250" i="9"/>
  <c r="A251" i="9"/>
  <c r="A252" i="9"/>
  <c r="A253" i="9"/>
  <c r="A254" i="9"/>
  <c r="A255" i="9"/>
  <c r="A256" i="9"/>
  <c r="A257" i="9"/>
  <c r="A258" i="9"/>
  <c r="A259" i="9"/>
  <c r="A260" i="9"/>
  <c r="A261" i="9"/>
  <c r="A262" i="9"/>
  <c r="A263" i="9"/>
  <c r="A264" i="9"/>
  <c r="A265" i="9"/>
  <c r="A266" i="9"/>
  <c r="A267" i="9"/>
  <c r="A268" i="9"/>
  <c r="A269" i="9"/>
  <c r="A270" i="9"/>
  <c r="A271" i="9"/>
  <c r="A272" i="9"/>
  <c r="A273" i="9"/>
  <c r="A274" i="9"/>
  <c r="A275" i="9"/>
  <c r="A276" i="9"/>
  <c r="A277" i="9"/>
  <c r="A278" i="9"/>
  <c r="A279" i="9"/>
  <c r="A280" i="9"/>
  <c r="A281" i="9"/>
  <c r="A282" i="9"/>
  <c r="A283" i="9"/>
  <c r="A284" i="9"/>
  <c r="A285" i="9"/>
  <c r="A286" i="9"/>
  <c r="A287" i="9"/>
  <c r="A288" i="9"/>
  <c r="A289" i="9"/>
  <c r="A290" i="9"/>
  <c r="A291" i="9"/>
  <c r="A292" i="9"/>
  <c r="A293" i="9"/>
  <c r="A294" i="9"/>
  <c r="A295" i="9"/>
  <c r="A296" i="9"/>
  <c r="A297" i="9"/>
  <c r="A298" i="9"/>
  <c r="A299" i="9"/>
  <c r="A300" i="9"/>
  <c r="A301" i="9"/>
  <c r="A302" i="9"/>
  <c r="A303" i="9"/>
  <c r="A304" i="9"/>
  <c r="A305" i="9"/>
  <c r="A306" i="9"/>
  <c r="A307" i="9"/>
  <c r="A308" i="9"/>
  <c r="A309" i="9"/>
  <c r="A310" i="9"/>
  <c r="A311" i="9"/>
  <c r="A312" i="9"/>
  <c r="A313" i="9"/>
  <c r="A314" i="9"/>
  <c r="A315" i="9"/>
  <c r="A316" i="9"/>
  <c r="A317" i="9"/>
  <c r="A318" i="9"/>
  <c r="A319" i="9"/>
  <c r="A320" i="9"/>
  <c r="A321" i="9"/>
  <c r="A322" i="9"/>
  <c r="A323" i="9"/>
  <c r="A324" i="9"/>
  <c r="A325" i="9"/>
  <c r="A326" i="9"/>
  <c r="A327" i="9"/>
  <c r="A328" i="9"/>
  <c r="A329" i="9"/>
  <c r="A330" i="9"/>
  <c r="A331" i="9"/>
  <c r="A332" i="9"/>
  <c r="A333" i="9"/>
  <c r="A334" i="9"/>
  <c r="A335" i="9"/>
  <c r="A336" i="9"/>
  <c r="A337" i="9"/>
  <c r="A338" i="9"/>
  <c r="A339" i="9"/>
  <c r="A340" i="9"/>
  <c r="A341" i="9"/>
  <c r="A342" i="9"/>
  <c r="A343" i="9"/>
  <c r="A344" i="9"/>
  <c r="A345" i="9"/>
  <c r="A346" i="9"/>
  <c r="A347" i="9"/>
  <c r="A348" i="9"/>
  <c r="A349" i="9"/>
  <c r="A350" i="9"/>
  <c r="A351" i="9"/>
  <c r="A352" i="9"/>
  <c r="A353" i="9"/>
  <c r="A354" i="9"/>
  <c r="A355" i="9"/>
  <c r="A356" i="9"/>
  <c r="A357" i="9"/>
  <c r="A358" i="9"/>
  <c r="A359" i="9"/>
  <c r="A360" i="9"/>
  <c r="A361" i="9"/>
  <c r="A362" i="9"/>
  <c r="A363" i="9"/>
  <c r="A364" i="9"/>
  <c r="A365" i="9"/>
  <c r="A366" i="9"/>
  <c r="A367" i="9"/>
  <c r="A368" i="9"/>
  <c r="A369" i="9"/>
  <c r="A370" i="9"/>
  <c r="A371" i="9"/>
  <c r="A372" i="9"/>
  <c r="A373" i="9"/>
  <c r="A374" i="9"/>
  <c r="A375" i="9"/>
  <c r="A376" i="9"/>
  <c r="A377" i="9"/>
  <c r="A378" i="9"/>
  <c r="A379" i="9"/>
  <c r="A380" i="9"/>
  <c r="A381" i="9"/>
  <c r="A382" i="9"/>
  <c r="A383" i="9"/>
  <c r="A384" i="9"/>
  <c r="A385" i="9"/>
  <c r="A386" i="9"/>
  <c r="A387" i="9"/>
  <c r="A388" i="9"/>
  <c r="A389" i="9"/>
  <c r="A390" i="9"/>
  <c r="A391" i="9"/>
  <c r="A392" i="9"/>
  <c r="A393" i="9"/>
  <c r="A394" i="9"/>
  <c r="A395" i="9"/>
  <c r="A396" i="9"/>
  <c r="A397" i="9"/>
  <c r="A398" i="9"/>
  <c r="A399" i="9"/>
  <c r="A400" i="9"/>
  <c r="A401" i="9"/>
  <c r="A402" i="9"/>
  <c r="A403" i="9"/>
  <c r="A404" i="9"/>
  <c r="A405" i="9"/>
  <c r="A406" i="9"/>
  <c r="A407" i="9"/>
  <c r="A408" i="9"/>
  <c r="A409" i="9"/>
  <c r="A410" i="9"/>
  <c r="A411" i="9"/>
  <c r="A412" i="9"/>
  <c r="A413" i="9"/>
  <c r="A414" i="9"/>
  <c r="A415" i="9"/>
  <c r="A416" i="9"/>
  <c r="A417" i="9"/>
  <c r="A418" i="9"/>
  <c r="A419" i="9"/>
  <c r="A420" i="9"/>
  <c r="A421" i="9"/>
  <c r="A422" i="9"/>
  <c r="A423" i="9"/>
  <c r="A424" i="9"/>
  <c r="A425" i="9"/>
  <c r="A426" i="9"/>
  <c r="A427" i="9"/>
  <c r="A428" i="9"/>
  <c r="A429" i="9"/>
  <c r="A430" i="9"/>
  <c r="A431" i="9"/>
  <c r="A432" i="9"/>
  <c r="A433" i="9"/>
  <c r="A434" i="9"/>
  <c r="A435" i="9"/>
  <c r="A436" i="9"/>
  <c r="A437" i="9"/>
  <c r="A438" i="9"/>
  <c r="A439" i="9"/>
  <c r="A440" i="9"/>
  <c r="A441" i="9"/>
  <c r="A442" i="9"/>
  <c r="A443" i="9"/>
  <c r="A444" i="9"/>
  <c r="A445" i="9"/>
  <c r="A446" i="9"/>
  <c r="A447" i="9"/>
  <c r="A448" i="9"/>
  <c r="A449" i="9"/>
  <c r="A450" i="9"/>
  <c r="A451" i="9"/>
  <c r="A452" i="9"/>
  <c r="A453" i="9"/>
  <c r="A454" i="9"/>
  <c r="A455" i="9"/>
  <c r="A456" i="9"/>
  <c r="A457" i="9"/>
  <c r="A458" i="9"/>
  <c r="A459" i="9"/>
  <c r="A460" i="9"/>
  <c r="A461" i="9"/>
  <c r="A462" i="9"/>
  <c r="A463" i="9"/>
  <c r="A464" i="9"/>
  <c r="A465" i="9"/>
  <c r="A466" i="9"/>
  <c r="A467" i="9"/>
  <c r="A468" i="9"/>
  <c r="A469" i="9"/>
  <c r="A470" i="9"/>
  <c r="A471" i="9"/>
  <c r="A472" i="9"/>
  <c r="A473" i="9"/>
  <c r="A474" i="9"/>
  <c r="A475" i="9"/>
  <c r="A476" i="9"/>
  <c r="A477" i="9"/>
  <c r="A478" i="9"/>
  <c r="A479" i="9"/>
  <c r="A480" i="9"/>
  <c r="A481" i="9"/>
  <c r="A482" i="9"/>
  <c r="A483" i="9"/>
  <c r="A484" i="9"/>
  <c r="A485" i="9"/>
  <c r="A486" i="9"/>
  <c r="A487" i="9"/>
  <c r="A488" i="9"/>
  <c r="A489" i="9"/>
  <c r="A490" i="9"/>
  <c r="A491" i="9"/>
  <c r="A492" i="9"/>
  <c r="A493" i="9"/>
  <c r="A494" i="9"/>
  <c r="A495" i="9"/>
  <c r="A496" i="9"/>
  <c r="A497" i="9"/>
  <c r="A498" i="9"/>
  <c r="A499" i="9"/>
  <c r="A500" i="9"/>
  <c r="A501" i="9"/>
  <c r="A502" i="9"/>
  <c r="A503" i="9"/>
  <c r="A504" i="9"/>
  <c r="A505" i="9"/>
  <c r="A506" i="9"/>
  <c r="A507" i="9"/>
  <c r="A508" i="9"/>
  <c r="A509" i="9"/>
  <c r="A510" i="9"/>
  <c r="A511" i="9"/>
  <c r="A512" i="9"/>
  <c r="A513" i="9"/>
  <c r="A514" i="9"/>
  <c r="A515" i="9"/>
  <c r="A516" i="9"/>
  <c r="A517" i="9"/>
  <c r="A518" i="9"/>
  <c r="A519" i="9"/>
  <c r="A520" i="9"/>
  <c r="A521" i="9"/>
  <c r="A522" i="9"/>
  <c r="A523" i="9"/>
  <c r="A524" i="9"/>
  <c r="A525" i="9"/>
  <c r="A526" i="9"/>
  <c r="A527" i="9"/>
  <c r="A528" i="9"/>
  <c r="A529" i="9"/>
  <c r="A530" i="9"/>
  <c r="A531" i="9"/>
  <c r="A532" i="9"/>
  <c r="A533" i="9"/>
  <c r="A534" i="9"/>
  <c r="A535" i="9"/>
  <c r="A536" i="9"/>
  <c r="A537" i="9"/>
  <c r="A538" i="9"/>
  <c r="A539" i="9"/>
  <c r="A540" i="9"/>
  <c r="A541" i="9"/>
  <c r="A542" i="9"/>
  <c r="A543" i="9"/>
  <c r="A544" i="9"/>
  <c r="A545" i="9"/>
  <c r="A546" i="9"/>
  <c r="A547" i="9"/>
  <c r="A548" i="9"/>
  <c r="A549" i="9"/>
  <c r="A550" i="9"/>
  <c r="A551" i="9"/>
  <c r="A552" i="9"/>
  <c r="A553" i="9"/>
  <c r="A554" i="9"/>
  <c r="A555" i="9"/>
  <c r="A556" i="9"/>
  <c r="A557" i="9"/>
  <c r="A558" i="9"/>
  <c r="A559" i="9"/>
  <c r="A560" i="9"/>
  <c r="A561" i="9"/>
  <c r="A562" i="9"/>
  <c r="A563" i="9"/>
  <c r="A564" i="9"/>
  <c r="A565" i="9"/>
  <c r="A566" i="9"/>
  <c r="A567" i="9"/>
  <c r="A568" i="9"/>
  <c r="A569" i="9"/>
  <c r="A570" i="9"/>
  <c r="A571" i="9"/>
  <c r="A572" i="9"/>
  <c r="A573" i="9"/>
  <c r="A574" i="9"/>
  <c r="A575" i="9"/>
  <c r="A576" i="9"/>
  <c r="A577" i="9"/>
  <c r="A578" i="9"/>
  <c r="A579" i="9"/>
  <c r="A580" i="9"/>
  <c r="A581" i="9"/>
  <c r="A582" i="9"/>
  <c r="A583" i="9"/>
  <c r="A584" i="9"/>
  <c r="A585" i="9"/>
  <c r="A586" i="9"/>
  <c r="A587" i="9"/>
  <c r="A588" i="9"/>
  <c r="A589" i="9"/>
  <c r="A590" i="9"/>
  <c r="A591" i="9"/>
  <c r="A592" i="9"/>
  <c r="A593" i="9"/>
  <c r="A594" i="9"/>
  <c r="A595" i="9"/>
  <c r="A596" i="9"/>
  <c r="A597" i="9"/>
  <c r="A598" i="9"/>
  <c r="A599" i="9"/>
  <c r="A600" i="9"/>
  <c r="A601" i="9"/>
  <c r="A602" i="9"/>
  <c r="A603" i="9"/>
  <c r="A604" i="9"/>
  <c r="A605" i="9"/>
  <c r="A606" i="9"/>
  <c r="A607" i="9"/>
  <c r="A608" i="9"/>
  <c r="A609" i="9"/>
  <c r="A610" i="9"/>
  <c r="A611" i="9"/>
  <c r="A612" i="9"/>
  <c r="A613" i="9"/>
  <c r="A614" i="9"/>
  <c r="A615" i="9"/>
  <c r="A616" i="9"/>
  <c r="A617" i="9"/>
  <c r="A618" i="9"/>
  <c r="A619" i="9"/>
  <c r="A620" i="9"/>
  <c r="A621" i="9"/>
  <c r="A622" i="9"/>
  <c r="A623" i="9"/>
  <c r="A624" i="9"/>
  <c r="A625" i="9"/>
  <c r="A626" i="9"/>
  <c r="A627" i="9"/>
  <c r="A628" i="9"/>
  <c r="A629" i="9"/>
  <c r="A630" i="9"/>
  <c r="A631" i="9"/>
  <c r="A632" i="9"/>
  <c r="A633" i="9"/>
  <c r="A634" i="9"/>
  <c r="A635" i="9"/>
  <c r="A636" i="9"/>
  <c r="A637" i="9"/>
  <c r="A638" i="9"/>
  <c r="A639" i="9"/>
  <c r="A640" i="9"/>
  <c r="A641" i="9"/>
  <c r="A642" i="9"/>
  <c r="A643" i="9"/>
  <c r="A644" i="9"/>
  <c r="A645" i="9"/>
  <c r="A646" i="9"/>
  <c r="A647" i="9"/>
  <c r="A648" i="9"/>
  <c r="A649" i="9"/>
  <c r="A650" i="9"/>
  <c r="A651" i="9"/>
  <c r="A652" i="9"/>
  <c r="A653" i="9"/>
  <c r="A654" i="9"/>
  <c r="A655" i="9"/>
  <c r="A656" i="9"/>
  <c r="A657" i="9"/>
  <c r="A658" i="9"/>
  <c r="A659" i="9"/>
  <c r="A660" i="9"/>
  <c r="A661" i="9"/>
  <c r="A662" i="9"/>
  <c r="A663" i="9"/>
  <c r="A664" i="9"/>
  <c r="A665" i="9"/>
  <c r="A666" i="9"/>
  <c r="A667" i="9"/>
  <c r="A668" i="9"/>
  <c r="A669" i="9"/>
  <c r="A670" i="9"/>
  <c r="A671" i="9"/>
  <c r="A672" i="9"/>
  <c r="A673" i="9"/>
  <c r="A674" i="9"/>
  <c r="A675" i="9"/>
  <c r="A676" i="9"/>
  <c r="A677" i="9"/>
  <c r="A678" i="9"/>
  <c r="A679" i="9"/>
  <c r="A680" i="9"/>
  <c r="A681" i="9"/>
  <c r="A682" i="9"/>
  <c r="A683" i="9"/>
  <c r="A684" i="9"/>
  <c r="A685" i="9"/>
  <c r="A686" i="9"/>
  <c r="A687" i="9"/>
  <c r="A688" i="9"/>
  <c r="A689" i="9"/>
  <c r="A690" i="9"/>
  <c r="A691" i="9"/>
  <c r="A692" i="9"/>
  <c r="A693" i="9"/>
  <c r="A694" i="9"/>
  <c r="A695" i="9"/>
  <c r="A696" i="9"/>
  <c r="A697" i="9"/>
  <c r="A698" i="9"/>
  <c r="A699" i="9"/>
  <c r="A700" i="9"/>
  <c r="A701" i="9"/>
  <c r="A702" i="9"/>
  <c r="A703" i="9"/>
  <c r="A704" i="9"/>
  <c r="A705" i="9"/>
  <c r="A706" i="9"/>
  <c r="A707" i="9"/>
  <c r="A708" i="9"/>
  <c r="A709" i="9"/>
  <c r="A710" i="9"/>
  <c r="A711" i="9"/>
  <c r="A712" i="9"/>
  <c r="A713" i="9"/>
  <c r="A714" i="9"/>
  <c r="A715" i="9"/>
  <c r="A716" i="9"/>
  <c r="A717" i="9"/>
  <c r="A718" i="9"/>
  <c r="A719" i="9"/>
  <c r="A720" i="9"/>
  <c r="A721" i="9"/>
  <c r="A722" i="9"/>
  <c r="A723" i="9"/>
  <c r="A724" i="9"/>
  <c r="A725" i="9"/>
  <c r="A726" i="9"/>
  <c r="A727" i="9"/>
  <c r="A728" i="9"/>
  <c r="A729" i="9"/>
  <c r="A730" i="9"/>
  <c r="A731" i="9"/>
  <c r="A732" i="9"/>
  <c r="A733" i="9"/>
  <c r="A734" i="9"/>
  <c r="A735" i="9"/>
  <c r="A736" i="9"/>
  <c r="A737" i="9"/>
  <c r="A738" i="9"/>
  <c r="A739" i="9"/>
  <c r="A740" i="9"/>
  <c r="A741" i="9"/>
  <c r="A742" i="9"/>
  <c r="A743" i="9"/>
  <c r="A744" i="9"/>
  <c r="A745" i="9"/>
  <c r="A746" i="9"/>
  <c r="A747" i="9"/>
  <c r="A748" i="9"/>
  <c r="A749" i="9"/>
  <c r="A750" i="9"/>
  <c r="A751" i="9"/>
  <c r="A752" i="9"/>
  <c r="A753" i="9"/>
  <c r="A754" i="9"/>
  <c r="A755" i="9"/>
  <c r="A756" i="9"/>
  <c r="A757" i="9"/>
  <c r="A758" i="9"/>
  <c r="A759" i="9"/>
  <c r="A760" i="9"/>
  <c r="A761" i="9"/>
  <c r="A762" i="9"/>
  <c r="A763" i="9"/>
  <c r="A764" i="9"/>
  <c r="A765" i="9"/>
  <c r="A766" i="9"/>
  <c r="A767" i="9"/>
  <c r="A768" i="9"/>
  <c r="A769" i="9"/>
  <c r="A770" i="9"/>
  <c r="A771" i="9"/>
  <c r="A772" i="9"/>
  <c r="A773" i="9"/>
  <c r="A774" i="9"/>
  <c r="A775" i="9"/>
  <c r="A776" i="9"/>
  <c r="A777" i="9"/>
  <c r="A778" i="9"/>
  <c r="A779" i="9"/>
  <c r="A780" i="9"/>
  <c r="A781" i="9"/>
  <c r="A782" i="9"/>
  <c r="A783" i="9"/>
  <c r="A784" i="9"/>
  <c r="A785" i="9"/>
  <c r="A786" i="9"/>
  <c r="A787" i="9"/>
  <c r="A788" i="9"/>
  <c r="A789" i="9"/>
  <c r="A790" i="9"/>
  <c r="A791" i="9"/>
  <c r="A792" i="9"/>
  <c r="A793" i="9"/>
  <c r="A794" i="9"/>
  <c r="A795" i="9"/>
  <c r="A796" i="9"/>
  <c r="A797" i="9"/>
  <c r="A798" i="9"/>
  <c r="A799" i="9"/>
  <c r="A800" i="9"/>
  <c r="A801" i="9"/>
  <c r="A802" i="9"/>
  <c r="A803" i="9"/>
  <c r="A804" i="9"/>
  <c r="A805" i="9"/>
  <c r="A806" i="9"/>
  <c r="A807" i="9"/>
  <c r="A808" i="9"/>
  <c r="A809" i="9"/>
  <c r="A810" i="9"/>
  <c r="A811" i="9"/>
  <c r="A812" i="9"/>
  <c r="A813" i="9"/>
  <c r="A814" i="9"/>
  <c r="A815" i="9"/>
  <c r="A816" i="9"/>
  <c r="A817" i="9"/>
  <c r="A818" i="9"/>
  <c r="A819" i="9"/>
  <c r="A820" i="9"/>
  <c r="A821" i="9"/>
  <c r="A822" i="9"/>
  <c r="A823" i="9"/>
  <c r="A824" i="9"/>
  <c r="A825" i="9"/>
  <c r="A826" i="9"/>
  <c r="A827" i="9"/>
  <c r="A828" i="9"/>
  <c r="A829" i="9"/>
  <c r="A830" i="9"/>
  <c r="A831" i="9"/>
  <c r="A832" i="9"/>
  <c r="A833" i="9"/>
  <c r="A834" i="9"/>
  <c r="A835" i="9"/>
  <c r="A836" i="9"/>
  <c r="A837" i="9"/>
  <c r="A838" i="9"/>
  <c r="A839" i="9"/>
  <c r="A840" i="9"/>
  <c r="A841" i="9"/>
  <c r="A842" i="9"/>
  <c r="A843" i="9"/>
  <c r="A844" i="9"/>
  <c r="A845" i="9"/>
  <c r="A846" i="9"/>
  <c r="A847" i="9"/>
  <c r="A848" i="9"/>
  <c r="A849" i="9"/>
  <c r="A850" i="9"/>
  <c r="A851" i="9"/>
  <c r="A852" i="9"/>
  <c r="A853" i="9"/>
  <c r="A854" i="9"/>
  <c r="A855" i="9"/>
  <c r="A856" i="9"/>
  <c r="A857" i="9"/>
  <c r="A858" i="9"/>
  <c r="A859" i="9"/>
  <c r="A860" i="9"/>
  <c r="A861" i="9"/>
  <c r="A862" i="9"/>
  <c r="A863" i="9"/>
  <c r="A864" i="9"/>
  <c r="A865" i="9"/>
  <c r="A866" i="9"/>
  <c r="A867" i="9"/>
  <c r="A868" i="9"/>
  <c r="A869" i="9"/>
  <c r="A870" i="9"/>
  <c r="A871" i="9"/>
  <c r="A872" i="9"/>
  <c r="A873" i="9"/>
  <c r="A874" i="9"/>
  <c r="A875" i="9"/>
  <c r="A876" i="9"/>
  <c r="A877" i="9"/>
  <c r="A878" i="9"/>
  <c r="A879" i="9"/>
  <c r="A880" i="9"/>
  <c r="A881" i="9"/>
  <c r="A882" i="9"/>
  <c r="A883" i="9"/>
  <c r="A884" i="9"/>
  <c r="A885" i="9"/>
  <c r="A886" i="9"/>
  <c r="A887" i="9"/>
  <c r="A888" i="9"/>
  <c r="A889" i="9"/>
  <c r="A890" i="9"/>
  <c r="A891" i="9"/>
  <c r="A892" i="9"/>
  <c r="A893" i="9"/>
  <c r="A3" i="9"/>
  <c r="A38" i="8" l="1"/>
  <c r="B38" i="8"/>
  <c r="C38" i="8"/>
  <c r="AG38" i="8"/>
  <c r="AH38" i="8" s="1"/>
  <c r="AK38" i="8" s="1"/>
  <c r="A39" i="8"/>
  <c r="B39" i="8"/>
  <c r="C39" i="8"/>
  <c r="AG39" i="8"/>
  <c r="AH39" i="8" s="1"/>
  <c r="AK39" i="8" s="1"/>
  <c r="A40" i="8"/>
  <c r="B40" i="8"/>
  <c r="C40" i="8"/>
  <c r="AG40" i="8"/>
  <c r="AH40" i="8" s="1"/>
  <c r="AK40" i="8" s="1"/>
  <c r="A41" i="8"/>
  <c r="B41" i="8"/>
  <c r="C41" i="8"/>
  <c r="AG41" i="8"/>
  <c r="AH41" i="8" s="1"/>
  <c r="AK41" i="8" s="1"/>
  <c r="A42" i="8"/>
  <c r="B42" i="8"/>
  <c r="C42" i="8"/>
  <c r="AG42" i="8"/>
  <c r="AH42" i="8" s="1"/>
  <c r="AK42" i="8" s="1"/>
  <c r="A43" i="8"/>
  <c r="B43" i="8"/>
  <c r="C43" i="8"/>
  <c r="AG43" i="8"/>
  <c r="AH43" i="8" s="1"/>
  <c r="AK43" i="8" s="1"/>
  <c r="A44" i="8"/>
  <c r="B44" i="8"/>
  <c r="C44" i="8"/>
  <c r="AG44" i="8"/>
  <c r="AH44" i="8" s="1"/>
  <c r="AK44" i="8" s="1"/>
  <c r="A45" i="8"/>
  <c r="B45" i="8"/>
  <c r="C45" i="8"/>
  <c r="AG45" i="8"/>
  <c r="AH45" i="8" s="1"/>
  <c r="AK45" i="8" s="1"/>
  <c r="A46" i="8"/>
  <c r="B46" i="8"/>
  <c r="C46" i="8"/>
  <c r="AG46" i="8"/>
  <c r="AH46" i="8" s="1"/>
  <c r="AK46" i="8" s="1"/>
  <c r="A47" i="8"/>
  <c r="B47" i="8"/>
  <c r="C47" i="8"/>
  <c r="AG47" i="8"/>
  <c r="AH47" i="8" s="1"/>
  <c r="AK47" i="8" s="1"/>
  <c r="A48" i="8"/>
  <c r="B48" i="8"/>
  <c r="C48" i="8"/>
  <c r="AG48" i="8"/>
  <c r="AH48" i="8" s="1"/>
  <c r="AK48" i="8" s="1"/>
  <c r="A49" i="8"/>
  <c r="B49" i="8"/>
  <c r="C49" i="8"/>
  <c r="AG49" i="8"/>
  <c r="AH49" i="8" s="1"/>
  <c r="AK49" i="8" s="1"/>
  <c r="A50" i="8"/>
  <c r="B50" i="8"/>
  <c r="C50" i="8"/>
  <c r="AG50" i="8"/>
  <c r="AH50" i="8" s="1"/>
  <c r="AK50" i="8" s="1"/>
  <c r="A51" i="8"/>
  <c r="B51" i="8"/>
  <c r="C51" i="8"/>
  <c r="AG51" i="8"/>
  <c r="AH51" i="8" s="1"/>
  <c r="AK51" i="8" s="1"/>
  <c r="A52" i="8"/>
  <c r="B52" i="8"/>
  <c r="C52" i="8"/>
  <c r="AG52" i="8"/>
  <c r="AH52" i="8" s="1"/>
  <c r="AK52" i="8" s="1"/>
  <c r="A53" i="8"/>
  <c r="B53" i="8"/>
  <c r="C53" i="8"/>
  <c r="AG53" i="8"/>
  <c r="AH53" i="8" s="1"/>
  <c r="AK53" i="8" s="1"/>
  <c r="A54" i="8"/>
  <c r="B54" i="8"/>
  <c r="C54" i="8"/>
  <c r="AG54" i="8"/>
  <c r="AH54" i="8" s="1"/>
  <c r="AK54" i="8" s="1"/>
  <c r="A55" i="8"/>
  <c r="B55" i="8"/>
  <c r="C55" i="8"/>
  <c r="AG55" i="8"/>
  <c r="AH55" i="8" s="1"/>
  <c r="AK55" i="8" s="1"/>
  <c r="A56" i="8"/>
  <c r="B56" i="8"/>
  <c r="C56" i="8"/>
  <c r="AG56" i="8"/>
  <c r="AH56" i="8" s="1"/>
  <c r="AK56" i="8" s="1"/>
  <c r="A57" i="8"/>
  <c r="B57" i="8"/>
  <c r="C57" i="8"/>
  <c r="AG57" i="8"/>
  <c r="AH57" i="8" s="1"/>
  <c r="AK57" i="8" s="1"/>
  <c r="A58" i="8"/>
  <c r="B58" i="8"/>
  <c r="C58" i="8"/>
  <c r="AG58" i="8"/>
  <c r="AH58" i="8" s="1"/>
  <c r="AK58" i="8" s="1"/>
  <c r="A59" i="8"/>
  <c r="B59" i="8"/>
  <c r="C59" i="8"/>
  <c r="AG59" i="8"/>
  <c r="AH59" i="8" s="1"/>
  <c r="AK59" i="8" s="1"/>
  <c r="A60" i="8"/>
  <c r="B60" i="8"/>
  <c r="C60" i="8"/>
  <c r="AG60" i="8"/>
  <c r="AH60" i="8" s="1"/>
  <c r="AK60" i="8" s="1"/>
  <c r="A61" i="8"/>
  <c r="B61" i="8"/>
  <c r="C61" i="8"/>
  <c r="AG61" i="8"/>
  <c r="AH61" i="8" s="1"/>
  <c r="AK61" i="8" s="1"/>
  <c r="A62" i="8"/>
  <c r="B62" i="8"/>
  <c r="C62" i="8"/>
  <c r="AG62" i="8"/>
  <c r="AH62" i="8" s="1"/>
  <c r="AK62" i="8" s="1"/>
  <c r="A63" i="8"/>
  <c r="B63" i="8"/>
  <c r="C63" i="8"/>
  <c r="AG63" i="8"/>
  <c r="AH63" i="8" s="1"/>
  <c r="AK63" i="8" s="1"/>
  <c r="A64" i="8"/>
  <c r="B64" i="8"/>
  <c r="C64" i="8"/>
  <c r="AG64" i="8"/>
  <c r="AH64" i="8" s="1"/>
  <c r="AK64" i="8" s="1"/>
  <c r="A65" i="8"/>
  <c r="B65" i="8"/>
  <c r="C65" i="8"/>
  <c r="AG65" i="8"/>
  <c r="AH65" i="8" s="1"/>
  <c r="AK65" i="8" s="1"/>
  <c r="A66" i="8"/>
  <c r="B66" i="8"/>
  <c r="C66" i="8"/>
  <c r="AG66" i="8"/>
  <c r="AH66" i="8" s="1"/>
  <c r="AK66" i="8" s="1"/>
  <c r="A67" i="8"/>
  <c r="B67" i="8"/>
  <c r="C67" i="8"/>
  <c r="AG67" i="8"/>
  <c r="AH67" i="8" s="1"/>
  <c r="AK67" i="8" s="1"/>
  <c r="A68" i="8"/>
  <c r="B68" i="8"/>
  <c r="C68" i="8"/>
  <c r="AG68" i="8"/>
  <c r="AH68" i="8" s="1"/>
  <c r="AK68" i="8" s="1"/>
  <c r="A69" i="8"/>
  <c r="B69" i="8"/>
  <c r="C69" i="8"/>
  <c r="AG69" i="8"/>
  <c r="AH69" i="8" s="1"/>
  <c r="AK69" i="8" s="1"/>
  <c r="A70" i="8"/>
  <c r="B70" i="8"/>
  <c r="C70" i="8"/>
  <c r="AG70" i="8"/>
  <c r="AH70" i="8" s="1"/>
  <c r="AK70" i="8" s="1"/>
  <c r="A71" i="8"/>
  <c r="B71" i="8"/>
  <c r="C71" i="8"/>
  <c r="AG71" i="8"/>
  <c r="AH71" i="8" s="1"/>
  <c r="AK71" i="8" s="1"/>
  <c r="A72" i="8"/>
  <c r="B72" i="8"/>
  <c r="C72" i="8"/>
  <c r="AG72" i="8"/>
  <c r="AH72" i="8" s="1"/>
  <c r="AK72" i="8" s="1"/>
  <c r="A73" i="8"/>
  <c r="B73" i="8"/>
  <c r="C73" i="8"/>
  <c r="AG73" i="8"/>
  <c r="AH73" i="8" s="1"/>
  <c r="AK73" i="8" s="1"/>
  <c r="A74" i="8"/>
  <c r="B74" i="8"/>
  <c r="C74" i="8"/>
  <c r="AG74" i="8"/>
  <c r="AH74" i="8" s="1"/>
  <c r="AK74" i="8" s="1"/>
  <c r="A75" i="8"/>
  <c r="B75" i="8"/>
  <c r="C75" i="8"/>
  <c r="AG75" i="8"/>
  <c r="AH75" i="8" s="1"/>
  <c r="AK75" i="8" s="1"/>
  <c r="A76" i="8"/>
  <c r="B76" i="8"/>
  <c r="C76" i="8"/>
  <c r="AG76" i="8"/>
  <c r="AH76" i="8" s="1"/>
  <c r="AK76" i="8" s="1"/>
  <c r="A77" i="8"/>
  <c r="B77" i="8"/>
  <c r="C77" i="8"/>
  <c r="AG77" i="8"/>
  <c r="AH77" i="8" s="1"/>
  <c r="AK77" i="8" s="1"/>
  <c r="A78" i="8"/>
  <c r="B78" i="8"/>
  <c r="C78" i="8"/>
  <c r="AG78" i="8"/>
  <c r="AH78" i="8" s="1"/>
  <c r="AK78" i="8" s="1"/>
  <c r="A79" i="8"/>
  <c r="B79" i="8"/>
  <c r="C79" i="8"/>
  <c r="AG79" i="8"/>
  <c r="AH79" i="8" s="1"/>
  <c r="AK79" i="8" s="1"/>
  <c r="A80" i="8"/>
  <c r="B80" i="8"/>
  <c r="C80" i="8"/>
  <c r="AG80" i="8"/>
  <c r="AH80" i="8" s="1"/>
  <c r="AK80" i="8" s="1"/>
  <c r="A81" i="8"/>
  <c r="B81" i="8"/>
  <c r="C81" i="8"/>
  <c r="AG81" i="8"/>
  <c r="AH81" i="8" s="1"/>
  <c r="AK81" i="8" s="1"/>
  <c r="A82" i="8"/>
  <c r="B82" i="8"/>
  <c r="C82" i="8"/>
  <c r="AG82" i="8"/>
  <c r="AH82" i="8" s="1"/>
  <c r="AK82" i="8" s="1"/>
  <c r="A83" i="8"/>
  <c r="B83" i="8"/>
  <c r="C83" i="8"/>
  <c r="AG83" i="8"/>
  <c r="AH83" i="8" s="1"/>
  <c r="AK83" i="8" s="1"/>
  <c r="A84" i="8"/>
  <c r="B84" i="8"/>
  <c r="C84" i="8"/>
  <c r="AG84" i="8"/>
  <c r="AH84" i="8" s="1"/>
  <c r="AK84" i="8" s="1"/>
  <c r="A85" i="8"/>
  <c r="B85" i="8"/>
  <c r="C85" i="8"/>
  <c r="AG85" i="8"/>
  <c r="AH85" i="8" s="1"/>
  <c r="AK85" i="8" s="1"/>
  <c r="A86" i="8"/>
  <c r="B86" i="8"/>
  <c r="C86" i="8"/>
  <c r="AG86" i="8"/>
  <c r="AH86" i="8" s="1"/>
  <c r="AK86" i="8" s="1"/>
  <c r="A87" i="8"/>
  <c r="B87" i="8"/>
  <c r="C87" i="8"/>
  <c r="AG87" i="8"/>
  <c r="AH87" i="8" s="1"/>
  <c r="AK87" i="8" s="1"/>
  <c r="A88" i="8"/>
  <c r="B88" i="8"/>
  <c r="C88" i="8"/>
  <c r="AG88" i="8"/>
  <c r="AH88" i="8" s="1"/>
  <c r="AK88" i="8" s="1"/>
  <c r="A89" i="8"/>
  <c r="B89" i="8"/>
  <c r="C89" i="8"/>
  <c r="AG89" i="8"/>
  <c r="AH89" i="8" s="1"/>
  <c r="AK89" i="8" s="1"/>
  <c r="A90" i="8"/>
  <c r="B90" i="8"/>
  <c r="C90" i="8"/>
  <c r="AG90" i="8"/>
  <c r="AH90" i="8" s="1"/>
  <c r="AK90" i="8" s="1"/>
  <c r="A91" i="8"/>
  <c r="B91" i="8"/>
  <c r="C91" i="8"/>
  <c r="AG91" i="8"/>
  <c r="AH91" i="8" s="1"/>
  <c r="AK91" i="8" s="1"/>
  <c r="A92" i="8"/>
  <c r="B92" i="8"/>
  <c r="C92" i="8"/>
  <c r="AG92" i="8"/>
  <c r="AH92" i="8" s="1"/>
  <c r="AK92" i="8" s="1"/>
  <c r="A93" i="8"/>
  <c r="B93" i="8"/>
  <c r="C93" i="8"/>
  <c r="AG93" i="8"/>
  <c r="AH93" i="8" s="1"/>
  <c r="AK93" i="8" s="1"/>
  <c r="A94" i="8"/>
  <c r="B94" i="8"/>
  <c r="C94" i="8"/>
  <c r="AG94" i="8"/>
  <c r="AH94" i="8" s="1"/>
  <c r="AK94" i="8" s="1"/>
  <c r="A95" i="8"/>
  <c r="B95" i="8"/>
  <c r="C95" i="8"/>
  <c r="AG95" i="8"/>
  <c r="AH95" i="8" s="1"/>
  <c r="AK95" i="8" s="1"/>
  <c r="A96" i="8"/>
  <c r="B96" i="8"/>
  <c r="C96" i="8"/>
  <c r="AG96" i="8"/>
  <c r="AH96" i="8" s="1"/>
  <c r="AK96" i="8" s="1"/>
  <c r="A97" i="8"/>
  <c r="B97" i="8"/>
  <c r="C97" i="8"/>
  <c r="AG97" i="8"/>
  <c r="AH97" i="8" s="1"/>
  <c r="AK97" i="8" s="1"/>
  <c r="A98" i="8"/>
  <c r="B98" i="8"/>
  <c r="C98" i="8"/>
  <c r="AG98" i="8"/>
  <c r="AH98" i="8" s="1"/>
  <c r="AK98" i="8" s="1"/>
  <c r="A99" i="8"/>
  <c r="B99" i="8"/>
  <c r="C99" i="8"/>
  <c r="AG99" i="8"/>
  <c r="AH99" i="8" s="1"/>
  <c r="AK99" i="8" s="1"/>
  <c r="A100" i="8"/>
  <c r="B100" i="8"/>
  <c r="C100" i="8"/>
  <c r="AG100" i="8"/>
  <c r="AH100" i="8" s="1"/>
  <c r="AK100" i="8" s="1"/>
  <c r="A101" i="8"/>
  <c r="B101" i="8"/>
  <c r="C101" i="8"/>
  <c r="AG101" i="8"/>
  <c r="AH101" i="8" s="1"/>
  <c r="AK101" i="8" s="1"/>
  <c r="A102" i="8"/>
  <c r="B102" i="8"/>
  <c r="C102" i="8"/>
  <c r="AG102" i="8"/>
  <c r="AH102" i="8" s="1"/>
  <c r="AK102" i="8" s="1"/>
  <c r="A103" i="8"/>
  <c r="B103" i="8"/>
  <c r="C103" i="8"/>
  <c r="AG103" i="8"/>
  <c r="AH103" i="8" s="1"/>
  <c r="AK103" i="8" s="1"/>
  <c r="A104" i="8"/>
  <c r="B104" i="8"/>
  <c r="C104" i="8"/>
  <c r="AG104" i="8"/>
  <c r="AH104" i="8" s="1"/>
  <c r="AK104" i="8" s="1"/>
  <c r="A105" i="8"/>
  <c r="B105" i="8"/>
  <c r="C105" i="8"/>
  <c r="AG105" i="8"/>
  <c r="AH105" i="8" s="1"/>
  <c r="AK105" i="8" s="1"/>
  <c r="A106" i="8"/>
  <c r="B106" i="8"/>
  <c r="C106" i="8"/>
  <c r="AG106" i="8"/>
  <c r="AH106" i="8" s="1"/>
  <c r="AK106" i="8" s="1"/>
  <c r="A107" i="8"/>
  <c r="B107" i="8"/>
  <c r="C107" i="8"/>
  <c r="AG107" i="8"/>
  <c r="AH107" i="8" s="1"/>
  <c r="AK107" i="8" s="1"/>
  <c r="A108" i="8"/>
  <c r="B108" i="8"/>
  <c r="C108" i="8"/>
  <c r="AG108" i="8"/>
  <c r="AH108" i="8" s="1"/>
  <c r="AK108" i="8" s="1"/>
  <c r="A109" i="8"/>
  <c r="B109" i="8"/>
  <c r="C109" i="8"/>
  <c r="AG109" i="8"/>
  <c r="AH109" i="8" s="1"/>
  <c r="AK109" i="8" s="1"/>
  <c r="A110" i="8"/>
  <c r="B110" i="8"/>
  <c r="C110" i="8"/>
  <c r="AG110" i="8"/>
  <c r="AH110" i="8" s="1"/>
  <c r="AK110" i="8" s="1"/>
  <c r="A111" i="8"/>
  <c r="B111" i="8"/>
  <c r="C111" i="8"/>
  <c r="AG111" i="8"/>
  <c r="AH111" i="8" s="1"/>
  <c r="AK111" i="8" s="1"/>
  <c r="A112" i="8"/>
  <c r="B112" i="8"/>
  <c r="C112" i="8"/>
  <c r="AG112" i="8"/>
  <c r="AH112" i="8" s="1"/>
  <c r="AK112" i="8" s="1"/>
  <c r="A113" i="8"/>
  <c r="B113" i="8"/>
  <c r="C113" i="8"/>
  <c r="AG113" i="8"/>
  <c r="AH113" i="8" s="1"/>
  <c r="AK113" i="8" s="1"/>
  <c r="A114" i="8"/>
  <c r="B114" i="8"/>
  <c r="C114" i="8"/>
  <c r="AG114" i="8"/>
  <c r="AH114" i="8" s="1"/>
  <c r="AK114" i="8" s="1"/>
  <c r="A115" i="8"/>
  <c r="B115" i="8"/>
  <c r="C115" i="8"/>
  <c r="AG115" i="8"/>
  <c r="AH115" i="8" s="1"/>
  <c r="AK115" i="8" s="1"/>
  <c r="A116" i="8"/>
  <c r="B116" i="8"/>
  <c r="C116" i="8"/>
  <c r="AG116" i="8"/>
  <c r="AH116" i="8" s="1"/>
  <c r="AK116" i="8" s="1"/>
  <c r="A117" i="8"/>
  <c r="B117" i="8"/>
  <c r="C117" i="8"/>
  <c r="AG117" i="8"/>
  <c r="AH117" i="8" s="1"/>
  <c r="AK117" i="8" s="1"/>
  <c r="A118" i="8"/>
  <c r="B118" i="8"/>
  <c r="C118" i="8"/>
  <c r="AG118" i="8"/>
  <c r="AH118" i="8" s="1"/>
  <c r="AK118" i="8" s="1"/>
  <c r="A119" i="8"/>
  <c r="B119" i="8"/>
  <c r="C119" i="8"/>
  <c r="AG119" i="8"/>
  <c r="AH119" i="8" s="1"/>
  <c r="AK119" i="8" s="1"/>
  <c r="A120" i="8"/>
  <c r="B120" i="8"/>
  <c r="C120" i="8"/>
  <c r="AG120" i="8"/>
  <c r="AH120" i="8" s="1"/>
  <c r="AK120" i="8" s="1"/>
  <c r="A121" i="8"/>
  <c r="B121" i="8"/>
  <c r="C121" i="8"/>
  <c r="AG121" i="8"/>
  <c r="AH121" i="8" s="1"/>
  <c r="AK121" i="8" s="1"/>
  <c r="A122" i="8"/>
  <c r="B122" i="8"/>
  <c r="C122" i="8"/>
  <c r="AG122" i="8"/>
  <c r="AH122" i="8" s="1"/>
  <c r="AK122" i="8" s="1"/>
  <c r="A123" i="8"/>
  <c r="B123" i="8"/>
  <c r="C123" i="8"/>
  <c r="AG123" i="8"/>
  <c r="AH123" i="8" s="1"/>
  <c r="AK123" i="8" s="1"/>
  <c r="A124" i="8"/>
  <c r="B124" i="8"/>
  <c r="C124" i="8"/>
  <c r="AG124" i="8"/>
  <c r="AH124" i="8" s="1"/>
  <c r="AK124" i="8" s="1"/>
  <c r="A125" i="8"/>
  <c r="B125" i="8"/>
  <c r="C125" i="8"/>
  <c r="AG125" i="8"/>
  <c r="AH125" i="8" s="1"/>
  <c r="AK125" i="8" s="1"/>
  <c r="A126" i="8"/>
  <c r="B126" i="8"/>
  <c r="C126" i="8"/>
  <c r="AG126" i="8"/>
  <c r="AH126" i="8" s="1"/>
  <c r="AK126" i="8" s="1"/>
  <c r="A127" i="8"/>
  <c r="B127" i="8"/>
  <c r="C127" i="8"/>
  <c r="AG127" i="8"/>
  <c r="AH127" i="8" s="1"/>
  <c r="AK127" i="8" s="1"/>
  <c r="A128" i="8"/>
  <c r="B128" i="8"/>
  <c r="C128" i="8"/>
  <c r="AG128" i="8"/>
  <c r="AH128" i="8" s="1"/>
  <c r="AK128" i="8" s="1"/>
  <c r="A129" i="8"/>
  <c r="B129" i="8"/>
  <c r="C129" i="8"/>
  <c r="AG129" i="8"/>
  <c r="AH129" i="8" s="1"/>
  <c r="AK129" i="8" s="1"/>
  <c r="A130" i="8"/>
  <c r="B130" i="8"/>
  <c r="C130" i="8"/>
  <c r="AG130" i="8"/>
  <c r="AH130" i="8" s="1"/>
  <c r="AK130" i="8" s="1"/>
  <c r="A131" i="8"/>
  <c r="B131" i="8"/>
  <c r="C131" i="8"/>
  <c r="AG131" i="8"/>
  <c r="AH131" i="8" s="1"/>
  <c r="AK131" i="8" s="1"/>
  <c r="A132" i="8"/>
  <c r="B132" i="8"/>
  <c r="C132" i="8"/>
  <c r="AG132" i="8"/>
  <c r="AH132" i="8" s="1"/>
  <c r="AK132" i="8" s="1"/>
  <c r="A133" i="8"/>
  <c r="B133" i="8"/>
  <c r="C133" i="8"/>
  <c r="AG133" i="8"/>
  <c r="AH133" i="8" s="1"/>
  <c r="AK133" i="8" s="1"/>
  <c r="A134" i="8"/>
  <c r="B134" i="8"/>
  <c r="C134" i="8"/>
  <c r="AG134" i="8"/>
  <c r="AH134" i="8" s="1"/>
  <c r="AK134" i="8" s="1"/>
  <c r="A135" i="8"/>
  <c r="B135" i="8"/>
  <c r="C135" i="8"/>
  <c r="AG135" i="8"/>
  <c r="AH135" i="8" s="1"/>
  <c r="AK135" i="8" s="1"/>
  <c r="A136" i="8"/>
  <c r="B136" i="8"/>
  <c r="C136" i="8"/>
  <c r="AG136" i="8"/>
  <c r="AH136" i="8" s="1"/>
  <c r="AK136" i="8" s="1"/>
  <c r="A137" i="8"/>
  <c r="B137" i="8"/>
  <c r="C137" i="8"/>
  <c r="AG137" i="8"/>
  <c r="AH137" i="8" s="1"/>
  <c r="AK137" i="8" s="1"/>
  <c r="A138" i="8"/>
  <c r="B138" i="8"/>
  <c r="C138" i="8"/>
  <c r="AG138" i="8"/>
  <c r="AH138" i="8" s="1"/>
  <c r="AK138" i="8" s="1"/>
  <c r="A139" i="8"/>
  <c r="B139" i="8"/>
  <c r="C139" i="8"/>
  <c r="AG139" i="8"/>
  <c r="AH139" i="8" s="1"/>
  <c r="AK139" i="8" s="1"/>
  <c r="A140" i="8"/>
  <c r="B140" i="8"/>
  <c r="C140" i="8"/>
  <c r="AG140" i="8"/>
  <c r="AH140" i="8" s="1"/>
  <c r="AK140" i="8" s="1"/>
  <c r="A141" i="8"/>
  <c r="B141" i="8"/>
  <c r="C141" i="8"/>
  <c r="AG141" i="8"/>
  <c r="AH141" i="8" s="1"/>
  <c r="AK141" i="8" s="1"/>
  <c r="A142" i="8"/>
  <c r="B142" i="8"/>
  <c r="C142" i="8"/>
  <c r="AG142" i="8"/>
  <c r="AH142" i="8" s="1"/>
  <c r="AK142" i="8" s="1"/>
  <c r="A143" i="8"/>
  <c r="B143" i="8"/>
  <c r="C143" i="8"/>
  <c r="AG143" i="8"/>
  <c r="AH143" i="8" s="1"/>
  <c r="AK143" i="8" s="1"/>
  <c r="A144" i="8"/>
  <c r="B144" i="8"/>
  <c r="C144" i="8"/>
  <c r="AG144" i="8"/>
  <c r="AH144" i="8" s="1"/>
  <c r="AK144" i="8" s="1"/>
  <c r="A145" i="8"/>
  <c r="B145" i="8"/>
  <c r="C145" i="8"/>
  <c r="AG145" i="8"/>
  <c r="AH145" i="8" s="1"/>
  <c r="AK145" i="8" s="1"/>
  <c r="A146" i="8"/>
  <c r="B146" i="8"/>
  <c r="C146" i="8"/>
  <c r="AG146" i="8"/>
  <c r="AH146" i="8" s="1"/>
  <c r="AK146" i="8" s="1"/>
  <c r="A147" i="8"/>
  <c r="B147" i="8"/>
  <c r="C147" i="8"/>
  <c r="AG147" i="8"/>
  <c r="AH147" i="8" s="1"/>
  <c r="AK147" i="8" s="1"/>
  <c r="A148" i="8"/>
  <c r="B148" i="8"/>
  <c r="C148" i="8"/>
  <c r="AG148" i="8"/>
  <c r="AH148" i="8" s="1"/>
  <c r="AK148" i="8" s="1"/>
  <c r="A149" i="8"/>
  <c r="B149" i="8"/>
  <c r="C149" i="8"/>
  <c r="AG149" i="8"/>
  <c r="AH149" i="8" s="1"/>
  <c r="AK149" i="8" s="1"/>
  <c r="A150" i="8"/>
  <c r="B150" i="8"/>
  <c r="C150" i="8"/>
  <c r="AG150" i="8"/>
  <c r="AH150" i="8" s="1"/>
  <c r="AK150" i="8" s="1"/>
  <c r="A151" i="8"/>
  <c r="B151" i="8"/>
  <c r="C151" i="8"/>
  <c r="AG151" i="8"/>
  <c r="AH151" i="8" s="1"/>
  <c r="AK151" i="8" s="1"/>
  <c r="A152" i="8"/>
  <c r="B152" i="8"/>
  <c r="C152" i="8"/>
  <c r="AG152" i="8"/>
  <c r="AH152" i="8" s="1"/>
  <c r="AK152" i="8" s="1"/>
  <c r="A153" i="8"/>
  <c r="B153" i="8"/>
  <c r="C153" i="8"/>
  <c r="AG153" i="8"/>
  <c r="AH153" i="8" s="1"/>
  <c r="AK153" i="8" s="1"/>
  <c r="A154" i="8"/>
  <c r="B154" i="8"/>
  <c r="C154" i="8"/>
  <c r="AG154" i="8"/>
  <c r="AH154" i="8" s="1"/>
  <c r="AK154" i="8" s="1"/>
  <c r="A155" i="8"/>
  <c r="B155" i="8"/>
  <c r="C155" i="8"/>
  <c r="AG155" i="8"/>
  <c r="AH155" i="8" s="1"/>
  <c r="AK155" i="8" s="1"/>
  <c r="A156" i="8"/>
  <c r="B156" i="8"/>
  <c r="C156" i="8"/>
  <c r="AG156" i="8"/>
  <c r="AH156" i="8" s="1"/>
  <c r="AK156" i="8" s="1"/>
  <c r="A157" i="8"/>
  <c r="B157" i="8"/>
  <c r="C157" i="8"/>
  <c r="AG157" i="8"/>
  <c r="AH157" i="8" s="1"/>
  <c r="AK157" i="8" s="1"/>
  <c r="A158" i="8"/>
  <c r="B158" i="8"/>
  <c r="C158" i="8"/>
  <c r="AG158" i="8"/>
  <c r="AH158" i="8" s="1"/>
  <c r="AK158" i="8" s="1"/>
  <c r="A159" i="8"/>
  <c r="B159" i="8"/>
  <c r="C159" i="8"/>
  <c r="AG159" i="8"/>
  <c r="AH159" i="8" s="1"/>
  <c r="AK159" i="8" s="1"/>
  <c r="A160" i="8"/>
  <c r="B160" i="8"/>
  <c r="C160" i="8"/>
  <c r="AG160" i="8"/>
  <c r="AH160" i="8" s="1"/>
  <c r="AK160" i="8" s="1"/>
  <c r="A161" i="8"/>
  <c r="B161" i="8"/>
  <c r="C161" i="8"/>
  <c r="AG161" i="8"/>
  <c r="AH161" i="8" s="1"/>
  <c r="AK161" i="8" s="1"/>
  <c r="A162" i="8"/>
  <c r="B162" i="8"/>
  <c r="C162" i="8"/>
  <c r="AG162" i="8"/>
  <c r="AH162" i="8" s="1"/>
  <c r="AK162" i="8" s="1"/>
  <c r="A163" i="8"/>
  <c r="B163" i="8"/>
  <c r="C163" i="8"/>
  <c r="AG163" i="8"/>
  <c r="AH163" i="8" s="1"/>
  <c r="AK163" i="8" s="1"/>
  <c r="A164" i="8"/>
  <c r="B164" i="8"/>
  <c r="C164" i="8"/>
  <c r="AG164" i="8"/>
  <c r="AH164" i="8" s="1"/>
  <c r="AK164" i="8" s="1"/>
  <c r="A165" i="8"/>
  <c r="B165" i="8"/>
  <c r="C165" i="8"/>
  <c r="AG165" i="8"/>
  <c r="AH165" i="8" s="1"/>
  <c r="AK165" i="8" s="1"/>
  <c r="A166" i="8"/>
  <c r="B166" i="8"/>
  <c r="C166" i="8"/>
  <c r="AG166" i="8"/>
  <c r="AH166" i="8" s="1"/>
  <c r="AK166" i="8" s="1"/>
  <c r="A167" i="8"/>
  <c r="B167" i="8"/>
  <c r="C167" i="8"/>
  <c r="AG167" i="8"/>
  <c r="AH167" i="8" s="1"/>
  <c r="AK167" i="8" s="1"/>
  <c r="A168" i="8"/>
  <c r="B168" i="8"/>
  <c r="C168" i="8"/>
  <c r="AG168" i="8"/>
  <c r="AH168" i="8" s="1"/>
  <c r="AK168" i="8" s="1"/>
  <c r="A169" i="8"/>
  <c r="B169" i="8"/>
  <c r="C169" i="8"/>
  <c r="AG169" i="8"/>
  <c r="AH169" i="8" s="1"/>
  <c r="AK169" i="8" s="1"/>
  <c r="A170" i="8"/>
  <c r="B170" i="8"/>
  <c r="C170" i="8"/>
  <c r="AG170" i="8"/>
  <c r="AH170" i="8" s="1"/>
  <c r="AK170" i="8" s="1"/>
  <c r="A171" i="8"/>
  <c r="B171" i="8"/>
  <c r="C171" i="8"/>
  <c r="AG171" i="8"/>
  <c r="AH171" i="8" s="1"/>
  <c r="AK171" i="8" s="1"/>
  <c r="A172" i="8"/>
  <c r="B172" i="8"/>
  <c r="C172" i="8"/>
  <c r="AG172" i="8"/>
  <c r="AH172" i="8" s="1"/>
  <c r="AK172" i="8" s="1"/>
  <c r="A173" i="8"/>
  <c r="B173" i="8"/>
  <c r="C173" i="8"/>
  <c r="AG173" i="8"/>
  <c r="AH173" i="8" s="1"/>
  <c r="AK173" i="8" s="1"/>
  <c r="A174" i="8"/>
  <c r="B174" i="8"/>
  <c r="C174" i="8"/>
  <c r="AG174" i="8"/>
  <c r="AH174" i="8" s="1"/>
  <c r="AK174" i="8" s="1"/>
  <c r="A175" i="8"/>
  <c r="B175" i="8"/>
  <c r="C175" i="8"/>
  <c r="AG175" i="8"/>
  <c r="AH175" i="8" s="1"/>
  <c r="AK175" i="8" s="1"/>
  <c r="A176" i="8"/>
  <c r="B176" i="8"/>
  <c r="C176" i="8"/>
  <c r="AG176" i="8"/>
  <c r="AH176" i="8" s="1"/>
  <c r="AK176" i="8" s="1"/>
  <c r="A177" i="8"/>
  <c r="B177" i="8"/>
  <c r="C177" i="8"/>
  <c r="AG177" i="8"/>
  <c r="AH177" i="8" s="1"/>
  <c r="AK177" i="8" s="1"/>
  <c r="A178" i="8"/>
  <c r="B178" i="8"/>
  <c r="C178" i="8"/>
  <c r="AG178" i="8"/>
  <c r="AH178" i="8" s="1"/>
  <c r="AK178" i="8" s="1"/>
  <c r="A179" i="8"/>
  <c r="B179" i="8"/>
  <c r="C179" i="8"/>
  <c r="AG179" i="8"/>
  <c r="AH179" i="8" s="1"/>
  <c r="AK179" i="8" s="1"/>
  <c r="A180" i="8"/>
  <c r="B180" i="8"/>
  <c r="C180" i="8"/>
  <c r="AG180" i="8"/>
  <c r="AH180" i="8" s="1"/>
  <c r="AK180" i="8" s="1"/>
  <c r="A181" i="8"/>
  <c r="B181" i="8"/>
  <c r="C181" i="8"/>
  <c r="AG181" i="8"/>
  <c r="AH181" i="8" s="1"/>
  <c r="AK181" i="8" s="1"/>
  <c r="A182" i="8"/>
  <c r="B182" i="8"/>
  <c r="C182" i="8"/>
  <c r="AG182" i="8"/>
  <c r="AH182" i="8" s="1"/>
  <c r="AK182" i="8" s="1"/>
  <c r="A183" i="8"/>
  <c r="B183" i="8"/>
  <c r="C183" i="8"/>
  <c r="AG183" i="8"/>
  <c r="AH183" i="8" s="1"/>
  <c r="AK183" i="8" s="1"/>
  <c r="A184" i="8"/>
  <c r="B184" i="8"/>
  <c r="C184" i="8"/>
  <c r="AG184" i="8"/>
  <c r="AH184" i="8" s="1"/>
  <c r="AK184" i="8" s="1"/>
  <c r="A185" i="8"/>
  <c r="B185" i="8"/>
  <c r="C185" i="8"/>
  <c r="AG185" i="8"/>
  <c r="AH185" i="8" s="1"/>
  <c r="AK185" i="8" s="1"/>
  <c r="A186" i="8"/>
  <c r="B186" i="8"/>
  <c r="C186" i="8"/>
  <c r="AG186" i="8"/>
  <c r="AH186" i="8" s="1"/>
  <c r="AK186" i="8" s="1"/>
  <c r="A187" i="8"/>
  <c r="B187" i="8"/>
  <c r="C187" i="8"/>
  <c r="AG187" i="8"/>
  <c r="AH187" i="8" s="1"/>
  <c r="AK187" i="8" s="1"/>
  <c r="A188" i="8"/>
  <c r="B188" i="8"/>
  <c r="C188" i="8"/>
  <c r="AG188" i="8"/>
  <c r="AH188" i="8" s="1"/>
  <c r="AK188" i="8" s="1"/>
  <c r="A189" i="8"/>
  <c r="B189" i="8"/>
  <c r="C189" i="8"/>
  <c r="AG189" i="8"/>
  <c r="AH189" i="8" s="1"/>
  <c r="AK189" i="8" s="1"/>
  <c r="A190" i="8"/>
  <c r="B190" i="8"/>
  <c r="C190" i="8"/>
  <c r="AG190" i="8"/>
  <c r="AH190" i="8" s="1"/>
  <c r="AK190" i="8" s="1"/>
  <c r="A191" i="8"/>
  <c r="B191" i="8"/>
  <c r="C191" i="8"/>
  <c r="AG191" i="8"/>
  <c r="AH191" i="8" s="1"/>
  <c r="AK191" i="8" s="1"/>
  <c r="A192" i="8"/>
  <c r="B192" i="8"/>
  <c r="C192" i="8"/>
  <c r="AG192" i="8"/>
  <c r="AH192" i="8" s="1"/>
  <c r="AK192" i="8" s="1"/>
  <c r="A193" i="8"/>
  <c r="B193" i="8"/>
  <c r="C193" i="8"/>
  <c r="AG193" i="8"/>
  <c r="AH193" i="8" s="1"/>
  <c r="AK193" i="8" s="1"/>
  <c r="A194" i="8"/>
  <c r="B194" i="8"/>
  <c r="C194" i="8"/>
  <c r="AG194" i="8"/>
  <c r="AH194" i="8" s="1"/>
  <c r="AK194" i="8" s="1"/>
  <c r="A195" i="8"/>
  <c r="B195" i="8"/>
  <c r="C195" i="8"/>
  <c r="AG195" i="8"/>
  <c r="AH195" i="8" s="1"/>
  <c r="AK195" i="8" s="1"/>
  <c r="A196" i="8"/>
  <c r="B196" i="8"/>
  <c r="C196" i="8"/>
  <c r="AG196" i="8"/>
  <c r="AH196" i="8" s="1"/>
  <c r="AK196" i="8" s="1"/>
  <c r="A197" i="8"/>
  <c r="B197" i="8"/>
  <c r="C197" i="8"/>
  <c r="AG197" i="8"/>
  <c r="AH197" i="8" s="1"/>
  <c r="AK197" i="8" s="1"/>
  <c r="A198" i="8"/>
  <c r="B198" i="8"/>
  <c r="C198" i="8"/>
  <c r="AG198" i="8"/>
  <c r="AH198" i="8" s="1"/>
  <c r="AK198" i="8" s="1"/>
  <c r="A199" i="8"/>
  <c r="B199" i="8"/>
  <c r="C199" i="8"/>
  <c r="AG199" i="8"/>
  <c r="AH199" i="8" s="1"/>
  <c r="AK199" i="8" s="1"/>
  <c r="A200" i="8"/>
  <c r="B200" i="8"/>
  <c r="C200" i="8"/>
  <c r="AG200" i="8"/>
  <c r="AH200" i="8" s="1"/>
  <c r="AK200" i="8" s="1"/>
  <c r="A201" i="8"/>
  <c r="B201" i="8"/>
  <c r="C201" i="8"/>
  <c r="AG201" i="8"/>
  <c r="AH201" i="8" s="1"/>
  <c r="AK201" i="8" s="1"/>
  <c r="A202" i="8"/>
  <c r="B202" i="8"/>
  <c r="C202" i="8"/>
  <c r="AG202" i="8"/>
  <c r="AH202" i="8" s="1"/>
  <c r="AK202" i="8" s="1"/>
  <c r="A203" i="8"/>
  <c r="B203" i="8"/>
  <c r="C203" i="8"/>
  <c r="AG203" i="8"/>
  <c r="AH203" i="8" s="1"/>
  <c r="AK203" i="8" s="1"/>
  <c r="A204" i="8"/>
  <c r="B204" i="8"/>
  <c r="C204" i="8"/>
  <c r="AG204" i="8"/>
  <c r="AH204" i="8" s="1"/>
  <c r="AK204" i="8" s="1"/>
  <c r="A205" i="8"/>
  <c r="B205" i="8"/>
  <c r="C205" i="8"/>
  <c r="AG205" i="8"/>
  <c r="AH205" i="8" s="1"/>
  <c r="AK205" i="8" s="1"/>
  <c r="A206" i="8"/>
  <c r="B206" i="8"/>
  <c r="C206" i="8"/>
  <c r="AG206" i="8"/>
  <c r="AH206" i="8" s="1"/>
  <c r="AK206" i="8" s="1"/>
  <c r="A207" i="8"/>
  <c r="B207" i="8"/>
  <c r="C207" i="8"/>
  <c r="AG207" i="8"/>
  <c r="AH207" i="8" s="1"/>
  <c r="AK207" i="8" s="1"/>
  <c r="A208" i="8"/>
  <c r="B208" i="8"/>
  <c r="C208" i="8"/>
  <c r="AG208" i="8"/>
  <c r="AH208" i="8" s="1"/>
  <c r="AK208" i="8" s="1"/>
  <c r="A209" i="8"/>
  <c r="B209" i="8"/>
  <c r="C209" i="8"/>
  <c r="AG209" i="8"/>
  <c r="AH209" i="8" s="1"/>
  <c r="AK209" i="8" s="1"/>
  <c r="A210" i="8"/>
  <c r="B210" i="8"/>
  <c r="C210" i="8"/>
  <c r="AG210" i="8"/>
  <c r="AH210" i="8" s="1"/>
  <c r="AK210" i="8" s="1"/>
  <c r="A211" i="8"/>
  <c r="B211" i="8"/>
  <c r="C211" i="8"/>
  <c r="AG211" i="8"/>
  <c r="AH211" i="8" s="1"/>
  <c r="AK211" i="8" s="1"/>
  <c r="A212" i="8"/>
  <c r="B212" i="8"/>
  <c r="C212" i="8"/>
  <c r="AG212" i="8"/>
  <c r="AH212" i="8" s="1"/>
  <c r="AK212" i="8" s="1"/>
  <c r="A213" i="8"/>
  <c r="B213" i="8"/>
  <c r="C213" i="8"/>
  <c r="AG213" i="8"/>
  <c r="AH213" i="8" s="1"/>
  <c r="AK213" i="8" s="1"/>
  <c r="A214" i="8"/>
  <c r="B214" i="8"/>
  <c r="C214" i="8"/>
  <c r="AG214" i="8"/>
  <c r="AH214" i="8" s="1"/>
  <c r="AK214" i="8" s="1"/>
  <c r="A215" i="8"/>
  <c r="B215" i="8"/>
  <c r="C215" i="8"/>
  <c r="AG215" i="8"/>
  <c r="AH215" i="8" s="1"/>
  <c r="AK215" i="8" s="1"/>
  <c r="A216" i="8"/>
  <c r="B216" i="8"/>
  <c r="C216" i="8"/>
  <c r="AG216" i="8"/>
  <c r="AH216" i="8" s="1"/>
  <c r="AK216" i="8" s="1"/>
  <c r="A217" i="8"/>
  <c r="B217" i="8"/>
  <c r="C217" i="8"/>
  <c r="AG217" i="8"/>
  <c r="AH217" i="8" s="1"/>
  <c r="AK217" i="8" s="1"/>
  <c r="A218" i="8"/>
  <c r="B218" i="8"/>
  <c r="C218" i="8"/>
  <c r="AG218" i="8"/>
  <c r="AH218" i="8" s="1"/>
  <c r="AK218" i="8" s="1"/>
  <c r="A219" i="8"/>
  <c r="B219" i="8"/>
  <c r="C219" i="8"/>
  <c r="AG219" i="8"/>
  <c r="AH219" i="8" s="1"/>
  <c r="AK219" i="8" s="1"/>
  <c r="A220" i="8"/>
  <c r="B220" i="8"/>
  <c r="C220" i="8"/>
  <c r="AG220" i="8"/>
  <c r="AH220" i="8" s="1"/>
  <c r="AK220" i="8" s="1"/>
  <c r="A221" i="8"/>
  <c r="B221" i="8"/>
  <c r="C221" i="8"/>
  <c r="AG221" i="8"/>
  <c r="AH221" i="8" s="1"/>
  <c r="AK221" i="8" s="1"/>
  <c r="A222" i="8"/>
  <c r="B222" i="8"/>
  <c r="C222" i="8"/>
  <c r="AG222" i="8"/>
  <c r="AH222" i="8" s="1"/>
  <c r="AK222" i="8" s="1"/>
  <c r="A223" i="8"/>
  <c r="B223" i="8"/>
  <c r="C223" i="8"/>
  <c r="AG223" i="8"/>
  <c r="AH223" i="8" s="1"/>
  <c r="AK223" i="8" s="1"/>
  <c r="A224" i="8"/>
  <c r="B224" i="8"/>
  <c r="C224" i="8"/>
  <c r="AG224" i="8"/>
  <c r="AH224" i="8" s="1"/>
  <c r="AK224" i="8" s="1"/>
  <c r="A225" i="8"/>
  <c r="B225" i="8"/>
  <c r="C225" i="8"/>
  <c r="AG225" i="8"/>
  <c r="AH225" i="8" s="1"/>
  <c r="AK225" i="8" s="1"/>
  <c r="A226" i="8"/>
  <c r="B226" i="8"/>
  <c r="C226" i="8"/>
  <c r="AG226" i="8"/>
  <c r="AH226" i="8" s="1"/>
  <c r="AK226" i="8" s="1"/>
  <c r="A227" i="8"/>
  <c r="B227" i="8"/>
  <c r="C227" i="8"/>
  <c r="AG227" i="8"/>
  <c r="AH227" i="8" s="1"/>
  <c r="AK227" i="8" s="1"/>
  <c r="A228" i="8"/>
  <c r="B228" i="8"/>
  <c r="C228" i="8"/>
  <c r="AG228" i="8"/>
  <c r="AH228" i="8" s="1"/>
  <c r="AK228" i="8" s="1"/>
  <c r="A229" i="8"/>
  <c r="B229" i="8"/>
  <c r="C229" i="8"/>
  <c r="AG229" i="8"/>
  <c r="AH229" i="8" s="1"/>
  <c r="AK229" i="8" s="1"/>
  <c r="A230" i="8"/>
  <c r="B230" i="8"/>
  <c r="C230" i="8"/>
  <c r="AG230" i="8"/>
  <c r="AH230" i="8" s="1"/>
  <c r="AK230" i="8" s="1"/>
  <c r="A231" i="8"/>
  <c r="B231" i="8"/>
  <c r="C231" i="8"/>
  <c r="AG231" i="8"/>
  <c r="AH231" i="8" s="1"/>
  <c r="AK231" i="8" s="1"/>
  <c r="A232" i="8"/>
  <c r="B232" i="8"/>
  <c r="C232" i="8"/>
  <c r="AG232" i="8"/>
  <c r="AH232" i="8" s="1"/>
  <c r="AK232" i="8" s="1"/>
  <c r="A233" i="8"/>
  <c r="B233" i="8"/>
  <c r="C233" i="8"/>
  <c r="AG233" i="8"/>
  <c r="AH233" i="8" s="1"/>
  <c r="AK233" i="8" s="1"/>
  <c r="A234" i="8"/>
  <c r="B234" i="8"/>
  <c r="C234" i="8"/>
  <c r="AG234" i="8"/>
  <c r="AH234" i="8" s="1"/>
  <c r="AK234" i="8" s="1"/>
  <c r="A235" i="8"/>
  <c r="B235" i="8"/>
  <c r="C235" i="8"/>
  <c r="AG235" i="8"/>
  <c r="AH235" i="8" s="1"/>
  <c r="AK235" i="8" s="1"/>
  <c r="A236" i="8"/>
  <c r="B236" i="8"/>
  <c r="C236" i="8"/>
  <c r="AG236" i="8"/>
  <c r="AH236" i="8" s="1"/>
  <c r="AK236" i="8" s="1"/>
  <c r="A237" i="8"/>
  <c r="B237" i="8"/>
  <c r="C237" i="8"/>
  <c r="AG237" i="8"/>
  <c r="AH237" i="8" s="1"/>
  <c r="AK237" i="8" s="1"/>
  <c r="A238" i="8"/>
  <c r="B238" i="8"/>
  <c r="C238" i="8"/>
  <c r="AG238" i="8"/>
  <c r="AH238" i="8" s="1"/>
  <c r="AK238" i="8" s="1"/>
  <c r="A239" i="8"/>
  <c r="B239" i="8"/>
  <c r="C239" i="8"/>
  <c r="AG239" i="8"/>
  <c r="AH239" i="8" s="1"/>
  <c r="AK239" i="8" s="1"/>
  <c r="A240" i="8"/>
  <c r="B240" i="8"/>
  <c r="C240" i="8"/>
  <c r="AG240" i="8"/>
  <c r="AH240" i="8" s="1"/>
  <c r="AK240" i="8" s="1"/>
  <c r="A241" i="8"/>
  <c r="B241" i="8"/>
  <c r="C241" i="8"/>
  <c r="AG241" i="8"/>
  <c r="AH241" i="8" s="1"/>
  <c r="AK241" i="8" s="1"/>
  <c r="A242" i="8"/>
  <c r="B242" i="8"/>
  <c r="C242" i="8"/>
  <c r="AG242" i="8"/>
  <c r="AH242" i="8" s="1"/>
  <c r="AK242" i="8" s="1"/>
  <c r="A243" i="8"/>
  <c r="B243" i="8"/>
  <c r="C243" i="8"/>
  <c r="AG243" i="8"/>
  <c r="AH243" i="8" s="1"/>
  <c r="AK243" i="8" s="1"/>
  <c r="A244" i="8"/>
  <c r="B244" i="8"/>
  <c r="C244" i="8"/>
  <c r="AG244" i="8"/>
  <c r="AH244" i="8" s="1"/>
  <c r="AK244" i="8" s="1"/>
  <c r="A245" i="8"/>
  <c r="B245" i="8"/>
  <c r="C245" i="8"/>
  <c r="AG245" i="8"/>
  <c r="AH245" i="8" s="1"/>
  <c r="AK245" i="8" s="1"/>
  <c r="A246" i="8"/>
  <c r="B246" i="8"/>
  <c r="C246" i="8"/>
  <c r="AG246" i="8"/>
  <c r="AH246" i="8" s="1"/>
  <c r="AK246" i="8" s="1"/>
  <c r="A247" i="8"/>
  <c r="B247" i="8"/>
  <c r="C247" i="8"/>
  <c r="AG247" i="8"/>
  <c r="AH247" i="8" s="1"/>
  <c r="AK247" i="8" s="1"/>
  <c r="A248" i="8"/>
  <c r="B248" i="8"/>
  <c r="C248" i="8"/>
  <c r="AG248" i="8"/>
  <c r="AH248" i="8" s="1"/>
  <c r="AK248" i="8" s="1"/>
  <c r="A249" i="8"/>
  <c r="B249" i="8"/>
  <c r="C249" i="8"/>
  <c r="AG249" i="8"/>
  <c r="AH249" i="8" s="1"/>
  <c r="AK249" i="8" s="1"/>
  <c r="A250" i="8"/>
  <c r="B250" i="8"/>
  <c r="C250" i="8"/>
  <c r="AG250" i="8"/>
  <c r="AH250" i="8" s="1"/>
  <c r="AK250" i="8" s="1"/>
  <c r="A251" i="8"/>
  <c r="B251" i="8"/>
  <c r="C251" i="8"/>
  <c r="AG251" i="8"/>
  <c r="AH251" i="8" s="1"/>
  <c r="AK251" i="8" s="1"/>
  <c r="A252" i="8"/>
  <c r="B252" i="8"/>
  <c r="C252" i="8"/>
  <c r="AG252" i="8"/>
  <c r="AH252" i="8" s="1"/>
  <c r="AK252" i="8" s="1"/>
  <c r="A253" i="8"/>
  <c r="B253" i="8"/>
  <c r="C253" i="8"/>
  <c r="AG253" i="8"/>
  <c r="AH253" i="8" s="1"/>
  <c r="AK253" i="8" s="1"/>
  <c r="A254" i="8"/>
  <c r="B254" i="8"/>
  <c r="C254" i="8"/>
  <c r="AG254" i="8"/>
  <c r="AH254" i="8" s="1"/>
  <c r="AK254" i="8" s="1"/>
  <c r="A255" i="8"/>
  <c r="B255" i="8"/>
  <c r="C255" i="8"/>
  <c r="AG255" i="8"/>
  <c r="AH255" i="8" s="1"/>
  <c r="AK255" i="8" s="1"/>
  <c r="A256" i="8"/>
  <c r="B256" i="8"/>
  <c r="C256" i="8"/>
  <c r="AG256" i="8"/>
  <c r="AH256" i="8" s="1"/>
  <c r="AK256" i="8" s="1"/>
  <c r="A257" i="8"/>
  <c r="B257" i="8"/>
  <c r="C257" i="8"/>
  <c r="AG257" i="8"/>
  <c r="AH257" i="8" s="1"/>
  <c r="AK257" i="8" s="1"/>
  <c r="A258" i="8"/>
  <c r="B258" i="8"/>
  <c r="C258" i="8"/>
  <c r="AG258" i="8"/>
  <c r="AH258" i="8" s="1"/>
  <c r="AK258" i="8" s="1"/>
  <c r="A259" i="8"/>
  <c r="B259" i="8"/>
  <c r="C259" i="8"/>
  <c r="AG259" i="8"/>
  <c r="AH259" i="8" s="1"/>
  <c r="AK259" i="8" s="1"/>
  <c r="A260" i="8"/>
  <c r="B260" i="8"/>
  <c r="C260" i="8"/>
  <c r="AG260" i="8"/>
  <c r="AH260" i="8" s="1"/>
  <c r="AK260" i="8" s="1"/>
  <c r="A261" i="8"/>
  <c r="B261" i="8"/>
  <c r="C261" i="8"/>
  <c r="AG261" i="8"/>
  <c r="AH261" i="8" s="1"/>
  <c r="AK261" i="8" s="1"/>
  <c r="A262" i="8"/>
  <c r="B262" i="8"/>
  <c r="C262" i="8"/>
  <c r="AG262" i="8"/>
  <c r="AH262" i="8" s="1"/>
  <c r="AK262" i="8" s="1"/>
  <c r="A263" i="8"/>
  <c r="B263" i="8"/>
  <c r="C263" i="8"/>
  <c r="AG263" i="8"/>
  <c r="AH263" i="8" s="1"/>
  <c r="AK263" i="8" s="1"/>
  <c r="A264" i="8"/>
  <c r="B264" i="8"/>
  <c r="C264" i="8"/>
  <c r="AG264" i="8"/>
  <c r="AH264" i="8" s="1"/>
  <c r="AK264" i="8" s="1"/>
  <c r="A265" i="8"/>
  <c r="B265" i="8"/>
  <c r="C265" i="8"/>
  <c r="AG265" i="8"/>
  <c r="AH265" i="8" s="1"/>
  <c r="AK265" i="8" s="1"/>
  <c r="A266" i="8"/>
  <c r="B266" i="8"/>
  <c r="C266" i="8"/>
  <c r="AG266" i="8"/>
  <c r="AH266" i="8" s="1"/>
  <c r="AK266" i="8" s="1"/>
  <c r="A267" i="8"/>
  <c r="B267" i="8"/>
  <c r="C267" i="8"/>
  <c r="AG267" i="8"/>
  <c r="AH267" i="8" s="1"/>
  <c r="AK267" i="8" s="1"/>
  <c r="A268" i="8"/>
  <c r="B268" i="8"/>
  <c r="C268" i="8"/>
  <c r="AG268" i="8"/>
  <c r="AH268" i="8" s="1"/>
  <c r="AK268" i="8" s="1"/>
  <c r="A269" i="8"/>
  <c r="B269" i="8"/>
  <c r="C269" i="8"/>
  <c r="AG269" i="8"/>
  <c r="AH269" i="8" s="1"/>
  <c r="AK269" i="8" s="1"/>
  <c r="A270" i="8"/>
  <c r="B270" i="8"/>
  <c r="C270" i="8"/>
  <c r="AG270" i="8"/>
  <c r="AH270" i="8" s="1"/>
  <c r="AK270" i="8" s="1"/>
  <c r="A271" i="8"/>
  <c r="B271" i="8"/>
  <c r="C271" i="8"/>
  <c r="AG271" i="8"/>
  <c r="AH271" i="8" s="1"/>
  <c r="AK271" i="8" s="1"/>
  <c r="A272" i="8"/>
  <c r="B272" i="8"/>
  <c r="C272" i="8"/>
  <c r="AG272" i="8"/>
  <c r="AH272" i="8" s="1"/>
  <c r="AK272" i="8" s="1"/>
  <c r="A273" i="8"/>
  <c r="B273" i="8"/>
  <c r="C273" i="8"/>
  <c r="AG273" i="8"/>
  <c r="AH273" i="8" s="1"/>
  <c r="AK273" i="8" s="1"/>
  <c r="A274" i="8"/>
  <c r="B274" i="8"/>
  <c r="C274" i="8"/>
  <c r="AG274" i="8"/>
  <c r="AH274" i="8" s="1"/>
  <c r="AK274" i="8" s="1"/>
  <c r="A275" i="8"/>
  <c r="B275" i="8"/>
  <c r="C275" i="8"/>
  <c r="AG275" i="8"/>
  <c r="AH275" i="8" s="1"/>
  <c r="AK275" i="8" s="1"/>
  <c r="A276" i="8"/>
  <c r="B276" i="8"/>
  <c r="C276" i="8"/>
  <c r="AG276" i="8"/>
  <c r="AH276" i="8" s="1"/>
  <c r="AK276" i="8" s="1"/>
  <c r="A277" i="8"/>
  <c r="B277" i="8"/>
  <c r="C277" i="8"/>
  <c r="AG277" i="8"/>
  <c r="AH277" i="8" s="1"/>
  <c r="AK277" i="8" s="1"/>
  <c r="A278" i="8"/>
  <c r="B278" i="8"/>
  <c r="C278" i="8"/>
  <c r="AG278" i="8"/>
  <c r="AH278" i="8" s="1"/>
  <c r="AK278" i="8" s="1"/>
  <c r="A279" i="8"/>
  <c r="B279" i="8"/>
  <c r="C279" i="8"/>
  <c r="AG279" i="8"/>
  <c r="AH279" i="8" s="1"/>
  <c r="AK279" i="8" s="1"/>
  <c r="A280" i="8"/>
  <c r="B280" i="8"/>
  <c r="C280" i="8"/>
  <c r="AG280" i="8"/>
  <c r="AH280" i="8" s="1"/>
  <c r="AK280" i="8" s="1"/>
  <c r="A281" i="8"/>
  <c r="B281" i="8"/>
  <c r="C281" i="8"/>
  <c r="AG281" i="8"/>
  <c r="AH281" i="8" s="1"/>
  <c r="AK281" i="8" s="1"/>
  <c r="A282" i="8"/>
  <c r="B282" i="8"/>
  <c r="C282" i="8"/>
  <c r="AG282" i="8"/>
  <c r="AH282" i="8" s="1"/>
  <c r="AK282" i="8" s="1"/>
  <c r="A283" i="8"/>
  <c r="B283" i="8"/>
  <c r="C283" i="8"/>
  <c r="AG283" i="8"/>
  <c r="AH283" i="8" s="1"/>
  <c r="AK283" i="8" s="1"/>
  <c r="A284" i="8"/>
  <c r="B284" i="8"/>
  <c r="C284" i="8"/>
  <c r="AG284" i="8"/>
  <c r="AH284" i="8" s="1"/>
  <c r="AK284" i="8" s="1"/>
  <c r="A285" i="8"/>
  <c r="B285" i="8"/>
  <c r="C285" i="8"/>
  <c r="AG285" i="8"/>
  <c r="AH285" i="8" s="1"/>
  <c r="AK285" i="8" s="1"/>
  <c r="A286" i="8"/>
  <c r="B286" i="8"/>
  <c r="C286" i="8"/>
  <c r="AG286" i="8"/>
  <c r="AH286" i="8" s="1"/>
  <c r="AK286" i="8" s="1"/>
  <c r="A287" i="8"/>
  <c r="B287" i="8"/>
  <c r="C287" i="8"/>
  <c r="AG287" i="8"/>
  <c r="AH287" i="8" s="1"/>
  <c r="AK287" i="8" s="1"/>
  <c r="A288" i="8"/>
  <c r="B288" i="8"/>
  <c r="C288" i="8"/>
  <c r="AG288" i="8"/>
  <c r="AH288" i="8" s="1"/>
  <c r="AK288" i="8" s="1"/>
  <c r="A289" i="8"/>
  <c r="B289" i="8"/>
  <c r="C289" i="8"/>
  <c r="AG289" i="8"/>
  <c r="AH289" i="8" s="1"/>
  <c r="AK289" i="8" s="1"/>
  <c r="A290" i="8"/>
  <c r="B290" i="8"/>
  <c r="C290" i="8"/>
  <c r="AG290" i="8"/>
  <c r="AH290" i="8" s="1"/>
  <c r="AK290" i="8" s="1"/>
  <c r="A291" i="8"/>
  <c r="B291" i="8"/>
  <c r="C291" i="8"/>
  <c r="AG291" i="8"/>
  <c r="AH291" i="8" s="1"/>
  <c r="AK291" i="8" s="1"/>
  <c r="A292" i="8"/>
  <c r="B292" i="8"/>
  <c r="C292" i="8"/>
  <c r="AG292" i="8"/>
  <c r="AH292" i="8" s="1"/>
  <c r="AK292" i="8" s="1"/>
  <c r="A293" i="8"/>
  <c r="B293" i="8"/>
  <c r="C293" i="8"/>
  <c r="AG293" i="8"/>
  <c r="AH293" i="8" s="1"/>
  <c r="AK293" i="8" s="1"/>
  <c r="A294" i="8"/>
  <c r="B294" i="8"/>
  <c r="C294" i="8"/>
  <c r="AG294" i="8"/>
  <c r="AH294" i="8" s="1"/>
  <c r="AK294" i="8" s="1"/>
  <c r="A295" i="8"/>
  <c r="B295" i="8"/>
  <c r="C295" i="8"/>
  <c r="AG295" i="8"/>
  <c r="AH295" i="8" s="1"/>
  <c r="AK295" i="8" s="1"/>
  <c r="A296" i="8"/>
  <c r="B296" i="8"/>
  <c r="C296" i="8"/>
  <c r="AG296" i="8"/>
  <c r="AH296" i="8" s="1"/>
  <c r="AK296" i="8" s="1"/>
  <c r="A297" i="8"/>
  <c r="B297" i="8"/>
  <c r="C297" i="8"/>
  <c r="AG297" i="8"/>
  <c r="AH297" i="8" s="1"/>
  <c r="AK297" i="8" s="1"/>
  <c r="A298" i="8"/>
  <c r="B298" i="8"/>
  <c r="C298" i="8"/>
  <c r="AG298" i="8"/>
  <c r="AH298" i="8" s="1"/>
  <c r="AK298" i="8" s="1"/>
  <c r="A299" i="8"/>
  <c r="B299" i="8"/>
  <c r="C299" i="8"/>
  <c r="AG299" i="8"/>
  <c r="AH299" i="8" s="1"/>
  <c r="AK299" i="8" s="1"/>
  <c r="A300" i="8"/>
  <c r="B300" i="8"/>
  <c r="C300" i="8"/>
  <c r="AG300" i="8"/>
  <c r="AH300" i="8" s="1"/>
  <c r="AK300" i="8" s="1"/>
  <c r="A301" i="8"/>
  <c r="B301" i="8"/>
  <c r="C301" i="8"/>
  <c r="AG301" i="8"/>
  <c r="AH301" i="8" s="1"/>
  <c r="AK301" i="8" s="1"/>
  <c r="A302" i="8"/>
  <c r="B302" i="8"/>
  <c r="C302" i="8"/>
  <c r="AG302" i="8"/>
  <c r="AH302" i="8" s="1"/>
  <c r="AK302" i="8" s="1"/>
  <c r="A303" i="8"/>
  <c r="B303" i="8"/>
  <c r="C303" i="8"/>
  <c r="AG303" i="8"/>
  <c r="AH303" i="8" s="1"/>
  <c r="AK303" i="8" s="1"/>
  <c r="A304" i="8"/>
  <c r="B304" i="8"/>
  <c r="C304" i="8"/>
  <c r="AG304" i="8"/>
  <c r="AH304" i="8" s="1"/>
  <c r="AK304" i="8" s="1"/>
  <c r="A305" i="8"/>
  <c r="B305" i="8"/>
  <c r="C305" i="8"/>
  <c r="AG305" i="8"/>
  <c r="AH305" i="8" s="1"/>
  <c r="AK305" i="8" s="1"/>
  <c r="A306" i="8"/>
  <c r="B306" i="8"/>
  <c r="C306" i="8"/>
  <c r="AG306" i="8"/>
  <c r="AH306" i="8" s="1"/>
  <c r="AK306" i="8" s="1"/>
  <c r="A307" i="8"/>
  <c r="B307" i="8"/>
  <c r="C307" i="8"/>
  <c r="AG307" i="8"/>
  <c r="AH307" i="8" s="1"/>
  <c r="AK307" i="8" s="1"/>
  <c r="A308" i="8"/>
  <c r="B308" i="8"/>
  <c r="C308" i="8"/>
  <c r="AG308" i="8"/>
  <c r="AH308" i="8" s="1"/>
  <c r="AK308" i="8" s="1"/>
  <c r="A309" i="8"/>
  <c r="B309" i="8"/>
  <c r="C309" i="8"/>
  <c r="AG309" i="8"/>
  <c r="AH309" i="8" s="1"/>
  <c r="AK309" i="8" s="1"/>
  <c r="A310" i="8"/>
  <c r="B310" i="8"/>
  <c r="C310" i="8"/>
  <c r="AG310" i="8"/>
  <c r="AH310" i="8" s="1"/>
  <c r="AK310" i="8" s="1"/>
  <c r="A311" i="8"/>
  <c r="B311" i="8"/>
  <c r="C311" i="8"/>
  <c r="AG311" i="8"/>
  <c r="AH311" i="8" s="1"/>
  <c r="AK311" i="8" s="1"/>
  <c r="A312" i="8"/>
  <c r="B312" i="8"/>
  <c r="C312" i="8"/>
  <c r="AG312" i="8"/>
  <c r="AH312" i="8" s="1"/>
  <c r="AK312" i="8" s="1"/>
  <c r="A313" i="8"/>
  <c r="B313" i="8"/>
  <c r="C313" i="8"/>
  <c r="AG313" i="8"/>
  <c r="AH313" i="8" s="1"/>
  <c r="AK313" i="8" s="1"/>
  <c r="A314" i="8"/>
  <c r="B314" i="8"/>
  <c r="C314" i="8"/>
  <c r="AG314" i="8"/>
  <c r="AH314" i="8" s="1"/>
  <c r="AK314" i="8" s="1"/>
  <c r="A315" i="8"/>
  <c r="B315" i="8"/>
  <c r="C315" i="8"/>
  <c r="AG315" i="8"/>
  <c r="AH315" i="8" s="1"/>
  <c r="AK315" i="8" s="1"/>
  <c r="A316" i="8"/>
  <c r="B316" i="8"/>
  <c r="C316" i="8"/>
  <c r="AG316" i="8"/>
  <c r="AH316" i="8" s="1"/>
  <c r="AK316" i="8" s="1"/>
  <c r="A317" i="8"/>
  <c r="B317" i="8"/>
  <c r="C317" i="8"/>
  <c r="AG317" i="8"/>
  <c r="AH317" i="8" s="1"/>
  <c r="AK317" i="8" s="1"/>
  <c r="A318" i="8"/>
  <c r="B318" i="8"/>
  <c r="C318" i="8"/>
  <c r="AG318" i="8"/>
  <c r="AH318" i="8" s="1"/>
  <c r="AK318" i="8" s="1"/>
  <c r="A319" i="8"/>
  <c r="B319" i="8"/>
  <c r="C319" i="8"/>
  <c r="AG319" i="8"/>
  <c r="AH319" i="8" s="1"/>
  <c r="AK319" i="8" s="1"/>
  <c r="A320" i="8"/>
  <c r="B320" i="8"/>
  <c r="C320" i="8"/>
  <c r="AG320" i="8"/>
  <c r="AH320" i="8" s="1"/>
  <c r="AK320" i="8" s="1"/>
  <c r="A321" i="8"/>
  <c r="B321" i="8"/>
  <c r="C321" i="8"/>
  <c r="AG321" i="8"/>
  <c r="AH321" i="8" s="1"/>
  <c r="AK321" i="8" s="1"/>
  <c r="A322" i="8"/>
  <c r="B322" i="8"/>
  <c r="C322" i="8"/>
  <c r="AG322" i="8"/>
  <c r="AH322" i="8" s="1"/>
  <c r="AK322" i="8" s="1"/>
  <c r="A323" i="8"/>
  <c r="B323" i="8"/>
  <c r="C323" i="8"/>
  <c r="AG323" i="8"/>
  <c r="AH323" i="8" s="1"/>
  <c r="AK323" i="8" s="1"/>
  <c r="A324" i="8"/>
  <c r="B324" i="8"/>
  <c r="C324" i="8"/>
  <c r="AG324" i="8"/>
  <c r="AH324" i="8" s="1"/>
  <c r="AK324" i="8" s="1"/>
  <c r="A325" i="8"/>
  <c r="B325" i="8"/>
  <c r="C325" i="8"/>
  <c r="AG325" i="8"/>
  <c r="AH325" i="8" s="1"/>
  <c r="AK325" i="8" s="1"/>
  <c r="A326" i="8"/>
  <c r="B326" i="8"/>
  <c r="C326" i="8"/>
  <c r="AG326" i="8"/>
  <c r="AH326" i="8" s="1"/>
  <c r="AK326" i="8" s="1"/>
  <c r="A327" i="8"/>
  <c r="B327" i="8"/>
  <c r="C327" i="8"/>
  <c r="AG327" i="8"/>
  <c r="AH327" i="8" s="1"/>
  <c r="AK327" i="8" s="1"/>
  <c r="A328" i="8"/>
  <c r="B328" i="8"/>
  <c r="C328" i="8"/>
  <c r="AG328" i="8"/>
  <c r="AH328" i="8" s="1"/>
  <c r="AK328" i="8" s="1"/>
  <c r="A329" i="8"/>
  <c r="B329" i="8"/>
  <c r="C329" i="8"/>
  <c r="AG329" i="8"/>
  <c r="AH329" i="8" s="1"/>
  <c r="AK329" i="8" s="1"/>
  <c r="A330" i="8"/>
  <c r="B330" i="8"/>
  <c r="C330" i="8"/>
  <c r="AG330" i="8"/>
  <c r="AH330" i="8" s="1"/>
  <c r="AK330" i="8" s="1"/>
  <c r="A331" i="8"/>
  <c r="B331" i="8"/>
  <c r="C331" i="8"/>
  <c r="AG331" i="8"/>
  <c r="AH331" i="8" s="1"/>
  <c r="AK331" i="8" s="1"/>
  <c r="A332" i="8"/>
  <c r="B332" i="8"/>
  <c r="C332" i="8"/>
  <c r="AG332" i="8"/>
  <c r="AH332" i="8" s="1"/>
  <c r="AK332" i="8" s="1"/>
  <c r="A333" i="8"/>
  <c r="B333" i="8"/>
  <c r="C333" i="8"/>
  <c r="AG333" i="8"/>
  <c r="AH333" i="8" s="1"/>
  <c r="AK333" i="8" s="1"/>
  <c r="A334" i="8"/>
  <c r="B334" i="8"/>
  <c r="C334" i="8"/>
  <c r="AG334" i="8"/>
  <c r="AH334" i="8" s="1"/>
  <c r="AK334" i="8" s="1"/>
  <c r="A335" i="8"/>
  <c r="B335" i="8"/>
  <c r="C335" i="8"/>
  <c r="AG335" i="8"/>
  <c r="AH335" i="8" s="1"/>
  <c r="AK335" i="8" s="1"/>
  <c r="A336" i="8"/>
  <c r="B336" i="8"/>
  <c r="C336" i="8"/>
  <c r="AG336" i="8"/>
  <c r="AH336" i="8" s="1"/>
  <c r="AK336" i="8" s="1"/>
  <c r="A337" i="8"/>
  <c r="B337" i="8"/>
  <c r="C337" i="8"/>
  <c r="AG337" i="8"/>
  <c r="AH337" i="8" s="1"/>
  <c r="AK337" i="8" s="1"/>
  <c r="A338" i="8"/>
  <c r="B338" i="8"/>
  <c r="C338" i="8"/>
  <c r="AG338" i="8"/>
  <c r="AH338" i="8" s="1"/>
  <c r="AK338" i="8" s="1"/>
  <c r="A339" i="8"/>
  <c r="B339" i="8"/>
  <c r="C339" i="8"/>
  <c r="AG339" i="8"/>
  <c r="AH339" i="8" s="1"/>
  <c r="AK339" i="8" s="1"/>
  <c r="A340" i="8"/>
  <c r="B340" i="8"/>
  <c r="C340" i="8"/>
  <c r="AG340" i="8"/>
  <c r="AH340" i="8" s="1"/>
  <c r="AK340" i="8" s="1"/>
  <c r="A341" i="8"/>
  <c r="B341" i="8"/>
  <c r="C341" i="8"/>
  <c r="AG341" i="8"/>
  <c r="AH341" i="8" s="1"/>
  <c r="AK341" i="8" s="1"/>
  <c r="A342" i="8"/>
  <c r="B342" i="8"/>
  <c r="C342" i="8"/>
  <c r="AG342" i="8"/>
  <c r="AH342" i="8" s="1"/>
  <c r="AK342" i="8" s="1"/>
  <c r="A343" i="8"/>
  <c r="B343" i="8"/>
  <c r="C343" i="8"/>
  <c r="AG343" i="8"/>
  <c r="AH343" i="8" s="1"/>
  <c r="AK343" i="8" s="1"/>
  <c r="A36" i="3" l="1"/>
  <c r="B36" i="3"/>
  <c r="F36" i="3"/>
  <c r="H36" i="3"/>
  <c r="J36" i="3"/>
  <c r="A37" i="3"/>
  <c r="B37" i="3"/>
  <c r="F37" i="3"/>
  <c r="H37" i="3"/>
  <c r="J37" i="3"/>
  <c r="A38" i="3"/>
  <c r="B38" i="3"/>
  <c r="F38" i="3"/>
  <c r="H38" i="3"/>
  <c r="J38" i="3"/>
  <c r="A39" i="3"/>
  <c r="B39" i="3"/>
  <c r="F39" i="3"/>
  <c r="H39" i="3"/>
  <c r="J39" i="3"/>
  <c r="A40" i="3"/>
  <c r="B40" i="3"/>
  <c r="F40" i="3"/>
  <c r="H40" i="3"/>
  <c r="J40" i="3"/>
  <c r="A41" i="3"/>
  <c r="B41" i="3"/>
  <c r="F41" i="3"/>
  <c r="H41" i="3"/>
  <c r="J41" i="3"/>
  <c r="A42" i="3"/>
  <c r="B42" i="3"/>
  <c r="F42" i="3"/>
  <c r="H42" i="3"/>
  <c r="J42" i="3"/>
  <c r="A43" i="3"/>
  <c r="B43" i="3"/>
  <c r="F43" i="3"/>
  <c r="H43" i="3"/>
  <c r="J43" i="3"/>
  <c r="A44" i="3"/>
  <c r="B44" i="3"/>
  <c r="F44" i="3"/>
  <c r="H44" i="3"/>
  <c r="J44" i="3"/>
  <c r="A45" i="3"/>
  <c r="B45" i="3"/>
  <c r="F45" i="3"/>
  <c r="H45" i="3"/>
  <c r="J45" i="3"/>
  <c r="A46" i="3"/>
  <c r="B46" i="3"/>
  <c r="F46" i="3"/>
  <c r="H46" i="3"/>
  <c r="J46" i="3"/>
  <c r="A47" i="3"/>
  <c r="B47" i="3"/>
  <c r="F47" i="3"/>
  <c r="H47" i="3"/>
  <c r="J47" i="3"/>
  <c r="A48" i="3"/>
  <c r="B48" i="3"/>
  <c r="F48" i="3"/>
  <c r="H48" i="3"/>
  <c r="J48" i="3"/>
  <c r="A49" i="3"/>
  <c r="B49" i="3"/>
  <c r="F49" i="3"/>
  <c r="H49" i="3"/>
  <c r="J49" i="3"/>
  <c r="A50" i="3"/>
  <c r="B50" i="3"/>
  <c r="F50" i="3"/>
  <c r="H50" i="3"/>
  <c r="J50" i="3"/>
  <c r="A51" i="3"/>
  <c r="B51" i="3"/>
  <c r="F51" i="3"/>
  <c r="H51" i="3"/>
  <c r="J51" i="3"/>
  <c r="A52" i="3"/>
  <c r="B52" i="3"/>
  <c r="F52" i="3"/>
  <c r="H52" i="3"/>
  <c r="J52" i="3"/>
  <c r="A53" i="3"/>
  <c r="B53" i="3"/>
  <c r="F53" i="3"/>
  <c r="H53" i="3"/>
  <c r="J53" i="3"/>
  <c r="A54" i="3"/>
  <c r="B54" i="3"/>
  <c r="F54" i="3"/>
  <c r="H54" i="3"/>
  <c r="J54" i="3"/>
  <c r="A55" i="3"/>
  <c r="B55" i="3"/>
  <c r="F55" i="3"/>
  <c r="H55" i="3"/>
  <c r="J55" i="3"/>
  <c r="A56" i="3"/>
  <c r="B56" i="3"/>
  <c r="F56" i="3"/>
  <c r="H56" i="3"/>
  <c r="J56" i="3"/>
  <c r="A57" i="3"/>
  <c r="B57" i="3"/>
  <c r="F57" i="3"/>
  <c r="H57" i="3"/>
  <c r="J57" i="3"/>
  <c r="A58" i="3"/>
  <c r="B58" i="3"/>
  <c r="F58" i="3"/>
  <c r="H58" i="3"/>
  <c r="J58" i="3"/>
  <c r="A59" i="3"/>
  <c r="B59" i="3"/>
  <c r="F59" i="3"/>
  <c r="H59" i="3"/>
  <c r="J59" i="3"/>
  <c r="A60" i="3"/>
  <c r="B60" i="3"/>
  <c r="F60" i="3"/>
  <c r="H60" i="3"/>
  <c r="J60" i="3"/>
  <c r="A61" i="3"/>
  <c r="B61" i="3"/>
  <c r="F61" i="3"/>
  <c r="H61" i="3"/>
  <c r="J61" i="3"/>
  <c r="A62" i="3"/>
  <c r="B62" i="3"/>
  <c r="F62" i="3"/>
  <c r="H62" i="3"/>
  <c r="J62" i="3"/>
  <c r="A63" i="3"/>
  <c r="B63" i="3"/>
  <c r="F63" i="3"/>
  <c r="H63" i="3"/>
  <c r="J63" i="3"/>
  <c r="A64" i="3"/>
  <c r="B64" i="3"/>
  <c r="F64" i="3"/>
  <c r="H64" i="3"/>
  <c r="J64" i="3"/>
  <c r="A65" i="3"/>
  <c r="B65" i="3"/>
  <c r="F65" i="3"/>
  <c r="H65" i="3"/>
  <c r="J65" i="3"/>
  <c r="A66" i="3"/>
  <c r="B66" i="3"/>
  <c r="F66" i="3"/>
  <c r="H66" i="3"/>
  <c r="J66" i="3"/>
  <c r="A67" i="3"/>
  <c r="B67" i="3"/>
  <c r="F67" i="3"/>
  <c r="H67" i="3"/>
  <c r="J67" i="3"/>
  <c r="A68" i="3"/>
  <c r="B68" i="3"/>
  <c r="F68" i="3"/>
  <c r="H68" i="3"/>
  <c r="J68" i="3"/>
  <c r="A69" i="3"/>
  <c r="B69" i="3"/>
  <c r="F69" i="3"/>
  <c r="H69" i="3"/>
  <c r="J69" i="3"/>
  <c r="A70" i="3"/>
  <c r="B70" i="3"/>
  <c r="F70" i="3"/>
  <c r="H70" i="3"/>
  <c r="J70" i="3"/>
  <c r="A71" i="3"/>
  <c r="B71" i="3"/>
  <c r="F71" i="3"/>
  <c r="H71" i="3"/>
  <c r="J71" i="3"/>
  <c r="A72" i="3"/>
  <c r="B72" i="3"/>
  <c r="F72" i="3"/>
  <c r="H72" i="3"/>
  <c r="J72" i="3"/>
  <c r="A73" i="3"/>
  <c r="B73" i="3"/>
  <c r="F73" i="3"/>
  <c r="H73" i="3"/>
  <c r="J73" i="3"/>
  <c r="A74" i="3"/>
  <c r="B74" i="3"/>
  <c r="F74" i="3"/>
  <c r="H74" i="3"/>
  <c r="J74" i="3"/>
  <c r="A75" i="3"/>
  <c r="B75" i="3"/>
  <c r="F75" i="3"/>
  <c r="H75" i="3"/>
  <c r="J75" i="3"/>
  <c r="A76" i="3"/>
  <c r="B76" i="3"/>
  <c r="F76" i="3"/>
  <c r="H76" i="3"/>
  <c r="J76" i="3"/>
  <c r="A77" i="3"/>
  <c r="B77" i="3"/>
  <c r="F77" i="3"/>
  <c r="H77" i="3"/>
  <c r="J77" i="3"/>
  <c r="A78" i="3"/>
  <c r="B78" i="3"/>
  <c r="F78" i="3"/>
  <c r="H78" i="3"/>
  <c r="J78" i="3"/>
  <c r="A79" i="3"/>
  <c r="B79" i="3"/>
  <c r="F79" i="3"/>
  <c r="H79" i="3"/>
  <c r="J79" i="3"/>
  <c r="A80" i="3"/>
  <c r="B80" i="3"/>
  <c r="F80" i="3"/>
  <c r="H80" i="3"/>
  <c r="J80" i="3"/>
  <c r="A81" i="3"/>
  <c r="B81" i="3"/>
  <c r="F81" i="3"/>
  <c r="H81" i="3"/>
  <c r="J81" i="3"/>
  <c r="A82" i="3"/>
  <c r="B82" i="3"/>
  <c r="F82" i="3"/>
  <c r="H82" i="3"/>
  <c r="J82" i="3"/>
  <c r="A83" i="3"/>
  <c r="B83" i="3"/>
  <c r="F83" i="3"/>
  <c r="H83" i="3"/>
  <c r="J83" i="3"/>
  <c r="A84" i="3"/>
  <c r="B84" i="3"/>
  <c r="F84" i="3"/>
  <c r="H84" i="3"/>
  <c r="J84" i="3"/>
  <c r="A85" i="3"/>
  <c r="B85" i="3"/>
  <c r="F85" i="3"/>
  <c r="H85" i="3"/>
  <c r="J85" i="3"/>
  <c r="A86" i="3"/>
  <c r="B86" i="3"/>
  <c r="F86" i="3"/>
  <c r="H86" i="3"/>
  <c r="J86" i="3"/>
  <c r="A87" i="3"/>
  <c r="B87" i="3"/>
  <c r="F87" i="3"/>
  <c r="H87" i="3"/>
  <c r="J87" i="3"/>
  <c r="A88" i="3"/>
  <c r="B88" i="3"/>
  <c r="F88" i="3"/>
  <c r="H88" i="3"/>
  <c r="J88" i="3"/>
  <c r="A89" i="3"/>
  <c r="B89" i="3"/>
  <c r="F89" i="3"/>
  <c r="H89" i="3"/>
  <c r="J89" i="3"/>
  <c r="A90" i="3"/>
  <c r="B90" i="3"/>
  <c r="F90" i="3"/>
  <c r="H90" i="3"/>
  <c r="J90" i="3"/>
  <c r="A91" i="3"/>
  <c r="B91" i="3"/>
  <c r="F91" i="3"/>
  <c r="H91" i="3"/>
  <c r="J91" i="3"/>
  <c r="A92" i="3"/>
  <c r="B92" i="3"/>
  <c r="F92" i="3"/>
  <c r="H92" i="3"/>
  <c r="J92" i="3"/>
  <c r="A93" i="3"/>
  <c r="B93" i="3"/>
  <c r="F93" i="3"/>
  <c r="H93" i="3"/>
  <c r="J93" i="3"/>
  <c r="A94" i="3"/>
  <c r="B94" i="3"/>
  <c r="F94" i="3"/>
  <c r="H94" i="3"/>
  <c r="J94" i="3"/>
  <c r="A95" i="3"/>
  <c r="B95" i="3"/>
  <c r="F95" i="3"/>
  <c r="H95" i="3"/>
  <c r="J95" i="3"/>
  <c r="A96" i="3"/>
  <c r="B96" i="3"/>
  <c r="F96" i="3"/>
  <c r="H96" i="3"/>
  <c r="J96" i="3"/>
  <c r="A97" i="3"/>
  <c r="B97" i="3"/>
  <c r="F97" i="3"/>
  <c r="H97" i="3"/>
  <c r="J97" i="3"/>
  <c r="A98" i="3"/>
  <c r="B98" i="3"/>
  <c r="F98" i="3"/>
  <c r="H98" i="3"/>
  <c r="J98" i="3"/>
  <c r="A99" i="3"/>
  <c r="B99" i="3"/>
  <c r="F99" i="3"/>
  <c r="H99" i="3"/>
  <c r="J99" i="3"/>
  <c r="A100" i="3"/>
  <c r="B100" i="3"/>
  <c r="F100" i="3"/>
  <c r="H100" i="3"/>
  <c r="J100" i="3"/>
  <c r="A101" i="3"/>
  <c r="B101" i="3"/>
  <c r="F101" i="3"/>
  <c r="H101" i="3"/>
  <c r="J101" i="3"/>
  <c r="A102" i="3"/>
  <c r="B102" i="3"/>
  <c r="F102" i="3"/>
  <c r="H102" i="3"/>
  <c r="J102" i="3"/>
  <c r="A103" i="3"/>
  <c r="B103" i="3"/>
  <c r="F103" i="3"/>
  <c r="H103" i="3"/>
  <c r="J103" i="3"/>
  <c r="A104" i="3"/>
  <c r="B104" i="3"/>
  <c r="F104" i="3"/>
  <c r="H104" i="3"/>
  <c r="J104" i="3"/>
  <c r="A105" i="3"/>
  <c r="B105" i="3"/>
  <c r="F105" i="3"/>
  <c r="H105" i="3"/>
  <c r="J105" i="3"/>
  <c r="A106" i="3"/>
  <c r="B106" i="3"/>
  <c r="F106" i="3"/>
  <c r="H106" i="3"/>
  <c r="J106" i="3"/>
  <c r="A107" i="3"/>
  <c r="B107" i="3"/>
  <c r="F107" i="3"/>
  <c r="H107" i="3"/>
  <c r="J107" i="3"/>
  <c r="A108" i="3"/>
  <c r="B108" i="3"/>
  <c r="F108" i="3"/>
  <c r="H108" i="3"/>
  <c r="J108" i="3"/>
  <c r="A109" i="3"/>
  <c r="B109" i="3"/>
  <c r="F109" i="3"/>
  <c r="H109" i="3"/>
  <c r="J109" i="3"/>
  <c r="A110" i="3"/>
  <c r="B110" i="3"/>
  <c r="F110" i="3"/>
  <c r="H110" i="3"/>
  <c r="J110" i="3"/>
  <c r="A111" i="3"/>
  <c r="B111" i="3"/>
  <c r="F111" i="3"/>
  <c r="H111" i="3"/>
  <c r="J111" i="3"/>
  <c r="A112" i="3"/>
  <c r="B112" i="3"/>
  <c r="F112" i="3"/>
  <c r="H112" i="3"/>
  <c r="J112" i="3"/>
  <c r="A113" i="3"/>
  <c r="B113" i="3"/>
  <c r="F113" i="3"/>
  <c r="H113" i="3"/>
  <c r="J113" i="3"/>
  <c r="A114" i="3"/>
  <c r="B114" i="3"/>
  <c r="F114" i="3"/>
  <c r="H114" i="3"/>
  <c r="J114" i="3"/>
  <c r="A115" i="3"/>
  <c r="B115" i="3"/>
  <c r="F115" i="3"/>
  <c r="H115" i="3"/>
  <c r="J115" i="3"/>
  <c r="A116" i="3"/>
  <c r="B116" i="3"/>
  <c r="F116" i="3"/>
  <c r="H116" i="3"/>
  <c r="J116" i="3"/>
  <c r="A117" i="3"/>
  <c r="B117" i="3"/>
  <c r="F117" i="3"/>
  <c r="H117" i="3"/>
  <c r="J117" i="3"/>
  <c r="A118" i="3"/>
  <c r="B118" i="3"/>
  <c r="F118" i="3"/>
  <c r="H118" i="3"/>
  <c r="J118" i="3"/>
  <c r="A119" i="3"/>
  <c r="B119" i="3"/>
  <c r="F119" i="3"/>
  <c r="H119" i="3"/>
  <c r="J119" i="3"/>
  <c r="A120" i="3"/>
  <c r="B120" i="3"/>
  <c r="F120" i="3"/>
  <c r="H120" i="3"/>
  <c r="J120" i="3"/>
  <c r="A121" i="3"/>
  <c r="B121" i="3"/>
  <c r="F121" i="3"/>
  <c r="H121" i="3"/>
  <c r="J121" i="3"/>
  <c r="A122" i="3"/>
  <c r="B122" i="3"/>
  <c r="F122" i="3"/>
  <c r="H122" i="3"/>
  <c r="J122" i="3"/>
  <c r="A123" i="3"/>
  <c r="B123" i="3"/>
  <c r="F123" i="3"/>
  <c r="H123" i="3"/>
  <c r="J123" i="3"/>
  <c r="A124" i="3"/>
  <c r="B124" i="3"/>
  <c r="F124" i="3"/>
  <c r="H124" i="3"/>
  <c r="J124" i="3"/>
  <c r="A125" i="3"/>
  <c r="B125" i="3"/>
  <c r="F125" i="3"/>
  <c r="H125" i="3"/>
  <c r="J125" i="3"/>
  <c r="A126" i="3"/>
  <c r="B126" i="3"/>
  <c r="F126" i="3"/>
  <c r="H126" i="3"/>
  <c r="J126" i="3"/>
  <c r="A127" i="3"/>
  <c r="B127" i="3"/>
  <c r="F127" i="3"/>
  <c r="H127" i="3"/>
  <c r="J127" i="3"/>
  <c r="A128" i="3"/>
  <c r="B128" i="3"/>
  <c r="F128" i="3"/>
  <c r="H128" i="3"/>
  <c r="J128" i="3"/>
  <c r="A129" i="3"/>
  <c r="B129" i="3"/>
  <c r="F129" i="3"/>
  <c r="H129" i="3"/>
  <c r="J129" i="3"/>
  <c r="A130" i="3"/>
  <c r="B130" i="3"/>
  <c r="F130" i="3"/>
  <c r="H130" i="3"/>
  <c r="J130" i="3"/>
  <c r="A131" i="3"/>
  <c r="B131" i="3"/>
  <c r="F131" i="3"/>
  <c r="H131" i="3"/>
  <c r="J131" i="3"/>
  <c r="A132" i="3"/>
  <c r="B132" i="3"/>
  <c r="F132" i="3"/>
  <c r="H132" i="3"/>
  <c r="J132" i="3"/>
  <c r="A133" i="3"/>
  <c r="B133" i="3"/>
  <c r="F133" i="3"/>
  <c r="H133" i="3"/>
  <c r="J133" i="3"/>
  <c r="A134" i="3"/>
  <c r="B134" i="3"/>
  <c r="F134" i="3"/>
  <c r="H134" i="3"/>
  <c r="J134" i="3"/>
  <c r="A135" i="3"/>
  <c r="B135" i="3"/>
  <c r="F135" i="3"/>
  <c r="H135" i="3"/>
  <c r="J135" i="3"/>
  <c r="A136" i="3"/>
  <c r="B136" i="3"/>
  <c r="F136" i="3"/>
  <c r="H136" i="3"/>
  <c r="J136" i="3"/>
  <c r="A137" i="3"/>
  <c r="B137" i="3"/>
  <c r="F137" i="3"/>
  <c r="H137" i="3"/>
  <c r="J137" i="3"/>
  <c r="A138" i="3"/>
  <c r="B138" i="3"/>
  <c r="F138" i="3"/>
  <c r="H138" i="3"/>
  <c r="J138" i="3"/>
  <c r="A139" i="3"/>
  <c r="B139" i="3"/>
  <c r="F139" i="3"/>
  <c r="H139" i="3"/>
  <c r="J139" i="3"/>
  <c r="A140" i="3"/>
  <c r="B140" i="3"/>
  <c r="F140" i="3"/>
  <c r="H140" i="3"/>
  <c r="J140" i="3"/>
  <c r="A141" i="3"/>
  <c r="B141" i="3"/>
  <c r="F141" i="3"/>
  <c r="H141" i="3"/>
  <c r="J141" i="3"/>
  <c r="A142" i="3"/>
  <c r="B142" i="3"/>
  <c r="F142" i="3"/>
  <c r="H142" i="3"/>
  <c r="J142" i="3"/>
  <c r="A143" i="3"/>
  <c r="B143" i="3"/>
  <c r="F143" i="3"/>
  <c r="H143" i="3"/>
  <c r="J143" i="3"/>
  <c r="A144" i="3"/>
  <c r="B144" i="3"/>
  <c r="F144" i="3"/>
  <c r="H144" i="3"/>
  <c r="J144" i="3"/>
  <c r="A145" i="3"/>
  <c r="B145" i="3"/>
  <c r="F145" i="3"/>
  <c r="H145" i="3"/>
  <c r="J145" i="3"/>
  <c r="A146" i="3"/>
  <c r="B146" i="3"/>
  <c r="F146" i="3"/>
  <c r="H146" i="3"/>
  <c r="J146" i="3"/>
  <c r="A147" i="3"/>
  <c r="B147" i="3"/>
  <c r="F147" i="3"/>
  <c r="H147" i="3"/>
  <c r="J147" i="3"/>
  <c r="A148" i="3"/>
  <c r="B148" i="3"/>
  <c r="F148" i="3"/>
  <c r="H148" i="3"/>
  <c r="J148" i="3"/>
  <c r="A149" i="3"/>
  <c r="B149" i="3"/>
  <c r="F149" i="3"/>
  <c r="H149" i="3"/>
  <c r="J149" i="3"/>
  <c r="A150" i="3"/>
  <c r="B150" i="3"/>
  <c r="F150" i="3"/>
  <c r="H150" i="3"/>
  <c r="J150" i="3"/>
  <c r="A151" i="3"/>
  <c r="B151" i="3"/>
  <c r="F151" i="3"/>
  <c r="H151" i="3"/>
  <c r="J151" i="3"/>
  <c r="A152" i="3"/>
  <c r="B152" i="3"/>
  <c r="F152" i="3"/>
  <c r="H152" i="3"/>
  <c r="J152" i="3"/>
  <c r="A153" i="3"/>
  <c r="B153" i="3"/>
  <c r="F153" i="3"/>
  <c r="H153" i="3"/>
  <c r="J153" i="3"/>
  <c r="A154" i="3"/>
  <c r="B154" i="3"/>
  <c r="F154" i="3"/>
  <c r="H154" i="3"/>
  <c r="J154" i="3"/>
  <c r="A155" i="3"/>
  <c r="B155" i="3"/>
  <c r="F155" i="3"/>
  <c r="H155" i="3"/>
  <c r="J155" i="3"/>
  <c r="A156" i="3"/>
  <c r="B156" i="3"/>
  <c r="F156" i="3"/>
  <c r="H156" i="3"/>
  <c r="J156" i="3"/>
  <c r="A157" i="3"/>
  <c r="B157" i="3"/>
  <c r="F157" i="3"/>
  <c r="H157" i="3"/>
  <c r="J157" i="3"/>
  <c r="A158" i="3"/>
  <c r="B158" i="3"/>
  <c r="F158" i="3"/>
  <c r="H158" i="3"/>
  <c r="J158" i="3"/>
  <c r="A159" i="3"/>
  <c r="B159" i="3"/>
  <c r="F159" i="3"/>
  <c r="H159" i="3"/>
  <c r="J159" i="3"/>
  <c r="A160" i="3"/>
  <c r="B160" i="3"/>
  <c r="F160" i="3"/>
  <c r="H160" i="3"/>
  <c r="M160" i="3" s="1"/>
  <c r="J160" i="3"/>
  <c r="A161" i="3"/>
  <c r="B161" i="3"/>
  <c r="F161" i="3"/>
  <c r="H161" i="3"/>
  <c r="J161" i="3"/>
  <c r="A162" i="3"/>
  <c r="B162" i="3"/>
  <c r="F162" i="3"/>
  <c r="H162" i="3"/>
  <c r="J162" i="3"/>
  <c r="A163" i="3"/>
  <c r="B163" i="3"/>
  <c r="F163" i="3"/>
  <c r="H163" i="3"/>
  <c r="J163" i="3"/>
  <c r="A164" i="3"/>
  <c r="B164" i="3"/>
  <c r="F164" i="3"/>
  <c r="H164" i="3"/>
  <c r="J164" i="3"/>
  <c r="A165" i="3"/>
  <c r="B165" i="3"/>
  <c r="F165" i="3"/>
  <c r="H165" i="3"/>
  <c r="J165" i="3"/>
  <c r="A166" i="3"/>
  <c r="B166" i="3"/>
  <c r="F166" i="3"/>
  <c r="H166" i="3"/>
  <c r="J166" i="3"/>
  <c r="A167" i="3"/>
  <c r="B167" i="3"/>
  <c r="F167" i="3"/>
  <c r="H167" i="3"/>
  <c r="J167" i="3"/>
  <c r="A168" i="3"/>
  <c r="B168" i="3"/>
  <c r="F168" i="3"/>
  <c r="H168" i="3"/>
  <c r="J168" i="3"/>
  <c r="A169" i="3"/>
  <c r="B169" i="3"/>
  <c r="F169" i="3"/>
  <c r="H169" i="3"/>
  <c r="J169" i="3"/>
  <c r="A170" i="3"/>
  <c r="B170" i="3"/>
  <c r="F170" i="3"/>
  <c r="H170" i="3"/>
  <c r="J170" i="3"/>
  <c r="A171" i="3"/>
  <c r="B171" i="3"/>
  <c r="F171" i="3"/>
  <c r="H171" i="3"/>
  <c r="J171" i="3"/>
  <c r="A172" i="3"/>
  <c r="B172" i="3"/>
  <c r="F172" i="3"/>
  <c r="H172" i="3"/>
  <c r="J172" i="3"/>
  <c r="A173" i="3"/>
  <c r="B173" i="3"/>
  <c r="F173" i="3"/>
  <c r="H173" i="3"/>
  <c r="J173" i="3"/>
  <c r="A174" i="3"/>
  <c r="B174" i="3"/>
  <c r="F174" i="3"/>
  <c r="H174" i="3"/>
  <c r="J174" i="3"/>
  <c r="A175" i="3"/>
  <c r="B175" i="3"/>
  <c r="F175" i="3"/>
  <c r="H175" i="3"/>
  <c r="J175" i="3"/>
  <c r="A176" i="3"/>
  <c r="B176" i="3"/>
  <c r="F176" i="3"/>
  <c r="H176" i="3"/>
  <c r="J176" i="3"/>
  <c r="A177" i="3"/>
  <c r="B177" i="3"/>
  <c r="F177" i="3"/>
  <c r="H177" i="3"/>
  <c r="J177" i="3"/>
  <c r="A178" i="3"/>
  <c r="B178" i="3"/>
  <c r="F178" i="3"/>
  <c r="H178" i="3"/>
  <c r="J178" i="3"/>
  <c r="A179" i="3"/>
  <c r="B179" i="3"/>
  <c r="F179" i="3"/>
  <c r="H179" i="3"/>
  <c r="J179" i="3"/>
  <c r="A180" i="3"/>
  <c r="B180" i="3"/>
  <c r="F180" i="3"/>
  <c r="H180" i="3"/>
  <c r="J180" i="3"/>
  <c r="A181" i="3"/>
  <c r="B181" i="3"/>
  <c r="F181" i="3"/>
  <c r="H181" i="3"/>
  <c r="J181" i="3"/>
  <c r="A182" i="3"/>
  <c r="B182" i="3"/>
  <c r="F182" i="3"/>
  <c r="H182" i="3"/>
  <c r="J182" i="3"/>
  <c r="A183" i="3"/>
  <c r="B183" i="3"/>
  <c r="F183" i="3"/>
  <c r="H183" i="3"/>
  <c r="J183" i="3"/>
  <c r="A184" i="3"/>
  <c r="B184" i="3"/>
  <c r="F184" i="3"/>
  <c r="H184" i="3"/>
  <c r="J184" i="3"/>
  <c r="A185" i="3"/>
  <c r="B185" i="3"/>
  <c r="F185" i="3"/>
  <c r="H185" i="3"/>
  <c r="J185" i="3"/>
  <c r="A186" i="3"/>
  <c r="B186" i="3"/>
  <c r="F186" i="3"/>
  <c r="H186" i="3"/>
  <c r="J186" i="3"/>
  <c r="A187" i="3"/>
  <c r="B187" i="3"/>
  <c r="F187" i="3"/>
  <c r="H187" i="3"/>
  <c r="J187" i="3"/>
  <c r="A188" i="3"/>
  <c r="B188" i="3"/>
  <c r="F188" i="3"/>
  <c r="H188" i="3"/>
  <c r="J188" i="3"/>
  <c r="A189" i="3"/>
  <c r="B189" i="3"/>
  <c r="F189" i="3"/>
  <c r="H189" i="3"/>
  <c r="J189" i="3"/>
  <c r="A190" i="3"/>
  <c r="B190" i="3"/>
  <c r="F190" i="3"/>
  <c r="H190" i="3"/>
  <c r="J190" i="3"/>
  <c r="A191" i="3"/>
  <c r="B191" i="3"/>
  <c r="F191" i="3"/>
  <c r="H191" i="3"/>
  <c r="J191" i="3"/>
  <c r="A192" i="3"/>
  <c r="B192" i="3"/>
  <c r="F192" i="3"/>
  <c r="H192" i="3"/>
  <c r="J192" i="3"/>
  <c r="A193" i="3"/>
  <c r="B193" i="3"/>
  <c r="F193" i="3"/>
  <c r="H193" i="3"/>
  <c r="J193" i="3"/>
  <c r="A194" i="3"/>
  <c r="B194" i="3"/>
  <c r="F194" i="3"/>
  <c r="H194" i="3"/>
  <c r="J194" i="3"/>
  <c r="A195" i="3"/>
  <c r="B195" i="3"/>
  <c r="F195" i="3"/>
  <c r="H195" i="3"/>
  <c r="J195" i="3"/>
  <c r="A196" i="3"/>
  <c r="B196" i="3"/>
  <c r="F196" i="3"/>
  <c r="H196" i="3"/>
  <c r="J196" i="3"/>
  <c r="A197" i="3"/>
  <c r="B197" i="3"/>
  <c r="F197" i="3"/>
  <c r="H197" i="3"/>
  <c r="J197" i="3"/>
  <c r="A198" i="3"/>
  <c r="B198" i="3"/>
  <c r="F198" i="3"/>
  <c r="H198" i="3"/>
  <c r="J198" i="3"/>
  <c r="A199" i="3"/>
  <c r="B199" i="3"/>
  <c r="F199" i="3"/>
  <c r="H199" i="3"/>
  <c r="J199" i="3"/>
  <c r="A200" i="3"/>
  <c r="B200" i="3"/>
  <c r="F200" i="3"/>
  <c r="H200" i="3"/>
  <c r="J200" i="3"/>
  <c r="A201" i="3"/>
  <c r="B201" i="3"/>
  <c r="F201" i="3"/>
  <c r="H201" i="3"/>
  <c r="J201" i="3"/>
  <c r="A202" i="3"/>
  <c r="B202" i="3"/>
  <c r="F202" i="3"/>
  <c r="H202" i="3"/>
  <c r="J202" i="3"/>
  <c r="A203" i="3"/>
  <c r="B203" i="3"/>
  <c r="F203" i="3"/>
  <c r="H203" i="3"/>
  <c r="J203" i="3"/>
  <c r="A204" i="3"/>
  <c r="B204" i="3"/>
  <c r="F204" i="3"/>
  <c r="H204" i="3"/>
  <c r="J204" i="3"/>
  <c r="A205" i="3"/>
  <c r="B205" i="3"/>
  <c r="F205" i="3"/>
  <c r="H205" i="3"/>
  <c r="J205" i="3"/>
  <c r="A206" i="3"/>
  <c r="B206" i="3"/>
  <c r="F206" i="3"/>
  <c r="H206" i="3"/>
  <c r="J206" i="3"/>
  <c r="A207" i="3"/>
  <c r="B207" i="3"/>
  <c r="F207" i="3"/>
  <c r="H207" i="3"/>
  <c r="J207" i="3"/>
  <c r="A208" i="3"/>
  <c r="B208" i="3"/>
  <c r="F208" i="3"/>
  <c r="H208" i="3"/>
  <c r="J208" i="3"/>
  <c r="A209" i="3"/>
  <c r="B209" i="3"/>
  <c r="F209" i="3"/>
  <c r="H209" i="3"/>
  <c r="J209" i="3"/>
  <c r="A210" i="3"/>
  <c r="B210" i="3"/>
  <c r="F210" i="3"/>
  <c r="H210" i="3"/>
  <c r="J210" i="3"/>
  <c r="A211" i="3"/>
  <c r="B211" i="3"/>
  <c r="F211" i="3"/>
  <c r="H211" i="3"/>
  <c r="J211" i="3"/>
  <c r="A212" i="3"/>
  <c r="B212" i="3"/>
  <c r="F212" i="3"/>
  <c r="H212" i="3"/>
  <c r="J212" i="3"/>
  <c r="A213" i="3"/>
  <c r="B213" i="3"/>
  <c r="F213" i="3"/>
  <c r="H213" i="3"/>
  <c r="J213" i="3"/>
  <c r="A214" i="3"/>
  <c r="B214" i="3"/>
  <c r="F214" i="3"/>
  <c r="H214" i="3"/>
  <c r="J214" i="3"/>
  <c r="A215" i="3"/>
  <c r="B215" i="3"/>
  <c r="F215" i="3"/>
  <c r="H215" i="3"/>
  <c r="J215" i="3"/>
  <c r="A216" i="3"/>
  <c r="B216" i="3"/>
  <c r="F216" i="3"/>
  <c r="H216" i="3"/>
  <c r="J216" i="3"/>
  <c r="A217" i="3"/>
  <c r="B217" i="3"/>
  <c r="F217" i="3"/>
  <c r="H217" i="3"/>
  <c r="J217" i="3"/>
  <c r="A218" i="3"/>
  <c r="B218" i="3"/>
  <c r="F218" i="3"/>
  <c r="H218" i="3"/>
  <c r="J218" i="3"/>
  <c r="A219" i="3"/>
  <c r="B219" i="3"/>
  <c r="F219" i="3"/>
  <c r="H219" i="3"/>
  <c r="J219" i="3"/>
  <c r="A220" i="3"/>
  <c r="B220" i="3"/>
  <c r="F220" i="3"/>
  <c r="H220" i="3"/>
  <c r="J220" i="3"/>
  <c r="A221" i="3"/>
  <c r="B221" i="3"/>
  <c r="F221" i="3"/>
  <c r="H221" i="3"/>
  <c r="J221" i="3"/>
  <c r="A222" i="3"/>
  <c r="B222" i="3"/>
  <c r="F222" i="3"/>
  <c r="H222" i="3"/>
  <c r="J222" i="3"/>
  <c r="A223" i="3"/>
  <c r="B223" i="3"/>
  <c r="F223" i="3"/>
  <c r="H223" i="3"/>
  <c r="J223" i="3"/>
  <c r="A224" i="3"/>
  <c r="B224" i="3"/>
  <c r="F224" i="3"/>
  <c r="H224" i="3"/>
  <c r="J224" i="3"/>
  <c r="A225" i="3"/>
  <c r="B225" i="3"/>
  <c r="F225" i="3"/>
  <c r="H225" i="3"/>
  <c r="J225" i="3"/>
  <c r="A226" i="3"/>
  <c r="B226" i="3"/>
  <c r="F226" i="3"/>
  <c r="H226" i="3"/>
  <c r="J226" i="3"/>
  <c r="A227" i="3"/>
  <c r="B227" i="3"/>
  <c r="F227" i="3"/>
  <c r="H227" i="3"/>
  <c r="J227" i="3"/>
  <c r="A228" i="3"/>
  <c r="B228" i="3"/>
  <c r="F228" i="3"/>
  <c r="H228" i="3"/>
  <c r="J228" i="3"/>
  <c r="A229" i="3"/>
  <c r="B229" i="3"/>
  <c r="F229" i="3"/>
  <c r="H229" i="3"/>
  <c r="J229" i="3"/>
  <c r="A230" i="3"/>
  <c r="B230" i="3"/>
  <c r="F230" i="3"/>
  <c r="H230" i="3"/>
  <c r="J230" i="3"/>
  <c r="A231" i="3"/>
  <c r="B231" i="3"/>
  <c r="F231" i="3"/>
  <c r="H231" i="3"/>
  <c r="J231" i="3"/>
  <c r="A232" i="3"/>
  <c r="B232" i="3"/>
  <c r="F232" i="3"/>
  <c r="H232" i="3"/>
  <c r="J232" i="3"/>
  <c r="A233" i="3"/>
  <c r="B233" i="3"/>
  <c r="F233" i="3"/>
  <c r="H233" i="3"/>
  <c r="J233" i="3"/>
  <c r="A234" i="3"/>
  <c r="B234" i="3"/>
  <c r="F234" i="3"/>
  <c r="H234" i="3"/>
  <c r="J234" i="3"/>
  <c r="A235" i="3"/>
  <c r="B235" i="3"/>
  <c r="F235" i="3"/>
  <c r="H235" i="3"/>
  <c r="J235" i="3"/>
  <c r="A236" i="3"/>
  <c r="B236" i="3"/>
  <c r="F236" i="3"/>
  <c r="H236" i="3"/>
  <c r="J236" i="3"/>
  <c r="A237" i="3"/>
  <c r="B237" i="3"/>
  <c r="F237" i="3"/>
  <c r="H237" i="3"/>
  <c r="J237" i="3"/>
  <c r="A238" i="3"/>
  <c r="B238" i="3"/>
  <c r="F238" i="3"/>
  <c r="H238" i="3"/>
  <c r="J238" i="3"/>
  <c r="A239" i="3"/>
  <c r="B239" i="3"/>
  <c r="F239" i="3"/>
  <c r="H239" i="3"/>
  <c r="J239" i="3"/>
  <c r="A240" i="3"/>
  <c r="B240" i="3"/>
  <c r="F240" i="3"/>
  <c r="H240" i="3"/>
  <c r="J240" i="3"/>
  <c r="A241" i="3"/>
  <c r="B241" i="3"/>
  <c r="F241" i="3"/>
  <c r="H241" i="3"/>
  <c r="J241" i="3"/>
  <c r="A242" i="3"/>
  <c r="B242" i="3"/>
  <c r="F242" i="3"/>
  <c r="H242" i="3"/>
  <c r="J242" i="3"/>
  <c r="A243" i="3"/>
  <c r="B243" i="3"/>
  <c r="F243" i="3"/>
  <c r="H243" i="3"/>
  <c r="J243" i="3"/>
  <c r="A244" i="3"/>
  <c r="B244" i="3"/>
  <c r="F244" i="3"/>
  <c r="H244" i="3"/>
  <c r="J244" i="3"/>
  <c r="A245" i="3"/>
  <c r="B245" i="3"/>
  <c r="F245" i="3"/>
  <c r="H245" i="3"/>
  <c r="J245" i="3"/>
  <c r="A246" i="3"/>
  <c r="B246" i="3"/>
  <c r="F246" i="3"/>
  <c r="H246" i="3"/>
  <c r="J246" i="3"/>
  <c r="A247" i="3"/>
  <c r="B247" i="3"/>
  <c r="F247" i="3"/>
  <c r="H247" i="3"/>
  <c r="J247" i="3"/>
  <c r="A248" i="3"/>
  <c r="B248" i="3"/>
  <c r="F248" i="3"/>
  <c r="H248" i="3"/>
  <c r="J248" i="3"/>
  <c r="A249" i="3"/>
  <c r="B249" i="3"/>
  <c r="F249" i="3"/>
  <c r="H249" i="3"/>
  <c r="J249" i="3"/>
  <c r="A250" i="3"/>
  <c r="B250" i="3"/>
  <c r="F250" i="3"/>
  <c r="H250" i="3"/>
  <c r="J250" i="3"/>
  <c r="A251" i="3"/>
  <c r="B251" i="3"/>
  <c r="F251" i="3"/>
  <c r="H251" i="3"/>
  <c r="J251" i="3"/>
  <c r="A252" i="3"/>
  <c r="B252" i="3"/>
  <c r="F252" i="3"/>
  <c r="H252" i="3"/>
  <c r="J252" i="3"/>
  <c r="A253" i="3"/>
  <c r="B253" i="3"/>
  <c r="F253" i="3"/>
  <c r="H253" i="3"/>
  <c r="J253" i="3"/>
  <c r="A254" i="3"/>
  <c r="B254" i="3"/>
  <c r="F254" i="3"/>
  <c r="H254" i="3"/>
  <c r="J254" i="3"/>
  <c r="A255" i="3"/>
  <c r="B255" i="3"/>
  <c r="F255" i="3"/>
  <c r="H255" i="3"/>
  <c r="J255" i="3"/>
  <c r="A256" i="3"/>
  <c r="B256" i="3"/>
  <c r="F256" i="3"/>
  <c r="H256" i="3"/>
  <c r="J256" i="3"/>
  <c r="A257" i="3"/>
  <c r="B257" i="3"/>
  <c r="F257" i="3"/>
  <c r="H257" i="3"/>
  <c r="J257" i="3"/>
  <c r="A258" i="3"/>
  <c r="B258" i="3"/>
  <c r="F258" i="3"/>
  <c r="H258" i="3"/>
  <c r="J258" i="3"/>
  <c r="A259" i="3"/>
  <c r="B259" i="3"/>
  <c r="F259" i="3"/>
  <c r="H259" i="3"/>
  <c r="J259" i="3"/>
  <c r="A260" i="3"/>
  <c r="B260" i="3"/>
  <c r="F260" i="3"/>
  <c r="H260" i="3"/>
  <c r="J260" i="3"/>
  <c r="A261" i="3"/>
  <c r="B261" i="3"/>
  <c r="F261" i="3"/>
  <c r="H261" i="3"/>
  <c r="J261" i="3"/>
  <c r="A262" i="3"/>
  <c r="B262" i="3"/>
  <c r="F262" i="3"/>
  <c r="H262" i="3"/>
  <c r="J262" i="3"/>
  <c r="A263" i="3"/>
  <c r="B263" i="3"/>
  <c r="F263" i="3"/>
  <c r="H263" i="3"/>
  <c r="J263" i="3"/>
  <c r="A264" i="3"/>
  <c r="B264" i="3"/>
  <c r="F264" i="3"/>
  <c r="H264" i="3"/>
  <c r="J264" i="3"/>
  <c r="A265" i="3"/>
  <c r="B265" i="3"/>
  <c r="F265" i="3"/>
  <c r="H265" i="3"/>
  <c r="J265" i="3"/>
  <c r="A266" i="3"/>
  <c r="B266" i="3"/>
  <c r="F266" i="3"/>
  <c r="H266" i="3"/>
  <c r="J266" i="3"/>
  <c r="A267" i="3"/>
  <c r="B267" i="3"/>
  <c r="F267" i="3"/>
  <c r="H267" i="3"/>
  <c r="J267" i="3"/>
  <c r="A268" i="3"/>
  <c r="B268" i="3"/>
  <c r="F268" i="3"/>
  <c r="H268" i="3"/>
  <c r="J268" i="3"/>
  <c r="A269" i="3"/>
  <c r="B269" i="3"/>
  <c r="F269" i="3"/>
  <c r="H269" i="3"/>
  <c r="J269" i="3"/>
  <c r="A270" i="3"/>
  <c r="B270" i="3"/>
  <c r="F270" i="3"/>
  <c r="H270" i="3"/>
  <c r="J270" i="3"/>
  <c r="A271" i="3"/>
  <c r="B271" i="3"/>
  <c r="F271" i="3"/>
  <c r="H271" i="3"/>
  <c r="J271" i="3"/>
  <c r="A272" i="3"/>
  <c r="B272" i="3"/>
  <c r="F272" i="3"/>
  <c r="H272" i="3"/>
  <c r="J272" i="3"/>
  <c r="A273" i="3"/>
  <c r="B273" i="3"/>
  <c r="F273" i="3"/>
  <c r="H273" i="3"/>
  <c r="J273" i="3"/>
  <c r="A274" i="3"/>
  <c r="B274" i="3"/>
  <c r="F274" i="3"/>
  <c r="H274" i="3"/>
  <c r="J274" i="3"/>
  <c r="A275" i="3"/>
  <c r="B275" i="3"/>
  <c r="F275" i="3"/>
  <c r="H275" i="3"/>
  <c r="J275" i="3"/>
  <c r="A276" i="3"/>
  <c r="B276" i="3"/>
  <c r="F276" i="3"/>
  <c r="H276" i="3"/>
  <c r="J276" i="3"/>
  <c r="A277" i="3"/>
  <c r="B277" i="3"/>
  <c r="F277" i="3"/>
  <c r="H277" i="3"/>
  <c r="J277" i="3"/>
  <c r="A278" i="3"/>
  <c r="B278" i="3"/>
  <c r="F278" i="3"/>
  <c r="H278" i="3"/>
  <c r="J278" i="3"/>
  <c r="A279" i="3"/>
  <c r="B279" i="3"/>
  <c r="F279" i="3"/>
  <c r="H279" i="3"/>
  <c r="J279" i="3"/>
  <c r="A280" i="3"/>
  <c r="B280" i="3"/>
  <c r="F280" i="3"/>
  <c r="H280" i="3"/>
  <c r="J280" i="3"/>
  <c r="A281" i="3"/>
  <c r="B281" i="3"/>
  <c r="F281" i="3"/>
  <c r="H281" i="3"/>
  <c r="J281" i="3"/>
  <c r="A282" i="3"/>
  <c r="B282" i="3"/>
  <c r="F282" i="3"/>
  <c r="H282" i="3"/>
  <c r="J282" i="3"/>
  <c r="A283" i="3"/>
  <c r="B283" i="3"/>
  <c r="F283" i="3"/>
  <c r="H283" i="3"/>
  <c r="J283" i="3"/>
  <c r="A284" i="3"/>
  <c r="B284" i="3"/>
  <c r="F284" i="3"/>
  <c r="H284" i="3"/>
  <c r="J284" i="3"/>
  <c r="A285" i="3"/>
  <c r="B285" i="3"/>
  <c r="F285" i="3"/>
  <c r="H285" i="3"/>
  <c r="J285" i="3"/>
  <c r="A286" i="3"/>
  <c r="B286" i="3"/>
  <c r="F286" i="3"/>
  <c r="H286" i="3"/>
  <c r="J286" i="3"/>
  <c r="A287" i="3"/>
  <c r="B287" i="3"/>
  <c r="F287" i="3"/>
  <c r="H287" i="3"/>
  <c r="J287" i="3"/>
  <c r="A288" i="3"/>
  <c r="B288" i="3"/>
  <c r="F288" i="3"/>
  <c r="H288" i="3"/>
  <c r="J288" i="3"/>
  <c r="A289" i="3"/>
  <c r="B289" i="3"/>
  <c r="F289" i="3"/>
  <c r="H289" i="3"/>
  <c r="J289" i="3"/>
  <c r="A290" i="3"/>
  <c r="B290" i="3"/>
  <c r="F290" i="3"/>
  <c r="H290" i="3"/>
  <c r="J290" i="3"/>
  <c r="A291" i="3"/>
  <c r="B291" i="3"/>
  <c r="F291" i="3"/>
  <c r="H291" i="3"/>
  <c r="J291" i="3"/>
  <c r="A292" i="3"/>
  <c r="B292" i="3"/>
  <c r="F292" i="3"/>
  <c r="H292" i="3"/>
  <c r="J292" i="3"/>
  <c r="A293" i="3"/>
  <c r="B293" i="3"/>
  <c r="F293" i="3"/>
  <c r="H293" i="3"/>
  <c r="J293" i="3"/>
  <c r="A294" i="3"/>
  <c r="B294" i="3"/>
  <c r="F294" i="3"/>
  <c r="H294" i="3"/>
  <c r="J294" i="3"/>
  <c r="A295" i="3"/>
  <c r="B295" i="3"/>
  <c r="F295" i="3"/>
  <c r="H295" i="3"/>
  <c r="J295" i="3"/>
  <c r="A296" i="3"/>
  <c r="B296" i="3"/>
  <c r="F296" i="3"/>
  <c r="H296" i="3"/>
  <c r="J296" i="3"/>
  <c r="A297" i="3"/>
  <c r="B297" i="3"/>
  <c r="F297" i="3"/>
  <c r="H297" i="3"/>
  <c r="J297" i="3"/>
  <c r="A298" i="3"/>
  <c r="B298" i="3"/>
  <c r="F298" i="3"/>
  <c r="H298" i="3"/>
  <c r="J298" i="3"/>
  <c r="A299" i="3"/>
  <c r="B299" i="3"/>
  <c r="F299" i="3"/>
  <c r="H299" i="3"/>
  <c r="J299" i="3"/>
  <c r="A300" i="3"/>
  <c r="B300" i="3"/>
  <c r="F300" i="3"/>
  <c r="H300" i="3"/>
  <c r="J300" i="3"/>
  <c r="A301" i="3"/>
  <c r="B301" i="3"/>
  <c r="F301" i="3"/>
  <c r="H301" i="3"/>
  <c r="J301" i="3"/>
  <c r="A302" i="3"/>
  <c r="B302" i="3"/>
  <c r="F302" i="3"/>
  <c r="H302" i="3"/>
  <c r="J302" i="3"/>
  <c r="M110" i="3" l="1"/>
  <c r="M259" i="3"/>
  <c r="M247" i="3"/>
  <c r="M182" i="3"/>
  <c r="M130" i="3"/>
  <c r="M168" i="3"/>
  <c r="M235" i="3"/>
  <c r="M180" i="3"/>
  <c r="M147" i="3"/>
  <c r="M111" i="3"/>
  <c r="M300" i="3"/>
  <c r="M276" i="3"/>
  <c r="M264" i="3"/>
  <c r="M159" i="3"/>
  <c r="M58" i="3"/>
  <c r="M48" i="3"/>
  <c r="M50" i="3"/>
  <c r="M100" i="3"/>
  <c r="M301" i="3"/>
  <c r="M289" i="3"/>
  <c r="M277" i="3"/>
  <c r="M265" i="3"/>
  <c r="M253" i="3"/>
  <c r="M176" i="3"/>
  <c r="M162" i="3"/>
  <c r="M150" i="3"/>
  <c r="M37" i="3"/>
  <c r="M174" i="3"/>
  <c r="M226" i="3"/>
  <c r="M210" i="3"/>
  <c r="M221" i="3"/>
  <c r="M192" i="3"/>
  <c r="M228" i="3"/>
  <c r="M295" i="3"/>
  <c r="M283" i="3"/>
  <c r="M271" i="3"/>
  <c r="M186" i="3"/>
  <c r="M222" i="3"/>
  <c r="M124" i="3"/>
  <c r="M52" i="3"/>
  <c r="M284" i="3"/>
  <c r="M272" i="3"/>
  <c r="M190" i="3"/>
  <c r="M90" i="3"/>
  <c r="M80" i="3"/>
  <c r="M78" i="3"/>
  <c r="M202" i="3"/>
  <c r="M195" i="3"/>
  <c r="M142" i="3"/>
  <c r="M121" i="3"/>
  <c r="M97" i="3"/>
  <c r="M92" i="3"/>
  <c r="M68" i="3"/>
  <c r="M49" i="3"/>
  <c r="M156" i="3"/>
  <c r="M118" i="3"/>
  <c r="M106" i="3"/>
  <c r="M82" i="3"/>
  <c r="M175" i="3"/>
  <c r="M144" i="3"/>
  <c r="M125" i="3"/>
  <c r="M101" i="3"/>
  <c r="M89" i="3"/>
  <c r="M46" i="3"/>
  <c r="M218" i="3"/>
  <c r="M170" i="3"/>
  <c r="M163" i="3"/>
  <c r="M151" i="3"/>
  <c r="M120" i="3"/>
  <c r="M108" i="3"/>
  <c r="M96" i="3"/>
  <c r="M84" i="3"/>
  <c r="M72" i="3"/>
  <c r="M196" i="3"/>
  <c r="M74" i="3"/>
  <c r="M291" i="3"/>
  <c r="M279" i="3"/>
  <c r="M184" i="3"/>
  <c r="M158" i="3"/>
  <c r="M146" i="3"/>
  <c r="M99" i="3"/>
  <c r="M94" i="3"/>
  <c r="M73" i="3"/>
  <c r="M66" i="3"/>
  <c r="M212" i="3"/>
  <c r="M205" i="3"/>
  <c r="M198" i="3"/>
  <c r="M172" i="3"/>
  <c r="M134" i="3"/>
  <c r="M113" i="3"/>
  <c r="M87" i="3"/>
  <c r="M54" i="3"/>
  <c r="M148" i="3"/>
  <c r="M122" i="3"/>
  <c r="M75" i="3"/>
  <c r="M70" i="3"/>
  <c r="M56" i="3"/>
  <c r="M288" i="3"/>
  <c r="M252" i="3"/>
  <c r="M214" i="3"/>
  <c r="M188" i="3"/>
  <c r="M136" i="3"/>
  <c r="M266" i="3"/>
  <c r="M254" i="3"/>
  <c r="M230" i="3"/>
  <c r="M183" i="3"/>
  <c r="M178" i="3"/>
  <c r="M164" i="3"/>
  <c r="M138" i="3"/>
  <c r="M98" i="3"/>
  <c r="M204" i="3"/>
  <c r="M171" i="3"/>
  <c r="M166" i="3"/>
  <c r="M152" i="3"/>
  <c r="M140" i="3"/>
  <c r="M128" i="3"/>
  <c r="M126" i="3"/>
  <c r="M112" i="3"/>
  <c r="M86" i="3"/>
  <c r="M60" i="3"/>
  <c r="M220" i="3"/>
  <c r="M206" i="3"/>
  <c r="M154" i="3"/>
  <c r="M135" i="3"/>
  <c r="M114" i="3"/>
  <c r="M88" i="3"/>
  <c r="M62" i="3"/>
  <c r="M55" i="3"/>
  <c r="M294" i="3"/>
  <c r="M282" i="3"/>
  <c r="M270" i="3"/>
  <c r="M258" i="3"/>
  <c r="M194" i="3"/>
  <c r="M187" i="3"/>
  <c r="M123" i="3"/>
  <c r="M116" i="3"/>
  <c r="M104" i="3"/>
  <c r="M102" i="3"/>
  <c r="M76" i="3"/>
  <c r="M241" i="3"/>
  <c r="M132" i="3"/>
  <c r="M64" i="3"/>
  <c r="M40" i="3"/>
  <c r="M38" i="3"/>
  <c r="M41" i="3"/>
  <c r="M44" i="3"/>
  <c r="M39" i="3"/>
  <c r="M42" i="3"/>
  <c r="M296" i="3"/>
  <c r="M260" i="3"/>
  <c r="M248" i="3"/>
  <c r="M236" i="3"/>
  <c r="M229" i="3"/>
  <c r="M213" i="3"/>
  <c r="M197" i="3"/>
  <c r="M173" i="3"/>
  <c r="M149" i="3"/>
  <c r="M77" i="3"/>
  <c r="M53" i="3"/>
  <c r="M267" i="3"/>
  <c r="M255" i="3"/>
  <c r="M243" i="3"/>
  <c r="M231" i="3"/>
  <c r="M215" i="3"/>
  <c r="M199" i="3"/>
  <c r="M127" i="3"/>
  <c r="M103" i="3"/>
  <c r="M79" i="3"/>
  <c r="M298" i="3"/>
  <c r="M286" i="3"/>
  <c r="M274" i="3"/>
  <c r="M262" i="3"/>
  <c r="M250" i="3"/>
  <c r="M238" i="3"/>
  <c r="M224" i="3"/>
  <c r="M208" i="3"/>
  <c r="M177" i="3"/>
  <c r="M153" i="3"/>
  <c r="M129" i="3"/>
  <c r="M105" i="3"/>
  <c r="M81" i="3"/>
  <c r="M57" i="3"/>
  <c r="M293" i="3"/>
  <c r="M281" i="3"/>
  <c r="M269" i="3"/>
  <c r="M257" i="3"/>
  <c r="M245" i="3"/>
  <c r="M233" i="3"/>
  <c r="M217" i="3"/>
  <c r="M201" i="3"/>
  <c r="M179" i="3"/>
  <c r="M155" i="3"/>
  <c r="M131" i="3"/>
  <c r="M107" i="3"/>
  <c r="M83" i="3"/>
  <c r="M59" i="3"/>
  <c r="M240" i="3"/>
  <c r="M219" i="3"/>
  <c r="M203" i="3"/>
  <c r="M181" i="3"/>
  <c r="M157" i="3"/>
  <c r="M133" i="3"/>
  <c r="M109" i="3"/>
  <c r="M85" i="3"/>
  <c r="M61" i="3"/>
  <c r="M63" i="3"/>
  <c r="M290" i="3"/>
  <c r="M278" i="3"/>
  <c r="M242" i="3"/>
  <c r="M185" i="3"/>
  <c r="M161" i="3"/>
  <c r="M137" i="3"/>
  <c r="M65" i="3"/>
  <c r="M302" i="3"/>
  <c r="M285" i="3"/>
  <c r="M273" i="3"/>
  <c r="M261" i="3"/>
  <c r="M249" i="3"/>
  <c r="M237" i="3"/>
  <c r="M223" i="3"/>
  <c r="M207" i="3"/>
  <c r="M139" i="3"/>
  <c r="M115" i="3"/>
  <c r="M91" i="3"/>
  <c r="M67" i="3"/>
  <c r="M43" i="3"/>
  <c r="M292" i="3"/>
  <c r="M280" i="3"/>
  <c r="M268" i="3"/>
  <c r="M256" i="3"/>
  <c r="M244" i="3"/>
  <c r="M232" i="3"/>
  <c r="M216" i="3"/>
  <c r="M200" i="3"/>
  <c r="M189" i="3"/>
  <c r="M165" i="3"/>
  <c r="M141" i="3"/>
  <c r="M117" i="3"/>
  <c r="M93" i="3"/>
  <c r="M69" i="3"/>
  <c r="M45" i="3"/>
  <c r="M297" i="3"/>
  <c r="M299" i="3"/>
  <c r="M287" i="3"/>
  <c r="M275" i="3"/>
  <c r="M263" i="3"/>
  <c r="M251" i="3"/>
  <c r="M239" i="3"/>
  <c r="M225" i="3"/>
  <c r="M209" i="3"/>
  <c r="M191" i="3"/>
  <c r="M167" i="3"/>
  <c r="M143" i="3"/>
  <c r="M119" i="3"/>
  <c r="M95" i="3"/>
  <c r="M71" i="3"/>
  <c r="M47" i="3"/>
  <c r="M36" i="3"/>
  <c r="M246" i="3"/>
  <c r="M234" i="3"/>
  <c r="M227" i="3"/>
  <c r="M211" i="3"/>
  <c r="M193" i="3"/>
  <c r="M169" i="3"/>
  <c r="M145" i="3"/>
  <c r="M51" i="3"/>
  <c r="F32" i="1"/>
  <c r="D32" i="1"/>
  <c r="N24" i="1" l="1"/>
  <c r="N25" i="1" s="1"/>
  <c r="Q3" i="1" l="1"/>
  <c r="Q4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5" i="1"/>
  <c r="N14" i="1" l="1"/>
  <c r="D16" i="8" l="1"/>
  <c r="L9" i="1" l="1"/>
  <c r="K3" i="1" l="1"/>
  <c r="A3" i="2" l="1"/>
  <c r="B3" i="2"/>
  <c r="C3" i="2"/>
  <c r="L3" i="2"/>
  <c r="P3" i="2" s="1"/>
  <c r="S3" i="2" s="1"/>
  <c r="O3" i="2"/>
  <c r="A4" i="2"/>
  <c r="B4" i="2"/>
  <c r="C4" i="2"/>
  <c r="L4" i="2"/>
  <c r="P4" i="2" s="1"/>
  <c r="S4" i="2" s="1"/>
  <c r="O4" i="2"/>
  <c r="A5" i="2"/>
  <c r="B5" i="2"/>
  <c r="C5" i="2"/>
  <c r="L5" i="2"/>
  <c r="P5" i="2" s="1"/>
  <c r="S5" i="2" s="1"/>
  <c r="O5" i="2"/>
  <c r="A6" i="2"/>
  <c r="B6" i="2"/>
  <c r="C6" i="2"/>
  <c r="L6" i="2"/>
  <c r="P6" i="2" s="1"/>
  <c r="S6" i="2" s="1"/>
  <c r="O6" i="2"/>
  <c r="A7" i="2"/>
  <c r="B7" i="2"/>
  <c r="C7" i="2"/>
  <c r="L7" i="2"/>
  <c r="P7" i="2" s="1"/>
  <c r="S7" i="2" s="1"/>
  <c r="O7" i="2"/>
  <c r="A8" i="2"/>
  <c r="B8" i="2"/>
  <c r="C8" i="2"/>
  <c r="L8" i="2"/>
  <c r="P8" i="2" s="1"/>
  <c r="S8" i="2" s="1"/>
  <c r="O8" i="2"/>
  <c r="A9" i="2"/>
  <c r="B9" i="2"/>
  <c r="C9" i="2"/>
  <c r="L9" i="2"/>
  <c r="P9" i="2" s="1"/>
  <c r="S9" i="2" s="1"/>
  <c r="O9" i="2"/>
  <c r="A10" i="2"/>
  <c r="B10" i="2"/>
  <c r="C10" i="2"/>
  <c r="L10" i="2"/>
  <c r="P10" i="2" s="1"/>
  <c r="S10" i="2" s="1"/>
  <c r="O10" i="2"/>
  <c r="A11" i="2"/>
  <c r="B11" i="2"/>
  <c r="C11" i="2"/>
  <c r="L11" i="2"/>
  <c r="P11" i="2" s="1"/>
  <c r="S11" i="2" s="1"/>
  <c r="O11" i="2"/>
  <c r="A12" i="2"/>
  <c r="B12" i="2"/>
  <c r="C12" i="2"/>
  <c r="L12" i="2"/>
  <c r="P12" i="2" s="1"/>
  <c r="S12" i="2" s="1"/>
  <c r="O12" i="2"/>
  <c r="A13" i="2"/>
  <c r="B13" i="2"/>
  <c r="C13" i="2"/>
  <c r="L13" i="2"/>
  <c r="P13" i="2" s="1"/>
  <c r="S13" i="2" s="1"/>
  <c r="O13" i="2"/>
  <c r="A14" i="2"/>
  <c r="B14" i="2"/>
  <c r="C14" i="2"/>
  <c r="L14" i="2"/>
  <c r="P14" i="2" s="1"/>
  <c r="S14" i="2" s="1"/>
  <c r="O14" i="2"/>
  <c r="A15" i="2"/>
  <c r="B15" i="2"/>
  <c r="C15" i="2"/>
  <c r="L15" i="2"/>
  <c r="P15" i="2" s="1"/>
  <c r="S15" i="2" s="1"/>
  <c r="O15" i="2"/>
  <c r="A16" i="2"/>
  <c r="B16" i="2"/>
  <c r="C16" i="2"/>
  <c r="L16" i="2"/>
  <c r="P16" i="2" s="1"/>
  <c r="S16" i="2" s="1"/>
  <c r="O16" i="2"/>
  <c r="A17" i="2"/>
  <c r="B17" i="2"/>
  <c r="C17" i="2"/>
  <c r="L17" i="2"/>
  <c r="P17" i="2" s="1"/>
  <c r="S17" i="2" s="1"/>
  <c r="O17" i="2"/>
  <c r="A18" i="2"/>
  <c r="B18" i="2"/>
  <c r="C18" i="2"/>
  <c r="L18" i="2"/>
  <c r="P18" i="2" s="1"/>
  <c r="S18" i="2" s="1"/>
  <c r="O18" i="2"/>
  <c r="A19" i="2"/>
  <c r="B19" i="2"/>
  <c r="C19" i="2"/>
  <c r="L19" i="2"/>
  <c r="P19" i="2" s="1"/>
  <c r="S19" i="2" s="1"/>
  <c r="O19" i="2"/>
  <c r="A20" i="2"/>
  <c r="B20" i="2"/>
  <c r="C20" i="2"/>
  <c r="L20" i="2"/>
  <c r="P20" i="2" s="1"/>
  <c r="S20" i="2" s="1"/>
  <c r="O20" i="2"/>
  <c r="A21" i="2"/>
  <c r="B21" i="2"/>
  <c r="C21" i="2"/>
  <c r="L21" i="2"/>
  <c r="P21" i="2" s="1"/>
  <c r="S21" i="2" s="1"/>
  <c r="O21" i="2"/>
  <c r="A22" i="2"/>
  <c r="B22" i="2"/>
  <c r="C22" i="2"/>
  <c r="L22" i="2"/>
  <c r="P22" i="2" s="1"/>
  <c r="S22" i="2" s="1"/>
  <c r="O22" i="2"/>
  <c r="A23" i="2"/>
  <c r="B23" i="2"/>
  <c r="C23" i="2"/>
  <c r="L23" i="2"/>
  <c r="P23" i="2" s="1"/>
  <c r="S23" i="2" s="1"/>
  <c r="O23" i="2"/>
  <c r="A24" i="2"/>
  <c r="B24" i="2"/>
  <c r="C24" i="2"/>
  <c r="L24" i="2"/>
  <c r="P24" i="2" s="1"/>
  <c r="S24" i="2" s="1"/>
  <c r="O24" i="2"/>
  <c r="A25" i="2"/>
  <c r="B25" i="2"/>
  <c r="C25" i="2"/>
  <c r="L25" i="2"/>
  <c r="P25" i="2" s="1"/>
  <c r="S25" i="2" s="1"/>
  <c r="O25" i="2"/>
  <c r="A26" i="2"/>
  <c r="B26" i="2"/>
  <c r="C26" i="2"/>
  <c r="L26" i="2"/>
  <c r="P26" i="2" s="1"/>
  <c r="S26" i="2" s="1"/>
  <c r="O26" i="2"/>
  <c r="A27" i="2"/>
  <c r="B27" i="2"/>
  <c r="C27" i="2"/>
  <c r="L27" i="2"/>
  <c r="P27" i="2" s="1"/>
  <c r="S27" i="2" s="1"/>
  <c r="O27" i="2"/>
  <c r="A28" i="2"/>
  <c r="B28" i="2"/>
  <c r="C28" i="2"/>
  <c r="L28" i="2"/>
  <c r="P28" i="2" s="1"/>
  <c r="S28" i="2" s="1"/>
  <c r="O28" i="2"/>
  <c r="A29" i="2"/>
  <c r="B29" i="2"/>
  <c r="C29" i="2"/>
  <c r="L29" i="2"/>
  <c r="P29" i="2" s="1"/>
  <c r="S29" i="2" s="1"/>
  <c r="O29" i="2"/>
  <c r="A30" i="2"/>
  <c r="B30" i="2"/>
  <c r="C30" i="2"/>
  <c r="L30" i="2"/>
  <c r="P30" i="2" s="1"/>
  <c r="S30" i="2" s="1"/>
  <c r="O30" i="2"/>
  <c r="A31" i="2"/>
  <c r="B31" i="2"/>
  <c r="C31" i="2"/>
  <c r="L31" i="2"/>
  <c r="P31" i="2" s="1"/>
  <c r="S31" i="2" s="1"/>
  <c r="O31" i="2"/>
  <c r="A32" i="2"/>
  <c r="B32" i="2"/>
  <c r="C32" i="2"/>
  <c r="L32" i="2"/>
  <c r="P32" i="2" s="1"/>
  <c r="S32" i="2" s="1"/>
  <c r="O32" i="2"/>
  <c r="A33" i="2"/>
  <c r="B33" i="2"/>
  <c r="C33" i="2"/>
  <c r="L33" i="2"/>
  <c r="P33" i="2" s="1"/>
  <c r="S33" i="2" s="1"/>
  <c r="O33" i="2"/>
  <c r="A34" i="2"/>
  <c r="B34" i="2"/>
  <c r="C34" i="2"/>
  <c r="L34" i="2"/>
  <c r="P34" i="2" s="1"/>
  <c r="S34" i="2" s="1"/>
  <c r="O34" i="2"/>
  <c r="A35" i="2"/>
  <c r="B35" i="2"/>
  <c r="C35" i="2"/>
  <c r="L35" i="2"/>
  <c r="P35" i="2" s="1"/>
  <c r="S35" i="2" s="1"/>
  <c r="O35" i="2"/>
  <c r="A36" i="2"/>
  <c r="B36" i="2"/>
  <c r="C36" i="2"/>
  <c r="L36" i="2"/>
  <c r="P36" i="2" s="1"/>
  <c r="S36" i="2" s="1"/>
  <c r="O36" i="2"/>
  <c r="A37" i="2"/>
  <c r="B37" i="2"/>
  <c r="C37" i="2"/>
  <c r="L37" i="2"/>
  <c r="P37" i="2" s="1"/>
  <c r="S37" i="2" s="1"/>
  <c r="O37" i="2"/>
  <c r="A38" i="2"/>
  <c r="B38" i="2"/>
  <c r="C38" i="2"/>
  <c r="L38" i="2"/>
  <c r="P38" i="2" s="1"/>
  <c r="S38" i="2" s="1"/>
  <c r="O38" i="2"/>
  <c r="A39" i="2"/>
  <c r="B39" i="2"/>
  <c r="C39" i="2"/>
  <c r="L39" i="2"/>
  <c r="P39" i="2" s="1"/>
  <c r="S39" i="2" s="1"/>
  <c r="O39" i="2"/>
  <c r="A40" i="2"/>
  <c r="B40" i="2"/>
  <c r="C40" i="2"/>
  <c r="L40" i="2"/>
  <c r="P40" i="2" s="1"/>
  <c r="S40" i="2" s="1"/>
  <c r="O40" i="2"/>
  <c r="A41" i="2"/>
  <c r="B41" i="2"/>
  <c r="C41" i="2"/>
  <c r="L41" i="2"/>
  <c r="P41" i="2" s="1"/>
  <c r="S41" i="2" s="1"/>
  <c r="O41" i="2"/>
  <c r="A42" i="2"/>
  <c r="B42" i="2"/>
  <c r="C42" i="2"/>
  <c r="L42" i="2"/>
  <c r="P42" i="2" s="1"/>
  <c r="S42" i="2" s="1"/>
  <c r="O42" i="2"/>
  <c r="A43" i="2"/>
  <c r="B43" i="2"/>
  <c r="C43" i="2"/>
  <c r="L43" i="2"/>
  <c r="P43" i="2" s="1"/>
  <c r="S43" i="2" s="1"/>
  <c r="O43" i="2"/>
  <c r="A44" i="2"/>
  <c r="B44" i="2"/>
  <c r="C44" i="2"/>
  <c r="L44" i="2"/>
  <c r="P44" i="2" s="1"/>
  <c r="S44" i="2" s="1"/>
  <c r="O44" i="2"/>
  <c r="A45" i="2"/>
  <c r="B45" i="2"/>
  <c r="C45" i="2"/>
  <c r="L45" i="2"/>
  <c r="P45" i="2" s="1"/>
  <c r="S45" i="2" s="1"/>
  <c r="O45" i="2"/>
  <c r="A46" i="2"/>
  <c r="B46" i="2"/>
  <c r="C46" i="2"/>
  <c r="L46" i="2"/>
  <c r="P46" i="2" s="1"/>
  <c r="S46" i="2" s="1"/>
  <c r="O46" i="2"/>
  <c r="A47" i="2"/>
  <c r="B47" i="2"/>
  <c r="C47" i="2"/>
  <c r="L47" i="2"/>
  <c r="P47" i="2" s="1"/>
  <c r="S47" i="2" s="1"/>
  <c r="O47" i="2"/>
  <c r="A48" i="2"/>
  <c r="B48" i="2"/>
  <c r="C48" i="2"/>
  <c r="L48" i="2"/>
  <c r="P48" i="2" s="1"/>
  <c r="S48" i="2" s="1"/>
  <c r="O48" i="2"/>
  <c r="A49" i="2"/>
  <c r="B49" i="2"/>
  <c r="C49" i="2"/>
  <c r="L49" i="2"/>
  <c r="P49" i="2" s="1"/>
  <c r="S49" i="2" s="1"/>
  <c r="O49" i="2"/>
  <c r="A50" i="2"/>
  <c r="B50" i="2"/>
  <c r="C50" i="2"/>
  <c r="L50" i="2"/>
  <c r="P50" i="2" s="1"/>
  <c r="S50" i="2" s="1"/>
  <c r="O50" i="2"/>
  <c r="A51" i="2"/>
  <c r="B51" i="2"/>
  <c r="C51" i="2"/>
  <c r="L51" i="2"/>
  <c r="P51" i="2" s="1"/>
  <c r="S51" i="2" s="1"/>
  <c r="O51" i="2"/>
  <c r="A52" i="2"/>
  <c r="B52" i="2"/>
  <c r="C52" i="2"/>
  <c r="L52" i="2"/>
  <c r="P52" i="2" s="1"/>
  <c r="S52" i="2" s="1"/>
  <c r="O52" i="2"/>
  <c r="A53" i="2"/>
  <c r="B53" i="2"/>
  <c r="C53" i="2"/>
  <c r="L53" i="2"/>
  <c r="P53" i="2" s="1"/>
  <c r="S53" i="2" s="1"/>
  <c r="O53" i="2"/>
  <c r="A54" i="2"/>
  <c r="B54" i="2"/>
  <c r="C54" i="2"/>
  <c r="L54" i="2"/>
  <c r="P54" i="2" s="1"/>
  <c r="S54" i="2" s="1"/>
  <c r="O54" i="2"/>
  <c r="A55" i="2"/>
  <c r="B55" i="2"/>
  <c r="C55" i="2"/>
  <c r="L55" i="2"/>
  <c r="P55" i="2" s="1"/>
  <c r="S55" i="2" s="1"/>
  <c r="O55" i="2"/>
  <c r="A56" i="2"/>
  <c r="B56" i="2"/>
  <c r="C56" i="2"/>
  <c r="L56" i="2"/>
  <c r="P56" i="2" s="1"/>
  <c r="S56" i="2" s="1"/>
  <c r="O56" i="2"/>
  <c r="A57" i="2"/>
  <c r="B57" i="2"/>
  <c r="C57" i="2"/>
  <c r="L57" i="2"/>
  <c r="P57" i="2" s="1"/>
  <c r="S57" i="2" s="1"/>
  <c r="O57" i="2"/>
  <c r="A58" i="2"/>
  <c r="B58" i="2"/>
  <c r="C58" i="2"/>
  <c r="L58" i="2"/>
  <c r="P58" i="2" s="1"/>
  <c r="S58" i="2" s="1"/>
  <c r="O58" i="2"/>
  <c r="A59" i="2"/>
  <c r="B59" i="2"/>
  <c r="C59" i="2"/>
  <c r="L59" i="2"/>
  <c r="P59" i="2" s="1"/>
  <c r="S59" i="2" s="1"/>
  <c r="O59" i="2"/>
  <c r="A60" i="2"/>
  <c r="B60" i="2"/>
  <c r="C60" i="2"/>
  <c r="L60" i="2"/>
  <c r="P60" i="2" s="1"/>
  <c r="S60" i="2" s="1"/>
  <c r="O60" i="2"/>
  <c r="A61" i="2"/>
  <c r="B61" i="2"/>
  <c r="C61" i="2"/>
  <c r="L61" i="2"/>
  <c r="P61" i="2" s="1"/>
  <c r="S61" i="2" s="1"/>
  <c r="O61" i="2"/>
  <c r="A62" i="2"/>
  <c r="B62" i="2"/>
  <c r="C62" i="2"/>
  <c r="L62" i="2"/>
  <c r="P62" i="2" s="1"/>
  <c r="S62" i="2" s="1"/>
  <c r="O62" i="2"/>
  <c r="A63" i="2"/>
  <c r="B63" i="2"/>
  <c r="C63" i="2"/>
  <c r="L63" i="2"/>
  <c r="P63" i="2" s="1"/>
  <c r="S63" i="2" s="1"/>
  <c r="O63" i="2"/>
  <c r="A64" i="2"/>
  <c r="B64" i="2"/>
  <c r="C64" i="2"/>
  <c r="L64" i="2"/>
  <c r="P64" i="2" s="1"/>
  <c r="S64" i="2" s="1"/>
  <c r="O64" i="2"/>
  <c r="A65" i="2"/>
  <c r="B65" i="2"/>
  <c r="C65" i="2"/>
  <c r="L65" i="2"/>
  <c r="P65" i="2" s="1"/>
  <c r="S65" i="2" s="1"/>
  <c r="O65" i="2"/>
  <c r="A66" i="2"/>
  <c r="B66" i="2"/>
  <c r="C66" i="2"/>
  <c r="L66" i="2"/>
  <c r="P66" i="2" s="1"/>
  <c r="S66" i="2" s="1"/>
  <c r="O66" i="2"/>
  <c r="A67" i="2"/>
  <c r="B67" i="2"/>
  <c r="C67" i="2"/>
  <c r="L67" i="2"/>
  <c r="P67" i="2" s="1"/>
  <c r="S67" i="2" s="1"/>
  <c r="O67" i="2"/>
  <c r="A68" i="2"/>
  <c r="B68" i="2"/>
  <c r="C68" i="2"/>
  <c r="L68" i="2"/>
  <c r="P68" i="2" s="1"/>
  <c r="S68" i="2" s="1"/>
  <c r="O68" i="2"/>
  <c r="A69" i="2"/>
  <c r="B69" i="2"/>
  <c r="C69" i="2"/>
  <c r="L69" i="2"/>
  <c r="P69" i="2" s="1"/>
  <c r="S69" i="2" s="1"/>
  <c r="O69" i="2"/>
  <c r="A70" i="2"/>
  <c r="B70" i="2"/>
  <c r="C70" i="2"/>
  <c r="L70" i="2"/>
  <c r="P70" i="2" s="1"/>
  <c r="S70" i="2" s="1"/>
  <c r="O70" i="2"/>
  <c r="A71" i="2"/>
  <c r="B71" i="2"/>
  <c r="C71" i="2"/>
  <c r="L71" i="2"/>
  <c r="P71" i="2" s="1"/>
  <c r="S71" i="2" s="1"/>
  <c r="O71" i="2"/>
  <c r="A72" i="2"/>
  <c r="B72" i="2"/>
  <c r="C72" i="2"/>
  <c r="L72" i="2"/>
  <c r="P72" i="2" s="1"/>
  <c r="S72" i="2" s="1"/>
  <c r="O72" i="2"/>
  <c r="A73" i="2"/>
  <c r="B73" i="2"/>
  <c r="C73" i="2"/>
  <c r="L73" i="2"/>
  <c r="P73" i="2" s="1"/>
  <c r="S73" i="2" s="1"/>
  <c r="O73" i="2"/>
  <c r="A74" i="2"/>
  <c r="B74" i="2"/>
  <c r="C74" i="2"/>
  <c r="L74" i="2"/>
  <c r="P74" i="2" s="1"/>
  <c r="S74" i="2" s="1"/>
  <c r="O74" i="2"/>
  <c r="A75" i="2"/>
  <c r="B75" i="2"/>
  <c r="C75" i="2"/>
  <c r="L75" i="2"/>
  <c r="P75" i="2" s="1"/>
  <c r="S75" i="2" s="1"/>
  <c r="O75" i="2"/>
  <c r="A76" i="2"/>
  <c r="B76" i="2"/>
  <c r="C76" i="2"/>
  <c r="L76" i="2"/>
  <c r="P76" i="2" s="1"/>
  <c r="S76" i="2" s="1"/>
  <c r="O76" i="2"/>
  <c r="A77" i="2"/>
  <c r="B77" i="2"/>
  <c r="C77" i="2"/>
  <c r="L77" i="2"/>
  <c r="P77" i="2" s="1"/>
  <c r="S77" i="2" s="1"/>
  <c r="O77" i="2"/>
  <c r="A78" i="2"/>
  <c r="B78" i="2"/>
  <c r="C78" i="2"/>
  <c r="L78" i="2"/>
  <c r="P78" i="2" s="1"/>
  <c r="S78" i="2" s="1"/>
  <c r="O78" i="2"/>
  <c r="A79" i="2"/>
  <c r="B79" i="2"/>
  <c r="C79" i="2"/>
  <c r="L79" i="2"/>
  <c r="P79" i="2" s="1"/>
  <c r="S79" i="2" s="1"/>
  <c r="O79" i="2"/>
  <c r="A80" i="2"/>
  <c r="B80" i="2"/>
  <c r="C80" i="2"/>
  <c r="L80" i="2"/>
  <c r="P80" i="2" s="1"/>
  <c r="S80" i="2" s="1"/>
  <c r="O80" i="2"/>
  <c r="A81" i="2"/>
  <c r="B81" i="2"/>
  <c r="C81" i="2"/>
  <c r="L81" i="2"/>
  <c r="P81" i="2" s="1"/>
  <c r="S81" i="2" s="1"/>
  <c r="O81" i="2"/>
  <c r="A82" i="2"/>
  <c r="B82" i="2"/>
  <c r="C82" i="2"/>
  <c r="L82" i="2"/>
  <c r="P82" i="2" s="1"/>
  <c r="S82" i="2" s="1"/>
  <c r="O82" i="2"/>
  <c r="A83" i="2"/>
  <c r="B83" i="2"/>
  <c r="C83" i="2"/>
  <c r="L83" i="2"/>
  <c r="P83" i="2" s="1"/>
  <c r="S83" i="2" s="1"/>
  <c r="O83" i="2"/>
  <c r="A84" i="2"/>
  <c r="B84" i="2"/>
  <c r="C84" i="2"/>
  <c r="L84" i="2"/>
  <c r="P84" i="2" s="1"/>
  <c r="S84" i="2" s="1"/>
  <c r="O84" i="2"/>
  <c r="A85" i="2"/>
  <c r="B85" i="2"/>
  <c r="C85" i="2"/>
  <c r="L85" i="2"/>
  <c r="P85" i="2" s="1"/>
  <c r="S85" i="2" s="1"/>
  <c r="O85" i="2"/>
  <c r="A86" i="2"/>
  <c r="B86" i="2"/>
  <c r="C86" i="2"/>
  <c r="L86" i="2"/>
  <c r="P86" i="2" s="1"/>
  <c r="S86" i="2" s="1"/>
  <c r="O86" i="2"/>
  <c r="A87" i="2"/>
  <c r="B87" i="2"/>
  <c r="C87" i="2"/>
  <c r="L87" i="2"/>
  <c r="P87" i="2" s="1"/>
  <c r="S87" i="2" s="1"/>
  <c r="O87" i="2"/>
  <c r="A88" i="2"/>
  <c r="B88" i="2"/>
  <c r="C88" i="2"/>
  <c r="L88" i="2"/>
  <c r="P88" i="2" s="1"/>
  <c r="S88" i="2" s="1"/>
  <c r="O88" i="2"/>
  <c r="A89" i="2"/>
  <c r="B89" i="2"/>
  <c r="C89" i="2"/>
  <c r="L89" i="2"/>
  <c r="P89" i="2" s="1"/>
  <c r="S89" i="2" s="1"/>
  <c r="O89" i="2"/>
  <c r="A90" i="2"/>
  <c r="B90" i="2"/>
  <c r="C90" i="2"/>
  <c r="L90" i="2"/>
  <c r="P90" i="2" s="1"/>
  <c r="S90" i="2" s="1"/>
  <c r="O90" i="2"/>
  <c r="A91" i="2"/>
  <c r="B91" i="2"/>
  <c r="C91" i="2"/>
  <c r="L91" i="2"/>
  <c r="P91" i="2" s="1"/>
  <c r="S91" i="2" s="1"/>
  <c r="O91" i="2"/>
  <c r="A92" i="2"/>
  <c r="B92" i="2"/>
  <c r="C92" i="2"/>
  <c r="L92" i="2"/>
  <c r="P92" i="2" s="1"/>
  <c r="S92" i="2" s="1"/>
  <c r="O92" i="2"/>
  <c r="A93" i="2"/>
  <c r="B93" i="2"/>
  <c r="C93" i="2"/>
  <c r="L93" i="2"/>
  <c r="P93" i="2" s="1"/>
  <c r="S93" i="2" s="1"/>
  <c r="O93" i="2"/>
  <c r="A94" i="2"/>
  <c r="B94" i="2"/>
  <c r="C94" i="2"/>
  <c r="L94" i="2"/>
  <c r="P94" i="2" s="1"/>
  <c r="S94" i="2" s="1"/>
  <c r="O94" i="2"/>
  <c r="A95" i="2"/>
  <c r="B95" i="2"/>
  <c r="C95" i="2"/>
  <c r="L95" i="2"/>
  <c r="P95" i="2" s="1"/>
  <c r="S95" i="2" s="1"/>
  <c r="O95" i="2"/>
  <c r="A96" i="2"/>
  <c r="B96" i="2"/>
  <c r="C96" i="2"/>
  <c r="L96" i="2"/>
  <c r="P96" i="2" s="1"/>
  <c r="S96" i="2" s="1"/>
  <c r="O96" i="2"/>
  <c r="A97" i="2"/>
  <c r="B97" i="2"/>
  <c r="C97" i="2"/>
  <c r="L97" i="2"/>
  <c r="P97" i="2" s="1"/>
  <c r="S97" i="2" s="1"/>
  <c r="O97" i="2"/>
  <c r="A98" i="2"/>
  <c r="B98" i="2"/>
  <c r="C98" i="2"/>
  <c r="L98" i="2"/>
  <c r="P98" i="2" s="1"/>
  <c r="S98" i="2" s="1"/>
  <c r="O98" i="2"/>
  <c r="A99" i="2"/>
  <c r="B99" i="2"/>
  <c r="C99" i="2"/>
  <c r="L99" i="2"/>
  <c r="P99" i="2" s="1"/>
  <c r="S99" i="2" s="1"/>
  <c r="O99" i="2"/>
  <c r="A100" i="2"/>
  <c r="B100" i="2"/>
  <c r="C100" i="2"/>
  <c r="L100" i="2"/>
  <c r="P100" i="2" s="1"/>
  <c r="S100" i="2" s="1"/>
  <c r="O100" i="2"/>
  <c r="A101" i="2"/>
  <c r="B101" i="2"/>
  <c r="C101" i="2"/>
  <c r="L101" i="2"/>
  <c r="P101" i="2" s="1"/>
  <c r="S101" i="2" s="1"/>
  <c r="O101" i="2"/>
  <c r="A102" i="2"/>
  <c r="B102" i="2"/>
  <c r="C102" i="2"/>
  <c r="L102" i="2"/>
  <c r="P102" i="2" s="1"/>
  <c r="S102" i="2" s="1"/>
  <c r="O102" i="2"/>
  <c r="A103" i="2"/>
  <c r="B103" i="2"/>
  <c r="C103" i="2"/>
  <c r="L103" i="2"/>
  <c r="P103" i="2" s="1"/>
  <c r="S103" i="2" s="1"/>
  <c r="O103" i="2"/>
  <c r="A104" i="2"/>
  <c r="B104" i="2"/>
  <c r="C104" i="2"/>
  <c r="L104" i="2"/>
  <c r="P104" i="2" s="1"/>
  <c r="S104" i="2" s="1"/>
  <c r="O104" i="2"/>
  <c r="A105" i="2"/>
  <c r="B105" i="2"/>
  <c r="C105" i="2"/>
  <c r="L105" i="2"/>
  <c r="P105" i="2" s="1"/>
  <c r="S105" i="2" s="1"/>
  <c r="O105" i="2"/>
  <c r="A106" i="2"/>
  <c r="B106" i="2"/>
  <c r="C106" i="2"/>
  <c r="L106" i="2"/>
  <c r="P106" i="2" s="1"/>
  <c r="S106" i="2" s="1"/>
  <c r="O106" i="2"/>
  <c r="A107" i="2"/>
  <c r="B107" i="2"/>
  <c r="C107" i="2"/>
  <c r="L107" i="2"/>
  <c r="P107" i="2" s="1"/>
  <c r="S107" i="2" s="1"/>
  <c r="O107" i="2"/>
  <c r="A108" i="2"/>
  <c r="B108" i="2"/>
  <c r="C108" i="2"/>
  <c r="L108" i="2"/>
  <c r="P108" i="2" s="1"/>
  <c r="S108" i="2" s="1"/>
  <c r="O108" i="2"/>
  <c r="A109" i="2"/>
  <c r="B109" i="2"/>
  <c r="C109" i="2"/>
  <c r="L109" i="2"/>
  <c r="P109" i="2" s="1"/>
  <c r="S109" i="2" s="1"/>
  <c r="O109" i="2"/>
  <c r="A110" i="2"/>
  <c r="B110" i="2"/>
  <c r="C110" i="2"/>
  <c r="L110" i="2"/>
  <c r="P110" i="2" s="1"/>
  <c r="S110" i="2" s="1"/>
  <c r="O110" i="2"/>
  <c r="A111" i="2"/>
  <c r="B111" i="2"/>
  <c r="C111" i="2"/>
  <c r="L111" i="2"/>
  <c r="P111" i="2" s="1"/>
  <c r="S111" i="2" s="1"/>
  <c r="O111" i="2"/>
  <c r="A112" i="2"/>
  <c r="B112" i="2"/>
  <c r="C112" i="2"/>
  <c r="L112" i="2"/>
  <c r="P112" i="2" s="1"/>
  <c r="S112" i="2" s="1"/>
  <c r="O112" i="2"/>
  <c r="A113" i="2"/>
  <c r="B113" i="2"/>
  <c r="C113" i="2"/>
  <c r="L113" i="2"/>
  <c r="P113" i="2" s="1"/>
  <c r="S113" i="2" s="1"/>
  <c r="O113" i="2"/>
  <c r="A114" i="2"/>
  <c r="B114" i="2"/>
  <c r="C114" i="2"/>
  <c r="L114" i="2"/>
  <c r="P114" i="2" s="1"/>
  <c r="S114" i="2" s="1"/>
  <c r="O114" i="2"/>
  <c r="A115" i="2"/>
  <c r="B115" i="2"/>
  <c r="C115" i="2"/>
  <c r="L115" i="2"/>
  <c r="P115" i="2" s="1"/>
  <c r="S115" i="2" s="1"/>
  <c r="O115" i="2"/>
  <c r="A116" i="2"/>
  <c r="B116" i="2"/>
  <c r="C116" i="2"/>
  <c r="L116" i="2"/>
  <c r="P116" i="2" s="1"/>
  <c r="S116" i="2" s="1"/>
  <c r="O116" i="2"/>
  <c r="A117" i="2"/>
  <c r="B117" i="2"/>
  <c r="C117" i="2"/>
  <c r="L117" i="2"/>
  <c r="P117" i="2" s="1"/>
  <c r="S117" i="2" s="1"/>
  <c r="O117" i="2"/>
  <c r="A118" i="2"/>
  <c r="B118" i="2"/>
  <c r="C118" i="2"/>
  <c r="L118" i="2"/>
  <c r="P118" i="2" s="1"/>
  <c r="S118" i="2" s="1"/>
  <c r="O118" i="2"/>
  <c r="A119" i="2"/>
  <c r="B119" i="2"/>
  <c r="C119" i="2"/>
  <c r="L119" i="2"/>
  <c r="P119" i="2" s="1"/>
  <c r="S119" i="2" s="1"/>
  <c r="O119" i="2"/>
  <c r="A120" i="2"/>
  <c r="B120" i="2"/>
  <c r="C120" i="2"/>
  <c r="L120" i="2"/>
  <c r="P120" i="2" s="1"/>
  <c r="S120" i="2" s="1"/>
  <c r="O120" i="2"/>
  <c r="A121" i="2"/>
  <c r="B121" i="2"/>
  <c r="C121" i="2"/>
  <c r="L121" i="2"/>
  <c r="P121" i="2" s="1"/>
  <c r="S121" i="2" s="1"/>
  <c r="O121" i="2"/>
  <c r="A122" i="2"/>
  <c r="B122" i="2"/>
  <c r="C122" i="2"/>
  <c r="L122" i="2"/>
  <c r="P122" i="2" s="1"/>
  <c r="S122" i="2" s="1"/>
  <c r="O122" i="2"/>
  <c r="A123" i="2"/>
  <c r="B123" i="2"/>
  <c r="C123" i="2"/>
  <c r="L123" i="2"/>
  <c r="P123" i="2" s="1"/>
  <c r="S123" i="2" s="1"/>
  <c r="O123" i="2"/>
  <c r="A124" i="2"/>
  <c r="B124" i="2"/>
  <c r="C124" i="2"/>
  <c r="L124" i="2"/>
  <c r="P124" i="2" s="1"/>
  <c r="S124" i="2" s="1"/>
  <c r="O124" i="2"/>
  <c r="A125" i="2"/>
  <c r="B125" i="2"/>
  <c r="C125" i="2"/>
  <c r="L125" i="2"/>
  <c r="P125" i="2" s="1"/>
  <c r="S125" i="2" s="1"/>
  <c r="O125" i="2"/>
  <c r="A126" i="2"/>
  <c r="B126" i="2"/>
  <c r="C126" i="2"/>
  <c r="L126" i="2"/>
  <c r="P126" i="2" s="1"/>
  <c r="S126" i="2" s="1"/>
  <c r="O126" i="2"/>
  <c r="A127" i="2"/>
  <c r="B127" i="2"/>
  <c r="C127" i="2"/>
  <c r="L127" i="2"/>
  <c r="P127" i="2" s="1"/>
  <c r="S127" i="2" s="1"/>
  <c r="O127" i="2"/>
  <c r="A128" i="2"/>
  <c r="B128" i="2"/>
  <c r="C128" i="2"/>
  <c r="L128" i="2"/>
  <c r="P128" i="2" s="1"/>
  <c r="S128" i="2" s="1"/>
  <c r="O128" i="2"/>
  <c r="A129" i="2"/>
  <c r="B129" i="2"/>
  <c r="C129" i="2"/>
  <c r="L129" i="2"/>
  <c r="P129" i="2" s="1"/>
  <c r="S129" i="2" s="1"/>
  <c r="O129" i="2"/>
  <c r="A130" i="2"/>
  <c r="B130" i="2"/>
  <c r="C130" i="2"/>
  <c r="L130" i="2"/>
  <c r="P130" i="2" s="1"/>
  <c r="S130" i="2" s="1"/>
  <c r="O130" i="2"/>
  <c r="A131" i="2"/>
  <c r="B131" i="2"/>
  <c r="C131" i="2"/>
  <c r="L131" i="2"/>
  <c r="P131" i="2" s="1"/>
  <c r="S131" i="2" s="1"/>
  <c r="O131" i="2"/>
  <c r="A132" i="2"/>
  <c r="B132" i="2"/>
  <c r="C132" i="2"/>
  <c r="L132" i="2"/>
  <c r="P132" i="2" s="1"/>
  <c r="S132" i="2" s="1"/>
  <c r="O132" i="2"/>
  <c r="A133" i="2"/>
  <c r="B133" i="2"/>
  <c r="C133" i="2"/>
  <c r="L133" i="2"/>
  <c r="P133" i="2" s="1"/>
  <c r="S133" i="2" s="1"/>
  <c r="O133" i="2"/>
  <c r="A134" i="2"/>
  <c r="B134" i="2"/>
  <c r="C134" i="2"/>
  <c r="L134" i="2"/>
  <c r="P134" i="2" s="1"/>
  <c r="S134" i="2" s="1"/>
  <c r="O134" i="2"/>
  <c r="A135" i="2"/>
  <c r="B135" i="2"/>
  <c r="C135" i="2"/>
  <c r="L135" i="2"/>
  <c r="P135" i="2" s="1"/>
  <c r="S135" i="2" s="1"/>
  <c r="O135" i="2"/>
  <c r="A136" i="2"/>
  <c r="B136" i="2"/>
  <c r="C136" i="2"/>
  <c r="L136" i="2"/>
  <c r="P136" i="2" s="1"/>
  <c r="S136" i="2" s="1"/>
  <c r="O136" i="2"/>
  <c r="A137" i="2"/>
  <c r="B137" i="2"/>
  <c r="C137" i="2"/>
  <c r="L137" i="2"/>
  <c r="P137" i="2" s="1"/>
  <c r="S137" i="2" s="1"/>
  <c r="O137" i="2"/>
  <c r="A138" i="2"/>
  <c r="B138" i="2"/>
  <c r="C138" i="2"/>
  <c r="L138" i="2"/>
  <c r="P138" i="2" s="1"/>
  <c r="S138" i="2" s="1"/>
  <c r="O138" i="2"/>
  <c r="A139" i="2"/>
  <c r="B139" i="2"/>
  <c r="C139" i="2"/>
  <c r="L139" i="2"/>
  <c r="P139" i="2" s="1"/>
  <c r="S139" i="2" s="1"/>
  <c r="O139" i="2"/>
  <c r="A140" i="2"/>
  <c r="B140" i="2"/>
  <c r="C140" i="2"/>
  <c r="L140" i="2"/>
  <c r="P140" i="2" s="1"/>
  <c r="S140" i="2" s="1"/>
  <c r="O140" i="2"/>
  <c r="A141" i="2"/>
  <c r="B141" i="2"/>
  <c r="C141" i="2"/>
  <c r="L141" i="2"/>
  <c r="P141" i="2" s="1"/>
  <c r="S141" i="2" s="1"/>
  <c r="O141" i="2"/>
  <c r="A142" i="2"/>
  <c r="B142" i="2"/>
  <c r="C142" i="2"/>
  <c r="L142" i="2"/>
  <c r="P142" i="2" s="1"/>
  <c r="S142" i="2" s="1"/>
  <c r="O142" i="2"/>
  <c r="A143" i="2"/>
  <c r="B143" i="2"/>
  <c r="C143" i="2"/>
  <c r="L143" i="2"/>
  <c r="P143" i="2" s="1"/>
  <c r="S143" i="2" s="1"/>
  <c r="O143" i="2"/>
  <c r="A144" i="2"/>
  <c r="B144" i="2"/>
  <c r="C144" i="2"/>
  <c r="L144" i="2"/>
  <c r="P144" i="2" s="1"/>
  <c r="S144" i="2" s="1"/>
  <c r="O144" i="2"/>
  <c r="A145" i="2"/>
  <c r="B145" i="2"/>
  <c r="C145" i="2"/>
  <c r="L145" i="2"/>
  <c r="P145" i="2" s="1"/>
  <c r="S145" i="2" s="1"/>
  <c r="O145" i="2"/>
  <c r="A146" i="2"/>
  <c r="B146" i="2"/>
  <c r="C146" i="2"/>
  <c r="L146" i="2"/>
  <c r="P146" i="2" s="1"/>
  <c r="S146" i="2" s="1"/>
  <c r="O146" i="2"/>
  <c r="A147" i="2"/>
  <c r="B147" i="2"/>
  <c r="C147" i="2"/>
  <c r="L147" i="2"/>
  <c r="P147" i="2" s="1"/>
  <c r="S147" i="2" s="1"/>
  <c r="O147" i="2"/>
  <c r="A148" i="2"/>
  <c r="B148" i="2"/>
  <c r="C148" i="2"/>
  <c r="L148" i="2"/>
  <c r="P148" i="2" s="1"/>
  <c r="S148" i="2" s="1"/>
  <c r="O148" i="2"/>
  <c r="A149" i="2"/>
  <c r="B149" i="2"/>
  <c r="C149" i="2"/>
  <c r="L149" i="2"/>
  <c r="P149" i="2" s="1"/>
  <c r="S149" i="2" s="1"/>
  <c r="O149" i="2"/>
  <c r="A150" i="2"/>
  <c r="B150" i="2"/>
  <c r="C150" i="2"/>
  <c r="L150" i="2"/>
  <c r="P150" i="2" s="1"/>
  <c r="S150" i="2" s="1"/>
  <c r="O150" i="2"/>
  <c r="A151" i="2"/>
  <c r="B151" i="2"/>
  <c r="C151" i="2"/>
  <c r="L151" i="2"/>
  <c r="P151" i="2" s="1"/>
  <c r="S151" i="2" s="1"/>
  <c r="O151" i="2"/>
  <c r="A152" i="2"/>
  <c r="B152" i="2"/>
  <c r="C152" i="2"/>
  <c r="L152" i="2"/>
  <c r="P152" i="2" s="1"/>
  <c r="S152" i="2" s="1"/>
  <c r="O152" i="2"/>
  <c r="A153" i="2"/>
  <c r="B153" i="2"/>
  <c r="C153" i="2"/>
  <c r="L153" i="2"/>
  <c r="P153" i="2" s="1"/>
  <c r="S153" i="2" s="1"/>
  <c r="O153" i="2"/>
  <c r="A154" i="2"/>
  <c r="B154" i="2"/>
  <c r="C154" i="2"/>
  <c r="L154" i="2"/>
  <c r="P154" i="2" s="1"/>
  <c r="S154" i="2" s="1"/>
  <c r="O154" i="2"/>
  <c r="A155" i="2"/>
  <c r="B155" i="2"/>
  <c r="C155" i="2"/>
  <c r="L155" i="2"/>
  <c r="P155" i="2" s="1"/>
  <c r="S155" i="2" s="1"/>
  <c r="O155" i="2"/>
  <c r="A156" i="2"/>
  <c r="B156" i="2"/>
  <c r="C156" i="2"/>
  <c r="L156" i="2"/>
  <c r="P156" i="2" s="1"/>
  <c r="S156" i="2" s="1"/>
  <c r="O156" i="2"/>
  <c r="A157" i="2"/>
  <c r="B157" i="2"/>
  <c r="C157" i="2"/>
  <c r="L157" i="2"/>
  <c r="P157" i="2" s="1"/>
  <c r="S157" i="2" s="1"/>
  <c r="O157" i="2"/>
  <c r="A158" i="2"/>
  <c r="B158" i="2"/>
  <c r="C158" i="2"/>
  <c r="L158" i="2"/>
  <c r="P158" i="2" s="1"/>
  <c r="S158" i="2" s="1"/>
  <c r="O158" i="2"/>
  <c r="A159" i="2"/>
  <c r="B159" i="2"/>
  <c r="C159" i="2"/>
  <c r="L159" i="2"/>
  <c r="P159" i="2" s="1"/>
  <c r="S159" i="2" s="1"/>
  <c r="O159" i="2"/>
  <c r="A160" i="2"/>
  <c r="B160" i="2"/>
  <c r="C160" i="2"/>
  <c r="L160" i="2"/>
  <c r="P160" i="2" s="1"/>
  <c r="S160" i="2" s="1"/>
  <c r="O160" i="2"/>
  <c r="A161" i="2"/>
  <c r="B161" i="2"/>
  <c r="C161" i="2"/>
  <c r="L161" i="2"/>
  <c r="P161" i="2" s="1"/>
  <c r="S161" i="2" s="1"/>
  <c r="O161" i="2"/>
  <c r="A162" i="2"/>
  <c r="B162" i="2"/>
  <c r="C162" i="2"/>
  <c r="L162" i="2"/>
  <c r="P162" i="2" s="1"/>
  <c r="S162" i="2" s="1"/>
  <c r="O162" i="2"/>
  <c r="A163" i="2"/>
  <c r="B163" i="2"/>
  <c r="C163" i="2"/>
  <c r="L163" i="2"/>
  <c r="P163" i="2" s="1"/>
  <c r="S163" i="2" s="1"/>
  <c r="O163" i="2"/>
  <c r="A164" i="2"/>
  <c r="B164" i="2"/>
  <c r="C164" i="2"/>
  <c r="L164" i="2"/>
  <c r="P164" i="2" s="1"/>
  <c r="S164" i="2" s="1"/>
  <c r="O164" i="2"/>
  <c r="A165" i="2"/>
  <c r="B165" i="2"/>
  <c r="C165" i="2"/>
  <c r="L165" i="2"/>
  <c r="P165" i="2" s="1"/>
  <c r="S165" i="2" s="1"/>
  <c r="O165" i="2"/>
  <c r="A166" i="2"/>
  <c r="B166" i="2"/>
  <c r="C166" i="2"/>
  <c r="L166" i="2"/>
  <c r="P166" i="2" s="1"/>
  <c r="S166" i="2" s="1"/>
  <c r="O166" i="2"/>
  <c r="A167" i="2"/>
  <c r="B167" i="2"/>
  <c r="C167" i="2"/>
  <c r="L167" i="2"/>
  <c r="P167" i="2" s="1"/>
  <c r="S167" i="2" s="1"/>
  <c r="O167" i="2"/>
  <c r="A168" i="2"/>
  <c r="B168" i="2"/>
  <c r="C168" i="2"/>
  <c r="L168" i="2"/>
  <c r="P168" i="2" s="1"/>
  <c r="S168" i="2" s="1"/>
  <c r="O168" i="2"/>
  <c r="A169" i="2"/>
  <c r="B169" i="2"/>
  <c r="C169" i="2"/>
  <c r="L169" i="2"/>
  <c r="P169" i="2" s="1"/>
  <c r="S169" i="2" s="1"/>
  <c r="O169" i="2"/>
  <c r="A170" i="2"/>
  <c r="B170" i="2"/>
  <c r="C170" i="2"/>
  <c r="L170" i="2"/>
  <c r="P170" i="2" s="1"/>
  <c r="S170" i="2" s="1"/>
  <c r="O170" i="2"/>
  <c r="A171" i="2"/>
  <c r="B171" i="2"/>
  <c r="C171" i="2"/>
  <c r="L171" i="2"/>
  <c r="P171" i="2" s="1"/>
  <c r="S171" i="2" s="1"/>
  <c r="O171" i="2"/>
  <c r="A172" i="2"/>
  <c r="B172" i="2"/>
  <c r="C172" i="2"/>
  <c r="L172" i="2"/>
  <c r="P172" i="2" s="1"/>
  <c r="S172" i="2" s="1"/>
  <c r="O172" i="2"/>
  <c r="A173" i="2"/>
  <c r="B173" i="2"/>
  <c r="C173" i="2"/>
  <c r="L173" i="2"/>
  <c r="P173" i="2" s="1"/>
  <c r="S173" i="2" s="1"/>
  <c r="O173" i="2"/>
  <c r="A174" i="2"/>
  <c r="B174" i="2"/>
  <c r="C174" i="2"/>
  <c r="L174" i="2"/>
  <c r="P174" i="2" s="1"/>
  <c r="S174" i="2" s="1"/>
  <c r="O174" i="2"/>
  <c r="A175" i="2"/>
  <c r="B175" i="2"/>
  <c r="C175" i="2"/>
  <c r="L175" i="2"/>
  <c r="P175" i="2" s="1"/>
  <c r="S175" i="2" s="1"/>
  <c r="O175" i="2"/>
  <c r="A176" i="2"/>
  <c r="B176" i="2"/>
  <c r="C176" i="2"/>
  <c r="L176" i="2"/>
  <c r="P176" i="2" s="1"/>
  <c r="S176" i="2" s="1"/>
  <c r="O176" i="2"/>
  <c r="A177" i="2"/>
  <c r="B177" i="2"/>
  <c r="C177" i="2"/>
  <c r="L177" i="2"/>
  <c r="P177" i="2" s="1"/>
  <c r="S177" i="2" s="1"/>
  <c r="O177" i="2"/>
  <c r="A178" i="2"/>
  <c r="B178" i="2"/>
  <c r="C178" i="2"/>
  <c r="L178" i="2"/>
  <c r="P178" i="2" s="1"/>
  <c r="S178" i="2" s="1"/>
  <c r="O178" i="2"/>
  <c r="A179" i="2"/>
  <c r="B179" i="2"/>
  <c r="C179" i="2"/>
  <c r="L179" i="2"/>
  <c r="P179" i="2" s="1"/>
  <c r="S179" i="2" s="1"/>
  <c r="O179" i="2"/>
  <c r="A180" i="2"/>
  <c r="B180" i="2"/>
  <c r="C180" i="2"/>
  <c r="L180" i="2"/>
  <c r="P180" i="2" s="1"/>
  <c r="S180" i="2" s="1"/>
  <c r="O180" i="2"/>
  <c r="A181" i="2"/>
  <c r="B181" i="2"/>
  <c r="C181" i="2"/>
  <c r="L181" i="2"/>
  <c r="P181" i="2" s="1"/>
  <c r="S181" i="2" s="1"/>
  <c r="O181" i="2"/>
  <c r="A182" i="2"/>
  <c r="B182" i="2"/>
  <c r="C182" i="2"/>
  <c r="L182" i="2"/>
  <c r="P182" i="2" s="1"/>
  <c r="S182" i="2" s="1"/>
  <c r="O182" i="2"/>
  <c r="A183" i="2"/>
  <c r="B183" i="2"/>
  <c r="C183" i="2"/>
  <c r="L183" i="2"/>
  <c r="P183" i="2" s="1"/>
  <c r="S183" i="2" s="1"/>
  <c r="O183" i="2"/>
  <c r="A184" i="2"/>
  <c r="B184" i="2"/>
  <c r="C184" i="2"/>
  <c r="L184" i="2"/>
  <c r="P184" i="2" s="1"/>
  <c r="S184" i="2" s="1"/>
  <c r="O184" i="2"/>
  <c r="A185" i="2"/>
  <c r="B185" i="2"/>
  <c r="C185" i="2"/>
  <c r="L185" i="2"/>
  <c r="P185" i="2" s="1"/>
  <c r="S185" i="2" s="1"/>
  <c r="O185" i="2"/>
  <c r="A186" i="2"/>
  <c r="B186" i="2"/>
  <c r="C186" i="2"/>
  <c r="L186" i="2"/>
  <c r="P186" i="2" s="1"/>
  <c r="S186" i="2" s="1"/>
  <c r="O186" i="2"/>
  <c r="A187" i="2"/>
  <c r="B187" i="2"/>
  <c r="C187" i="2"/>
  <c r="L187" i="2"/>
  <c r="P187" i="2" s="1"/>
  <c r="S187" i="2" s="1"/>
  <c r="O187" i="2"/>
  <c r="A188" i="2"/>
  <c r="B188" i="2"/>
  <c r="C188" i="2"/>
  <c r="L188" i="2"/>
  <c r="P188" i="2" s="1"/>
  <c r="S188" i="2" s="1"/>
  <c r="O188" i="2"/>
  <c r="A189" i="2"/>
  <c r="B189" i="2"/>
  <c r="C189" i="2"/>
  <c r="L189" i="2"/>
  <c r="P189" i="2" s="1"/>
  <c r="S189" i="2" s="1"/>
  <c r="O189" i="2"/>
  <c r="A190" i="2"/>
  <c r="B190" i="2"/>
  <c r="C190" i="2"/>
  <c r="L190" i="2"/>
  <c r="P190" i="2" s="1"/>
  <c r="S190" i="2" s="1"/>
  <c r="O190" i="2"/>
  <c r="A191" i="2"/>
  <c r="B191" i="2"/>
  <c r="C191" i="2"/>
  <c r="L191" i="2"/>
  <c r="P191" i="2" s="1"/>
  <c r="S191" i="2" s="1"/>
  <c r="O191" i="2"/>
  <c r="A192" i="2"/>
  <c r="B192" i="2"/>
  <c r="C192" i="2"/>
  <c r="L192" i="2"/>
  <c r="P192" i="2" s="1"/>
  <c r="S192" i="2" s="1"/>
  <c r="O192" i="2"/>
  <c r="A193" i="2"/>
  <c r="B193" i="2"/>
  <c r="C193" i="2"/>
  <c r="L193" i="2"/>
  <c r="P193" i="2" s="1"/>
  <c r="S193" i="2" s="1"/>
  <c r="O193" i="2"/>
  <c r="A194" i="2"/>
  <c r="B194" i="2"/>
  <c r="C194" i="2"/>
  <c r="L194" i="2"/>
  <c r="P194" i="2" s="1"/>
  <c r="S194" i="2" s="1"/>
  <c r="O194" i="2"/>
  <c r="A195" i="2"/>
  <c r="B195" i="2"/>
  <c r="C195" i="2"/>
  <c r="L195" i="2"/>
  <c r="P195" i="2" s="1"/>
  <c r="S195" i="2" s="1"/>
  <c r="O195" i="2"/>
  <c r="A196" i="2"/>
  <c r="B196" i="2"/>
  <c r="C196" i="2"/>
  <c r="L196" i="2"/>
  <c r="P196" i="2" s="1"/>
  <c r="S196" i="2" s="1"/>
  <c r="O196" i="2"/>
  <c r="A197" i="2"/>
  <c r="B197" i="2"/>
  <c r="C197" i="2"/>
  <c r="L197" i="2"/>
  <c r="P197" i="2" s="1"/>
  <c r="S197" i="2" s="1"/>
  <c r="O197" i="2"/>
  <c r="A198" i="2"/>
  <c r="B198" i="2"/>
  <c r="C198" i="2"/>
  <c r="L198" i="2"/>
  <c r="P198" i="2" s="1"/>
  <c r="S198" i="2" s="1"/>
  <c r="O198" i="2"/>
  <c r="A199" i="2"/>
  <c r="B199" i="2"/>
  <c r="C199" i="2"/>
  <c r="L199" i="2"/>
  <c r="P199" i="2" s="1"/>
  <c r="S199" i="2" s="1"/>
  <c r="O199" i="2"/>
  <c r="A200" i="2"/>
  <c r="B200" i="2"/>
  <c r="C200" i="2"/>
  <c r="L200" i="2"/>
  <c r="P200" i="2" s="1"/>
  <c r="S200" i="2" s="1"/>
  <c r="O200" i="2"/>
  <c r="A201" i="2"/>
  <c r="B201" i="2"/>
  <c r="C201" i="2"/>
  <c r="L201" i="2"/>
  <c r="P201" i="2" s="1"/>
  <c r="S201" i="2" s="1"/>
  <c r="O201" i="2"/>
  <c r="A202" i="2"/>
  <c r="B202" i="2"/>
  <c r="C202" i="2"/>
  <c r="L202" i="2"/>
  <c r="P202" i="2" s="1"/>
  <c r="S202" i="2" s="1"/>
  <c r="O202" i="2"/>
  <c r="A203" i="2"/>
  <c r="B203" i="2"/>
  <c r="C203" i="2"/>
  <c r="L203" i="2"/>
  <c r="P203" i="2" s="1"/>
  <c r="S203" i="2" s="1"/>
  <c r="O203" i="2"/>
  <c r="A204" i="2"/>
  <c r="B204" i="2"/>
  <c r="C204" i="2"/>
  <c r="L204" i="2"/>
  <c r="P204" i="2" s="1"/>
  <c r="S204" i="2" s="1"/>
  <c r="O204" i="2"/>
  <c r="A205" i="2"/>
  <c r="B205" i="2"/>
  <c r="C205" i="2"/>
  <c r="L205" i="2"/>
  <c r="P205" i="2" s="1"/>
  <c r="S205" i="2" s="1"/>
  <c r="O205" i="2"/>
  <c r="A206" i="2"/>
  <c r="B206" i="2"/>
  <c r="C206" i="2"/>
  <c r="L206" i="2"/>
  <c r="P206" i="2" s="1"/>
  <c r="S206" i="2" s="1"/>
  <c r="O206" i="2"/>
  <c r="A207" i="2"/>
  <c r="B207" i="2"/>
  <c r="C207" i="2"/>
  <c r="L207" i="2"/>
  <c r="P207" i="2" s="1"/>
  <c r="S207" i="2" s="1"/>
  <c r="O207" i="2"/>
  <c r="A208" i="2"/>
  <c r="B208" i="2"/>
  <c r="C208" i="2"/>
  <c r="L208" i="2"/>
  <c r="P208" i="2" s="1"/>
  <c r="S208" i="2" s="1"/>
  <c r="O208" i="2"/>
  <c r="A209" i="2"/>
  <c r="B209" i="2"/>
  <c r="C209" i="2"/>
  <c r="L209" i="2"/>
  <c r="P209" i="2" s="1"/>
  <c r="S209" i="2" s="1"/>
  <c r="O209" i="2"/>
  <c r="A210" i="2"/>
  <c r="B210" i="2"/>
  <c r="C210" i="2"/>
  <c r="L210" i="2"/>
  <c r="P210" i="2" s="1"/>
  <c r="S210" i="2" s="1"/>
  <c r="O210" i="2"/>
  <c r="A211" i="2"/>
  <c r="B211" i="2"/>
  <c r="C211" i="2"/>
  <c r="L211" i="2"/>
  <c r="P211" i="2" s="1"/>
  <c r="S211" i="2" s="1"/>
  <c r="O211" i="2"/>
  <c r="A212" i="2"/>
  <c r="B212" i="2"/>
  <c r="C212" i="2"/>
  <c r="L212" i="2"/>
  <c r="P212" i="2" s="1"/>
  <c r="S212" i="2" s="1"/>
  <c r="O212" i="2"/>
  <c r="A213" i="2"/>
  <c r="B213" i="2"/>
  <c r="C213" i="2"/>
  <c r="L213" i="2"/>
  <c r="P213" i="2" s="1"/>
  <c r="S213" i="2" s="1"/>
  <c r="O213" i="2"/>
  <c r="A214" i="2"/>
  <c r="B214" i="2"/>
  <c r="C214" i="2"/>
  <c r="L214" i="2"/>
  <c r="P214" i="2" s="1"/>
  <c r="S214" i="2" s="1"/>
  <c r="O214" i="2"/>
  <c r="A215" i="2"/>
  <c r="B215" i="2"/>
  <c r="C215" i="2"/>
  <c r="L215" i="2"/>
  <c r="P215" i="2" s="1"/>
  <c r="S215" i="2" s="1"/>
  <c r="O215" i="2"/>
  <c r="A216" i="2"/>
  <c r="B216" i="2"/>
  <c r="C216" i="2"/>
  <c r="L216" i="2"/>
  <c r="P216" i="2" s="1"/>
  <c r="S216" i="2" s="1"/>
  <c r="O216" i="2"/>
  <c r="A217" i="2"/>
  <c r="B217" i="2"/>
  <c r="C217" i="2"/>
  <c r="L217" i="2"/>
  <c r="P217" i="2" s="1"/>
  <c r="S217" i="2" s="1"/>
  <c r="O217" i="2"/>
  <c r="A218" i="2"/>
  <c r="B218" i="2"/>
  <c r="C218" i="2"/>
  <c r="L218" i="2"/>
  <c r="P218" i="2" s="1"/>
  <c r="S218" i="2" s="1"/>
  <c r="O218" i="2"/>
  <c r="A219" i="2"/>
  <c r="B219" i="2"/>
  <c r="C219" i="2"/>
  <c r="L219" i="2"/>
  <c r="P219" i="2" s="1"/>
  <c r="S219" i="2" s="1"/>
  <c r="O219" i="2"/>
  <c r="A220" i="2"/>
  <c r="B220" i="2"/>
  <c r="C220" i="2"/>
  <c r="L220" i="2"/>
  <c r="P220" i="2" s="1"/>
  <c r="S220" i="2" s="1"/>
  <c r="O220" i="2"/>
  <c r="A221" i="2"/>
  <c r="B221" i="2"/>
  <c r="C221" i="2"/>
  <c r="L221" i="2"/>
  <c r="P221" i="2" s="1"/>
  <c r="S221" i="2" s="1"/>
  <c r="O221" i="2"/>
  <c r="A222" i="2"/>
  <c r="B222" i="2"/>
  <c r="C222" i="2"/>
  <c r="L222" i="2"/>
  <c r="P222" i="2" s="1"/>
  <c r="S222" i="2" s="1"/>
  <c r="O222" i="2"/>
  <c r="A223" i="2"/>
  <c r="B223" i="2"/>
  <c r="C223" i="2"/>
  <c r="L223" i="2"/>
  <c r="P223" i="2" s="1"/>
  <c r="S223" i="2" s="1"/>
  <c r="O223" i="2"/>
  <c r="A224" i="2"/>
  <c r="B224" i="2"/>
  <c r="C224" i="2"/>
  <c r="L224" i="2"/>
  <c r="P224" i="2" s="1"/>
  <c r="S224" i="2" s="1"/>
  <c r="O224" i="2"/>
  <c r="A225" i="2"/>
  <c r="B225" i="2"/>
  <c r="C225" i="2"/>
  <c r="L225" i="2"/>
  <c r="P225" i="2" s="1"/>
  <c r="S225" i="2" s="1"/>
  <c r="O225" i="2"/>
  <c r="A226" i="2"/>
  <c r="B226" i="2"/>
  <c r="C226" i="2"/>
  <c r="L226" i="2"/>
  <c r="P226" i="2" s="1"/>
  <c r="S226" i="2" s="1"/>
  <c r="O226" i="2"/>
  <c r="A227" i="2"/>
  <c r="B227" i="2"/>
  <c r="C227" i="2"/>
  <c r="L227" i="2"/>
  <c r="P227" i="2" s="1"/>
  <c r="S227" i="2" s="1"/>
  <c r="O227" i="2"/>
  <c r="A228" i="2"/>
  <c r="B228" i="2"/>
  <c r="C228" i="2"/>
  <c r="L228" i="2"/>
  <c r="P228" i="2" s="1"/>
  <c r="S228" i="2" s="1"/>
  <c r="O228" i="2"/>
  <c r="A229" i="2"/>
  <c r="B229" i="2"/>
  <c r="C229" i="2"/>
  <c r="L229" i="2"/>
  <c r="P229" i="2" s="1"/>
  <c r="S229" i="2" s="1"/>
  <c r="O229" i="2"/>
  <c r="A230" i="2"/>
  <c r="B230" i="2"/>
  <c r="C230" i="2"/>
  <c r="L230" i="2"/>
  <c r="P230" i="2" s="1"/>
  <c r="S230" i="2" s="1"/>
  <c r="O230" i="2"/>
  <c r="A231" i="2"/>
  <c r="B231" i="2"/>
  <c r="C231" i="2"/>
  <c r="L231" i="2"/>
  <c r="P231" i="2" s="1"/>
  <c r="S231" i="2" s="1"/>
  <c r="O231" i="2"/>
  <c r="A232" i="2"/>
  <c r="B232" i="2"/>
  <c r="C232" i="2"/>
  <c r="L232" i="2"/>
  <c r="P232" i="2" s="1"/>
  <c r="S232" i="2" s="1"/>
  <c r="O232" i="2"/>
  <c r="A233" i="2"/>
  <c r="B233" i="2"/>
  <c r="C233" i="2"/>
  <c r="L233" i="2"/>
  <c r="P233" i="2" s="1"/>
  <c r="S233" i="2" s="1"/>
  <c r="O233" i="2"/>
  <c r="A234" i="2"/>
  <c r="B234" i="2"/>
  <c r="C234" i="2"/>
  <c r="L234" i="2"/>
  <c r="P234" i="2" s="1"/>
  <c r="S234" i="2" s="1"/>
  <c r="O234" i="2"/>
  <c r="A235" i="2"/>
  <c r="B235" i="2"/>
  <c r="C235" i="2"/>
  <c r="L235" i="2"/>
  <c r="P235" i="2" s="1"/>
  <c r="S235" i="2" s="1"/>
  <c r="O235" i="2"/>
  <c r="A236" i="2"/>
  <c r="B236" i="2"/>
  <c r="C236" i="2"/>
  <c r="L236" i="2"/>
  <c r="P236" i="2" s="1"/>
  <c r="S236" i="2" s="1"/>
  <c r="O236" i="2"/>
  <c r="A237" i="2"/>
  <c r="B237" i="2"/>
  <c r="C237" i="2"/>
  <c r="L237" i="2"/>
  <c r="P237" i="2" s="1"/>
  <c r="S237" i="2" s="1"/>
  <c r="O237" i="2"/>
  <c r="A238" i="2"/>
  <c r="B238" i="2"/>
  <c r="C238" i="2"/>
  <c r="L238" i="2"/>
  <c r="P238" i="2" s="1"/>
  <c r="S238" i="2" s="1"/>
  <c r="O238" i="2"/>
  <c r="A239" i="2"/>
  <c r="B239" i="2"/>
  <c r="C239" i="2"/>
  <c r="L239" i="2"/>
  <c r="P239" i="2" s="1"/>
  <c r="S239" i="2" s="1"/>
  <c r="O239" i="2"/>
  <c r="A240" i="2"/>
  <c r="B240" i="2"/>
  <c r="C240" i="2"/>
  <c r="L240" i="2"/>
  <c r="P240" i="2" s="1"/>
  <c r="S240" i="2" s="1"/>
  <c r="O240" i="2"/>
  <c r="A241" i="2"/>
  <c r="B241" i="2"/>
  <c r="C241" i="2"/>
  <c r="L241" i="2"/>
  <c r="P241" i="2" s="1"/>
  <c r="S241" i="2" s="1"/>
  <c r="O241" i="2"/>
  <c r="A242" i="2"/>
  <c r="B242" i="2"/>
  <c r="C242" i="2"/>
  <c r="L242" i="2"/>
  <c r="P242" i="2" s="1"/>
  <c r="S242" i="2" s="1"/>
  <c r="O242" i="2"/>
  <c r="A243" i="2"/>
  <c r="B243" i="2"/>
  <c r="C243" i="2"/>
  <c r="L243" i="2"/>
  <c r="P243" i="2" s="1"/>
  <c r="S243" i="2" s="1"/>
  <c r="O243" i="2"/>
  <c r="A244" i="2"/>
  <c r="B244" i="2"/>
  <c r="C244" i="2"/>
  <c r="L244" i="2"/>
  <c r="P244" i="2" s="1"/>
  <c r="S244" i="2" s="1"/>
  <c r="O244" i="2"/>
  <c r="A245" i="2"/>
  <c r="B245" i="2"/>
  <c r="C245" i="2"/>
  <c r="L245" i="2"/>
  <c r="P245" i="2" s="1"/>
  <c r="S245" i="2" s="1"/>
  <c r="O245" i="2"/>
  <c r="A246" i="2"/>
  <c r="B246" i="2"/>
  <c r="C246" i="2"/>
  <c r="L246" i="2"/>
  <c r="P246" i="2" s="1"/>
  <c r="S246" i="2" s="1"/>
  <c r="O246" i="2"/>
  <c r="A247" i="2"/>
  <c r="B247" i="2"/>
  <c r="C247" i="2"/>
  <c r="L247" i="2"/>
  <c r="P247" i="2" s="1"/>
  <c r="S247" i="2" s="1"/>
  <c r="O247" i="2"/>
  <c r="A248" i="2"/>
  <c r="B248" i="2"/>
  <c r="C248" i="2"/>
  <c r="L248" i="2"/>
  <c r="P248" i="2" s="1"/>
  <c r="S248" i="2" s="1"/>
  <c r="O248" i="2"/>
  <c r="A249" i="2"/>
  <c r="B249" i="2"/>
  <c r="C249" i="2"/>
  <c r="L249" i="2"/>
  <c r="P249" i="2" s="1"/>
  <c r="S249" i="2" s="1"/>
  <c r="O249" i="2"/>
  <c r="A250" i="2"/>
  <c r="B250" i="2"/>
  <c r="C250" i="2"/>
  <c r="L250" i="2"/>
  <c r="P250" i="2" s="1"/>
  <c r="S250" i="2" s="1"/>
  <c r="O250" i="2"/>
  <c r="A251" i="2"/>
  <c r="B251" i="2"/>
  <c r="C251" i="2"/>
  <c r="L251" i="2"/>
  <c r="P251" i="2" s="1"/>
  <c r="S251" i="2" s="1"/>
  <c r="O251" i="2"/>
  <c r="A252" i="2"/>
  <c r="B252" i="2"/>
  <c r="C252" i="2"/>
  <c r="L252" i="2"/>
  <c r="P252" i="2" s="1"/>
  <c r="S252" i="2" s="1"/>
  <c r="O252" i="2"/>
  <c r="A253" i="2"/>
  <c r="B253" i="2"/>
  <c r="C253" i="2"/>
  <c r="L253" i="2"/>
  <c r="P253" i="2" s="1"/>
  <c r="S253" i="2" s="1"/>
  <c r="O253" i="2"/>
  <c r="A254" i="2"/>
  <c r="B254" i="2"/>
  <c r="C254" i="2"/>
  <c r="L254" i="2"/>
  <c r="P254" i="2" s="1"/>
  <c r="S254" i="2" s="1"/>
  <c r="O254" i="2"/>
  <c r="A255" i="2"/>
  <c r="B255" i="2"/>
  <c r="C255" i="2"/>
  <c r="L255" i="2"/>
  <c r="P255" i="2" s="1"/>
  <c r="S255" i="2" s="1"/>
  <c r="O255" i="2"/>
  <c r="A256" i="2"/>
  <c r="B256" i="2"/>
  <c r="C256" i="2"/>
  <c r="L256" i="2"/>
  <c r="P256" i="2" s="1"/>
  <c r="S256" i="2" s="1"/>
  <c r="O256" i="2"/>
  <c r="A257" i="2"/>
  <c r="B257" i="2"/>
  <c r="C257" i="2"/>
  <c r="L257" i="2"/>
  <c r="P257" i="2" s="1"/>
  <c r="S257" i="2" s="1"/>
  <c r="O257" i="2"/>
  <c r="A258" i="2"/>
  <c r="B258" i="2"/>
  <c r="C258" i="2"/>
  <c r="L258" i="2"/>
  <c r="P258" i="2" s="1"/>
  <c r="S258" i="2" s="1"/>
  <c r="O258" i="2"/>
  <c r="A259" i="2"/>
  <c r="B259" i="2"/>
  <c r="C259" i="2"/>
  <c r="L259" i="2"/>
  <c r="P259" i="2" s="1"/>
  <c r="S259" i="2" s="1"/>
  <c r="O259" i="2"/>
  <c r="A260" i="2"/>
  <c r="B260" i="2"/>
  <c r="C260" i="2"/>
  <c r="L260" i="2"/>
  <c r="P260" i="2" s="1"/>
  <c r="S260" i="2" s="1"/>
  <c r="O260" i="2"/>
  <c r="A261" i="2"/>
  <c r="B261" i="2"/>
  <c r="C261" i="2"/>
  <c r="L261" i="2"/>
  <c r="P261" i="2" s="1"/>
  <c r="S261" i="2" s="1"/>
  <c r="O261" i="2"/>
  <c r="A262" i="2"/>
  <c r="B262" i="2"/>
  <c r="C262" i="2"/>
  <c r="L262" i="2"/>
  <c r="P262" i="2" s="1"/>
  <c r="S262" i="2" s="1"/>
  <c r="O262" i="2"/>
  <c r="A263" i="2"/>
  <c r="B263" i="2"/>
  <c r="C263" i="2"/>
  <c r="L263" i="2"/>
  <c r="P263" i="2" s="1"/>
  <c r="S263" i="2" s="1"/>
  <c r="O263" i="2"/>
  <c r="A264" i="2"/>
  <c r="B264" i="2"/>
  <c r="C264" i="2"/>
  <c r="L264" i="2"/>
  <c r="P264" i="2" s="1"/>
  <c r="S264" i="2" s="1"/>
  <c r="O264" i="2"/>
  <c r="A265" i="2"/>
  <c r="B265" i="2"/>
  <c r="C265" i="2"/>
  <c r="L265" i="2"/>
  <c r="P265" i="2" s="1"/>
  <c r="S265" i="2" s="1"/>
  <c r="O265" i="2"/>
  <c r="A266" i="2"/>
  <c r="B266" i="2"/>
  <c r="C266" i="2"/>
  <c r="L266" i="2"/>
  <c r="P266" i="2" s="1"/>
  <c r="S266" i="2" s="1"/>
  <c r="O266" i="2"/>
  <c r="A267" i="2"/>
  <c r="B267" i="2"/>
  <c r="C267" i="2"/>
  <c r="L267" i="2"/>
  <c r="P267" i="2" s="1"/>
  <c r="S267" i="2" s="1"/>
  <c r="O267" i="2"/>
  <c r="A268" i="2"/>
  <c r="B268" i="2"/>
  <c r="C268" i="2"/>
  <c r="L268" i="2"/>
  <c r="P268" i="2" s="1"/>
  <c r="S268" i="2" s="1"/>
  <c r="O268" i="2"/>
  <c r="A269" i="2"/>
  <c r="B269" i="2"/>
  <c r="C269" i="2"/>
  <c r="L269" i="2"/>
  <c r="P269" i="2" s="1"/>
  <c r="S269" i="2" s="1"/>
  <c r="O269" i="2"/>
  <c r="A270" i="2"/>
  <c r="B270" i="2"/>
  <c r="C270" i="2"/>
  <c r="L270" i="2"/>
  <c r="P270" i="2" s="1"/>
  <c r="S270" i="2" s="1"/>
  <c r="O270" i="2"/>
  <c r="A271" i="2"/>
  <c r="B271" i="2"/>
  <c r="C271" i="2"/>
  <c r="L271" i="2"/>
  <c r="P271" i="2" s="1"/>
  <c r="S271" i="2" s="1"/>
  <c r="O271" i="2"/>
  <c r="A272" i="2"/>
  <c r="B272" i="2"/>
  <c r="C272" i="2"/>
  <c r="L272" i="2"/>
  <c r="P272" i="2" s="1"/>
  <c r="S272" i="2" s="1"/>
  <c r="O272" i="2"/>
  <c r="A273" i="2"/>
  <c r="B273" i="2"/>
  <c r="C273" i="2"/>
  <c r="L273" i="2"/>
  <c r="P273" i="2" s="1"/>
  <c r="S273" i="2" s="1"/>
  <c r="O273" i="2"/>
  <c r="A274" i="2"/>
  <c r="B274" i="2"/>
  <c r="C274" i="2"/>
  <c r="L274" i="2"/>
  <c r="P274" i="2" s="1"/>
  <c r="S274" i="2" s="1"/>
  <c r="O274" i="2"/>
  <c r="A275" i="2"/>
  <c r="B275" i="2"/>
  <c r="C275" i="2"/>
  <c r="L275" i="2"/>
  <c r="P275" i="2" s="1"/>
  <c r="S275" i="2" s="1"/>
  <c r="O275" i="2"/>
  <c r="A276" i="2"/>
  <c r="B276" i="2"/>
  <c r="C276" i="2"/>
  <c r="L276" i="2"/>
  <c r="P276" i="2" s="1"/>
  <c r="S276" i="2" s="1"/>
  <c r="O276" i="2"/>
  <c r="A277" i="2"/>
  <c r="B277" i="2"/>
  <c r="C277" i="2"/>
  <c r="L277" i="2"/>
  <c r="P277" i="2" s="1"/>
  <c r="S277" i="2" s="1"/>
  <c r="O277" i="2"/>
  <c r="A278" i="2"/>
  <c r="B278" i="2"/>
  <c r="C278" i="2"/>
  <c r="L278" i="2"/>
  <c r="P278" i="2" s="1"/>
  <c r="S278" i="2" s="1"/>
  <c r="O278" i="2"/>
  <c r="A279" i="2"/>
  <c r="B279" i="2"/>
  <c r="C279" i="2"/>
  <c r="L279" i="2"/>
  <c r="P279" i="2" s="1"/>
  <c r="S279" i="2" s="1"/>
  <c r="O279" i="2"/>
  <c r="A280" i="2"/>
  <c r="B280" i="2"/>
  <c r="C280" i="2"/>
  <c r="L280" i="2"/>
  <c r="P280" i="2" s="1"/>
  <c r="S280" i="2" s="1"/>
  <c r="O280" i="2"/>
  <c r="A281" i="2"/>
  <c r="B281" i="2"/>
  <c r="C281" i="2"/>
  <c r="L281" i="2"/>
  <c r="P281" i="2" s="1"/>
  <c r="S281" i="2" s="1"/>
  <c r="O281" i="2"/>
  <c r="A282" i="2"/>
  <c r="B282" i="2"/>
  <c r="C282" i="2"/>
  <c r="L282" i="2"/>
  <c r="P282" i="2" s="1"/>
  <c r="S282" i="2" s="1"/>
  <c r="O282" i="2"/>
  <c r="A283" i="2"/>
  <c r="B283" i="2"/>
  <c r="C283" i="2"/>
  <c r="L283" i="2"/>
  <c r="P283" i="2" s="1"/>
  <c r="S283" i="2" s="1"/>
  <c r="O283" i="2"/>
  <c r="A284" i="2"/>
  <c r="B284" i="2"/>
  <c r="C284" i="2"/>
  <c r="L284" i="2"/>
  <c r="P284" i="2" s="1"/>
  <c r="S284" i="2" s="1"/>
  <c r="O284" i="2"/>
  <c r="A285" i="2"/>
  <c r="B285" i="2"/>
  <c r="C285" i="2"/>
  <c r="L285" i="2"/>
  <c r="P285" i="2" s="1"/>
  <c r="S285" i="2" s="1"/>
  <c r="O285" i="2"/>
  <c r="A286" i="2"/>
  <c r="B286" i="2"/>
  <c r="C286" i="2"/>
  <c r="L286" i="2"/>
  <c r="P286" i="2" s="1"/>
  <c r="S286" i="2" s="1"/>
  <c r="O286" i="2"/>
  <c r="A287" i="2"/>
  <c r="B287" i="2"/>
  <c r="C287" i="2"/>
  <c r="L287" i="2"/>
  <c r="P287" i="2" s="1"/>
  <c r="S287" i="2" s="1"/>
  <c r="O287" i="2"/>
  <c r="A288" i="2"/>
  <c r="B288" i="2"/>
  <c r="C288" i="2"/>
  <c r="L288" i="2"/>
  <c r="P288" i="2" s="1"/>
  <c r="S288" i="2" s="1"/>
  <c r="O288" i="2"/>
  <c r="A289" i="2"/>
  <c r="B289" i="2"/>
  <c r="C289" i="2"/>
  <c r="L289" i="2"/>
  <c r="P289" i="2" s="1"/>
  <c r="S289" i="2" s="1"/>
  <c r="O289" i="2"/>
  <c r="A290" i="2"/>
  <c r="B290" i="2"/>
  <c r="C290" i="2"/>
  <c r="L290" i="2"/>
  <c r="P290" i="2" s="1"/>
  <c r="S290" i="2" s="1"/>
  <c r="O290" i="2"/>
  <c r="A291" i="2"/>
  <c r="B291" i="2"/>
  <c r="C291" i="2"/>
  <c r="L291" i="2"/>
  <c r="P291" i="2" s="1"/>
  <c r="S291" i="2" s="1"/>
  <c r="O291" i="2"/>
  <c r="A292" i="2"/>
  <c r="B292" i="2"/>
  <c r="C292" i="2"/>
  <c r="L292" i="2"/>
  <c r="P292" i="2" s="1"/>
  <c r="S292" i="2" s="1"/>
  <c r="O292" i="2"/>
  <c r="A293" i="2"/>
  <c r="B293" i="2"/>
  <c r="C293" i="2"/>
  <c r="L293" i="2"/>
  <c r="P293" i="2" s="1"/>
  <c r="S293" i="2" s="1"/>
  <c r="O293" i="2"/>
  <c r="A294" i="2"/>
  <c r="B294" i="2"/>
  <c r="C294" i="2"/>
  <c r="L294" i="2"/>
  <c r="P294" i="2" s="1"/>
  <c r="S294" i="2" s="1"/>
  <c r="O294" i="2"/>
  <c r="A295" i="2"/>
  <c r="B295" i="2"/>
  <c r="C295" i="2"/>
  <c r="L295" i="2"/>
  <c r="P295" i="2" s="1"/>
  <c r="S295" i="2" s="1"/>
  <c r="O295" i="2"/>
  <c r="A296" i="2"/>
  <c r="B296" i="2"/>
  <c r="C296" i="2"/>
  <c r="L296" i="2"/>
  <c r="P296" i="2" s="1"/>
  <c r="S296" i="2" s="1"/>
  <c r="O296" i="2"/>
  <c r="A297" i="2"/>
  <c r="B297" i="2"/>
  <c r="C297" i="2"/>
  <c r="L297" i="2"/>
  <c r="P297" i="2" s="1"/>
  <c r="S297" i="2" s="1"/>
  <c r="O297" i="2"/>
  <c r="A298" i="2"/>
  <c r="B298" i="2"/>
  <c r="C298" i="2"/>
  <c r="L298" i="2"/>
  <c r="P298" i="2" s="1"/>
  <c r="S298" i="2" s="1"/>
  <c r="O298" i="2"/>
  <c r="A299" i="2"/>
  <c r="B299" i="2"/>
  <c r="C299" i="2"/>
  <c r="L299" i="2"/>
  <c r="P299" i="2" s="1"/>
  <c r="S299" i="2" s="1"/>
  <c r="O299" i="2"/>
  <c r="A300" i="2"/>
  <c r="B300" i="2"/>
  <c r="C300" i="2"/>
  <c r="L300" i="2"/>
  <c r="P300" i="2" s="1"/>
  <c r="S300" i="2" s="1"/>
  <c r="O300" i="2"/>
  <c r="A301" i="2"/>
  <c r="B301" i="2"/>
  <c r="C301" i="2"/>
  <c r="L301" i="2"/>
  <c r="P301" i="2" s="1"/>
  <c r="S301" i="2" s="1"/>
  <c r="O301" i="2"/>
  <c r="A302" i="2"/>
  <c r="B302" i="2"/>
  <c r="C302" i="2"/>
  <c r="L302" i="2"/>
  <c r="P302" i="2" s="1"/>
  <c r="S302" i="2" s="1"/>
  <c r="O302" i="2"/>
  <c r="A303" i="2"/>
  <c r="B303" i="2"/>
  <c r="C303" i="2"/>
  <c r="L303" i="2"/>
  <c r="P303" i="2" s="1"/>
  <c r="S303" i="2" s="1"/>
  <c r="O303" i="2"/>
  <c r="A304" i="2"/>
  <c r="B304" i="2"/>
  <c r="C304" i="2"/>
  <c r="L304" i="2"/>
  <c r="P304" i="2" s="1"/>
  <c r="S304" i="2" s="1"/>
  <c r="O304" i="2"/>
  <c r="A305" i="2"/>
  <c r="B305" i="2"/>
  <c r="C305" i="2"/>
  <c r="L305" i="2"/>
  <c r="P305" i="2" s="1"/>
  <c r="S305" i="2" s="1"/>
  <c r="O305" i="2"/>
  <c r="A306" i="2"/>
  <c r="B306" i="2"/>
  <c r="C306" i="2"/>
  <c r="L306" i="2"/>
  <c r="P306" i="2" s="1"/>
  <c r="S306" i="2" s="1"/>
  <c r="O306" i="2"/>
  <c r="A307" i="2"/>
  <c r="B307" i="2"/>
  <c r="C307" i="2"/>
  <c r="L307" i="2"/>
  <c r="P307" i="2" s="1"/>
  <c r="S307" i="2" s="1"/>
  <c r="O307" i="2"/>
  <c r="A308" i="2"/>
  <c r="B308" i="2"/>
  <c r="C308" i="2"/>
  <c r="L308" i="2"/>
  <c r="P308" i="2" s="1"/>
  <c r="S308" i="2" s="1"/>
  <c r="O308" i="2"/>
  <c r="A309" i="2"/>
  <c r="B309" i="2"/>
  <c r="C309" i="2"/>
  <c r="L309" i="2"/>
  <c r="P309" i="2" s="1"/>
  <c r="S309" i="2" s="1"/>
  <c r="O309" i="2"/>
  <c r="A310" i="2"/>
  <c r="B310" i="2"/>
  <c r="C310" i="2"/>
  <c r="L310" i="2"/>
  <c r="P310" i="2" s="1"/>
  <c r="S310" i="2" s="1"/>
  <c r="O310" i="2"/>
  <c r="A311" i="2"/>
  <c r="B311" i="2"/>
  <c r="C311" i="2"/>
  <c r="L311" i="2"/>
  <c r="P311" i="2" s="1"/>
  <c r="S311" i="2" s="1"/>
  <c r="O311" i="2"/>
  <c r="A312" i="2"/>
  <c r="B312" i="2"/>
  <c r="C312" i="2"/>
  <c r="L312" i="2"/>
  <c r="P312" i="2" s="1"/>
  <c r="S312" i="2" s="1"/>
  <c r="O312" i="2"/>
  <c r="A313" i="2"/>
  <c r="B313" i="2"/>
  <c r="C313" i="2"/>
  <c r="L313" i="2"/>
  <c r="P313" i="2" s="1"/>
  <c r="S313" i="2" s="1"/>
  <c r="O313" i="2"/>
  <c r="A314" i="2"/>
  <c r="B314" i="2"/>
  <c r="C314" i="2"/>
  <c r="L314" i="2"/>
  <c r="P314" i="2" s="1"/>
  <c r="S314" i="2" s="1"/>
  <c r="O314" i="2"/>
  <c r="A315" i="2"/>
  <c r="B315" i="2"/>
  <c r="C315" i="2"/>
  <c r="L315" i="2"/>
  <c r="P315" i="2" s="1"/>
  <c r="S315" i="2" s="1"/>
  <c r="O315" i="2"/>
  <c r="A316" i="2"/>
  <c r="B316" i="2"/>
  <c r="C316" i="2"/>
  <c r="L316" i="2"/>
  <c r="P316" i="2" s="1"/>
  <c r="S316" i="2" s="1"/>
  <c r="O316" i="2"/>
  <c r="A317" i="2"/>
  <c r="B317" i="2"/>
  <c r="C317" i="2"/>
  <c r="L317" i="2"/>
  <c r="P317" i="2" s="1"/>
  <c r="S317" i="2" s="1"/>
  <c r="O317" i="2"/>
  <c r="A318" i="2"/>
  <c r="B318" i="2"/>
  <c r="C318" i="2"/>
  <c r="L318" i="2"/>
  <c r="P318" i="2" s="1"/>
  <c r="S318" i="2" s="1"/>
  <c r="O318" i="2"/>
  <c r="A319" i="2"/>
  <c r="B319" i="2"/>
  <c r="C319" i="2"/>
  <c r="L319" i="2"/>
  <c r="P319" i="2" s="1"/>
  <c r="S319" i="2" s="1"/>
  <c r="O319" i="2"/>
  <c r="A320" i="2"/>
  <c r="B320" i="2"/>
  <c r="C320" i="2"/>
  <c r="L320" i="2"/>
  <c r="P320" i="2" s="1"/>
  <c r="S320" i="2" s="1"/>
  <c r="O320" i="2"/>
  <c r="A321" i="2"/>
  <c r="B321" i="2"/>
  <c r="C321" i="2"/>
  <c r="L321" i="2"/>
  <c r="P321" i="2" s="1"/>
  <c r="S321" i="2" s="1"/>
  <c r="O321" i="2"/>
  <c r="A322" i="2"/>
  <c r="B322" i="2"/>
  <c r="C322" i="2"/>
  <c r="L322" i="2"/>
  <c r="P322" i="2" s="1"/>
  <c r="S322" i="2" s="1"/>
  <c r="O322" i="2"/>
  <c r="A323" i="2"/>
  <c r="B323" i="2"/>
  <c r="C323" i="2"/>
  <c r="L323" i="2"/>
  <c r="P323" i="2" s="1"/>
  <c r="S323" i="2" s="1"/>
  <c r="O323" i="2"/>
  <c r="A324" i="2"/>
  <c r="B324" i="2"/>
  <c r="C324" i="2"/>
  <c r="L324" i="2"/>
  <c r="P324" i="2" s="1"/>
  <c r="S324" i="2" s="1"/>
  <c r="O324" i="2"/>
  <c r="A325" i="2"/>
  <c r="B325" i="2"/>
  <c r="C325" i="2"/>
  <c r="L325" i="2"/>
  <c r="P325" i="2" s="1"/>
  <c r="S325" i="2" s="1"/>
  <c r="O325" i="2"/>
  <c r="A326" i="2"/>
  <c r="B326" i="2"/>
  <c r="C326" i="2"/>
  <c r="L326" i="2"/>
  <c r="P326" i="2" s="1"/>
  <c r="S326" i="2" s="1"/>
  <c r="O326" i="2"/>
  <c r="A327" i="2"/>
  <c r="B327" i="2"/>
  <c r="C327" i="2"/>
  <c r="L327" i="2"/>
  <c r="P327" i="2" s="1"/>
  <c r="S327" i="2" s="1"/>
  <c r="O327" i="2"/>
  <c r="A328" i="2"/>
  <c r="B328" i="2"/>
  <c r="C328" i="2"/>
  <c r="L328" i="2"/>
  <c r="P328" i="2" s="1"/>
  <c r="S328" i="2" s="1"/>
  <c r="O328" i="2"/>
  <c r="A329" i="2"/>
  <c r="B329" i="2"/>
  <c r="C329" i="2"/>
  <c r="L329" i="2"/>
  <c r="P329" i="2" s="1"/>
  <c r="S329" i="2" s="1"/>
  <c r="O329" i="2"/>
  <c r="A330" i="2"/>
  <c r="B330" i="2"/>
  <c r="C330" i="2"/>
  <c r="L330" i="2"/>
  <c r="P330" i="2" s="1"/>
  <c r="S330" i="2" s="1"/>
  <c r="O330" i="2"/>
  <c r="A331" i="2"/>
  <c r="B331" i="2"/>
  <c r="C331" i="2"/>
  <c r="L331" i="2"/>
  <c r="P331" i="2" s="1"/>
  <c r="S331" i="2" s="1"/>
  <c r="O331" i="2"/>
  <c r="A332" i="2"/>
  <c r="B332" i="2"/>
  <c r="C332" i="2"/>
  <c r="L332" i="2"/>
  <c r="P332" i="2" s="1"/>
  <c r="S332" i="2" s="1"/>
  <c r="O332" i="2"/>
  <c r="A333" i="2"/>
  <c r="B333" i="2"/>
  <c r="C333" i="2"/>
  <c r="L333" i="2"/>
  <c r="P333" i="2" s="1"/>
  <c r="S333" i="2" s="1"/>
  <c r="O333" i="2"/>
  <c r="A334" i="2"/>
  <c r="B334" i="2"/>
  <c r="C334" i="2"/>
  <c r="L334" i="2"/>
  <c r="P334" i="2" s="1"/>
  <c r="S334" i="2" s="1"/>
  <c r="O334" i="2"/>
  <c r="A335" i="2"/>
  <c r="B335" i="2"/>
  <c r="C335" i="2"/>
  <c r="L335" i="2"/>
  <c r="P335" i="2" s="1"/>
  <c r="S335" i="2" s="1"/>
  <c r="O335" i="2"/>
  <c r="A336" i="2"/>
  <c r="B336" i="2"/>
  <c r="C336" i="2"/>
  <c r="L336" i="2"/>
  <c r="P336" i="2" s="1"/>
  <c r="S336" i="2" s="1"/>
  <c r="O336" i="2"/>
  <c r="A337" i="2"/>
  <c r="B337" i="2"/>
  <c r="C337" i="2"/>
  <c r="L337" i="2"/>
  <c r="P337" i="2" s="1"/>
  <c r="S337" i="2" s="1"/>
  <c r="O337" i="2"/>
  <c r="A338" i="2"/>
  <c r="B338" i="2"/>
  <c r="C338" i="2"/>
  <c r="L338" i="2"/>
  <c r="P338" i="2" s="1"/>
  <c r="S338" i="2" s="1"/>
  <c r="O338" i="2"/>
  <c r="A339" i="2"/>
  <c r="B339" i="2"/>
  <c r="C339" i="2"/>
  <c r="L339" i="2"/>
  <c r="P339" i="2" s="1"/>
  <c r="S339" i="2" s="1"/>
  <c r="O339" i="2"/>
  <c r="A340" i="2"/>
  <c r="B340" i="2"/>
  <c r="C340" i="2"/>
  <c r="L340" i="2"/>
  <c r="P340" i="2" s="1"/>
  <c r="S340" i="2" s="1"/>
  <c r="O340" i="2"/>
  <c r="A341" i="2"/>
  <c r="B341" i="2"/>
  <c r="C341" i="2"/>
  <c r="L341" i="2"/>
  <c r="P341" i="2" s="1"/>
  <c r="S341" i="2" s="1"/>
  <c r="O341" i="2"/>
  <c r="A342" i="2"/>
  <c r="B342" i="2"/>
  <c r="C342" i="2"/>
  <c r="L342" i="2"/>
  <c r="P342" i="2" s="1"/>
  <c r="S342" i="2" s="1"/>
  <c r="O342" i="2"/>
  <c r="A343" i="2"/>
  <c r="B343" i="2"/>
  <c r="C343" i="2"/>
  <c r="L343" i="2"/>
  <c r="P343" i="2" s="1"/>
  <c r="S343" i="2" s="1"/>
  <c r="O343" i="2"/>
  <c r="A344" i="2"/>
  <c r="B344" i="2"/>
  <c r="C344" i="2"/>
  <c r="L344" i="2"/>
  <c r="P344" i="2" s="1"/>
  <c r="S344" i="2" s="1"/>
  <c r="O344" i="2"/>
  <c r="A345" i="2"/>
  <c r="B345" i="2"/>
  <c r="C345" i="2"/>
  <c r="L345" i="2"/>
  <c r="P345" i="2" s="1"/>
  <c r="S345" i="2" s="1"/>
  <c r="O345" i="2"/>
  <c r="A346" i="2"/>
  <c r="B346" i="2"/>
  <c r="C346" i="2"/>
  <c r="L346" i="2"/>
  <c r="P346" i="2" s="1"/>
  <c r="S346" i="2" s="1"/>
  <c r="O346" i="2"/>
  <c r="A347" i="2"/>
  <c r="B347" i="2"/>
  <c r="C347" i="2"/>
  <c r="L347" i="2"/>
  <c r="P347" i="2" s="1"/>
  <c r="S347" i="2" s="1"/>
  <c r="O347" i="2"/>
  <c r="A348" i="2"/>
  <c r="B348" i="2"/>
  <c r="C348" i="2"/>
  <c r="L348" i="2"/>
  <c r="P348" i="2" s="1"/>
  <c r="S348" i="2" s="1"/>
  <c r="O348" i="2"/>
  <c r="A349" i="2"/>
  <c r="B349" i="2"/>
  <c r="C349" i="2"/>
  <c r="L349" i="2"/>
  <c r="P349" i="2" s="1"/>
  <c r="S349" i="2" s="1"/>
  <c r="O349" i="2"/>
  <c r="A350" i="2"/>
  <c r="B350" i="2"/>
  <c r="C350" i="2"/>
  <c r="L350" i="2"/>
  <c r="P350" i="2" s="1"/>
  <c r="S350" i="2" s="1"/>
  <c r="O350" i="2"/>
  <c r="A351" i="2"/>
  <c r="B351" i="2"/>
  <c r="C351" i="2"/>
  <c r="L351" i="2"/>
  <c r="P351" i="2" s="1"/>
  <c r="S351" i="2" s="1"/>
  <c r="O351" i="2"/>
  <c r="A352" i="2"/>
  <c r="B352" i="2"/>
  <c r="C352" i="2"/>
  <c r="L352" i="2"/>
  <c r="P352" i="2" s="1"/>
  <c r="S352" i="2" s="1"/>
  <c r="O352" i="2"/>
  <c r="A353" i="2"/>
  <c r="B353" i="2"/>
  <c r="C353" i="2"/>
  <c r="L353" i="2"/>
  <c r="P353" i="2" s="1"/>
  <c r="S353" i="2" s="1"/>
  <c r="O353" i="2"/>
  <c r="A354" i="2"/>
  <c r="B354" i="2"/>
  <c r="C354" i="2"/>
  <c r="L354" i="2"/>
  <c r="P354" i="2" s="1"/>
  <c r="S354" i="2" s="1"/>
  <c r="O354" i="2"/>
  <c r="AG4" i="8" l="1"/>
  <c r="AH4" i="8" s="1"/>
  <c r="AK4" i="8" s="1"/>
  <c r="AG5" i="8"/>
  <c r="AH5" i="8" s="1"/>
  <c r="AK5" i="8" s="1"/>
  <c r="AG6" i="8"/>
  <c r="AH6" i="8" s="1"/>
  <c r="AK6" i="8" s="1"/>
  <c r="AG7" i="8"/>
  <c r="AH7" i="8" s="1"/>
  <c r="AK7" i="8" s="1"/>
  <c r="AG8" i="8"/>
  <c r="AH8" i="8" s="1"/>
  <c r="AK8" i="8" s="1"/>
  <c r="AG9" i="8"/>
  <c r="AH9" i="8" s="1"/>
  <c r="AK9" i="8" s="1"/>
  <c r="AG10" i="8"/>
  <c r="AH10" i="8" s="1"/>
  <c r="AK10" i="8" s="1"/>
  <c r="AG11" i="8"/>
  <c r="AH11" i="8" s="1"/>
  <c r="AK11" i="8" s="1"/>
  <c r="AG12" i="8"/>
  <c r="AH12" i="8" s="1"/>
  <c r="AK12" i="8" s="1"/>
  <c r="AG13" i="8"/>
  <c r="AH13" i="8" s="1"/>
  <c r="AK13" i="8" s="1"/>
  <c r="AG14" i="8"/>
  <c r="AH14" i="8" s="1"/>
  <c r="AK14" i="8" s="1"/>
  <c r="AG15" i="8"/>
  <c r="AH15" i="8" s="1"/>
  <c r="AK15" i="8" s="1"/>
  <c r="AG16" i="8"/>
  <c r="AH16" i="8" s="1"/>
  <c r="AK16" i="8" s="1"/>
  <c r="AG17" i="8"/>
  <c r="AH17" i="8" s="1"/>
  <c r="AK17" i="8" s="1"/>
  <c r="AG18" i="8"/>
  <c r="AH18" i="8" s="1"/>
  <c r="AK18" i="8" s="1"/>
  <c r="AG19" i="8"/>
  <c r="AH19" i="8" s="1"/>
  <c r="AK19" i="8" s="1"/>
  <c r="AG20" i="8"/>
  <c r="AH20" i="8" s="1"/>
  <c r="AK20" i="8" s="1"/>
  <c r="AG21" i="8"/>
  <c r="AH21" i="8" s="1"/>
  <c r="AK21" i="8" s="1"/>
  <c r="AG22" i="8"/>
  <c r="AH22" i="8" s="1"/>
  <c r="AK22" i="8" s="1"/>
  <c r="AG23" i="8"/>
  <c r="AH23" i="8" s="1"/>
  <c r="AK23" i="8" s="1"/>
  <c r="AG24" i="8"/>
  <c r="AH24" i="8" s="1"/>
  <c r="AK24" i="8" s="1"/>
  <c r="AG25" i="8"/>
  <c r="AH25" i="8" s="1"/>
  <c r="AK25" i="8" s="1"/>
  <c r="AG26" i="8"/>
  <c r="AH26" i="8" s="1"/>
  <c r="AK26" i="8" s="1"/>
  <c r="AG27" i="8"/>
  <c r="AH27" i="8" s="1"/>
  <c r="AK27" i="8" s="1"/>
  <c r="AG28" i="8"/>
  <c r="AH28" i="8" s="1"/>
  <c r="AK28" i="8" s="1"/>
  <c r="AG29" i="8"/>
  <c r="AH29" i="8" s="1"/>
  <c r="AK29" i="8" s="1"/>
  <c r="AG30" i="8"/>
  <c r="AH30" i="8" s="1"/>
  <c r="AK30" i="8" s="1"/>
  <c r="AG31" i="8"/>
  <c r="AH31" i="8" s="1"/>
  <c r="AK31" i="8" s="1"/>
  <c r="AG32" i="8"/>
  <c r="AH32" i="8" s="1"/>
  <c r="AK32" i="8" s="1"/>
  <c r="AG33" i="8"/>
  <c r="AH33" i="8" s="1"/>
  <c r="AK33" i="8" s="1"/>
  <c r="AG34" i="8"/>
  <c r="AH34" i="8" s="1"/>
  <c r="AK34" i="8" s="1"/>
  <c r="AG35" i="8"/>
  <c r="AH35" i="8" s="1"/>
  <c r="AK35" i="8" s="1"/>
  <c r="AG36" i="8"/>
  <c r="AH36" i="8" s="1"/>
  <c r="AK36" i="8" s="1"/>
  <c r="AG37" i="8"/>
  <c r="AH37" i="8" s="1"/>
  <c r="AK37" i="8" s="1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N785" i="4"/>
  <c r="Q785" i="4" s="1"/>
  <c r="N784" i="4"/>
  <c r="Q784" i="4" s="1"/>
  <c r="N783" i="4"/>
  <c r="Q783" i="4" s="1"/>
  <c r="N782" i="4"/>
  <c r="Q782" i="4" s="1"/>
  <c r="N781" i="4"/>
  <c r="Q781" i="4" s="1"/>
  <c r="N780" i="4"/>
  <c r="Q780" i="4" s="1"/>
  <c r="N779" i="4"/>
  <c r="Q779" i="4" s="1"/>
  <c r="N778" i="4"/>
  <c r="Q778" i="4" s="1"/>
  <c r="N777" i="4"/>
  <c r="Q777" i="4" s="1"/>
  <c r="N776" i="4"/>
  <c r="Q776" i="4" s="1"/>
  <c r="N775" i="4"/>
  <c r="Q775" i="4" s="1"/>
  <c r="N774" i="4"/>
  <c r="Q774" i="4" s="1"/>
  <c r="N773" i="4"/>
  <c r="Q773" i="4" s="1"/>
  <c r="N772" i="4"/>
  <c r="Q772" i="4" s="1"/>
  <c r="N771" i="4"/>
  <c r="Q771" i="4" s="1"/>
  <c r="N770" i="4"/>
  <c r="Q770" i="4" s="1"/>
  <c r="N769" i="4"/>
  <c r="Q769" i="4" s="1"/>
  <c r="N768" i="4"/>
  <c r="Q768" i="4" s="1"/>
  <c r="N767" i="4"/>
  <c r="Q767" i="4" s="1"/>
  <c r="N766" i="4"/>
  <c r="Q766" i="4" s="1"/>
  <c r="N765" i="4"/>
  <c r="Q765" i="4" s="1"/>
  <c r="N764" i="4"/>
  <c r="Q764" i="4" s="1"/>
  <c r="N763" i="4"/>
  <c r="Q763" i="4" s="1"/>
  <c r="N762" i="4"/>
  <c r="Q762" i="4" s="1"/>
  <c r="N761" i="4"/>
  <c r="Q761" i="4" s="1"/>
  <c r="N760" i="4"/>
  <c r="Q760" i="4" s="1"/>
  <c r="N759" i="4"/>
  <c r="Q759" i="4" s="1"/>
  <c r="N758" i="4"/>
  <c r="Q758" i="4" s="1"/>
  <c r="N757" i="4"/>
  <c r="Q757" i="4" s="1"/>
  <c r="N756" i="4"/>
  <c r="Q756" i="4" s="1"/>
  <c r="N755" i="4"/>
  <c r="Q755" i="4" s="1"/>
  <c r="N754" i="4"/>
  <c r="Q754" i="4" s="1"/>
  <c r="N753" i="4"/>
  <c r="Q753" i="4" s="1"/>
  <c r="N752" i="4"/>
  <c r="Q752" i="4" s="1"/>
  <c r="N751" i="4"/>
  <c r="Q751" i="4" s="1"/>
  <c r="N750" i="4"/>
  <c r="Q750" i="4" s="1"/>
  <c r="N749" i="4"/>
  <c r="Q749" i="4" s="1"/>
  <c r="N748" i="4"/>
  <c r="Q748" i="4" s="1"/>
  <c r="N747" i="4"/>
  <c r="Q747" i="4" s="1"/>
  <c r="N746" i="4"/>
  <c r="Q746" i="4" s="1"/>
  <c r="N745" i="4"/>
  <c r="Q745" i="4" s="1"/>
  <c r="N744" i="4"/>
  <c r="Q744" i="4" s="1"/>
  <c r="N743" i="4"/>
  <c r="Q743" i="4" s="1"/>
  <c r="N742" i="4"/>
  <c r="Q742" i="4" s="1"/>
  <c r="N741" i="4"/>
  <c r="Q741" i="4" s="1"/>
  <c r="N740" i="4"/>
  <c r="Q740" i="4" s="1"/>
  <c r="N739" i="4"/>
  <c r="Q739" i="4" s="1"/>
  <c r="N738" i="4"/>
  <c r="Q738" i="4" s="1"/>
  <c r="N737" i="4"/>
  <c r="Q737" i="4" s="1"/>
  <c r="N736" i="4"/>
  <c r="Q736" i="4" s="1"/>
  <c r="N735" i="4"/>
  <c r="Q735" i="4" s="1"/>
  <c r="N734" i="4"/>
  <c r="Q734" i="4" s="1"/>
  <c r="N733" i="4"/>
  <c r="Q733" i="4" s="1"/>
  <c r="N732" i="4"/>
  <c r="Q732" i="4" s="1"/>
  <c r="N731" i="4"/>
  <c r="Q731" i="4" s="1"/>
  <c r="N730" i="4"/>
  <c r="Q730" i="4" s="1"/>
  <c r="N729" i="4"/>
  <c r="Q729" i="4" s="1"/>
  <c r="N728" i="4"/>
  <c r="Q728" i="4" s="1"/>
  <c r="N727" i="4"/>
  <c r="Q727" i="4" s="1"/>
  <c r="N726" i="4"/>
  <c r="Q726" i="4" s="1"/>
  <c r="N725" i="4"/>
  <c r="Q725" i="4" s="1"/>
  <c r="N724" i="4"/>
  <c r="Q724" i="4" s="1"/>
  <c r="N723" i="4"/>
  <c r="Q723" i="4" s="1"/>
  <c r="N722" i="4"/>
  <c r="Q722" i="4" s="1"/>
  <c r="N721" i="4"/>
  <c r="Q721" i="4" s="1"/>
  <c r="N720" i="4"/>
  <c r="Q720" i="4" s="1"/>
  <c r="N719" i="4"/>
  <c r="Q719" i="4" s="1"/>
  <c r="N718" i="4"/>
  <c r="Q718" i="4" s="1"/>
  <c r="N717" i="4"/>
  <c r="Q717" i="4" s="1"/>
  <c r="N716" i="4"/>
  <c r="Q716" i="4" s="1"/>
  <c r="N715" i="4"/>
  <c r="Q715" i="4" s="1"/>
  <c r="N714" i="4"/>
  <c r="Q714" i="4" s="1"/>
  <c r="N713" i="4"/>
  <c r="Q713" i="4" s="1"/>
  <c r="N712" i="4"/>
  <c r="Q712" i="4" s="1"/>
  <c r="N711" i="4"/>
  <c r="Q711" i="4" s="1"/>
  <c r="N710" i="4"/>
  <c r="Q710" i="4" s="1"/>
  <c r="N709" i="4"/>
  <c r="Q709" i="4" s="1"/>
  <c r="N708" i="4"/>
  <c r="Q708" i="4" s="1"/>
  <c r="N707" i="4"/>
  <c r="Q707" i="4" s="1"/>
  <c r="N706" i="4"/>
  <c r="Q706" i="4" s="1"/>
  <c r="N705" i="4"/>
  <c r="Q705" i="4" s="1"/>
  <c r="N704" i="4"/>
  <c r="Q704" i="4" s="1"/>
  <c r="N703" i="4"/>
  <c r="Q703" i="4" s="1"/>
  <c r="N702" i="4"/>
  <c r="Q702" i="4" s="1"/>
  <c r="N701" i="4"/>
  <c r="Q701" i="4" s="1"/>
  <c r="N700" i="4"/>
  <c r="Q700" i="4" s="1"/>
  <c r="N699" i="4"/>
  <c r="Q699" i="4" s="1"/>
  <c r="N698" i="4"/>
  <c r="Q698" i="4" s="1"/>
  <c r="N697" i="4"/>
  <c r="Q697" i="4" s="1"/>
  <c r="N696" i="4"/>
  <c r="Q696" i="4" s="1"/>
  <c r="N695" i="4"/>
  <c r="Q695" i="4" s="1"/>
  <c r="N694" i="4"/>
  <c r="Q694" i="4" s="1"/>
  <c r="N693" i="4"/>
  <c r="Q693" i="4" s="1"/>
  <c r="N692" i="4"/>
  <c r="Q692" i="4" s="1"/>
  <c r="N691" i="4"/>
  <c r="Q691" i="4" s="1"/>
  <c r="N690" i="4"/>
  <c r="Q690" i="4" s="1"/>
  <c r="N689" i="4"/>
  <c r="Q689" i="4" s="1"/>
  <c r="N688" i="4"/>
  <c r="Q688" i="4" s="1"/>
  <c r="N687" i="4"/>
  <c r="Q687" i="4" s="1"/>
  <c r="N686" i="4"/>
  <c r="Q686" i="4" s="1"/>
  <c r="N685" i="4"/>
  <c r="Q685" i="4" s="1"/>
  <c r="N684" i="4"/>
  <c r="Q684" i="4" s="1"/>
  <c r="N683" i="4"/>
  <c r="Q683" i="4" s="1"/>
  <c r="N682" i="4"/>
  <c r="Q682" i="4" s="1"/>
  <c r="N681" i="4"/>
  <c r="Q681" i="4" s="1"/>
  <c r="N680" i="4"/>
  <c r="Q680" i="4" s="1"/>
  <c r="N679" i="4"/>
  <c r="Q679" i="4" s="1"/>
  <c r="N678" i="4"/>
  <c r="Q678" i="4" s="1"/>
  <c r="N677" i="4"/>
  <c r="Q677" i="4" s="1"/>
  <c r="N676" i="4"/>
  <c r="Q676" i="4" s="1"/>
  <c r="N675" i="4"/>
  <c r="Q675" i="4" s="1"/>
  <c r="N674" i="4"/>
  <c r="Q674" i="4" s="1"/>
  <c r="N673" i="4"/>
  <c r="Q673" i="4" s="1"/>
  <c r="N672" i="4"/>
  <c r="Q672" i="4" s="1"/>
  <c r="N671" i="4"/>
  <c r="Q671" i="4" s="1"/>
  <c r="N670" i="4"/>
  <c r="Q670" i="4" s="1"/>
  <c r="N669" i="4"/>
  <c r="Q669" i="4" s="1"/>
  <c r="N668" i="4"/>
  <c r="Q668" i="4" s="1"/>
  <c r="N667" i="4"/>
  <c r="Q667" i="4" s="1"/>
  <c r="N666" i="4"/>
  <c r="Q666" i="4" s="1"/>
  <c r="N665" i="4"/>
  <c r="Q665" i="4" s="1"/>
  <c r="N664" i="4"/>
  <c r="Q664" i="4" s="1"/>
  <c r="N663" i="4"/>
  <c r="Q663" i="4" s="1"/>
  <c r="N662" i="4"/>
  <c r="Q662" i="4" s="1"/>
  <c r="N661" i="4"/>
  <c r="Q661" i="4" s="1"/>
  <c r="N660" i="4"/>
  <c r="Q660" i="4" s="1"/>
  <c r="N659" i="4"/>
  <c r="Q659" i="4" s="1"/>
  <c r="N658" i="4"/>
  <c r="Q658" i="4" s="1"/>
  <c r="N657" i="4"/>
  <c r="Q657" i="4" s="1"/>
  <c r="N656" i="4"/>
  <c r="Q656" i="4" s="1"/>
  <c r="N655" i="4"/>
  <c r="Q655" i="4" s="1"/>
  <c r="N654" i="4"/>
  <c r="Q654" i="4" s="1"/>
  <c r="N653" i="4"/>
  <c r="Q653" i="4" s="1"/>
  <c r="N652" i="4"/>
  <c r="Q652" i="4" s="1"/>
  <c r="N651" i="4"/>
  <c r="Q651" i="4" s="1"/>
  <c r="N650" i="4"/>
  <c r="Q650" i="4" s="1"/>
  <c r="N649" i="4"/>
  <c r="Q649" i="4" s="1"/>
  <c r="N648" i="4"/>
  <c r="Q648" i="4" s="1"/>
  <c r="N647" i="4"/>
  <c r="Q647" i="4" s="1"/>
  <c r="N646" i="4"/>
  <c r="Q646" i="4" s="1"/>
  <c r="N645" i="4"/>
  <c r="Q645" i="4" s="1"/>
  <c r="N644" i="4"/>
  <c r="Q644" i="4" s="1"/>
  <c r="N643" i="4"/>
  <c r="Q643" i="4" s="1"/>
  <c r="N642" i="4"/>
  <c r="Q642" i="4" s="1"/>
  <c r="N641" i="4"/>
  <c r="Q641" i="4" s="1"/>
  <c r="N640" i="4"/>
  <c r="Q640" i="4" s="1"/>
  <c r="N639" i="4"/>
  <c r="Q639" i="4" s="1"/>
  <c r="N638" i="4"/>
  <c r="Q638" i="4" s="1"/>
  <c r="N637" i="4"/>
  <c r="Q637" i="4" s="1"/>
  <c r="N636" i="4"/>
  <c r="Q636" i="4" s="1"/>
  <c r="N635" i="4"/>
  <c r="Q635" i="4" s="1"/>
  <c r="N634" i="4"/>
  <c r="Q634" i="4" s="1"/>
  <c r="N633" i="4"/>
  <c r="Q633" i="4" s="1"/>
  <c r="N632" i="4"/>
  <c r="Q632" i="4" s="1"/>
  <c r="N631" i="4"/>
  <c r="Q631" i="4" s="1"/>
  <c r="N630" i="4"/>
  <c r="Q630" i="4" s="1"/>
  <c r="N629" i="4"/>
  <c r="Q629" i="4" s="1"/>
  <c r="N628" i="4"/>
  <c r="Q628" i="4" s="1"/>
  <c r="N627" i="4"/>
  <c r="Q627" i="4" s="1"/>
  <c r="N626" i="4"/>
  <c r="Q626" i="4" s="1"/>
  <c r="N625" i="4"/>
  <c r="Q625" i="4" s="1"/>
  <c r="N624" i="4"/>
  <c r="Q624" i="4" s="1"/>
  <c r="N623" i="4"/>
  <c r="Q623" i="4" s="1"/>
  <c r="N622" i="4"/>
  <c r="Q622" i="4" s="1"/>
  <c r="N621" i="4"/>
  <c r="Q621" i="4" s="1"/>
  <c r="N620" i="4"/>
  <c r="Q620" i="4" s="1"/>
  <c r="N619" i="4"/>
  <c r="Q619" i="4" s="1"/>
  <c r="N618" i="4"/>
  <c r="Q618" i="4" s="1"/>
  <c r="N617" i="4"/>
  <c r="Q617" i="4" s="1"/>
  <c r="N616" i="4"/>
  <c r="Q616" i="4" s="1"/>
  <c r="N615" i="4"/>
  <c r="Q615" i="4" s="1"/>
  <c r="N614" i="4"/>
  <c r="Q614" i="4" s="1"/>
  <c r="N613" i="4"/>
  <c r="Q613" i="4" s="1"/>
  <c r="N612" i="4"/>
  <c r="Q612" i="4" s="1"/>
  <c r="N611" i="4"/>
  <c r="Q611" i="4" s="1"/>
  <c r="N610" i="4"/>
  <c r="Q610" i="4" s="1"/>
  <c r="N609" i="4"/>
  <c r="Q609" i="4" s="1"/>
  <c r="N608" i="4"/>
  <c r="Q608" i="4" s="1"/>
  <c r="N607" i="4"/>
  <c r="Q607" i="4" s="1"/>
  <c r="N606" i="4"/>
  <c r="Q606" i="4" s="1"/>
  <c r="N605" i="4"/>
  <c r="Q605" i="4" s="1"/>
  <c r="N604" i="4"/>
  <c r="Q604" i="4" s="1"/>
  <c r="N603" i="4"/>
  <c r="Q603" i="4" s="1"/>
  <c r="N602" i="4"/>
  <c r="Q602" i="4" s="1"/>
  <c r="N601" i="4"/>
  <c r="Q601" i="4" s="1"/>
  <c r="N600" i="4"/>
  <c r="Q600" i="4" s="1"/>
  <c r="N599" i="4"/>
  <c r="Q599" i="4" s="1"/>
  <c r="N598" i="4"/>
  <c r="Q598" i="4" s="1"/>
  <c r="N597" i="4"/>
  <c r="Q597" i="4" s="1"/>
  <c r="N596" i="4"/>
  <c r="Q596" i="4" s="1"/>
  <c r="N595" i="4"/>
  <c r="Q595" i="4" s="1"/>
  <c r="N594" i="4"/>
  <c r="Q594" i="4" s="1"/>
  <c r="N593" i="4"/>
  <c r="Q593" i="4" s="1"/>
  <c r="N592" i="4"/>
  <c r="Q592" i="4" s="1"/>
  <c r="N591" i="4"/>
  <c r="Q591" i="4" s="1"/>
  <c r="N590" i="4"/>
  <c r="Q590" i="4" s="1"/>
  <c r="N589" i="4"/>
  <c r="Q589" i="4" s="1"/>
  <c r="N588" i="4"/>
  <c r="Q588" i="4" s="1"/>
  <c r="N587" i="4"/>
  <c r="Q587" i="4" s="1"/>
  <c r="N586" i="4"/>
  <c r="Q586" i="4" s="1"/>
  <c r="N585" i="4"/>
  <c r="Q585" i="4" s="1"/>
  <c r="N584" i="4"/>
  <c r="Q584" i="4" s="1"/>
  <c r="N583" i="4"/>
  <c r="Q583" i="4" s="1"/>
  <c r="N582" i="4"/>
  <c r="Q582" i="4" s="1"/>
  <c r="N581" i="4"/>
  <c r="Q581" i="4" s="1"/>
  <c r="N580" i="4"/>
  <c r="Q580" i="4" s="1"/>
  <c r="N579" i="4"/>
  <c r="Q579" i="4" s="1"/>
  <c r="N578" i="4"/>
  <c r="Q578" i="4" s="1"/>
  <c r="N577" i="4"/>
  <c r="Q577" i="4" s="1"/>
  <c r="N576" i="4"/>
  <c r="Q576" i="4" s="1"/>
  <c r="N575" i="4"/>
  <c r="Q575" i="4" s="1"/>
  <c r="N574" i="4"/>
  <c r="Q574" i="4" s="1"/>
  <c r="N573" i="4"/>
  <c r="Q573" i="4" s="1"/>
  <c r="N572" i="4"/>
  <c r="Q572" i="4" s="1"/>
  <c r="N571" i="4"/>
  <c r="Q571" i="4" s="1"/>
  <c r="N570" i="4"/>
  <c r="Q570" i="4" s="1"/>
  <c r="N569" i="4"/>
  <c r="Q569" i="4" s="1"/>
  <c r="N568" i="4"/>
  <c r="Q568" i="4" s="1"/>
  <c r="N567" i="4"/>
  <c r="Q567" i="4" s="1"/>
  <c r="N566" i="4"/>
  <c r="Q566" i="4" s="1"/>
  <c r="N565" i="4"/>
  <c r="Q565" i="4" s="1"/>
  <c r="N564" i="4"/>
  <c r="Q564" i="4" s="1"/>
  <c r="N563" i="4"/>
  <c r="Q563" i="4" s="1"/>
  <c r="N562" i="4"/>
  <c r="Q562" i="4" s="1"/>
  <c r="N561" i="4"/>
  <c r="Q561" i="4" s="1"/>
  <c r="N560" i="4"/>
  <c r="Q560" i="4" s="1"/>
  <c r="N559" i="4"/>
  <c r="Q559" i="4" s="1"/>
  <c r="N558" i="4"/>
  <c r="Q558" i="4" s="1"/>
  <c r="N557" i="4"/>
  <c r="Q557" i="4" s="1"/>
  <c r="N556" i="4"/>
  <c r="Q556" i="4" s="1"/>
  <c r="N555" i="4"/>
  <c r="Q555" i="4" s="1"/>
  <c r="N554" i="4"/>
  <c r="Q554" i="4" s="1"/>
  <c r="N553" i="4"/>
  <c r="Q553" i="4" s="1"/>
  <c r="N552" i="4"/>
  <c r="Q552" i="4" s="1"/>
  <c r="N551" i="4"/>
  <c r="Q551" i="4" s="1"/>
  <c r="N550" i="4"/>
  <c r="Q550" i="4" s="1"/>
  <c r="N549" i="4"/>
  <c r="Q549" i="4" s="1"/>
  <c r="N548" i="4"/>
  <c r="Q548" i="4" s="1"/>
  <c r="N547" i="4"/>
  <c r="Q547" i="4" s="1"/>
  <c r="N546" i="4"/>
  <c r="Q546" i="4" s="1"/>
  <c r="N545" i="4"/>
  <c r="Q545" i="4" s="1"/>
  <c r="N544" i="4"/>
  <c r="Q544" i="4" s="1"/>
  <c r="N543" i="4"/>
  <c r="Q543" i="4" s="1"/>
  <c r="N542" i="4"/>
  <c r="Q542" i="4" s="1"/>
  <c r="N541" i="4"/>
  <c r="Q541" i="4" s="1"/>
  <c r="N540" i="4"/>
  <c r="Q540" i="4" s="1"/>
  <c r="N539" i="4"/>
  <c r="Q539" i="4" s="1"/>
  <c r="N538" i="4"/>
  <c r="Q538" i="4" s="1"/>
  <c r="N537" i="4"/>
  <c r="Q537" i="4" s="1"/>
  <c r="N536" i="4"/>
  <c r="Q536" i="4" s="1"/>
  <c r="N535" i="4"/>
  <c r="Q535" i="4" s="1"/>
  <c r="N534" i="4"/>
  <c r="Q534" i="4" s="1"/>
  <c r="N533" i="4"/>
  <c r="Q533" i="4" s="1"/>
  <c r="N532" i="4"/>
  <c r="Q532" i="4" s="1"/>
  <c r="N531" i="4"/>
  <c r="Q531" i="4" s="1"/>
  <c r="N530" i="4"/>
  <c r="Q530" i="4" s="1"/>
  <c r="N529" i="4"/>
  <c r="Q529" i="4" s="1"/>
  <c r="N528" i="4"/>
  <c r="Q528" i="4" s="1"/>
  <c r="N527" i="4"/>
  <c r="Q527" i="4" s="1"/>
  <c r="N526" i="4"/>
  <c r="Q526" i="4" s="1"/>
  <c r="N525" i="4"/>
  <c r="Q525" i="4" s="1"/>
  <c r="N524" i="4"/>
  <c r="Q524" i="4" s="1"/>
  <c r="N523" i="4"/>
  <c r="Q523" i="4" s="1"/>
  <c r="N522" i="4"/>
  <c r="Q522" i="4" s="1"/>
  <c r="N521" i="4"/>
  <c r="Q521" i="4" s="1"/>
  <c r="N520" i="4"/>
  <c r="Q520" i="4" s="1"/>
  <c r="N519" i="4"/>
  <c r="Q519" i="4" s="1"/>
  <c r="N518" i="4"/>
  <c r="Q518" i="4" s="1"/>
  <c r="N517" i="4"/>
  <c r="Q517" i="4" s="1"/>
  <c r="N516" i="4"/>
  <c r="Q516" i="4" s="1"/>
  <c r="N515" i="4"/>
  <c r="Q515" i="4" s="1"/>
  <c r="N514" i="4"/>
  <c r="Q514" i="4" s="1"/>
  <c r="N513" i="4"/>
  <c r="Q513" i="4" s="1"/>
  <c r="N512" i="4"/>
  <c r="Q512" i="4" s="1"/>
  <c r="N511" i="4"/>
  <c r="Q511" i="4" s="1"/>
  <c r="N510" i="4"/>
  <c r="Q510" i="4" s="1"/>
  <c r="N509" i="4"/>
  <c r="Q509" i="4" s="1"/>
  <c r="N508" i="4"/>
  <c r="Q508" i="4" s="1"/>
  <c r="N507" i="4"/>
  <c r="Q507" i="4" s="1"/>
  <c r="N506" i="4"/>
  <c r="Q506" i="4" s="1"/>
  <c r="N505" i="4"/>
  <c r="Q505" i="4" s="1"/>
  <c r="N504" i="4"/>
  <c r="Q504" i="4" s="1"/>
  <c r="N503" i="4"/>
  <c r="Q503" i="4" s="1"/>
  <c r="N502" i="4"/>
  <c r="Q502" i="4" s="1"/>
  <c r="N501" i="4"/>
  <c r="Q501" i="4" s="1"/>
  <c r="N500" i="4"/>
  <c r="Q500" i="4" s="1"/>
  <c r="N499" i="4"/>
  <c r="Q499" i="4" s="1"/>
  <c r="N498" i="4"/>
  <c r="Q498" i="4" s="1"/>
  <c r="N497" i="4"/>
  <c r="Q497" i="4" s="1"/>
  <c r="N496" i="4"/>
  <c r="Q496" i="4" s="1"/>
  <c r="N495" i="4"/>
  <c r="Q495" i="4" s="1"/>
  <c r="N494" i="4"/>
  <c r="Q494" i="4" s="1"/>
  <c r="N493" i="4"/>
  <c r="Q493" i="4" s="1"/>
  <c r="N492" i="4"/>
  <c r="Q492" i="4" s="1"/>
  <c r="N491" i="4"/>
  <c r="Q491" i="4" s="1"/>
  <c r="N490" i="4"/>
  <c r="Q490" i="4" s="1"/>
  <c r="N489" i="4"/>
  <c r="Q489" i="4" s="1"/>
  <c r="N488" i="4"/>
  <c r="Q488" i="4" s="1"/>
  <c r="N487" i="4"/>
  <c r="Q487" i="4" s="1"/>
  <c r="N486" i="4"/>
  <c r="Q486" i="4" s="1"/>
  <c r="N485" i="4"/>
  <c r="Q485" i="4" s="1"/>
  <c r="N484" i="4"/>
  <c r="Q484" i="4" s="1"/>
  <c r="N483" i="4"/>
  <c r="Q483" i="4" s="1"/>
  <c r="N482" i="4"/>
  <c r="Q482" i="4" s="1"/>
  <c r="N481" i="4"/>
  <c r="Q481" i="4" s="1"/>
  <c r="N480" i="4"/>
  <c r="Q480" i="4" s="1"/>
  <c r="N479" i="4"/>
  <c r="Q479" i="4" s="1"/>
  <c r="N478" i="4"/>
  <c r="Q478" i="4" s="1"/>
  <c r="N477" i="4"/>
  <c r="Q477" i="4" s="1"/>
  <c r="N476" i="4"/>
  <c r="Q476" i="4" s="1"/>
  <c r="N475" i="4"/>
  <c r="Q475" i="4" s="1"/>
  <c r="N474" i="4"/>
  <c r="Q474" i="4" s="1"/>
  <c r="N473" i="4"/>
  <c r="Q473" i="4" s="1"/>
  <c r="N472" i="4"/>
  <c r="Q472" i="4" s="1"/>
  <c r="N471" i="4"/>
  <c r="Q471" i="4" s="1"/>
  <c r="N470" i="4"/>
  <c r="Q470" i="4" s="1"/>
  <c r="N469" i="4"/>
  <c r="Q469" i="4" s="1"/>
  <c r="N468" i="4"/>
  <c r="Q468" i="4" s="1"/>
  <c r="N467" i="4"/>
  <c r="Q467" i="4" s="1"/>
  <c r="N466" i="4"/>
  <c r="Q466" i="4" s="1"/>
  <c r="N465" i="4"/>
  <c r="Q465" i="4" s="1"/>
  <c r="N464" i="4"/>
  <c r="Q464" i="4" s="1"/>
  <c r="N463" i="4"/>
  <c r="Q463" i="4" s="1"/>
  <c r="N462" i="4"/>
  <c r="Q462" i="4" s="1"/>
  <c r="N461" i="4"/>
  <c r="Q461" i="4" s="1"/>
  <c r="N460" i="4"/>
  <c r="Q460" i="4" s="1"/>
  <c r="N459" i="4"/>
  <c r="Q459" i="4" s="1"/>
  <c r="N458" i="4"/>
  <c r="Q458" i="4" s="1"/>
  <c r="N457" i="4"/>
  <c r="Q457" i="4" s="1"/>
  <c r="N456" i="4"/>
  <c r="Q456" i="4" s="1"/>
  <c r="N455" i="4"/>
  <c r="Q455" i="4" s="1"/>
  <c r="N454" i="4"/>
  <c r="Q454" i="4" s="1"/>
  <c r="N453" i="4"/>
  <c r="Q453" i="4" s="1"/>
  <c r="N452" i="4"/>
  <c r="Q452" i="4" s="1"/>
  <c r="N451" i="4"/>
  <c r="Q451" i="4" s="1"/>
  <c r="N450" i="4"/>
  <c r="Q450" i="4" s="1"/>
  <c r="N449" i="4"/>
  <c r="Q449" i="4" s="1"/>
  <c r="N448" i="4"/>
  <c r="Q448" i="4" s="1"/>
  <c r="N447" i="4"/>
  <c r="Q447" i="4" s="1"/>
  <c r="N446" i="4"/>
  <c r="Q446" i="4" s="1"/>
  <c r="N445" i="4"/>
  <c r="Q445" i="4" s="1"/>
  <c r="N444" i="4"/>
  <c r="Q444" i="4" s="1"/>
  <c r="N443" i="4"/>
  <c r="Q443" i="4" s="1"/>
  <c r="N442" i="4"/>
  <c r="Q442" i="4" s="1"/>
  <c r="N441" i="4"/>
  <c r="Q441" i="4" s="1"/>
  <c r="N440" i="4"/>
  <c r="Q440" i="4" s="1"/>
  <c r="N439" i="4"/>
  <c r="Q439" i="4" s="1"/>
  <c r="N438" i="4"/>
  <c r="Q438" i="4" s="1"/>
  <c r="N437" i="4"/>
  <c r="Q437" i="4" s="1"/>
  <c r="N436" i="4"/>
  <c r="Q436" i="4" s="1"/>
  <c r="N435" i="4"/>
  <c r="Q435" i="4" s="1"/>
  <c r="N434" i="4"/>
  <c r="Q434" i="4" s="1"/>
  <c r="N433" i="4"/>
  <c r="Q433" i="4" s="1"/>
  <c r="N432" i="4"/>
  <c r="Q432" i="4" s="1"/>
  <c r="N431" i="4"/>
  <c r="Q431" i="4" s="1"/>
  <c r="N430" i="4"/>
  <c r="Q430" i="4" s="1"/>
  <c r="N429" i="4"/>
  <c r="Q429" i="4" s="1"/>
  <c r="N428" i="4"/>
  <c r="Q428" i="4" s="1"/>
  <c r="N427" i="4"/>
  <c r="Q427" i="4" s="1"/>
  <c r="N426" i="4"/>
  <c r="Q426" i="4" s="1"/>
  <c r="N425" i="4"/>
  <c r="Q425" i="4" s="1"/>
  <c r="N424" i="4"/>
  <c r="Q424" i="4" s="1"/>
  <c r="N423" i="4"/>
  <c r="Q423" i="4" s="1"/>
  <c r="N422" i="4"/>
  <c r="Q422" i="4" s="1"/>
  <c r="N421" i="4"/>
  <c r="Q421" i="4" s="1"/>
  <c r="N420" i="4"/>
  <c r="Q420" i="4" s="1"/>
  <c r="N419" i="4"/>
  <c r="Q419" i="4" s="1"/>
  <c r="N418" i="4"/>
  <c r="Q418" i="4" s="1"/>
  <c r="N417" i="4"/>
  <c r="Q417" i="4" s="1"/>
  <c r="N416" i="4"/>
  <c r="Q416" i="4" s="1"/>
  <c r="N415" i="4"/>
  <c r="Q415" i="4" s="1"/>
  <c r="N414" i="4"/>
  <c r="Q414" i="4" s="1"/>
  <c r="N413" i="4"/>
  <c r="Q413" i="4" s="1"/>
  <c r="N412" i="4"/>
  <c r="Q412" i="4" s="1"/>
  <c r="N411" i="4"/>
  <c r="Q411" i="4" s="1"/>
  <c r="N410" i="4"/>
  <c r="Q410" i="4" s="1"/>
  <c r="N409" i="4"/>
  <c r="Q409" i="4" s="1"/>
  <c r="N408" i="4"/>
  <c r="Q408" i="4" s="1"/>
  <c r="N407" i="4"/>
  <c r="Q407" i="4" s="1"/>
  <c r="N406" i="4"/>
  <c r="Q406" i="4" s="1"/>
  <c r="N405" i="4"/>
  <c r="Q405" i="4" s="1"/>
  <c r="N404" i="4"/>
  <c r="Q404" i="4" s="1"/>
  <c r="N403" i="4"/>
  <c r="Q403" i="4" s="1"/>
  <c r="N402" i="4"/>
  <c r="Q402" i="4" s="1"/>
  <c r="N401" i="4"/>
  <c r="Q401" i="4" s="1"/>
  <c r="N400" i="4"/>
  <c r="Q400" i="4" s="1"/>
  <c r="N399" i="4"/>
  <c r="Q399" i="4" s="1"/>
  <c r="N398" i="4"/>
  <c r="Q398" i="4" s="1"/>
  <c r="N397" i="4"/>
  <c r="Q397" i="4" s="1"/>
  <c r="N396" i="4"/>
  <c r="Q396" i="4" s="1"/>
  <c r="N395" i="4"/>
  <c r="Q395" i="4" s="1"/>
  <c r="N394" i="4"/>
  <c r="Q394" i="4" s="1"/>
  <c r="N393" i="4"/>
  <c r="Q393" i="4" s="1"/>
  <c r="N392" i="4"/>
  <c r="Q392" i="4" s="1"/>
  <c r="N391" i="4"/>
  <c r="Q391" i="4" s="1"/>
  <c r="N390" i="4"/>
  <c r="Q390" i="4" s="1"/>
  <c r="N389" i="4"/>
  <c r="Q389" i="4" s="1"/>
  <c r="N388" i="4"/>
  <c r="Q388" i="4" s="1"/>
  <c r="N387" i="4"/>
  <c r="Q387" i="4" s="1"/>
  <c r="N386" i="4"/>
  <c r="Q386" i="4" s="1"/>
  <c r="N385" i="4"/>
  <c r="Q385" i="4" s="1"/>
  <c r="N384" i="4"/>
  <c r="Q384" i="4" s="1"/>
  <c r="N383" i="4"/>
  <c r="Q383" i="4" s="1"/>
  <c r="N382" i="4"/>
  <c r="Q382" i="4" s="1"/>
  <c r="N381" i="4"/>
  <c r="Q381" i="4" s="1"/>
  <c r="N380" i="4"/>
  <c r="Q380" i="4" s="1"/>
  <c r="N379" i="4"/>
  <c r="Q379" i="4" s="1"/>
  <c r="N378" i="4"/>
  <c r="Q378" i="4" s="1"/>
  <c r="N377" i="4"/>
  <c r="Q377" i="4" s="1"/>
  <c r="N376" i="4"/>
  <c r="Q376" i="4" s="1"/>
  <c r="N375" i="4"/>
  <c r="Q375" i="4" s="1"/>
  <c r="N374" i="4"/>
  <c r="Q374" i="4" s="1"/>
  <c r="N373" i="4"/>
  <c r="Q373" i="4" s="1"/>
  <c r="N372" i="4"/>
  <c r="Q372" i="4" s="1"/>
  <c r="N371" i="4"/>
  <c r="Q371" i="4" s="1"/>
  <c r="N370" i="4"/>
  <c r="Q370" i="4" s="1"/>
  <c r="N369" i="4"/>
  <c r="Q369" i="4" s="1"/>
  <c r="N368" i="4"/>
  <c r="Q368" i="4" s="1"/>
  <c r="N367" i="4"/>
  <c r="Q367" i="4" s="1"/>
  <c r="N366" i="4"/>
  <c r="Q366" i="4" s="1"/>
  <c r="N365" i="4"/>
  <c r="Q365" i="4" s="1"/>
  <c r="N364" i="4"/>
  <c r="Q364" i="4" s="1"/>
  <c r="N363" i="4"/>
  <c r="Q363" i="4" s="1"/>
  <c r="N362" i="4"/>
  <c r="Q362" i="4" s="1"/>
  <c r="N361" i="4"/>
  <c r="Q361" i="4" s="1"/>
  <c r="N360" i="4"/>
  <c r="Q360" i="4" s="1"/>
  <c r="N359" i="4"/>
  <c r="Q359" i="4" s="1"/>
  <c r="N358" i="4"/>
  <c r="Q358" i="4" s="1"/>
  <c r="N357" i="4"/>
  <c r="Q357" i="4" s="1"/>
  <c r="N356" i="4"/>
  <c r="Q356" i="4" s="1"/>
  <c r="N355" i="4"/>
  <c r="Q355" i="4" s="1"/>
  <c r="N354" i="4"/>
  <c r="Q354" i="4" s="1"/>
  <c r="N353" i="4"/>
  <c r="Q353" i="4" s="1"/>
  <c r="N352" i="4"/>
  <c r="Q352" i="4" s="1"/>
  <c r="N351" i="4"/>
  <c r="Q351" i="4" s="1"/>
  <c r="N350" i="4"/>
  <c r="Q350" i="4" s="1"/>
  <c r="N349" i="4"/>
  <c r="Q349" i="4" s="1"/>
  <c r="N348" i="4"/>
  <c r="Q348" i="4" s="1"/>
  <c r="N347" i="4"/>
  <c r="Q347" i="4" s="1"/>
  <c r="N346" i="4"/>
  <c r="Q346" i="4" s="1"/>
  <c r="N345" i="4"/>
  <c r="Q345" i="4" s="1"/>
  <c r="N344" i="4"/>
  <c r="Q344" i="4" s="1"/>
  <c r="N343" i="4"/>
  <c r="Q343" i="4" s="1"/>
  <c r="N342" i="4"/>
  <c r="Q342" i="4" s="1"/>
  <c r="N341" i="4"/>
  <c r="Q341" i="4" s="1"/>
  <c r="N340" i="4"/>
  <c r="Q340" i="4" s="1"/>
  <c r="N339" i="4"/>
  <c r="Q339" i="4" s="1"/>
  <c r="N338" i="4"/>
  <c r="Q338" i="4" s="1"/>
  <c r="N337" i="4"/>
  <c r="Q337" i="4" s="1"/>
  <c r="N336" i="4"/>
  <c r="Q336" i="4" s="1"/>
  <c r="N335" i="4"/>
  <c r="Q335" i="4" s="1"/>
  <c r="N334" i="4"/>
  <c r="Q334" i="4" s="1"/>
  <c r="N333" i="4"/>
  <c r="Q333" i="4" s="1"/>
  <c r="N332" i="4"/>
  <c r="Q332" i="4" s="1"/>
  <c r="N331" i="4"/>
  <c r="Q331" i="4" s="1"/>
  <c r="N330" i="4"/>
  <c r="Q330" i="4" s="1"/>
  <c r="N329" i="4"/>
  <c r="Q329" i="4" s="1"/>
  <c r="N328" i="4"/>
  <c r="Q328" i="4" s="1"/>
  <c r="N327" i="4"/>
  <c r="Q327" i="4" s="1"/>
  <c r="N326" i="4"/>
  <c r="Q326" i="4" s="1"/>
  <c r="N325" i="4"/>
  <c r="Q325" i="4" s="1"/>
  <c r="N324" i="4"/>
  <c r="Q324" i="4" s="1"/>
  <c r="N323" i="4"/>
  <c r="Q323" i="4" s="1"/>
  <c r="N322" i="4"/>
  <c r="Q322" i="4" s="1"/>
  <c r="N321" i="4"/>
  <c r="Q321" i="4" s="1"/>
  <c r="N320" i="4"/>
  <c r="Q320" i="4" s="1"/>
  <c r="N319" i="4"/>
  <c r="Q319" i="4" s="1"/>
  <c r="N318" i="4"/>
  <c r="Q318" i="4" s="1"/>
  <c r="N317" i="4"/>
  <c r="Q317" i="4" s="1"/>
  <c r="N316" i="4"/>
  <c r="Q316" i="4" s="1"/>
  <c r="N315" i="4"/>
  <c r="Q315" i="4" s="1"/>
  <c r="N314" i="4"/>
  <c r="Q314" i="4" s="1"/>
  <c r="N313" i="4"/>
  <c r="Q313" i="4" s="1"/>
  <c r="N312" i="4"/>
  <c r="Q312" i="4" s="1"/>
  <c r="N311" i="4"/>
  <c r="Q311" i="4" s="1"/>
  <c r="N310" i="4"/>
  <c r="Q310" i="4" s="1"/>
  <c r="N309" i="4"/>
  <c r="Q309" i="4" s="1"/>
  <c r="N308" i="4"/>
  <c r="Q308" i="4" s="1"/>
  <c r="N307" i="4"/>
  <c r="Q307" i="4" s="1"/>
  <c r="N306" i="4"/>
  <c r="Q306" i="4" s="1"/>
  <c r="N305" i="4"/>
  <c r="Q305" i="4" s="1"/>
  <c r="N304" i="4"/>
  <c r="Q304" i="4" s="1"/>
  <c r="N303" i="4"/>
  <c r="Q303" i="4" s="1"/>
  <c r="N302" i="4"/>
  <c r="Q302" i="4" s="1"/>
  <c r="N301" i="4"/>
  <c r="Q301" i="4" s="1"/>
  <c r="N300" i="4"/>
  <c r="Q300" i="4" s="1"/>
  <c r="N299" i="4"/>
  <c r="Q299" i="4" s="1"/>
  <c r="N298" i="4"/>
  <c r="Q298" i="4" s="1"/>
  <c r="N297" i="4"/>
  <c r="Q297" i="4" s="1"/>
  <c r="N296" i="4"/>
  <c r="Q296" i="4" s="1"/>
  <c r="N295" i="4"/>
  <c r="Q295" i="4" s="1"/>
  <c r="N294" i="4"/>
  <c r="Q294" i="4" s="1"/>
  <c r="N293" i="4"/>
  <c r="Q293" i="4" s="1"/>
  <c r="N292" i="4"/>
  <c r="Q292" i="4" s="1"/>
  <c r="N291" i="4"/>
  <c r="Q291" i="4" s="1"/>
  <c r="N290" i="4"/>
  <c r="Q290" i="4" s="1"/>
  <c r="N289" i="4"/>
  <c r="Q289" i="4" s="1"/>
  <c r="N288" i="4"/>
  <c r="Q288" i="4" s="1"/>
  <c r="N287" i="4"/>
  <c r="Q287" i="4" s="1"/>
  <c r="N286" i="4"/>
  <c r="Q286" i="4" s="1"/>
  <c r="N285" i="4"/>
  <c r="Q285" i="4" s="1"/>
  <c r="N284" i="4"/>
  <c r="Q284" i="4" s="1"/>
  <c r="N283" i="4"/>
  <c r="Q283" i="4" s="1"/>
  <c r="N282" i="4"/>
  <c r="Q282" i="4" s="1"/>
  <c r="N281" i="4"/>
  <c r="Q281" i="4" s="1"/>
  <c r="N280" i="4"/>
  <c r="Q280" i="4" s="1"/>
  <c r="N279" i="4"/>
  <c r="Q279" i="4" s="1"/>
  <c r="N278" i="4"/>
  <c r="Q278" i="4" s="1"/>
  <c r="N277" i="4"/>
  <c r="Q277" i="4" s="1"/>
  <c r="N276" i="4"/>
  <c r="Q276" i="4" s="1"/>
  <c r="N275" i="4"/>
  <c r="Q275" i="4" s="1"/>
  <c r="N274" i="4"/>
  <c r="Q274" i="4" s="1"/>
  <c r="N273" i="4"/>
  <c r="Q273" i="4" s="1"/>
  <c r="N272" i="4"/>
  <c r="Q272" i="4" s="1"/>
  <c r="N271" i="4"/>
  <c r="Q271" i="4" s="1"/>
  <c r="N270" i="4"/>
  <c r="Q270" i="4" s="1"/>
  <c r="N269" i="4"/>
  <c r="Q269" i="4" s="1"/>
  <c r="N268" i="4"/>
  <c r="Q268" i="4" s="1"/>
  <c r="N267" i="4"/>
  <c r="Q267" i="4" s="1"/>
  <c r="N266" i="4"/>
  <c r="Q266" i="4" s="1"/>
  <c r="N265" i="4"/>
  <c r="Q265" i="4" s="1"/>
  <c r="N264" i="4"/>
  <c r="Q264" i="4" s="1"/>
  <c r="N263" i="4"/>
  <c r="Q263" i="4" s="1"/>
  <c r="N262" i="4"/>
  <c r="Q262" i="4" s="1"/>
  <c r="N261" i="4"/>
  <c r="Q261" i="4" s="1"/>
  <c r="N260" i="4"/>
  <c r="Q260" i="4" s="1"/>
  <c r="N259" i="4"/>
  <c r="Q259" i="4" s="1"/>
  <c r="N258" i="4"/>
  <c r="Q258" i="4" s="1"/>
  <c r="N257" i="4"/>
  <c r="Q257" i="4" s="1"/>
  <c r="N256" i="4"/>
  <c r="Q256" i="4" s="1"/>
  <c r="N255" i="4"/>
  <c r="Q255" i="4" s="1"/>
  <c r="N254" i="4"/>
  <c r="Q254" i="4" s="1"/>
  <c r="N253" i="4"/>
  <c r="Q253" i="4" s="1"/>
  <c r="N252" i="4"/>
  <c r="Q252" i="4" s="1"/>
  <c r="N251" i="4"/>
  <c r="Q251" i="4" s="1"/>
  <c r="N250" i="4"/>
  <c r="Q250" i="4" s="1"/>
  <c r="N249" i="4"/>
  <c r="Q249" i="4" s="1"/>
  <c r="N248" i="4"/>
  <c r="Q248" i="4" s="1"/>
  <c r="N247" i="4"/>
  <c r="Q247" i="4" s="1"/>
  <c r="N246" i="4"/>
  <c r="Q246" i="4" s="1"/>
  <c r="N245" i="4"/>
  <c r="Q245" i="4" s="1"/>
  <c r="N244" i="4"/>
  <c r="Q244" i="4" s="1"/>
  <c r="N243" i="4"/>
  <c r="Q243" i="4" s="1"/>
  <c r="N242" i="4"/>
  <c r="Q242" i="4" s="1"/>
  <c r="N241" i="4"/>
  <c r="Q241" i="4" s="1"/>
  <c r="N240" i="4"/>
  <c r="Q240" i="4" s="1"/>
  <c r="N239" i="4"/>
  <c r="Q239" i="4" s="1"/>
  <c r="N238" i="4"/>
  <c r="Q238" i="4" s="1"/>
  <c r="N237" i="4"/>
  <c r="Q237" i="4" s="1"/>
  <c r="N236" i="4"/>
  <c r="Q236" i="4" s="1"/>
  <c r="N235" i="4"/>
  <c r="Q235" i="4" s="1"/>
  <c r="N234" i="4"/>
  <c r="Q234" i="4" s="1"/>
  <c r="N233" i="4"/>
  <c r="Q233" i="4" s="1"/>
  <c r="N232" i="4"/>
  <c r="Q232" i="4" s="1"/>
  <c r="N231" i="4"/>
  <c r="Q231" i="4" s="1"/>
  <c r="N230" i="4"/>
  <c r="Q230" i="4" s="1"/>
  <c r="N229" i="4"/>
  <c r="Q229" i="4" s="1"/>
  <c r="N228" i="4"/>
  <c r="Q228" i="4" s="1"/>
  <c r="N227" i="4"/>
  <c r="Q227" i="4" s="1"/>
  <c r="N226" i="4"/>
  <c r="Q226" i="4" s="1"/>
  <c r="N225" i="4"/>
  <c r="Q225" i="4" s="1"/>
  <c r="N224" i="4"/>
  <c r="Q224" i="4" s="1"/>
  <c r="N223" i="4"/>
  <c r="Q223" i="4" s="1"/>
  <c r="N222" i="4"/>
  <c r="Q222" i="4" s="1"/>
  <c r="N221" i="4"/>
  <c r="Q221" i="4" s="1"/>
  <c r="N220" i="4"/>
  <c r="Q220" i="4" s="1"/>
  <c r="N219" i="4"/>
  <c r="Q219" i="4" s="1"/>
  <c r="N218" i="4"/>
  <c r="Q218" i="4" s="1"/>
  <c r="N217" i="4"/>
  <c r="Q217" i="4" s="1"/>
  <c r="N216" i="4"/>
  <c r="Q216" i="4" s="1"/>
  <c r="N215" i="4"/>
  <c r="Q215" i="4" s="1"/>
  <c r="N214" i="4"/>
  <c r="Q214" i="4" s="1"/>
  <c r="N213" i="4"/>
  <c r="Q213" i="4" s="1"/>
  <c r="N212" i="4"/>
  <c r="Q212" i="4" s="1"/>
  <c r="N211" i="4"/>
  <c r="Q211" i="4" s="1"/>
  <c r="N210" i="4"/>
  <c r="Q210" i="4" s="1"/>
  <c r="N209" i="4"/>
  <c r="Q209" i="4" s="1"/>
  <c r="N208" i="4"/>
  <c r="Q208" i="4" s="1"/>
  <c r="N207" i="4"/>
  <c r="Q207" i="4" s="1"/>
  <c r="N206" i="4"/>
  <c r="Q206" i="4" s="1"/>
  <c r="N205" i="4"/>
  <c r="Q205" i="4" s="1"/>
  <c r="N204" i="4"/>
  <c r="Q204" i="4" s="1"/>
  <c r="N203" i="4"/>
  <c r="Q203" i="4" s="1"/>
  <c r="N202" i="4"/>
  <c r="Q202" i="4" s="1"/>
  <c r="N201" i="4"/>
  <c r="Q201" i="4" s="1"/>
  <c r="N200" i="4"/>
  <c r="Q200" i="4" s="1"/>
  <c r="N199" i="4"/>
  <c r="Q199" i="4" s="1"/>
  <c r="N198" i="4"/>
  <c r="Q198" i="4" s="1"/>
  <c r="N197" i="4"/>
  <c r="Q197" i="4" s="1"/>
  <c r="N196" i="4"/>
  <c r="Q196" i="4" s="1"/>
  <c r="N195" i="4"/>
  <c r="Q195" i="4" s="1"/>
  <c r="N194" i="4"/>
  <c r="Q194" i="4" s="1"/>
  <c r="N193" i="4"/>
  <c r="Q193" i="4" s="1"/>
  <c r="N192" i="4"/>
  <c r="Q192" i="4" s="1"/>
  <c r="N191" i="4"/>
  <c r="Q191" i="4" s="1"/>
  <c r="N190" i="4"/>
  <c r="Q190" i="4" s="1"/>
  <c r="N189" i="4"/>
  <c r="Q189" i="4" s="1"/>
  <c r="N188" i="4"/>
  <c r="Q188" i="4" s="1"/>
  <c r="N187" i="4"/>
  <c r="Q187" i="4" s="1"/>
  <c r="N186" i="4"/>
  <c r="Q186" i="4" s="1"/>
  <c r="N185" i="4"/>
  <c r="Q185" i="4" s="1"/>
  <c r="N184" i="4"/>
  <c r="Q184" i="4" s="1"/>
  <c r="N183" i="4"/>
  <c r="Q183" i="4" s="1"/>
  <c r="N182" i="4"/>
  <c r="Q182" i="4" s="1"/>
  <c r="N181" i="4"/>
  <c r="Q181" i="4" s="1"/>
  <c r="N180" i="4"/>
  <c r="Q180" i="4" s="1"/>
  <c r="N179" i="4"/>
  <c r="Q179" i="4" s="1"/>
  <c r="N178" i="4"/>
  <c r="Q178" i="4" s="1"/>
  <c r="N177" i="4"/>
  <c r="Q177" i="4" s="1"/>
  <c r="N176" i="4"/>
  <c r="Q176" i="4" s="1"/>
  <c r="N175" i="4"/>
  <c r="Q175" i="4" s="1"/>
  <c r="N174" i="4"/>
  <c r="Q174" i="4" s="1"/>
  <c r="N173" i="4"/>
  <c r="Q173" i="4" s="1"/>
  <c r="N172" i="4"/>
  <c r="Q172" i="4" s="1"/>
  <c r="N171" i="4"/>
  <c r="Q171" i="4" s="1"/>
  <c r="N170" i="4"/>
  <c r="Q170" i="4" s="1"/>
  <c r="N169" i="4"/>
  <c r="Q169" i="4" s="1"/>
  <c r="N168" i="4"/>
  <c r="Q168" i="4" s="1"/>
  <c r="N167" i="4"/>
  <c r="Q167" i="4" s="1"/>
  <c r="N166" i="4"/>
  <c r="Q166" i="4" s="1"/>
  <c r="N165" i="4"/>
  <c r="Q165" i="4" s="1"/>
  <c r="N164" i="4"/>
  <c r="Q164" i="4" s="1"/>
  <c r="N163" i="4"/>
  <c r="Q163" i="4" s="1"/>
  <c r="N162" i="4"/>
  <c r="Q162" i="4" s="1"/>
  <c r="N161" i="4"/>
  <c r="Q161" i="4" s="1"/>
  <c r="N160" i="4"/>
  <c r="Q160" i="4" s="1"/>
  <c r="N159" i="4"/>
  <c r="Q159" i="4" s="1"/>
  <c r="N158" i="4"/>
  <c r="Q158" i="4" s="1"/>
  <c r="N157" i="4"/>
  <c r="Q157" i="4" s="1"/>
  <c r="N156" i="4"/>
  <c r="Q156" i="4" s="1"/>
  <c r="N155" i="4"/>
  <c r="Q155" i="4" s="1"/>
  <c r="N154" i="4"/>
  <c r="Q154" i="4" s="1"/>
  <c r="N153" i="4"/>
  <c r="Q153" i="4" s="1"/>
  <c r="N152" i="4"/>
  <c r="Q152" i="4" s="1"/>
  <c r="N151" i="4"/>
  <c r="Q151" i="4" s="1"/>
  <c r="N150" i="4"/>
  <c r="Q150" i="4" s="1"/>
  <c r="N149" i="4"/>
  <c r="Q149" i="4" s="1"/>
  <c r="N148" i="4"/>
  <c r="Q148" i="4" s="1"/>
  <c r="N147" i="4"/>
  <c r="Q147" i="4" s="1"/>
  <c r="N146" i="4"/>
  <c r="Q146" i="4" s="1"/>
  <c r="N145" i="4"/>
  <c r="Q145" i="4" s="1"/>
  <c r="N144" i="4"/>
  <c r="Q144" i="4" s="1"/>
  <c r="N143" i="4"/>
  <c r="Q143" i="4" s="1"/>
  <c r="N142" i="4"/>
  <c r="Q142" i="4" s="1"/>
  <c r="N141" i="4"/>
  <c r="Q141" i="4" s="1"/>
  <c r="N140" i="4"/>
  <c r="Q140" i="4" s="1"/>
  <c r="N139" i="4"/>
  <c r="Q139" i="4" s="1"/>
  <c r="N138" i="4"/>
  <c r="Q138" i="4" s="1"/>
  <c r="N137" i="4"/>
  <c r="Q137" i="4" s="1"/>
  <c r="N136" i="4"/>
  <c r="Q136" i="4" s="1"/>
  <c r="N135" i="4"/>
  <c r="Q135" i="4" s="1"/>
  <c r="N134" i="4"/>
  <c r="Q134" i="4" s="1"/>
  <c r="N133" i="4"/>
  <c r="Q133" i="4" s="1"/>
  <c r="N132" i="4"/>
  <c r="Q132" i="4" s="1"/>
  <c r="N131" i="4"/>
  <c r="Q131" i="4" s="1"/>
  <c r="N130" i="4"/>
  <c r="Q130" i="4" s="1"/>
  <c r="N129" i="4"/>
  <c r="Q129" i="4" s="1"/>
  <c r="N128" i="4"/>
  <c r="Q128" i="4" s="1"/>
  <c r="N127" i="4"/>
  <c r="Q127" i="4" s="1"/>
  <c r="N126" i="4"/>
  <c r="Q126" i="4" s="1"/>
  <c r="N125" i="4"/>
  <c r="Q125" i="4" s="1"/>
  <c r="N124" i="4"/>
  <c r="Q124" i="4" s="1"/>
  <c r="N123" i="4"/>
  <c r="Q123" i="4" s="1"/>
  <c r="N122" i="4"/>
  <c r="Q122" i="4" s="1"/>
  <c r="N121" i="4"/>
  <c r="Q121" i="4" s="1"/>
  <c r="N120" i="4"/>
  <c r="Q120" i="4" s="1"/>
  <c r="N119" i="4"/>
  <c r="Q119" i="4" s="1"/>
  <c r="N118" i="4"/>
  <c r="Q118" i="4" s="1"/>
  <c r="N117" i="4"/>
  <c r="Q117" i="4" s="1"/>
  <c r="N116" i="4"/>
  <c r="Q116" i="4" s="1"/>
  <c r="N115" i="4"/>
  <c r="Q115" i="4" s="1"/>
  <c r="N114" i="4"/>
  <c r="Q114" i="4" s="1"/>
  <c r="N113" i="4"/>
  <c r="Q113" i="4" s="1"/>
  <c r="N112" i="4"/>
  <c r="Q112" i="4" s="1"/>
  <c r="N111" i="4"/>
  <c r="Q111" i="4" s="1"/>
  <c r="N110" i="4"/>
  <c r="Q110" i="4" s="1"/>
  <c r="N109" i="4"/>
  <c r="Q109" i="4" s="1"/>
  <c r="N108" i="4"/>
  <c r="Q108" i="4" s="1"/>
  <c r="N107" i="4"/>
  <c r="Q107" i="4" s="1"/>
  <c r="N106" i="4"/>
  <c r="Q106" i="4" s="1"/>
  <c r="N105" i="4"/>
  <c r="Q105" i="4" s="1"/>
  <c r="N104" i="4"/>
  <c r="Q104" i="4" s="1"/>
  <c r="N103" i="4"/>
  <c r="Q103" i="4" s="1"/>
  <c r="N102" i="4"/>
  <c r="Q102" i="4" s="1"/>
  <c r="N101" i="4"/>
  <c r="Q101" i="4" s="1"/>
  <c r="N100" i="4"/>
  <c r="Q100" i="4" s="1"/>
  <c r="N99" i="4"/>
  <c r="Q99" i="4" s="1"/>
  <c r="N98" i="4"/>
  <c r="Q98" i="4" s="1"/>
  <c r="N97" i="4"/>
  <c r="Q97" i="4" s="1"/>
  <c r="N96" i="4"/>
  <c r="Q96" i="4" s="1"/>
  <c r="N95" i="4"/>
  <c r="Q95" i="4" s="1"/>
  <c r="N94" i="4"/>
  <c r="Q94" i="4" s="1"/>
  <c r="N93" i="4"/>
  <c r="Q93" i="4" s="1"/>
  <c r="N92" i="4"/>
  <c r="Q92" i="4" s="1"/>
  <c r="N91" i="4"/>
  <c r="Q91" i="4" s="1"/>
  <c r="N90" i="4"/>
  <c r="Q90" i="4" s="1"/>
  <c r="N89" i="4"/>
  <c r="Q89" i="4" s="1"/>
  <c r="N88" i="4"/>
  <c r="Q88" i="4" s="1"/>
  <c r="N87" i="4"/>
  <c r="Q87" i="4" s="1"/>
  <c r="N86" i="4"/>
  <c r="Q86" i="4" s="1"/>
  <c r="N85" i="4"/>
  <c r="Q85" i="4" s="1"/>
  <c r="N84" i="4"/>
  <c r="Q84" i="4" s="1"/>
  <c r="N83" i="4"/>
  <c r="Q83" i="4" s="1"/>
  <c r="N82" i="4"/>
  <c r="Q82" i="4" s="1"/>
  <c r="N81" i="4"/>
  <c r="Q81" i="4" s="1"/>
  <c r="N80" i="4"/>
  <c r="Q80" i="4" s="1"/>
  <c r="N79" i="4"/>
  <c r="Q79" i="4" s="1"/>
  <c r="N78" i="4"/>
  <c r="Q78" i="4" s="1"/>
  <c r="N77" i="4"/>
  <c r="Q77" i="4" s="1"/>
  <c r="N76" i="4"/>
  <c r="Q76" i="4" s="1"/>
  <c r="N75" i="4"/>
  <c r="Q75" i="4" s="1"/>
  <c r="N74" i="4"/>
  <c r="Q74" i="4" s="1"/>
  <c r="N73" i="4"/>
  <c r="Q73" i="4" s="1"/>
  <c r="N72" i="4"/>
  <c r="Q72" i="4" s="1"/>
  <c r="N71" i="4"/>
  <c r="Q71" i="4" s="1"/>
  <c r="N70" i="4"/>
  <c r="Q70" i="4" s="1"/>
  <c r="N69" i="4"/>
  <c r="Q69" i="4" s="1"/>
  <c r="N68" i="4"/>
  <c r="Q68" i="4" s="1"/>
  <c r="N67" i="4"/>
  <c r="Q67" i="4" s="1"/>
  <c r="N66" i="4"/>
  <c r="Q66" i="4" s="1"/>
  <c r="N65" i="4"/>
  <c r="Q65" i="4" s="1"/>
  <c r="N64" i="4"/>
  <c r="Q64" i="4" s="1"/>
  <c r="N63" i="4"/>
  <c r="Q63" i="4" s="1"/>
  <c r="N62" i="4"/>
  <c r="Q62" i="4" s="1"/>
  <c r="N61" i="4"/>
  <c r="Q61" i="4" s="1"/>
  <c r="N60" i="4"/>
  <c r="Q60" i="4" s="1"/>
  <c r="N59" i="4"/>
  <c r="Q59" i="4" s="1"/>
  <c r="N58" i="4"/>
  <c r="Q58" i="4" s="1"/>
  <c r="N57" i="4"/>
  <c r="Q57" i="4" s="1"/>
  <c r="N56" i="4"/>
  <c r="Q56" i="4" s="1"/>
  <c r="N55" i="4"/>
  <c r="Q55" i="4" s="1"/>
  <c r="N53" i="4"/>
  <c r="Q53" i="4" s="1"/>
  <c r="N52" i="4"/>
  <c r="Q52" i="4" s="1"/>
  <c r="N51" i="4"/>
  <c r="Q51" i="4" s="1"/>
  <c r="N50" i="4"/>
  <c r="Q50" i="4" s="1"/>
  <c r="N49" i="4"/>
  <c r="Q49" i="4" s="1"/>
  <c r="N48" i="4"/>
  <c r="Q48" i="4" s="1"/>
  <c r="N47" i="4"/>
  <c r="Q47" i="4" s="1"/>
  <c r="N46" i="4"/>
  <c r="Q46" i="4" s="1"/>
  <c r="N45" i="4"/>
  <c r="Q45" i="4" s="1"/>
  <c r="N44" i="4"/>
  <c r="Q44" i="4" s="1"/>
  <c r="N43" i="4"/>
  <c r="Q43" i="4" s="1"/>
  <c r="N42" i="4"/>
  <c r="Q42" i="4" s="1"/>
  <c r="N41" i="4"/>
  <c r="Q41" i="4" s="1"/>
  <c r="N40" i="4"/>
  <c r="Q40" i="4" s="1"/>
  <c r="N39" i="4"/>
  <c r="Q39" i="4" s="1"/>
  <c r="N38" i="4"/>
  <c r="Q38" i="4" s="1"/>
  <c r="N37" i="4"/>
  <c r="Q37" i="4" s="1"/>
  <c r="N36" i="4"/>
  <c r="Q36" i="4" s="1"/>
  <c r="N35" i="4"/>
  <c r="Q35" i="4" s="1"/>
  <c r="N34" i="4"/>
  <c r="Q34" i="4" s="1"/>
  <c r="N33" i="4"/>
  <c r="Q33" i="4" s="1"/>
  <c r="N32" i="4"/>
  <c r="Q32" i="4" s="1"/>
  <c r="N31" i="4"/>
  <c r="Q31" i="4" s="1"/>
  <c r="N30" i="4"/>
  <c r="Q30" i="4" s="1"/>
  <c r="N29" i="4"/>
  <c r="Q29" i="4" s="1"/>
  <c r="N28" i="4"/>
  <c r="Q28" i="4" s="1"/>
  <c r="N27" i="4"/>
  <c r="Q27" i="4" s="1"/>
  <c r="N26" i="4"/>
  <c r="Q26" i="4" s="1"/>
  <c r="N25" i="4"/>
  <c r="Q25" i="4" s="1"/>
  <c r="N24" i="4"/>
  <c r="Q24" i="4" s="1"/>
  <c r="N23" i="4"/>
  <c r="Q23" i="4" s="1"/>
  <c r="N22" i="4"/>
  <c r="Q22" i="4" s="1"/>
  <c r="N21" i="4"/>
  <c r="Q21" i="4" s="1"/>
  <c r="N20" i="4"/>
  <c r="Q20" i="4" s="1"/>
  <c r="N19" i="4"/>
  <c r="Q19" i="4" s="1"/>
  <c r="N18" i="4"/>
  <c r="Q18" i="4" s="1"/>
  <c r="N17" i="4"/>
  <c r="Q17" i="4" s="1"/>
  <c r="N16" i="4"/>
  <c r="Q16" i="4" s="1"/>
  <c r="N15" i="4"/>
  <c r="Q15" i="4" s="1"/>
  <c r="N14" i="4"/>
  <c r="Q14" i="4" s="1"/>
  <c r="N13" i="4"/>
  <c r="Q13" i="4" s="1"/>
  <c r="N12" i="4"/>
  <c r="Q12" i="4" s="1"/>
  <c r="N11" i="4"/>
  <c r="Q11" i="4" s="1"/>
  <c r="N10" i="4"/>
  <c r="Q10" i="4" s="1"/>
  <c r="N9" i="4"/>
  <c r="Q9" i="4" s="1"/>
  <c r="N8" i="4"/>
  <c r="Q8" i="4" s="1"/>
  <c r="N7" i="4"/>
  <c r="Q7" i="4" s="1"/>
  <c r="N6" i="4"/>
  <c r="Q6" i="4" s="1"/>
  <c r="N5" i="4"/>
  <c r="Q5" i="4" s="1"/>
  <c r="N4" i="4"/>
  <c r="Q4" i="4" s="1"/>
  <c r="C3" i="4" l="1"/>
  <c r="H54" i="4"/>
  <c r="H3" i="4" s="1"/>
  <c r="G2" i="5"/>
  <c r="J2" i="5" s="1"/>
  <c r="G3" i="5"/>
  <c r="J3" i="5" s="1"/>
  <c r="G4" i="5"/>
  <c r="J4" i="5" s="1"/>
  <c r="G5" i="5"/>
  <c r="J5" i="5" s="1"/>
  <c r="G6" i="5"/>
  <c r="J6" i="5" s="1"/>
  <c r="G7" i="5"/>
  <c r="J7" i="5" s="1"/>
  <c r="G8" i="5"/>
  <c r="J8" i="5" s="1"/>
  <c r="G9" i="5"/>
  <c r="J9" i="5" s="1"/>
  <c r="G10" i="5"/>
  <c r="J10" i="5" s="1"/>
  <c r="G11" i="5"/>
  <c r="J11" i="5" s="1"/>
  <c r="G12" i="5"/>
  <c r="J12" i="5" s="1"/>
  <c r="G13" i="5"/>
  <c r="J13" i="5" s="1"/>
  <c r="G14" i="5"/>
  <c r="J14" i="5" s="1"/>
  <c r="G15" i="5"/>
  <c r="J15" i="5" s="1"/>
  <c r="G16" i="5"/>
  <c r="J16" i="5" s="1"/>
  <c r="G17" i="5"/>
  <c r="J17" i="5" s="1"/>
  <c r="G18" i="5"/>
  <c r="J18" i="5" s="1"/>
  <c r="G19" i="5"/>
  <c r="J19" i="5" s="1"/>
  <c r="G20" i="5"/>
  <c r="J20" i="5" s="1"/>
  <c r="G21" i="5"/>
  <c r="J21" i="5" s="1"/>
  <c r="G22" i="5"/>
  <c r="J22" i="5" s="1"/>
  <c r="G23" i="5"/>
  <c r="J23" i="5" s="1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83" i="6"/>
  <c r="L384" i="6"/>
  <c r="L385" i="6"/>
  <c r="L386" i="6"/>
  <c r="L387" i="6"/>
  <c r="L388" i="6"/>
  <c r="L389" i="6"/>
  <c r="L390" i="6"/>
  <c r="L391" i="6"/>
  <c r="L392" i="6"/>
  <c r="L393" i="6"/>
  <c r="L394" i="6"/>
  <c r="L395" i="6"/>
  <c r="L396" i="6"/>
  <c r="L397" i="6"/>
  <c r="L398" i="6"/>
  <c r="L399" i="6"/>
  <c r="L400" i="6"/>
  <c r="L401" i="6"/>
  <c r="L402" i="6"/>
  <c r="L403" i="6"/>
  <c r="L404" i="6"/>
  <c r="L405" i="6"/>
  <c r="L406" i="6"/>
  <c r="L407" i="6"/>
  <c r="L408" i="6"/>
  <c r="L409" i="6"/>
  <c r="L410" i="6"/>
  <c r="L411" i="6"/>
  <c r="L412" i="6"/>
  <c r="L413" i="6"/>
  <c r="L414" i="6"/>
  <c r="L415" i="6"/>
  <c r="L416" i="6"/>
  <c r="L417" i="6"/>
  <c r="L418" i="6"/>
  <c r="L419" i="6"/>
  <c r="L420" i="6"/>
  <c r="L421" i="6"/>
  <c r="L422" i="6"/>
  <c r="L423" i="6"/>
  <c r="L424" i="6"/>
  <c r="L425" i="6"/>
  <c r="L426" i="6"/>
  <c r="L427" i="6"/>
  <c r="L428" i="6"/>
  <c r="L429" i="6"/>
  <c r="L430" i="6"/>
  <c r="L431" i="6"/>
  <c r="L432" i="6"/>
  <c r="L433" i="6"/>
  <c r="L434" i="6"/>
  <c r="L435" i="6"/>
  <c r="L436" i="6"/>
  <c r="L437" i="6"/>
  <c r="L438" i="6"/>
  <c r="L439" i="6"/>
  <c r="L440" i="6"/>
  <c r="L441" i="6"/>
  <c r="L442" i="6"/>
  <c r="L443" i="6"/>
  <c r="L444" i="6"/>
  <c r="L445" i="6"/>
  <c r="L446" i="6"/>
  <c r="L447" i="6"/>
  <c r="L448" i="6"/>
  <c r="L449" i="6"/>
  <c r="G3" i="1" l="1"/>
  <c r="J3" i="1"/>
  <c r="G4" i="1"/>
  <c r="J4" i="1"/>
  <c r="K4" i="1"/>
  <c r="G5" i="1"/>
  <c r="J5" i="1"/>
  <c r="K5" i="1"/>
  <c r="G6" i="1"/>
  <c r="J6" i="1"/>
  <c r="K6" i="1"/>
  <c r="G7" i="1"/>
  <c r="J7" i="1"/>
  <c r="K7" i="1"/>
  <c r="G8" i="1"/>
  <c r="J8" i="1"/>
  <c r="K8" i="1"/>
  <c r="G9" i="1"/>
  <c r="J9" i="1"/>
  <c r="K9" i="1"/>
  <c r="G10" i="1"/>
  <c r="J10" i="1"/>
  <c r="K10" i="1"/>
  <c r="L10" i="1"/>
  <c r="G11" i="1"/>
  <c r="J11" i="1"/>
  <c r="K11" i="1"/>
  <c r="L11" i="1"/>
  <c r="G12" i="1"/>
  <c r="J12" i="1"/>
  <c r="K12" i="1"/>
  <c r="G13" i="1"/>
  <c r="J13" i="1"/>
  <c r="K13" i="1"/>
  <c r="L13" i="1"/>
  <c r="G14" i="1"/>
  <c r="J14" i="1"/>
  <c r="K14" i="1"/>
  <c r="L14" i="1"/>
  <c r="G15" i="1"/>
  <c r="J15" i="1"/>
  <c r="K15" i="1"/>
  <c r="L15" i="1"/>
  <c r="G16" i="1"/>
  <c r="J16" i="1"/>
  <c r="K16" i="1"/>
  <c r="L16" i="1"/>
  <c r="G17" i="1"/>
  <c r="J17" i="1"/>
  <c r="K17" i="1"/>
  <c r="L17" i="1"/>
  <c r="G18" i="1"/>
  <c r="J18" i="1"/>
  <c r="K18" i="1"/>
  <c r="L18" i="1"/>
  <c r="G19" i="1"/>
  <c r="J19" i="1"/>
  <c r="K19" i="1"/>
  <c r="L19" i="1"/>
  <c r="G20" i="1"/>
  <c r="J20" i="1"/>
  <c r="K20" i="1"/>
  <c r="L20" i="1"/>
  <c r="G21" i="1"/>
  <c r="J21" i="1"/>
  <c r="K21" i="1"/>
  <c r="L21" i="1"/>
  <c r="G22" i="1"/>
  <c r="J22" i="1"/>
  <c r="K22" i="1"/>
  <c r="L22" i="1"/>
  <c r="G23" i="1"/>
  <c r="J23" i="1"/>
  <c r="K23" i="1"/>
  <c r="L23" i="1"/>
  <c r="G24" i="1"/>
  <c r="J24" i="1"/>
  <c r="K24" i="1"/>
  <c r="L24" i="1"/>
  <c r="G25" i="1"/>
  <c r="J25" i="1"/>
  <c r="K25" i="1"/>
  <c r="L25" i="1"/>
  <c r="G26" i="1"/>
  <c r="J26" i="1"/>
  <c r="K26" i="1"/>
  <c r="L26" i="1"/>
  <c r="G27" i="1"/>
  <c r="J27" i="1"/>
  <c r="K27" i="1"/>
  <c r="L27" i="1"/>
  <c r="G28" i="1"/>
  <c r="J28" i="1"/>
  <c r="K28" i="1"/>
  <c r="L28" i="1"/>
  <c r="G29" i="1"/>
  <c r="J29" i="1"/>
  <c r="K29" i="1"/>
  <c r="L29" i="1"/>
  <c r="G30" i="1"/>
  <c r="J30" i="1"/>
  <c r="K30" i="1"/>
  <c r="L30" i="1"/>
  <c r="G31" i="1"/>
  <c r="J31" i="1"/>
  <c r="K31" i="1"/>
  <c r="L31" i="1"/>
  <c r="G32" i="1"/>
  <c r="J32" i="1"/>
  <c r="K32" i="1"/>
  <c r="L32" i="1"/>
  <c r="G33" i="1"/>
  <c r="J33" i="1"/>
  <c r="K33" i="1"/>
  <c r="L33" i="1"/>
  <c r="G34" i="1"/>
  <c r="J34" i="1"/>
  <c r="K34" i="1"/>
  <c r="L34" i="1"/>
  <c r="G35" i="1"/>
  <c r="J35" i="1"/>
  <c r="K35" i="1"/>
  <c r="L35" i="1"/>
  <c r="G36" i="1"/>
  <c r="J36" i="1"/>
  <c r="K36" i="1"/>
  <c r="L36" i="1"/>
  <c r="G37" i="1"/>
  <c r="J37" i="1"/>
  <c r="K37" i="1"/>
  <c r="L37" i="1"/>
  <c r="G38" i="1"/>
  <c r="J38" i="1"/>
  <c r="K38" i="1"/>
  <c r="L38" i="1"/>
  <c r="G39" i="1"/>
  <c r="J39" i="1"/>
  <c r="K39" i="1"/>
  <c r="L39" i="1"/>
  <c r="G40" i="1"/>
  <c r="J40" i="1"/>
  <c r="K40" i="1"/>
  <c r="L40" i="1"/>
  <c r="G41" i="1"/>
  <c r="J41" i="1"/>
  <c r="K41" i="1"/>
  <c r="L41" i="1"/>
  <c r="G42" i="1"/>
  <c r="J42" i="1"/>
  <c r="K42" i="1"/>
  <c r="L42" i="1"/>
  <c r="G43" i="1"/>
  <c r="J43" i="1"/>
  <c r="K43" i="1"/>
  <c r="L43" i="1"/>
  <c r="G44" i="1"/>
  <c r="J44" i="1"/>
  <c r="K44" i="1"/>
  <c r="L44" i="1"/>
  <c r="G45" i="1"/>
  <c r="J45" i="1"/>
  <c r="K45" i="1"/>
  <c r="L45" i="1"/>
  <c r="G46" i="1"/>
  <c r="J46" i="1"/>
  <c r="K46" i="1"/>
  <c r="L46" i="1"/>
  <c r="G47" i="1"/>
  <c r="J47" i="1"/>
  <c r="K47" i="1"/>
  <c r="L47" i="1"/>
  <c r="G48" i="1"/>
  <c r="J48" i="1"/>
  <c r="K48" i="1"/>
  <c r="L48" i="1"/>
  <c r="G49" i="1"/>
  <c r="J49" i="1"/>
  <c r="K49" i="1"/>
  <c r="L49" i="1"/>
  <c r="G50" i="1"/>
  <c r="J50" i="1"/>
  <c r="K50" i="1"/>
  <c r="L50" i="1"/>
  <c r="G51" i="1"/>
  <c r="J51" i="1"/>
  <c r="K51" i="1"/>
  <c r="L51" i="1"/>
  <c r="G52" i="1"/>
  <c r="J52" i="1"/>
  <c r="K52" i="1"/>
  <c r="L52" i="1"/>
  <c r="G53" i="1"/>
  <c r="J53" i="1"/>
  <c r="K53" i="1"/>
  <c r="L53" i="1"/>
  <c r="G54" i="1"/>
  <c r="J54" i="1"/>
  <c r="K54" i="1"/>
  <c r="L54" i="1"/>
  <c r="G55" i="1"/>
  <c r="J55" i="1"/>
  <c r="K55" i="1"/>
  <c r="L55" i="1"/>
  <c r="G56" i="1"/>
  <c r="J56" i="1"/>
  <c r="K56" i="1"/>
  <c r="L56" i="1"/>
  <c r="G57" i="1"/>
  <c r="J57" i="1"/>
  <c r="K57" i="1"/>
  <c r="L57" i="1"/>
  <c r="G58" i="1"/>
  <c r="J58" i="1"/>
  <c r="K58" i="1"/>
  <c r="L58" i="1"/>
  <c r="G59" i="1"/>
  <c r="J59" i="1"/>
  <c r="K59" i="1"/>
  <c r="L59" i="1"/>
  <c r="G60" i="1"/>
  <c r="J60" i="1"/>
  <c r="K60" i="1"/>
  <c r="L60" i="1"/>
  <c r="G61" i="1"/>
  <c r="J61" i="1"/>
  <c r="K61" i="1"/>
  <c r="L61" i="1"/>
  <c r="G62" i="1"/>
  <c r="J62" i="1"/>
  <c r="K62" i="1"/>
  <c r="L62" i="1"/>
  <c r="G63" i="1"/>
  <c r="J63" i="1"/>
  <c r="K63" i="1"/>
  <c r="L63" i="1"/>
  <c r="G64" i="1"/>
  <c r="J64" i="1"/>
  <c r="K64" i="1"/>
  <c r="L64" i="1"/>
  <c r="G65" i="1"/>
  <c r="J65" i="1"/>
  <c r="K65" i="1"/>
  <c r="L65" i="1"/>
  <c r="G66" i="1"/>
  <c r="J66" i="1"/>
  <c r="K66" i="1"/>
  <c r="L66" i="1"/>
  <c r="G67" i="1"/>
  <c r="J67" i="1"/>
  <c r="K67" i="1"/>
  <c r="L67" i="1"/>
  <c r="G68" i="1"/>
  <c r="J68" i="1"/>
  <c r="K68" i="1"/>
  <c r="L68" i="1"/>
  <c r="G69" i="1"/>
  <c r="J69" i="1"/>
  <c r="K69" i="1"/>
  <c r="L69" i="1"/>
  <c r="G70" i="1"/>
  <c r="J70" i="1"/>
  <c r="K70" i="1"/>
  <c r="L70" i="1"/>
  <c r="G71" i="1"/>
  <c r="J71" i="1"/>
  <c r="K71" i="1"/>
  <c r="L71" i="1"/>
  <c r="G72" i="1"/>
  <c r="J72" i="1"/>
  <c r="K72" i="1"/>
  <c r="L72" i="1"/>
  <c r="G73" i="1"/>
  <c r="J73" i="1"/>
  <c r="K73" i="1"/>
  <c r="L73" i="1"/>
  <c r="G74" i="1"/>
  <c r="J74" i="1"/>
  <c r="K74" i="1"/>
  <c r="L74" i="1"/>
  <c r="G75" i="1"/>
  <c r="J75" i="1"/>
  <c r="K75" i="1"/>
  <c r="L75" i="1"/>
  <c r="G76" i="1"/>
  <c r="J76" i="1"/>
  <c r="K76" i="1"/>
  <c r="L76" i="1"/>
  <c r="G77" i="1"/>
  <c r="J77" i="1"/>
  <c r="K77" i="1"/>
  <c r="L77" i="1"/>
  <c r="G78" i="1"/>
  <c r="J78" i="1"/>
  <c r="K78" i="1"/>
  <c r="L78" i="1"/>
  <c r="G79" i="1"/>
  <c r="J79" i="1"/>
  <c r="K79" i="1"/>
  <c r="L79" i="1"/>
  <c r="G80" i="1"/>
  <c r="J80" i="1"/>
  <c r="K80" i="1"/>
  <c r="L80" i="1"/>
  <c r="G81" i="1"/>
  <c r="J81" i="1"/>
  <c r="K81" i="1"/>
  <c r="L81" i="1"/>
  <c r="G82" i="1"/>
  <c r="J82" i="1"/>
  <c r="K82" i="1"/>
  <c r="L82" i="1"/>
  <c r="G83" i="1"/>
  <c r="J83" i="1"/>
  <c r="K83" i="1"/>
  <c r="L83" i="1"/>
  <c r="G84" i="1"/>
  <c r="J84" i="1"/>
  <c r="K84" i="1"/>
  <c r="L84" i="1"/>
  <c r="G85" i="1"/>
  <c r="J85" i="1"/>
  <c r="K85" i="1"/>
  <c r="L85" i="1"/>
  <c r="G86" i="1"/>
  <c r="J86" i="1"/>
  <c r="K86" i="1"/>
  <c r="L86" i="1"/>
  <c r="G87" i="1"/>
  <c r="J87" i="1"/>
  <c r="K87" i="1"/>
  <c r="L87" i="1"/>
  <c r="G88" i="1"/>
  <c r="J88" i="1"/>
  <c r="K88" i="1"/>
  <c r="L88" i="1"/>
  <c r="G89" i="1"/>
  <c r="J89" i="1"/>
  <c r="K89" i="1"/>
  <c r="L89" i="1"/>
  <c r="G90" i="1"/>
  <c r="J90" i="1"/>
  <c r="K90" i="1"/>
  <c r="L90" i="1"/>
  <c r="G91" i="1"/>
  <c r="J91" i="1"/>
  <c r="K91" i="1"/>
  <c r="L91" i="1"/>
  <c r="G92" i="1"/>
  <c r="J92" i="1"/>
  <c r="K92" i="1"/>
  <c r="L92" i="1"/>
  <c r="G93" i="1"/>
  <c r="J93" i="1"/>
  <c r="K93" i="1"/>
  <c r="L93" i="1"/>
  <c r="G94" i="1"/>
  <c r="J94" i="1"/>
  <c r="K94" i="1"/>
  <c r="L94" i="1"/>
  <c r="G95" i="1"/>
  <c r="J95" i="1"/>
  <c r="K95" i="1"/>
  <c r="L95" i="1"/>
  <c r="G96" i="1"/>
  <c r="J96" i="1"/>
  <c r="K96" i="1"/>
  <c r="L96" i="1"/>
  <c r="G97" i="1"/>
  <c r="J97" i="1"/>
  <c r="K97" i="1"/>
  <c r="L97" i="1"/>
  <c r="G98" i="1"/>
  <c r="J98" i="1"/>
  <c r="K98" i="1"/>
  <c r="L98" i="1"/>
  <c r="G99" i="1"/>
  <c r="J99" i="1"/>
  <c r="K99" i="1"/>
  <c r="L99" i="1"/>
  <c r="G100" i="1"/>
  <c r="J100" i="1"/>
  <c r="K100" i="1"/>
  <c r="L100" i="1"/>
  <c r="G101" i="1"/>
  <c r="J101" i="1"/>
  <c r="K101" i="1"/>
  <c r="L101" i="1"/>
  <c r="G102" i="1"/>
  <c r="J102" i="1"/>
  <c r="K102" i="1"/>
  <c r="L102" i="1"/>
  <c r="G103" i="1"/>
  <c r="J103" i="1"/>
  <c r="K103" i="1"/>
  <c r="L103" i="1"/>
  <c r="G104" i="1"/>
  <c r="J104" i="1"/>
  <c r="K104" i="1"/>
  <c r="L104" i="1"/>
  <c r="G105" i="1"/>
  <c r="J105" i="1"/>
  <c r="K105" i="1"/>
  <c r="L105" i="1"/>
  <c r="G106" i="1"/>
  <c r="J106" i="1"/>
  <c r="K106" i="1"/>
  <c r="L106" i="1"/>
  <c r="G107" i="1"/>
  <c r="J107" i="1"/>
  <c r="K107" i="1"/>
  <c r="L107" i="1"/>
  <c r="G108" i="1"/>
  <c r="J108" i="1"/>
  <c r="K108" i="1"/>
  <c r="L108" i="1"/>
  <c r="G109" i="1"/>
  <c r="J109" i="1"/>
  <c r="K109" i="1"/>
  <c r="L109" i="1"/>
  <c r="G110" i="1"/>
  <c r="J110" i="1"/>
  <c r="K110" i="1"/>
  <c r="L110" i="1"/>
  <c r="G111" i="1"/>
  <c r="J111" i="1"/>
  <c r="K111" i="1"/>
  <c r="L111" i="1"/>
  <c r="G112" i="1"/>
  <c r="J112" i="1"/>
  <c r="K112" i="1"/>
  <c r="L112" i="1"/>
  <c r="G113" i="1"/>
  <c r="J113" i="1"/>
  <c r="K113" i="1"/>
  <c r="L113" i="1"/>
  <c r="G114" i="1"/>
  <c r="J114" i="1"/>
  <c r="K114" i="1"/>
  <c r="L114" i="1"/>
  <c r="G115" i="1"/>
  <c r="J115" i="1"/>
  <c r="K115" i="1"/>
  <c r="L115" i="1"/>
  <c r="G116" i="1"/>
  <c r="J116" i="1"/>
  <c r="K116" i="1"/>
  <c r="L116" i="1"/>
  <c r="G117" i="1"/>
  <c r="J117" i="1"/>
  <c r="K117" i="1"/>
  <c r="L117" i="1"/>
  <c r="G118" i="1"/>
  <c r="J118" i="1"/>
  <c r="K118" i="1"/>
  <c r="L118" i="1"/>
  <c r="G119" i="1"/>
  <c r="J119" i="1"/>
  <c r="K119" i="1"/>
  <c r="L119" i="1"/>
  <c r="G120" i="1"/>
  <c r="J120" i="1"/>
  <c r="K120" i="1"/>
  <c r="L120" i="1"/>
  <c r="G121" i="1"/>
  <c r="J121" i="1"/>
  <c r="K121" i="1"/>
  <c r="L121" i="1"/>
  <c r="G122" i="1"/>
  <c r="J122" i="1"/>
  <c r="K122" i="1"/>
  <c r="L122" i="1"/>
  <c r="G123" i="1"/>
  <c r="J123" i="1"/>
  <c r="K123" i="1"/>
  <c r="L123" i="1"/>
  <c r="G124" i="1"/>
  <c r="J124" i="1"/>
  <c r="K124" i="1"/>
  <c r="L124" i="1"/>
  <c r="G125" i="1"/>
  <c r="J125" i="1"/>
  <c r="K125" i="1"/>
  <c r="L125" i="1"/>
  <c r="G126" i="1"/>
  <c r="J126" i="1"/>
  <c r="K126" i="1"/>
  <c r="L126" i="1"/>
  <c r="G127" i="1"/>
  <c r="J127" i="1"/>
  <c r="K127" i="1"/>
  <c r="L127" i="1"/>
  <c r="G128" i="1"/>
  <c r="J128" i="1"/>
  <c r="K128" i="1"/>
  <c r="L128" i="1"/>
  <c r="G129" i="1"/>
  <c r="J129" i="1"/>
  <c r="K129" i="1"/>
  <c r="L129" i="1"/>
  <c r="G130" i="1"/>
  <c r="J130" i="1"/>
  <c r="K130" i="1"/>
  <c r="L130" i="1"/>
  <c r="G131" i="1"/>
  <c r="J131" i="1"/>
  <c r="K131" i="1"/>
  <c r="L131" i="1"/>
  <c r="G132" i="1"/>
  <c r="J132" i="1"/>
  <c r="K132" i="1"/>
  <c r="L132" i="1"/>
  <c r="G133" i="1"/>
  <c r="J133" i="1"/>
  <c r="K133" i="1"/>
  <c r="L133" i="1"/>
  <c r="G134" i="1"/>
  <c r="J134" i="1"/>
  <c r="K134" i="1"/>
  <c r="L134" i="1"/>
  <c r="G135" i="1"/>
  <c r="J135" i="1"/>
  <c r="K135" i="1"/>
  <c r="L135" i="1"/>
  <c r="G136" i="1"/>
  <c r="J136" i="1"/>
  <c r="K136" i="1"/>
  <c r="L136" i="1"/>
  <c r="G137" i="1"/>
  <c r="J137" i="1"/>
  <c r="K137" i="1"/>
  <c r="L137" i="1"/>
  <c r="G138" i="1"/>
  <c r="J138" i="1"/>
  <c r="K138" i="1"/>
  <c r="L138" i="1"/>
  <c r="G139" i="1"/>
  <c r="J139" i="1"/>
  <c r="K139" i="1"/>
  <c r="L139" i="1"/>
  <c r="G140" i="1"/>
  <c r="J140" i="1"/>
  <c r="K140" i="1"/>
  <c r="L140" i="1"/>
  <c r="G141" i="1"/>
  <c r="J141" i="1"/>
  <c r="K141" i="1"/>
  <c r="L141" i="1"/>
  <c r="G142" i="1"/>
  <c r="J142" i="1"/>
  <c r="K142" i="1"/>
  <c r="L142" i="1"/>
  <c r="G143" i="1"/>
  <c r="J143" i="1"/>
  <c r="K143" i="1"/>
  <c r="L143" i="1"/>
  <c r="G144" i="1"/>
  <c r="J144" i="1"/>
  <c r="K144" i="1"/>
  <c r="L144" i="1"/>
  <c r="G145" i="1"/>
  <c r="J145" i="1"/>
  <c r="K145" i="1"/>
  <c r="L145" i="1"/>
  <c r="G146" i="1"/>
  <c r="J146" i="1"/>
  <c r="K146" i="1"/>
  <c r="L146" i="1"/>
  <c r="G147" i="1"/>
  <c r="J147" i="1"/>
  <c r="K147" i="1"/>
  <c r="L147" i="1"/>
  <c r="G148" i="1"/>
  <c r="J148" i="1"/>
  <c r="K148" i="1"/>
  <c r="L148" i="1"/>
  <c r="G149" i="1"/>
  <c r="J149" i="1"/>
  <c r="K149" i="1"/>
  <c r="L149" i="1"/>
  <c r="G150" i="1"/>
  <c r="J150" i="1"/>
  <c r="K150" i="1"/>
  <c r="L150" i="1"/>
  <c r="G151" i="1"/>
  <c r="J151" i="1"/>
  <c r="K151" i="1"/>
  <c r="L151" i="1"/>
  <c r="G152" i="1"/>
  <c r="J152" i="1"/>
  <c r="K152" i="1"/>
  <c r="L152" i="1"/>
  <c r="G153" i="1"/>
  <c r="J153" i="1"/>
  <c r="K153" i="1"/>
  <c r="L153" i="1"/>
  <c r="G154" i="1"/>
  <c r="J154" i="1"/>
  <c r="K154" i="1"/>
  <c r="L154" i="1"/>
  <c r="G155" i="1"/>
  <c r="J155" i="1"/>
  <c r="K155" i="1"/>
  <c r="L155" i="1"/>
  <c r="G156" i="1"/>
  <c r="J156" i="1"/>
  <c r="K156" i="1"/>
  <c r="L156" i="1"/>
  <c r="G157" i="1"/>
  <c r="J157" i="1"/>
  <c r="K157" i="1"/>
  <c r="L157" i="1"/>
  <c r="G158" i="1"/>
  <c r="J158" i="1"/>
  <c r="K158" i="1"/>
  <c r="L158" i="1"/>
  <c r="G159" i="1"/>
  <c r="J159" i="1"/>
  <c r="K159" i="1"/>
  <c r="L159" i="1"/>
  <c r="G160" i="1"/>
  <c r="J160" i="1"/>
  <c r="K160" i="1"/>
  <c r="L160" i="1"/>
  <c r="G161" i="1"/>
  <c r="J161" i="1"/>
  <c r="K161" i="1"/>
  <c r="L161" i="1"/>
  <c r="G162" i="1"/>
  <c r="J162" i="1"/>
  <c r="K162" i="1"/>
  <c r="L162" i="1"/>
  <c r="G163" i="1"/>
  <c r="J163" i="1"/>
  <c r="K163" i="1"/>
  <c r="L163" i="1"/>
  <c r="G164" i="1"/>
  <c r="J164" i="1"/>
  <c r="K164" i="1"/>
  <c r="L164" i="1"/>
  <c r="G165" i="1"/>
  <c r="J165" i="1"/>
  <c r="K165" i="1"/>
  <c r="L165" i="1"/>
  <c r="G166" i="1"/>
  <c r="J166" i="1"/>
  <c r="K166" i="1"/>
  <c r="L166" i="1"/>
  <c r="G167" i="1"/>
  <c r="J167" i="1"/>
  <c r="K167" i="1"/>
  <c r="L167" i="1"/>
  <c r="G168" i="1"/>
  <c r="J168" i="1"/>
  <c r="K168" i="1"/>
  <c r="L168" i="1"/>
  <c r="G169" i="1"/>
  <c r="J169" i="1"/>
  <c r="K169" i="1"/>
  <c r="L169" i="1"/>
  <c r="G170" i="1"/>
  <c r="J170" i="1"/>
  <c r="K170" i="1"/>
  <c r="L170" i="1"/>
  <c r="G171" i="1"/>
  <c r="J171" i="1"/>
  <c r="K171" i="1"/>
  <c r="L171" i="1"/>
  <c r="G172" i="1"/>
  <c r="J172" i="1"/>
  <c r="K172" i="1"/>
  <c r="L172" i="1"/>
  <c r="G173" i="1"/>
  <c r="J173" i="1"/>
  <c r="K173" i="1"/>
  <c r="L173" i="1"/>
  <c r="G174" i="1"/>
  <c r="J174" i="1"/>
  <c r="K174" i="1"/>
  <c r="L174" i="1"/>
  <c r="G175" i="1"/>
  <c r="J175" i="1"/>
  <c r="K175" i="1"/>
  <c r="L175" i="1"/>
  <c r="G176" i="1"/>
  <c r="J176" i="1"/>
  <c r="K176" i="1"/>
  <c r="L176" i="1"/>
  <c r="G177" i="1"/>
  <c r="J177" i="1"/>
  <c r="K177" i="1"/>
  <c r="L177" i="1"/>
  <c r="G178" i="1"/>
  <c r="J178" i="1"/>
  <c r="K178" i="1"/>
  <c r="L178" i="1"/>
  <c r="G179" i="1"/>
  <c r="J179" i="1"/>
  <c r="K179" i="1"/>
  <c r="L179" i="1"/>
  <c r="G180" i="1"/>
  <c r="J180" i="1"/>
  <c r="K180" i="1"/>
  <c r="L180" i="1"/>
  <c r="G181" i="1"/>
  <c r="J181" i="1"/>
  <c r="K181" i="1"/>
  <c r="L181" i="1"/>
  <c r="G182" i="1"/>
  <c r="J182" i="1"/>
  <c r="K182" i="1"/>
  <c r="L182" i="1"/>
  <c r="G183" i="1"/>
  <c r="J183" i="1"/>
  <c r="K183" i="1"/>
  <c r="L183" i="1"/>
  <c r="G184" i="1"/>
  <c r="J184" i="1"/>
  <c r="K184" i="1"/>
  <c r="L184" i="1"/>
  <c r="G185" i="1"/>
  <c r="J185" i="1"/>
  <c r="K185" i="1"/>
  <c r="L185" i="1"/>
  <c r="G186" i="1"/>
  <c r="J186" i="1"/>
  <c r="K186" i="1"/>
  <c r="L186" i="1"/>
  <c r="G187" i="1"/>
  <c r="J187" i="1"/>
  <c r="K187" i="1"/>
  <c r="L187" i="1"/>
  <c r="G188" i="1"/>
  <c r="J188" i="1"/>
  <c r="K188" i="1"/>
  <c r="L188" i="1"/>
  <c r="G189" i="1"/>
  <c r="J189" i="1"/>
  <c r="K189" i="1"/>
  <c r="L189" i="1"/>
  <c r="G190" i="1"/>
  <c r="J190" i="1"/>
  <c r="K190" i="1"/>
  <c r="L190" i="1"/>
  <c r="G191" i="1"/>
  <c r="J191" i="1"/>
  <c r="K191" i="1"/>
  <c r="L191" i="1"/>
  <c r="G192" i="1"/>
  <c r="J192" i="1"/>
  <c r="K192" i="1"/>
  <c r="L192" i="1"/>
  <c r="G193" i="1"/>
  <c r="J193" i="1"/>
  <c r="K193" i="1"/>
  <c r="L193" i="1"/>
  <c r="G194" i="1"/>
  <c r="J194" i="1"/>
  <c r="K194" i="1"/>
  <c r="L194" i="1"/>
  <c r="G195" i="1"/>
  <c r="J195" i="1"/>
  <c r="K195" i="1"/>
  <c r="L195" i="1"/>
  <c r="G196" i="1"/>
  <c r="J196" i="1"/>
  <c r="K196" i="1"/>
  <c r="L196" i="1"/>
  <c r="G197" i="1"/>
  <c r="J197" i="1"/>
  <c r="K197" i="1"/>
  <c r="L197" i="1"/>
  <c r="G198" i="1"/>
  <c r="J198" i="1"/>
  <c r="K198" i="1"/>
  <c r="L198" i="1"/>
  <c r="G199" i="1"/>
  <c r="J199" i="1"/>
  <c r="K199" i="1"/>
  <c r="L199" i="1"/>
  <c r="G200" i="1"/>
  <c r="J200" i="1"/>
  <c r="K200" i="1"/>
  <c r="L200" i="1"/>
  <c r="G201" i="1"/>
  <c r="J201" i="1"/>
  <c r="K201" i="1"/>
  <c r="L201" i="1"/>
  <c r="G202" i="1"/>
  <c r="J202" i="1"/>
  <c r="K202" i="1"/>
  <c r="L202" i="1"/>
  <c r="G203" i="1"/>
  <c r="J203" i="1"/>
  <c r="K203" i="1"/>
  <c r="L203" i="1"/>
  <c r="G204" i="1"/>
  <c r="J204" i="1"/>
  <c r="K204" i="1"/>
  <c r="L204" i="1"/>
  <c r="G205" i="1"/>
  <c r="J205" i="1"/>
  <c r="K205" i="1"/>
  <c r="L205" i="1"/>
  <c r="G206" i="1"/>
  <c r="J206" i="1"/>
  <c r="K206" i="1"/>
  <c r="L206" i="1"/>
  <c r="G207" i="1"/>
  <c r="J207" i="1"/>
  <c r="K207" i="1"/>
  <c r="L207" i="1"/>
  <c r="G208" i="1"/>
  <c r="J208" i="1"/>
  <c r="K208" i="1"/>
  <c r="L208" i="1"/>
  <c r="G209" i="1"/>
  <c r="J209" i="1"/>
  <c r="K209" i="1"/>
  <c r="L209" i="1"/>
  <c r="G210" i="1"/>
  <c r="J210" i="1"/>
  <c r="K210" i="1"/>
  <c r="L210" i="1"/>
  <c r="G211" i="1"/>
  <c r="J211" i="1"/>
  <c r="K211" i="1"/>
  <c r="L211" i="1"/>
  <c r="G212" i="1"/>
  <c r="J212" i="1"/>
  <c r="K212" i="1"/>
  <c r="L212" i="1"/>
  <c r="G213" i="1"/>
  <c r="J213" i="1"/>
  <c r="K213" i="1"/>
  <c r="L213" i="1"/>
  <c r="G214" i="1"/>
  <c r="J214" i="1"/>
  <c r="K214" i="1"/>
  <c r="L214" i="1"/>
  <c r="G215" i="1"/>
  <c r="J215" i="1"/>
  <c r="K215" i="1"/>
  <c r="L215" i="1"/>
  <c r="G216" i="1"/>
  <c r="J216" i="1"/>
  <c r="K216" i="1"/>
  <c r="L216" i="1"/>
  <c r="G217" i="1"/>
  <c r="J217" i="1"/>
  <c r="K217" i="1"/>
  <c r="L217" i="1"/>
  <c r="G218" i="1"/>
  <c r="J218" i="1"/>
  <c r="K218" i="1"/>
  <c r="L218" i="1"/>
  <c r="G219" i="1"/>
  <c r="J219" i="1"/>
  <c r="K219" i="1"/>
  <c r="L219" i="1"/>
  <c r="G220" i="1"/>
  <c r="J220" i="1"/>
  <c r="K220" i="1"/>
  <c r="L220" i="1"/>
  <c r="G221" i="1"/>
  <c r="J221" i="1"/>
  <c r="K221" i="1"/>
  <c r="L221" i="1"/>
  <c r="G222" i="1"/>
  <c r="J222" i="1"/>
  <c r="K222" i="1"/>
  <c r="L222" i="1"/>
  <c r="G223" i="1"/>
  <c r="J223" i="1"/>
  <c r="K223" i="1"/>
  <c r="L223" i="1"/>
  <c r="G224" i="1"/>
  <c r="J224" i="1"/>
  <c r="K224" i="1"/>
  <c r="L224" i="1"/>
  <c r="G225" i="1"/>
  <c r="J225" i="1"/>
  <c r="K225" i="1"/>
  <c r="L225" i="1"/>
  <c r="G226" i="1"/>
  <c r="J226" i="1"/>
  <c r="K226" i="1"/>
  <c r="L226" i="1"/>
  <c r="G227" i="1"/>
  <c r="J227" i="1"/>
  <c r="K227" i="1"/>
  <c r="L227" i="1"/>
  <c r="G228" i="1"/>
  <c r="J228" i="1"/>
  <c r="K228" i="1"/>
  <c r="L228" i="1"/>
  <c r="G229" i="1"/>
  <c r="J229" i="1"/>
  <c r="K229" i="1"/>
  <c r="L229" i="1"/>
  <c r="G230" i="1"/>
  <c r="J230" i="1"/>
  <c r="K230" i="1"/>
  <c r="L230" i="1"/>
  <c r="G231" i="1"/>
  <c r="J231" i="1"/>
  <c r="K231" i="1"/>
  <c r="L231" i="1"/>
  <c r="G232" i="1"/>
  <c r="J232" i="1"/>
  <c r="K232" i="1"/>
  <c r="L232" i="1"/>
  <c r="G233" i="1"/>
  <c r="J233" i="1"/>
  <c r="K233" i="1"/>
  <c r="L233" i="1"/>
  <c r="G234" i="1"/>
  <c r="J234" i="1"/>
  <c r="K234" i="1"/>
  <c r="L234" i="1"/>
  <c r="G235" i="1"/>
  <c r="J235" i="1"/>
  <c r="K235" i="1"/>
  <c r="L235" i="1"/>
  <c r="G236" i="1"/>
  <c r="J236" i="1"/>
  <c r="K236" i="1"/>
  <c r="L236" i="1"/>
  <c r="G237" i="1"/>
  <c r="J237" i="1"/>
  <c r="K237" i="1"/>
  <c r="L237" i="1"/>
  <c r="G238" i="1"/>
  <c r="J238" i="1"/>
  <c r="K238" i="1"/>
  <c r="L238" i="1"/>
  <c r="G239" i="1"/>
  <c r="J239" i="1"/>
  <c r="K239" i="1"/>
  <c r="L239" i="1"/>
  <c r="G240" i="1"/>
  <c r="J240" i="1"/>
  <c r="K240" i="1"/>
  <c r="L240" i="1"/>
  <c r="G241" i="1"/>
  <c r="J241" i="1"/>
  <c r="K241" i="1"/>
  <c r="L241" i="1"/>
  <c r="G242" i="1"/>
  <c r="J242" i="1"/>
  <c r="K242" i="1"/>
  <c r="L242" i="1"/>
  <c r="G243" i="1"/>
  <c r="J243" i="1"/>
  <c r="K243" i="1"/>
  <c r="L243" i="1"/>
  <c r="G244" i="1"/>
  <c r="J244" i="1"/>
  <c r="K244" i="1"/>
  <c r="L244" i="1"/>
  <c r="G245" i="1"/>
  <c r="J245" i="1"/>
  <c r="K245" i="1"/>
  <c r="L245" i="1"/>
  <c r="G246" i="1"/>
  <c r="J246" i="1"/>
  <c r="K246" i="1"/>
  <c r="L246" i="1"/>
  <c r="G247" i="1"/>
  <c r="J247" i="1"/>
  <c r="K247" i="1"/>
  <c r="L247" i="1"/>
  <c r="G248" i="1"/>
  <c r="J248" i="1"/>
  <c r="K248" i="1"/>
  <c r="L248" i="1"/>
  <c r="G249" i="1"/>
  <c r="J249" i="1"/>
  <c r="K249" i="1"/>
  <c r="L249" i="1"/>
  <c r="G250" i="1"/>
  <c r="J250" i="1"/>
  <c r="K250" i="1"/>
  <c r="L250" i="1"/>
  <c r="G251" i="1"/>
  <c r="J251" i="1"/>
  <c r="K251" i="1"/>
  <c r="L251" i="1"/>
  <c r="G252" i="1"/>
  <c r="J252" i="1"/>
  <c r="K252" i="1"/>
  <c r="L252" i="1"/>
  <c r="G253" i="1"/>
  <c r="J253" i="1"/>
  <c r="K253" i="1"/>
  <c r="L253" i="1"/>
  <c r="G254" i="1"/>
  <c r="J254" i="1"/>
  <c r="K254" i="1"/>
  <c r="L254" i="1"/>
  <c r="G255" i="1"/>
  <c r="J255" i="1"/>
  <c r="K255" i="1"/>
  <c r="L255" i="1"/>
  <c r="G256" i="1"/>
  <c r="J256" i="1"/>
  <c r="K256" i="1"/>
  <c r="L256" i="1"/>
  <c r="G257" i="1"/>
  <c r="J257" i="1"/>
  <c r="K257" i="1"/>
  <c r="L257" i="1"/>
  <c r="G258" i="1"/>
  <c r="J258" i="1"/>
  <c r="K258" i="1"/>
  <c r="L258" i="1"/>
  <c r="G259" i="1"/>
  <c r="J259" i="1"/>
  <c r="K259" i="1"/>
  <c r="L259" i="1"/>
  <c r="G260" i="1"/>
  <c r="J260" i="1"/>
  <c r="K260" i="1"/>
  <c r="L260" i="1"/>
  <c r="G261" i="1"/>
  <c r="J261" i="1"/>
  <c r="K261" i="1"/>
  <c r="L261" i="1"/>
  <c r="G262" i="1"/>
  <c r="J262" i="1"/>
  <c r="K262" i="1"/>
  <c r="L262" i="1"/>
  <c r="G263" i="1"/>
  <c r="J263" i="1"/>
  <c r="K263" i="1"/>
  <c r="L263" i="1"/>
  <c r="G264" i="1"/>
  <c r="J264" i="1"/>
  <c r="K264" i="1"/>
  <c r="L264" i="1"/>
  <c r="G265" i="1"/>
  <c r="J265" i="1"/>
  <c r="K265" i="1"/>
  <c r="L265" i="1"/>
  <c r="G266" i="1"/>
  <c r="J266" i="1"/>
  <c r="K266" i="1"/>
  <c r="L266" i="1"/>
  <c r="G267" i="1"/>
  <c r="J267" i="1"/>
  <c r="K267" i="1"/>
  <c r="L267" i="1"/>
  <c r="G268" i="1"/>
  <c r="J268" i="1"/>
  <c r="K268" i="1"/>
  <c r="L268" i="1"/>
  <c r="G269" i="1"/>
  <c r="J269" i="1"/>
  <c r="K269" i="1"/>
  <c r="L269" i="1"/>
  <c r="G270" i="1"/>
  <c r="J270" i="1"/>
  <c r="K270" i="1"/>
  <c r="L270" i="1"/>
  <c r="G271" i="1"/>
  <c r="J271" i="1"/>
  <c r="K271" i="1"/>
  <c r="L271" i="1"/>
  <c r="G272" i="1"/>
  <c r="J272" i="1"/>
  <c r="K272" i="1"/>
  <c r="L272" i="1"/>
  <c r="G273" i="1"/>
  <c r="J273" i="1"/>
  <c r="K273" i="1"/>
  <c r="L273" i="1"/>
  <c r="G274" i="1"/>
  <c r="J274" i="1"/>
  <c r="K274" i="1"/>
  <c r="L274" i="1"/>
  <c r="G275" i="1"/>
  <c r="J275" i="1"/>
  <c r="K275" i="1"/>
  <c r="L275" i="1"/>
  <c r="G276" i="1"/>
  <c r="J276" i="1"/>
  <c r="K276" i="1"/>
  <c r="L276" i="1"/>
  <c r="G277" i="1"/>
  <c r="J277" i="1"/>
  <c r="K277" i="1"/>
  <c r="L277" i="1"/>
  <c r="G278" i="1"/>
  <c r="J278" i="1"/>
  <c r="K278" i="1"/>
  <c r="L278" i="1"/>
  <c r="G279" i="1"/>
  <c r="J279" i="1"/>
  <c r="K279" i="1"/>
  <c r="L279" i="1"/>
  <c r="G280" i="1"/>
  <c r="J280" i="1"/>
  <c r="K280" i="1"/>
  <c r="L280" i="1"/>
  <c r="G281" i="1"/>
  <c r="J281" i="1"/>
  <c r="K281" i="1"/>
  <c r="L281" i="1"/>
  <c r="G282" i="1"/>
  <c r="J282" i="1"/>
  <c r="K282" i="1"/>
  <c r="L282" i="1"/>
  <c r="G283" i="1"/>
  <c r="J283" i="1"/>
  <c r="K283" i="1"/>
  <c r="L283" i="1"/>
  <c r="G284" i="1"/>
  <c r="J284" i="1"/>
  <c r="K284" i="1"/>
  <c r="L284" i="1"/>
  <c r="G285" i="1"/>
  <c r="J285" i="1"/>
  <c r="K285" i="1"/>
  <c r="L285" i="1"/>
  <c r="G286" i="1"/>
  <c r="J286" i="1"/>
  <c r="K286" i="1"/>
  <c r="L286" i="1"/>
  <c r="G287" i="1"/>
  <c r="J287" i="1"/>
  <c r="K287" i="1"/>
  <c r="L287" i="1"/>
  <c r="G288" i="1"/>
  <c r="J288" i="1"/>
  <c r="K288" i="1"/>
  <c r="L288" i="1"/>
  <c r="G289" i="1"/>
  <c r="J289" i="1"/>
  <c r="K289" i="1"/>
  <c r="L289" i="1"/>
  <c r="G290" i="1"/>
  <c r="J290" i="1"/>
  <c r="K290" i="1"/>
  <c r="L290" i="1"/>
  <c r="G291" i="1"/>
  <c r="J291" i="1"/>
  <c r="K291" i="1"/>
  <c r="L291" i="1"/>
  <c r="G292" i="1"/>
  <c r="J292" i="1"/>
  <c r="K292" i="1"/>
  <c r="L292" i="1"/>
  <c r="G293" i="1"/>
  <c r="J293" i="1"/>
  <c r="K293" i="1"/>
  <c r="L293" i="1"/>
  <c r="G294" i="1"/>
  <c r="J294" i="1"/>
  <c r="K294" i="1"/>
  <c r="L294" i="1"/>
  <c r="G295" i="1"/>
  <c r="J295" i="1"/>
  <c r="K295" i="1"/>
  <c r="L295" i="1"/>
  <c r="G296" i="1"/>
  <c r="J296" i="1"/>
  <c r="K296" i="1"/>
  <c r="L296" i="1"/>
  <c r="G297" i="1"/>
  <c r="J297" i="1"/>
  <c r="K297" i="1"/>
  <c r="L297" i="1"/>
  <c r="G298" i="1"/>
  <c r="J298" i="1"/>
  <c r="K298" i="1"/>
  <c r="L298" i="1"/>
  <c r="G299" i="1"/>
  <c r="J299" i="1"/>
  <c r="K299" i="1"/>
  <c r="L299" i="1"/>
  <c r="G300" i="1"/>
  <c r="J300" i="1"/>
  <c r="K300" i="1"/>
  <c r="L300" i="1"/>
  <c r="G301" i="1"/>
  <c r="J301" i="1"/>
  <c r="K301" i="1"/>
  <c r="L301" i="1"/>
  <c r="G302" i="1"/>
  <c r="J302" i="1"/>
  <c r="K302" i="1"/>
  <c r="L302" i="1"/>
  <c r="G303" i="1"/>
  <c r="J303" i="1"/>
  <c r="K303" i="1"/>
  <c r="L303" i="1"/>
  <c r="G304" i="1"/>
  <c r="J304" i="1"/>
  <c r="K304" i="1"/>
  <c r="L304" i="1"/>
  <c r="G305" i="1"/>
  <c r="J305" i="1"/>
  <c r="K305" i="1"/>
  <c r="L305" i="1"/>
  <c r="G306" i="1"/>
  <c r="J306" i="1"/>
  <c r="K306" i="1"/>
  <c r="L306" i="1"/>
  <c r="G307" i="1"/>
  <c r="J307" i="1"/>
  <c r="K307" i="1"/>
  <c r="L307" i="1"/>
  <c r="G308" i="1"/>
  <c r="J308" i="1"/>
  <c r="K308" i="1"/>
  <c r="L308" i="1"/>
  <c r="G309" i="1"/>
  <c r="J309" i="1"/>
  <c r="K309" i="1"/>
  <c r="L309" i="1"/>
  <c r="G310" i="1"/>
  <c r="J310" i="1"/>
  <c r="K310" i="1"/>
  <c r="L310" i="1"/>
  <c r="G311" i="1"/>
  <c r="J311" i="1"/>
  <c r="K311" i="1"/>
  <c r="L311" i="1"/>
  <c r="G312" i="1"/>
  <c r="J312" i="1"/>
  <c r="K312" i="1"/>
  <c r="L312" i="1"/>
  <c r="G313" i="1"/>
  <c r="J313" i="1"/>
  <c r="K313" i="1"/>
  <c r="L313" i="1"/>
  <c r="G314" i="1"/>
  <c r="J314" i="1"/>
  <c r="K314" i="1"/>
  <c r="L314" i="1"/>
  <c r="G315" i="1"/>
  <c r="J315" i="1"/>
  <c r="K315" i="1"/>
  <c r="L315" i="1"/>
  <c r="G316" i="1"/>
  <c r="J316" i="1"/>
  <c r="K316" i="1"/>
  <c r="L316" i="1"/>
  <c r="G317" i="1"/>
  <c r="J317" i="1"/>
  <c r="K317" i="1"/>
  <c r="L317" i="1"/>
  <c r="G318" i="1"/>
  <c r="J318" i="1"/>
  <c r="K318" i="1"/>
  <c r="L318" i="1"/>
  <c r="G319" i="1"/>
  <c r="J319" i="1"/>
  <c r="K319" i="1"/>
  <c r="L319" i="1"/>
  <c r="G320" i="1"/>
  <c r="J320" i="1"/>
  <c r="K320" i="1"/>
  <c r="L320" i="1"/>
  <c r="G321" i="1"/>
  <c r="J321" i="1"/>
  <c r="K321" i="1"/>
  <c r="L321" i="1"/>
  <c r="G322" i="1"/>
  <c r="J322" i="1"/>
  <c r="K322" i="1"/>
  <c r="L322" i="1"/>
  <c r="G323" i="1"/>
  <c r="J323" i="1"/>
  <c r="K323" i="1"/>
  <c r="L323" i="1"/>
  <c r="G324" i="1"/>
  <c r="J324" i="1"/>
  <c r="K324" i="1"/>
  <c r="L324" i="1"/>
  <c r="G325" i="1"/>
  <c r="J325" i="1"/>
  <c r="K325" i="1"/>
  <c r="L325" i="1"/>
  <c r="G326" i="1"/>
  <c r="J326" i="1"/>
  <c r="K326" i="1"/>
  <c r="L326" i="1"/>
  <c r="G327" i="1"/>
  <c r="J327" i="1"/>
  <c r="K327" i="1"/>
  <c r="L327" i="1"/>
  <c r="G328" i="1"/>
  <c r="J328" i="1"/>
  <c r="K328" i="1"/>
  <c r="L328" i="1"/>
  <c r="G329" i="1"/>
  <c r="J329" i="1"/>
  <c r="K329" i="1"/>
  <c r="L329" i="1"/>
  <c r="G330" i="1"/>
  <c r="J330" i="1"/>
  <c r="K330" i="1"/>
  <c r="L330" i="1"/>
  <c r="G331" i="1"/>
  <c r="J331" i="1"/>
  <c r="K331" i="1"/>
  <c r="L331" i="1"/>
  <c r="G332" i="1"/>
  <c r="J332" i="1"/>
  <c r="K332" i="1"/>
  <c r="L332" i="1"/>
  <c r="G333" i="1"/>
  <c r="J333" i="1"/>
  <c r="K333" i="1"/>
  <c r="L333" i="1"/>
  <c r="G334" i="1"/>
  <c r="J334" i="1"/>
  <c r="K334" i="1"/>
  <c r="L334" i="1"/>
  <c r="G335" i="1"/>
  <c r="J335" i="1"/>
  <c r="K335" i="1"/>
  <c r="L335" i="1"/>
  <c r="G336" i="1"/>
  <c r="J336" i="1"/>
  <c r="K336" i="1"/>
  <c r="L336" i="1"/>
  <c r="G337" i="1"/>
  <c r="J337" i="1"/>
  <c r="K337" i="1"/>
  <c r="L337" i="1"/>
  <c r="G338" i="1"/>
  <c r="J338" i="1"/>
  <c r="K338" i="1"/>
  <c r="L338" i="1"/>
  <c r="G339" i="1"/>
  <c r="J339" i="1"/>
  <c r="K339" i="1"/>
  <c r="L339" i="1"/>
  <c r="G340" i="1"/>
  <c r="J340" i="1"/>
  <c r="K340" i="1"/>
  <c r="L340" i="1"/>
  <c r="G341" i="1"/>
  <c r="J341" i="1"/>
  <c r="K341" i="1"/>
  <c r="L341" i="1"/>
  <c r="G342" i="1"/>
  <c r="J342" i="1"/>
  <c r="K342" i="1"/>
  <c r="L342" i="1"/>
  <c r="G343" i="1"/>
  <c r="J343" i="1"/>
  <c r="K343" i="1"/>
  <c r="L343" i="1"/>
  <c r="G344" i="1"/>
  <c r="J344" i="1"/>
  <c r="K344" i="1"/>
  <c r="L344" i="1"/>
  <c r="G345" i="1"/>
  <c r="J345" i="1"/>
  <c r="K345" i="1"/>
  <c r="L345" i="1"/>
  <c r="G346" i="1"/>
  <c r="J346" i="1"/>
  <c r="K346" i="1"/>
  <c r="L346" i="1"/>
  <c r="G347" i="1"/>
  <c r="J347" i="1"/>
  <c r="K347" i="1"/>
  <c r="L347" i="1"/>
  <c r="G348" i="1"/>
  <c r="J348" i="1"/>
  <c r="K348" i="1"/>
  <c r="L348" i="1"/>
  <c r="G349" i="1"/>
  <c r="J349" i="1"/>
  <c r="K349" i="1"/>
  <c r="L349" i="1"/>
  <c r="G350" i="1"/>
  <c r="J350" i="1"/>
  <c r="K350" i="1"/>
  <c r="L350" i="1"/>
  <c r="G351" i="1"/>
  <c r="J351" i="1"/>
  <c r="K351" i="1"/>
  <c r="L351" i="1"/>
  <c r="G352" i="1"/>
  <c r="J352" i="1"/>
  <c r="K352" i="1"/>
  <c r="L352" i="1"/>
  <c r="G353" i="1"/>
  <c r="J353" i="1"/>
  <c r="K353" i="1"/>
  <c r="L353" i="1"/>
  <c r="G354" i="1"/>
  <c r="J354" i="1"/>
  <c r="K354" i="1"/>
  <c r="L354" i="1"/>
  <c r="G355" i="1"/>
  <c r="J355" i="1"/>
  <c r="K355" i="1"/>
  <c r="L355" i="1"/>
  <c r="G356" i="1"/>
  <c r="J356" i="1"/>
  <c r="K356" i="1"/>
  <c r="L356" i="1"/>
  <c r="G357" i="1"/>
  <c r="J357" i="1"/>
  <c r="K357" i="1"/>
  <c r="L357" i="1"/>
  <c r="G358" i="1"/>
  <c r="J358" i="1"/>
  <c r="K358" i="1"/>
  <c r="L358" i="1"/>
  <c r="G359" i="1"/>
  <c r="J359" i="1"/>
  <c r="K359" i="1"/>
  <c r="L359" i="1"/>
  <c r="G360" i="1"/>
  <c r="J360" i="1"/>
  <c r="K360" i="1"/>
  <c r="L360" i="1"/>
  <c r="G361" i="1"/>
  <c r="J361" i="1"/>
  <c r="K361" i="1"/>
  <c r="L361" i="1"/>
  <c r="G362" i="1"/>
  <c r="J362" i="1"/>
  <c r="K362" i="1"/>
  <c r="L362" i="1"/>
  <c r="G363" i="1"/>
  <c r="J363" i="1"/>
  <c r="K363" i="1"/>
  <c r="L363" i="1"/>
  <c r="G364" i="1"/>
  <c r="J364" i="1"/>
  <c r="K364" i="1"/>
  <c r="L364" i="1"/>
  <c r="G365" i="1"/>
  <c r="J365" i="1"/>
  <c r="K365" i="1"/>
  <c r="L365" i="1"/>
  <c r="G366" i="1"/>
  <c r="J366" i="1"/>
  <c r="K366" i="1"/>
  <c r="L366" i="1"/>
  <c r="G367" i="1"/>
  <c r="J367" i="1"/>
  <c r="K367" i="1"/>
  <c r="L367" i="1"/>
  <c r="G368" i="1"/>
  <c r="J368" i="1"/>
  <c r="K368" i="1"/>
  <c r="L368" i="1"/>
  <c r="G369" i="1"/>
  <c r="J369" i="1"/>
  <c r="K369" i="1"/>
  <c r="L369" i="1"/>
  <c r="G370" i="1"/>
  <c r="J370" i="1"/>
  <c r="K370" i="1"/>
  <c r="L370" i="1"/>
  <c r="G371" i="1"/>
  <c r="J371" i="1"/>
  <c r="K371" i="1"/>
  <c r="L371" i="1"/>
  <c r="G372" i="1"/>
  <c r="J372" i="1"/>
  <c r="K372" i="1"/>
  <c r="L372" i="1"/>
  <c r="G373" i="1"/>
  <c r="J373" i="1"/>
  <c r="K373" i="1"/>
  <c r="L373" i="1"/>
  <c r="G374" i="1"/>
  <c r="J374" i="1"/>
  <c r="K374" i="1"/>
  <c r="L374" i="1"/>
  <c r="G375" i="1"/>
  <c r="J375" i="1"/>
  <c r="K375" i="1"/>
  <c r="L375" i="1"/>
  <c r="G376" i="1"/>
  <c r="J376" i="1"/>
  <c r="K376" i="1"/>
  <c r="L376" i="1"/>
  <c r="G377" i="1"/>
  <c r="J377" i="1"/>
  <c r="K377" i="1"/>
  <c r="L377" i="1"/>
  <c r="G378" i="1"/>
  <c r="J378" i="1"/>
  <c r="K378" i="1"/>
  <c r="L378" i="1"/>
  <c r="G379" i="1"/>
  <c r="J379" i="1"/>
  <c r="K379" i="1"/>
  <c r="L379" i="1"/>
  <c r="G380" i="1"/>
  <c r="J380" i="1"/>
  <c r="K380" i="1"/>
  <c r="L380" i="1"/>
  <c r="G381" i="1"/>
  <c r="J381" i="1"/>
  <c r="K381" i="1"/>
  <c r="L381" i="1"/>
  <c r="G382" i="1"/>
  <c r="J382" i="1"/>
  <c r="K382" i="1"/>
  <c r="L382" i="1"/>
  <c r="G383" i="1"/>
  <c r="J383" i="1"/>
  <c r="K383" i="1"/>
  <c r="L383" i="1"/>
  <c r="G384" i="1"/>
  <c r="J384" i="1"/>
  <c r="K384" i="1"/>
  <c r="L384" i="1"/>
  <c r="G385" i="1"/>
  <c r="J385" i="1"/>
  <c r="K385" i="1"/>
  <c r="L385" i="1"/>
  <c r="G386" i="1"/>
  <c r="J386" i="1"/>
  <c r="K386" i="1"/>
  <c r="L386" i="1"/>
  <c r="G387" i="1"/>
  <c r="J387" i="1"/>
  <c r="K387" i="1"/>
  <c r="L387" i="1"/>
  <c r="G388" i="1"/>
  <c r="J388" i="1"/>
  <c r="K388" i="1"/>
  <c r="L388" i="1"/>
  <c r="G389" i="1"/>
  <c r="J389" i="1"/>
  <c r="K389" i="1"/>
  <c r="L389" i="1"/>
  <c r="G390" i="1"/>
  <c r="J390" i="1"/>
  <c r="K390" i="1"/>
  <c r="L390" i="1"/>
  <c r="G391" i="1"/>
  <c r="J391" i="1"/>
  <c r="K391" i="1"/>
  <c r="L391" i="1"/>
  <c r="G392" i="1"/>
  <c r="J392" i="1"/>
  <c r="K392" i="1"/>
  <c r="L392" i="1"/>
  <c r="G393" i="1"/>
  <c r="J393" i="1"/>
  <c r="K393" i="1"/>
  <c r="L393" i="1"/>
  <c r="G394" i="1"/>
  <c r="J394" i="1"/>
  <c r="K394" i="1"/>
  <c r="L394" i="1"/>
  <c r="G395" i="1"/>
  <c r="J395" i="1"/>
  <c r="K395" i="1"/>
  <c r="L395" i="1"/>
  <c r="G396" i="1"/>
  <c r="J396" i="1"/>
  <c r="K396" i="1"/>
  <c r="L396" i="1"/>
  <c r="G397" i="1"/>
  <c r="J397" i="1"/>
  <c r="K397" i="1"/>
  <c r="L397" i="1"/>
  <c r="G398" i="1"/>
  <c r="J398" i="1"/>
  <c r="K398" i="1"/>
  <c r="L398" i="1"/>
  <c r="G399" i="1"/>
  <c r="J399" i="1"/>
  <c r="K399" i="1"/>
  <c r="L399" i="1"/>
  <c r="G400" i="1"/>
  <c r="J400" i="1"/>
  <c r="K400" i="1"/>
  <c r="L400" i="1"/>
  <c r="G401" i="1"/>
  <c r="J401" i="1"/>
  <c r="K401" i="1"/>
  <c r="L401" i="1"/>
  <c r="G402" i="1"/>
  <c r="J402" i="1"/>
  <c r="K402" i="1"/>
  <c r="L402" i="1"/>
  <c r="G403" i="1"/>
  <c r="J403" i="1"/>
  <c r="K403" i="1"/>
  <c r="L403" i="1"/>
  <c r="G404" i="1"/>
  <c r="J404" i="1"/>
  <c r="K404" i="1"/>
  <c r="L404" i="1"/>
  <c r="G405" i="1"/>
  <c r="J405" i="1"/>
  <c r="K405" i="1"/>
  <c r="L405" i="1"/>
  <c r="G406" i="1"/>
  <c r="J406" i="1"/>
  <c r="K406" i="1"/>
  <c r="L406" i="1"/>
  <c r="G407" i="1"/>
  <c r="J407" i="1"/>
  <c r="K407" i="1"/>
  <c r="L407" i="1"/>
  <c r="G408" i="1"/>
  <c r="J408" i="1"/>
  <c r="K408" i="1"/>
  <c r="L408" i="1"/>
  <c r="G409" i="1"/>
  <c r="J409" i="1"/>
  <c r="K409" i="1"/>
  <c r="L409" i="1"/>
  <c r="G410" i="1"/>
  <c r="J410" i="1"/>
  <c r="K410" i="1"/>
  <c r="L410" i="1"/>
  <c r="G411" i="1"/>
  <c r="J411" i="1"/>
  <c r="K411" i="1"/>
  <c r="L411" i="1"/>
  <c r="G412" i="1"/>
  <c r="J412" i="1"/>
  <c r="K412" i="1"/>
  <c r="L412" i="1"/>
  <c r="G413" i="1"/>
  <c r="J413" i="1"/>
  <c r="K413" i="1"/>
  <c r="L413" i="1"/>
  <c r="G414" i="1"/>
  <c r="J414" i="1"/>
  <c r="K414" i="1"/>
  <c r="L414" i="1"/>
  <c r="G415" i="1"/>
  <c r="J415" i="1"/>
  <c r="K415" i="1"/>
  <c r="L415" i="1"/>
  <c r="G416" i="1"/>
  <c r="J416" i="1"/>
  <c r="K416" i="1"/>
  <c r="L416" i="1"/>
  <c r="G417" i="1"/>
  <c r="J417" i="1"/>
  <c r="K417" i="1"/>
  <c r="L417" i="1"/>
  <c r="G418" i="1"/>
  <c r="J418" i="1"/>
  <c r="K418" i="1"/>
  <c r="L418" i="1"/>
  <c r="G419" i="1"/>
  <c r="J419" i="1"/>
  <c r="K419" i="1"/>
  <c r="L419" i="1"/>
  <c r="G420" i="1"/>
  <c r="J420" i="1"/>
  <c r="K420" i="1"/>
  <c r="L420" i="1"/>
  <c r="G421" i="1"/>
  <c r="J421" i="1"/>
  <c r="K421" i="1"/>
  <c r="L421" i="1"/>
  <c r="G422" i="1"/>
  <c r="J422" i="1"/>
  <c r="K422" i="1"/>
  <c r="L422" i="1"/>
  <c r="G423" i="1"/>
  <c r="J423" i="1"/>
  <c r="K423" i="1"/>
  <c r="L423" i="1"/>
  <c r="G424" i="1"/>
  <c r="J424" i="1"/>
  <c r="K424" i="1"/>
  <c r="L424" i="1"/>
  <c r="G425" i="1"/>
  <c r="J425" i="1"/>
  <c r="K425" i="1"/>
  <c r="L425" i="1"/>
  <c r="G426" i="1"/>
  <c r="J426" i="1"/>
  <c r="K426" i="1"/>
  <c r="L426" i="1"/>
  <c r="G427" i="1"/>
  <c r="J427" i="1"/>
  <c r="K427" i="1"/>
  <c r="L427" i="1"/>
  <c r="G428" i="1"/>
  <c r="J428" i="1"/>
  <c r="K428" i="1"/>
  <c r="L428" i="1"/>
  <c r="G429" i="1"/>
  <c r="J429" i="1"/>
  <c r="K429" i="1"/>
  <c r="L429" i="1"/>
  <c r="G430" i="1"/>
  <c r="J430" i="1"/>
  <c r="K430" i="1"/>
  <c r="L430" i="1"/>
  <c r="G431" i="1"/>
  <c r="J431" i="1"/>
  <c r="K431" i="1"/>
  <c r="L431" i="1"/>
  <c r="G432" i="1"/>
  <c r="J432" i="1"/>
  <c r="K432" i="1"/>
  <c r="L432" i="1"/>
  <c r="G433" i="1"/>
  <c r="J433" i="1"/>
  <c r="K433" i="1"/>
  <c r="L433" i="1"/>
  <c r="G434" i="1"/>
  <c r="J434" i="1"/>
  <c r="K434" i="1"/>
  <c r="L434" i="1"/>
  <c r="G435" i="1"/>
  <c r="J435" i="1"/>
  <c r="K435" i="1"/>
  <c r="L435" i="1"/>
  <c r="G436" i="1"/>
  <c r="J436" i="1"/>
  <c r="K436" i="1"/>
  <c r="L436" i="1"/>
  <c r="G437" i="1"/>
  <c r="J437" i="1"/>
  <c r="K437" i="1"/>
  <c r="L437" i="1"/>
  <c r="G438" i="1"/>
  <c r="J438" i="1"/>
  <c r="K438" i="1"/>
  <c r="L438" i="1"/>
  <c r="G439" i="1"/>
  <c r="J439" i="1"/>
  <c r="K439" i="1"/>
  <c r="L439" i="1"/>
  <c r="G440" i="1"/>
  <c r="J440" i="1"/>
  <c r="K440" i="1"/>
  <c r="L440" i="1"/>
  <c r="G441" i="1"/>
  <c r="J441" i="1"/>
  <c r="K441" i="1"/>
  <c r="L441" i="1"/>
  <c r="G442" i="1"/>
  <c r="J442" i="1"/>
  <c r="K442" i="1"/>
  <c r="L442" i="1"/>
  <c r="G443" i="1"/>
  <c r="J443" i="1"/>
  <c r="K443" i="1"/>
  <c r="L443" i="1"/>
  <c r="G444" i="1"/>
  <c r="J444" i="1"/>
  <c r="K444" i="1"/>
  <c r="L444" i="1"/>
  <c r="G445" i="1"/>
  <c r="J445" i="1"/>
  <c r="K445" i="1"/>
  <c r="L445" i="1"/>
  <c r="G446" i="1"/>
  <c r="J446" i="1"/>
  <c r="K446" i="1"/>
  <c r="L446" i="1"/>
  <c r="G447" i="1"/>
  <c r="J447" i="1"/>
  <c r="K447" i="1"/>
  <c r="L447" i="1"/>
  <c r="G448" i="1"/>
  <c r="J448" i="1"/>
  <c r="K448" i="1"/>
  <c r="L448" i="1"/>
  <c r="G449" i="1"/>
  <c r="J449" i="1"/>
  <c r="K449" i="1"/>
  <c r="L449" i="1"/>
  <c r="G450" i="1"/>
  <c r="J450" i="1"/>
  <c r="K450" i="1"/>
  <c r="L450" i="1"/>
  <c r="G451" i="1"/>
  <c r="J451" i="1"/>
  <c r="K451" i="1"/>
  <c r="L451" i="1"/>
  <c r="G452" i="1"/>
  <c r="J452" i="1"/>
  <c r="K452" i="1"/>
  <c r="L452" i="1"/>
  <c r="G453" i="1"/>
  <c r="J453" i="1"/>
  <c r="K453" i="1"/>
  <c r="L453" i="1"/>
  <c r="G454" i="1"/>
  <c r="J454" i="1"/>
  <c r="K454" i="1"/>
  <c r="L454" i="1"/>
  <c r="G455" i="1"/>
  <c r="J455" i="1"/>
  <c r="K455" i="1"/>
  <c r="L455" i="1"/>
  <c r="G456" i="1"/>
  <c r="J456" i="1"/>
  <c r="K456" i="1"/>
  <c r="L456" i="1"/>
  <c r="G457" i="1"/>
  <c r="J457" i="1"/>
  <c r="K457" i="1"/>
  <c r="L457" i="1"/>
  <c r="G458" i="1"/>
  <c r="J458" i="1"/>
  <c r="K458" i="1"/>
  <c r="L458" i="1"/>
  <c r="G459" i="1"/>
  <c r="J459" i="1"/>
  <c r="K459" i="1"/>
  <c r="L459" i="1"/>
  <c r="G460" i="1"/>
  <c r="J460" i="1"/>
  <c r="K460" i="1"/>
  <c r="L460" i="1"/>
  <c r="G461" i="1"/>
  <c r="J461" i="1"/>
  <c r="K461" i="1"/>
  <c r="L461" i="1"/>
  <c r="G462" i="1"/>
  <c r="J462" i="1"/>
  <c r="K462" i="1"/>
  <c r="L462" i="1"/>
  <c r="G463" i="1"/>
  <c r="J463" i="1"/>
  <c r="K463" i="1"/>
  <c r="L463" i="1"/>
  <c r="G464" i="1"/>
  <c r="J464" i="1"/>
  <c r="K464" i="1"/>
  <c r="L464" i="1"/>
  <c r="G465" i="1"/>
  <c r="J465" i="1"/>
  <c r="K465" i="1"/>
  <c r="L465" i="1"/>
  <c r="G466" i="1"/>
  <c r="J466" i="1"/>
  <c r="K466" i="1"/>
  <c r="L466" i="1"/>
  <c r="G467" i="1"/>
  <c r="J467" i="1"/>
  <c r="K467" i="1"/>
  <c r="L467" i="1"/>
  <c r="G468" i="1"/>
  <c r="J468" i="1"/>
  <c r="K468" i="1"/>
  <c r="L468" i="1"/>
  <c r="G469" i="1"/>
  <c r="J469" i="1"/>
  <c r="K469" i="1"/>
  <c r="L469" i="1"/>
  <c r="G470" i="1"/>
  <c r="J470" i="1"/>
  <c r="K470" i="1"/>
  <c r="L470" i="1"/>
  <c r="G471" i="1"/>
  <c r="J471" i="1"/>
  <c r="K471" i="1"/>
  <c r="L471" i="1"/>
  <c r="G472" i="1"/>
  <c r="J472" i="1"/>
  <c r="K472" i="1"/>
  <c r="L472" i="1"/>
  <c r="G473" i="1"/>
  <c r="J473" i="1"/>
  <c r="K473" i="1"/>
  <c r="L473" i="1"/>
  <c r="G474" i="1"/>
  <c r="J474" i="1"/>
  <c r="K474" i="1"/>
  <c r="L474" i="1"/>
  <c r="G475" i="1"/>
  <c r="J475" i="1"/>
  <c r="K475" i="1"/>
  <c r="L475" i="1"/>
  <c r="G476" i="1"/>
  <c r="J476" i="1"/>
  <c r="K476" i="1"/>
  <c r="L476" i="1"/>
  <c r="G477" i="1"/>
  <c r="J477" i="1"/>
  <c r="K477" i="1"/>
  <c r="L477" i="1"/>
  <c r="G478" i="1"/>
  <c r="J478" i="1"/>
  <c r="K478" i="1"/>
  <c r="L478" i="1"/>
  <c r="G479" i="1"/>
  <c r="J479" i="1"/>
  <c r="K479" i="1"/>
  <c r="L479" i="1"/>
  <c r="G480" i="1"/>
  <c r="J480" i="1"/>
  <c r="K480" i="1"/>
  <c r="L480" i="1"/>
  <c r="G481" i="1"/>
  <c r="J481" i="1"/>
  <c r="K481" i="1"/>
  <c r="L481" i="1"/>
  <c r="G482" i="1"/>
  <c r="J482" i="1"/>
  <c r="K482" i="1"/>
  <c r="L482" i="1"/>
  <c r="G483" i="1"/>
  <c r="J483" i="1"/>
  <c r="K483" i="1"/>
  <c r="L483" i="1"/>
  <c r="G484" i="1"/>
  <c r="J484" i="1"/>
  <c r="K484" i="1"/>
  <c r="L484" i="1"/>
  <c r="G485" i="1"/>
  <c r="J485" i="1"/>
  <c r="K485" i="1"/>
  <c r="L485" i="1"/>
  <c r="G486" i="1"/>
  <c r="J486" i="1"/>
  <c r="K486" i="1"/>
  <c r="L486" i="1"/>
  <c r="G487" i="1"/>
  <c r="J487" i="1"/>
  <c r="K487" i="1"/>
  <c r="L487" i="1"/>
  <c r="G488" i="1"/>
  <c r="J488" i="1"/>
  <c r="K488" i="1"/>
  <c r="L488" i="1"/>
  <c r="G489" i="1"/>
  <c r="J489" i="1"/>
  <c r="K489" i="1"/>
  <c r="L489" i="1"/>
  <c r="G490" i="1"/>
  <c r="J490" i="1"/>
  <c r="K490" i="1"/>
  <c r="L490" i="1"/>
  <c r="G491" i="1"/>
  <c r="J491" i="1"/>
  <c r="K491" i="1"/>
  <c r="L491" i="1"/>
  <c r="G492" i="1"/>
  <c r="J492" i="1"/>
  <c r="K492" i="1"/>
  <c r="L492" i="1"/>
  <c r="G493" i="1"/>
  <c r="J493" i="1"/>
  <c r="K493" i="1"/>
  <c r="L493" i="1"/>
  <c r="G494" i="1"/>
  <c r="J494" i="1"/>
  <c r="K494" i="1"/>
  <c r="L494" i="1"/>
  <c r="G495" i="1"/>
  <c r="J495" i="1"/>
  <c r="K495" i="1"/>
  <c r="L495" i="1"/>
  <c r="G496" i="1"/>
  <c r="J496" i="1"/>
  <c r="K496" i="1"/>
  <c r="L496" i="1"/>
  <c r="G497" i="1"/>
  <c r="J497" i="1"/>
  <c r="K497" i="1"/>
  <c r="L497" i="1"/>
  <c r="G498" i="1"/>
  <c r="J498" i="1"/>
  <c r="K498" i="1"/>
  <c r="L498" i="1"/>
  <c r="G499" i="1"/>
  <c r="J499" i="1"/>
  <c r="K499" i="1"/>
  <c r="L499" i="1"/>
  <c r="G500" i="1"/>
  <c r="J500" i="1"/>
  <c r="K500" i="1"/>
  <c r="L500" i="1"/>
  <c r="G501" i="1"/>
  <c r="J501" i="1"/>
  <c r="K501" i="1"/>
  <c r="L501" i="1"/>
  <c r="G502" i="1"/>
  <c r="J502" i="1"/>
  <c r="K502" i="1"/>
  <c r="L502" i="1"/>
  <c r="G503" i="1"/>
  <c r="J503" i="1"/>
  <c r="K503" i="1"/>
  <c r="L503" i="1"/>
  <c r="G504" i="1"/>
  <c r="J504" i="1"/>
  <c r="K504" i="1"/>
  <c r="L504" i="1"/>
  <c r="G505" i="1"/>
  <c r="J505" i="1"/>
  <c r="K505" i="1"/>
  <c r="L505" i="1"/>
  <c r="G506" i="1"/>
  <c r="J506" i="1"/>
  <c r="K506" i="1"/>
  <c r="L506" i="1"/>
  <c r="G507" i="1"/>
  <c r="J507" i="1"/>
  <c r="K507" i="1"/>
  <c r="L507" i="1"/>
  <c r="G508" i="1"/>
  <c r="J508" i="1"/>
  <c r="K508" i="1"/>
  <c r="L508" i="1"/>
  <c r="G509" i="1"/>
  <c r="J509" i="1"/>
  <c r="K509" i="1"/>
  <c r="L509" i="1"/>
  <c r="G510" i="1"/>
  <c r="J510" i="1"/>
  <c r="K510" i="1"/>
  <c r="L510" i="1"/>
  <c r="G511" i="1"/>
  <c r="J511" i="1"/>
  <c r="K511" i="1"/>
  <c r="L511" i="1"/>
  <c r="G512" i="1"/>
  <c r="J512" i="1"/>
  <c r="K512" i="1"/>
  <c r="L512" i="1"/>
  <c r="G513" i="1"/>
  <c r="J513" i="1"/>
  <c r="K513" i="1"/>
  <c r="L513" i="1"/>
  <c r="G514" i="1"/>
  <c r="J514" i="1"/>
  <c r="K514" i="1"/>
  <c r="L514" i="1"/>
  <c r="G515" i="1"/>
  <c r="J515" i="1"/>
  <c r="K515" i="1"/>
  <c r="L515" i="1"/>
  <c r="G516" i="1"/>
  <c r="J516" i="1"/>
  <c r="K516" i="1"/>
  <c r="L516" i="1"/>
  <c r="G517" i="1"/>
  <c r="J517" i="1"/>
  <c r="K517" i="1"/>
  <c r="L517" i="1"/>
  <c r="G518" i="1"/>
  <c r="J518" i="1"/>
  <c r="K518" i="1"/>
  <c r="L518" i="1"/>
  <c r="G519" i="1"/>
  <c r="J519" i="1"/>
  <c r="K519" i="1"/>
  <c r="L519" i="1"/>
  <c r="G520" i="1"/>
  <c r="J520" i="1"/>
  <c r="K520" i="1"/>
  <c r="L520" i="1"/>
  <c r="G521" i="1"/>
  <c r="J521" i="1"/>
  <c r="K521" i="1"/>
  <c r="L521" i="1"/>
  <c r="G522" i="1"/>
  <c r="J522" i="1"/>
  <c r="K522" i="1"/>
  <c r="L522" i="1"/>
  <c r="G523" i="1"/>
  <c r="J523" i="1"/>
  <c r="K523" i="1"/>
  <c r="L523" i="1"/>
  <c r="G524" i="1"/>
  <c r="J524" i="1"/>
  <c r="K524" i="1"/>
  <c r="L524" i="1"/>
  <c r="G525" i="1"/>
  <c r="J525" i="1"/>
  <c r="K525" i="1"/>
  <c r="L525" i="1"/>
  <c r="G526" i="1"/>
  <c r="J526" i="1"/>
  <c r="K526" i="1"/>
  <c r="L526" i="1"/>
  <c r="G527" i="1"/>
  <c r="J527" i="1"/>
  <c r="K527" i="1"/>
  <c r="L527" i="1"/>
  <c r="G528" i="1"/>
  <c r="J528" i="1"/>
  <c r="K528" i="1"/>
  <c r="L528" i="1"/>
  <c r="G529" i="1"/>
  <c r="J529" i="1"/>
  <c r="K529" i="1"/>
  <c r="L529" i="1"/>
  <c r="G530" i="1"/>
  <c r="J530" i="1"/>
  <c r="K530" i="1"/>
  <c r="L530" i="1"/>
  <c r="G531" i="1"/>
  <c r="J531" i="1"/>
  <c r="K531" i="1"/>
  <c r="L531" i="1"/>
  <c r="G532" i="1"/>
  <c r="J532" i="1"/>
  <c r="K532" i="1"/>
  <c r="L532" i="1"/>
  <c r="G533" i="1"/>
  <c r="J533" i="1"/>
  <c r="K533" i="1"/>
  <c r="L533" i="1"/>
  <c r="G534" i="1"/>
  <c r="J534" i="1"/>
  <c r="K534" i="1"/>
  <c r="L534" i="1"/>
  <c r="G535" i="1"/>
  <c r="J535" i="1"/>
  <c r="K535" i="1"/>
  <c r="L535" i="1"/>
  <c r="G536" i="1"/>
  <c r="J536" i="1"/>
  <c r="K536" i="1"/>
  <c r="L536" i="1"/>
  <c r="G537" i="1"/>
  <c r="J537" i="1"/>
  <c r="K537" i="1"/>
  <c r="L537" i="1"/>
  <c r="G538" i="1"/>
  <c r="J538" i="1"/>
  <c r="K538" i="1"/>
  <c r="L538" i="1"/>
  <c r="G539" i="1"/>
  <c r="J539" i="1"/>
  <c r="K539" i="1"/>
  <c r="L539" i="1"/>
  <c r="G540" i="1"/>
  <c r="J540" i="1"/>
  <c r="K540" i="1"/>
  <c r="L540" i="1"/>
  <c r="G541" i="1"/>
  <c r="J541" i="1"/>
  <c r="K541" i="1"/>
  <c r="L541" i="1"/>
  <c r="G542" i="1"/>
  <c r="J542" i="1"/>
  <c r="K542" i="1"/>
  <c r="L542" i="1"/>
  <c r="G543" i="1"/>
  <c r="J543" i="1"/>
  <c r="K543" i="1"/>
  <c r="L543" i="1"/>
  <c r="G544" i="1"/>
  <c r="J544" i="1"/>
  <c r="K544" i="1"/>
  <c r="L544" i="1"/>
  <c r="G545" i="1"/>
  <c r="J545" i="1"/>
  <c r="K545" i="1"/>
  <c r="L545" i="1"/>
  <c r="G546" i="1"/>
  <c r="J546" i="1"/>
  <c r="K546" i="1"/>
  <c r="L546" i="1"/>
  <c r="G547" i="1"/>
  <c r="J547" i="1"/>
  <c r="K547" i="1"/>
  <c r="L547" i="1"/>
  <c r="G548" i="1"/>
  <c r="J548" i="1"/>
  <c r="K548" i="1"/>
  <c r="L548" i="1"/>
  <c r="G549" i="1"/>
  <c r="J549" i="1"/>
  <c r="K549" i="1"/>
  <c r="L549" i="1"/>
  <c r="G550" i="1"/>
  <c r="J550" i="1"/>
  <c r="K550" i="1"/>
  <c r="L550" i="1"/>
  <c r="G551" i="1"/>
  <c r="J551" i="1"/>
  <c r="K551" i="1"/>
  <c r="L551" i="1"/>
  <c r="G552" i="1"/>
  <c r="J552" i="1"/>
  <c r="K552" i="1"/>
  <c r="L552" i="1"/>
  <c r="G553" i="1"/>
  <c r="J553" i="1"/>
  <c r="K553" i="1"/>
  <c r="L553" i="1"/>
  <c r="G554" i="1"/>
  <c r="J554" i="1"/>
  <c r="K554" i="1"/>
  <c r="L554" i="1"/>
  <c r="G555" i="1"/>
  <c r="J555" i="1"/>
  <c r="K555" i="1"/>
  <c r="L555" i="1"/>
  <c r="G556" i="1"/>
  <c r="J556" i="1"/>
  <c r="K556" i="1"/>
  <c r="L556" i="1"/>
  <c r="G557" i="1"/>
  <c r="J557" i="1"/>
  <c r="K557" i="1"/>
  <c r="L557" i="1"/>
  <c r="G558" i="1"/>
  <c r="J558" i="1"/>
  <c r="K558" i="1"/>
  <c r="L558" i="1"/>
  <c r="G559" i="1"/>
  <c r="J559" i="1"/>
  <c r="K559" i="1"/>
  <c r="L559" i="1"/>
  <c r="G560" i="1"/>
  <c r="J560" i="1"/>
  <c r="K560" i="1"/>
  <c r="L560" i="1"/>
  <c r="G561" i="1"/>
  <c r="J561" i="1"/>
  <c r="K561" i="1"/>
  <c r="L561" i="1"/>
  <c r="G562" i="1"/>
  <c r="J562" i="1"/>
  <c r="K562" i="1"/>
  <c r="L562" i="1"/>
  <c r="G563" i="1"/>
  <c r="J563" i="1"/>
  <c r="K563" i="1"/>
  <c r="L563" i="1"/>
  <c r="G564" i="1"/>
  <c r="J564" i="1"/>
  <c r="K564" i="1"/>
  <c r="L564" i="1"/>
  <c r="G565" i="1"/>
  <c r="J565" i="1"/>
  <c r="K565" i="1"/>
  <c r="L565" i="1"/>
  <c r="G566" i="1"/>
  <c r="J566" i="1"/>
  <c r="K566" i="1"/>
  <c r="L566" i="1"/>
  <c r="G567" i="1"/>
  <c r="J567" i="1"/>
  <c r="K567" i="1"/>
  <c r="L567" i="1"/>
  <c r="G568" i="1"/>
  <c r="J568" i="1"/>
  <c r="K568" i="1"/>
  <c r="L568" i="1"/>
  <c r="G569" i="1"/>
  <c r="J569" i="1"/>
  <c r="K569" i="1"/>
  <c r="L569" i="1"/>
  <c r="G570" i="1"/>
  <c r="J570" i="1"/>
  <c r="K570" i="1"/>
  <c r="L570" i="1"/>
  <c r="G571" i="1"/>
  <c r="J571" i="1"/>
  <c r="K571" i="1"/>
  <c r="L571" i="1"/>
  <c r="G572" i="1"/>
  <c r="J572" i="1"/>
  <c r="K572" i="1"/>
  <c r="L572" i="1"/>
  <c r="G573" i="1"/>
  <c r="J573" i="1"/>
  <c r="K573" i="1"/>
  <c r="L573" i="1"/>
  <c r="G574" i="1"/>
  <c r="J574" i="1"/>
  <c r="K574" i="1"/>
  <c r="L574" i="1"/>
  <c r="G575" i="1"/>
  <c r="J575" i="1"/>
  <c r="K575" i="1"/>
  <c r="L575" i="1"/>
  <c r="G576" i="1"/>
  <c r="J576" i="1"/>
  <c r="K576" i="1"/>
  <c r="L576" i="1"/>
  <c r="G577" i="1"/>
  <c r="J577" i="1"/>
  <c r="K577" i="1"/>
  <c r="L577" i="1"/>
  <c r="G578" i="1"/>
  <c r="J578" i="1"/>
  <c r="K578" i="1"/>
  <c r="L578" i="1"/>
  <c r="G579" i="1"/>
  <c r="J579" i="1"/>
  <c r="K579" i="1"/>
  <c r="L579" i="1"/>
  <c r="G580" i="1"/>
  <c r="J580" i="1"/>
  <c r="K580" i="1"/>
  <c r="L580" i="1"/>
  <c r="G581" i="1"/>
  <c r="J581" i="1"/>
  <c r="K581" i="1"/>
  <c r="L581" i="1"/>
  <c r="G582" i="1"/>
  <c r="J582" i="1"/>
  <c r="K582" i="1"/>
  <c r="L582" i="1"/>
  <c r="G583" i="1"/>
  <c r="J583" i="1"/>
  <c r="K583" i="1"/>
  <c r="L583" i="1"/>
  <c r="G584" i="1"/>
  <c r="J584" i="1"/>
  <c r="K584" i="1"/>
  <c r="L584" i="1"/>
  <c r="G585" i="1"/>
  <c r="J585" i="1"/>
  <c r="K585" i="1"/>
  <c r="L585" i="1"/>
  <c r="G586" i="1"/>
  <c r="J586" i="1"/>
  <c r="K586" i="1"/>
  <c r="L586" i="1"/>
  <c r="G587" i="1"/>
  <c r="J587" i="1"/>
  <c r="K587" i="1"/>
  <c r="L587" i="1"/>
  <c r="G588" i="1"/>
  <c r="J588" i="1"/>
  <c r="K588" i="1"/>
  <c r="L588" i="1"/>
  <c r="G589" i="1"/>
  <c r="J589" i="1"/>
  <c r="K589" i="1"/>
  <c r="L589" i="1"/>
  <c r="G590" i="1"/>
  <c r="J590" i="1"/>
  <c r="K590" i="1"/>
  <c r="L590" i="1"/>
  <c r="G591" i="1"/>
  <c r="J591" i="1"/>
  <c r="K591" i="1"/>
  <c r="L591" i="1"/>
  <c r="G592" i="1"/>
  <c r="J592" i="1"/>
  <c r="K592" i="1"/>
  <c r="L592" i="1"/>
  <c r="G593" i="1"/>
  <c r="J593" i="1"/>
  <c r="K593" i="1"/>
  <c r="L593" i="1"/>
  <c r="G594" i="1"/>
  <c r="J594" i="1"/>
  <c r="K594" i="1"/>
  <c r="L594" i="1"/>
  <c r="G595" i="1"/>
  <c r="J595" i="1"/>
  <c r="K595" i="1"/>
  <c r="L595" i="1"/>
  <c r="G596" i="1"/>
  <c r="J596" i="1"/>
  <c r="K596" i="1"/>
  <c r="L596" i="1"/>
  <c r="G597" i="1"/>
  <c r="J597" i="1"/>
  <c r="K597" i="1"/>
  <c r="L597" i="1"/>
  <c r="G598" i="1"/>
  <c r="J598" i="1"/>
  <c r="K598" i="1"/>
  <c r="L598" i="1"/>
  <c r="G599" i="1"/>
  <c r="J599" i="1"/>
  <c r="K599" i="1"/>
  <c r="L599" i="1"/>
  <c r="G600" i="1"/>
  <c r="J600" i="1"/>
  <c r="K600" i="1"/>
  <c r="L600" i="1"/>
  <c r="G601" i="1"/>
  <c r="J601" i="1"/>
  <c r="K601" i="1"/>
  <c r="L601" i="1"/>
  <c r="G602" i="1"/>
  <c r="J602" i="1"/>
  <c r="K602" i="1"/>
  <c r="L602" i="1"/>
  <c r="G603" i="1"/>
  <c r="J603" i="1"/>
  <c r="K603" i="1"/>
  <c r="L603" i="1"/>
  <c r="G604" i="1"/>
  <c r="J604" i="1"/>
  <c r="K604" i="1"/>
  <c r="L604" i="1"/>
  <c r="G605" i="1"/>
  <c r="J605" i="1"/>
  <c r="K605" i="1"/>
  <c r="L605" i="1"/>
  <c r="G606" i="1"/>
  <c r="J606" i="1"/>
  <c r="K606" i="1"/>
  <c r="L606" i="1"/>
  <c r="G607" i="1"/>
  <c r="J607" i="1"/>
  <c r="K607" i="1"/>
  <c r="L607" i="1"/>
  <c r="G608" i="1"/>
  <c r="J608" i="1"/>
  <c r="K608" i="1"/>
  <c r="L608" i="1"/>
  <c r="G609" i="1"/>
  <c r="J609" i="1"/>
  <c r="K609" i="1"/>
  <c r="L609" i="1"/>
  <c r="G610" i="1"/>
  <c r="J610" i="1"/>
  <c r="K610" i="1"/>
  <c r="L610" i="1"/>
  <c r="G611" i="1"/>
  <c r="J611" i="1"/>
  <c r="K611" i="1"/>
  <c r="L611" i="1"/>
  <c r="G612" i="1"/>
  <c r="J612" i="1"/>
  <c r="K612" i="1"/>
  <c r="L612" i="1"/>
  <c r="G613" i="1"/>
  <c r="J613" i="1"/>
  <c r="K613" i="1"/>
  <c r="L613" i="1"/>
  <c r="G614" i="1"/>
  <c r="J614" i="1"/>
  <c r="K614" i="1"/>
  <c r="L614" i="1"/>
  <c r="G615" i="1"/>
  <c r="J615" i="1"/>
  <c r="K615" i="1"/>
  <c r="L615" i="1"/>
  <c r="G616" i="1"/>
  <c r="J616" i="1"/>
  <c r="K616" i="1"/>
  <c r="L616" i="1"/>
  <c r="G617" i="1"/>
  <c r="J617" i="1"/>
  <c r="K617" i="1"/>
  <c r="L617" i="1"/>
  <c r="G618" i="1"/>
  <c r="J618" i="1"/>
  <c r="K618" i="1"/>
  <c r="L618" i="1"/>
  <c r="G619" i="1"/>
  <c r="J619" i="1"/>
  <c r="K619" i="1"/>
  <c r="L619" i="1"/>
  <c r="G620" i="1"/>
  <c r="J620" i="1"/>
  <c r="K620" i="1"/>
  <c r="L620" i="1"/>
  <c r="G621" i="1"/>
  <c r="J621" i="1"/>
  <c r="K621" i="1"/>
  <c r="L621" i="1"/>
  <c r="G622" i="1"/>
  <c r="J622" i="1"/>
  <c r="K622" i="1"/>
  <c r="L622" i="1"/>
  <c r="G623" i="1"/>
  <c r="J623" i="1"/>
  <c r="K623" i="1"/>
  <c r="L623" i="1"/>
  <c r="G624" i="1"/>
  <c r="J624" i="1"/>
  <c r="K624" i="1"/>
  <c r="L624" i="1"/>
  <c r="G625" i="1"/>
  <c r="J625" i="1"/>
  <c r="K625" i="1"/>
  <c r="L625" i="1"/>
  <c r="G626" i="1"/>
  <c r="J626" i="1"/>
  <c r="K626" i="1"/>
  <c r="L626" i="1"/>
  <c r="G627" i="1"/>
  <c r="J627" i="1"/>
  <c r="K627" i="1"/>
  <c r="L627" i="1"/>
  <c r="G628" i="1"/>
  <c r="J628" i="1"/>
  <c r="K628" i="1"/>
  <c r="L628" i="1"/>
  <c r="G629" i="1"/>
  <c r="J629" i="1"/>
  <c r="K629" i="1"/>
  <c r="L629" i="1"/>
  <c r="G630" i="1"/>
  <c r="J630" i="1"/>
  <c r="K630" i="1"/>
  <c r="L630" i="1"/>
  <c r="G631" i="1"/>
  <c r="J631" i="1"/>
  <c r="K631" i="1"/>
  <c r="L631" i="1"/>
  <c r="G632" i="1"/>
  <c r="J632" i="1"/>
  <c r="K632" i="1"/>
  <c r="L632" i="1"/>
  <c r="G633" i="1"/>
  <c r="J633" i="1"/>
  <c r="K633" i="1"/>
  <c r="L633" i="1"/>
  <c r="G634" i="1"/>
  <c r="J634" i="1"/>
  <c r="K634" i="1"/>
  <c r="L634" i="1"/>
  <c r="G635" i="1"/>
  <c r="J635" i="1"/>
  <c r="K635" i="1"/>
  <c r="L635" i="1"/>
  <c r="G636" i="1"/>
  <c r="J636" i="1"/>
  <c r="K636" i="1"/>
  <c r="L636" i="1"/>
  <c r="G637" i="1"/>
  <c r="J637" i="1"/>
  <c r="K637" i="1"/>
  <c r="L637" i="1"/>
  <c r="G638" i="1"/>
  <c r="J638" i="1"/>
  <c r="K638" i="1"/>
  <c r="L638" i="1"/>
  <c r="G639" i="1"/>
  <c r="J639" i="1"/>
  <c r="K639" i="1"/>
  <c r="L639" i="1"/>
  <c r="G640" i="1"/>
  <c r="J640" i="1"/>
  <c r="K640" i="1"/>
  <c r="L640" i="1"/>
  <c r="G641" i="1"/>
  <c r="J641" i="1"/>
  <c r="K641" i="1"/>
  <c r="L641" i="1"/>
  <c r="G642" i="1"/>
  <c r="J642" i="1"/>
  <c r="K642" i="1"/>
  <c r="L642" i="1"/>
  <c r="G643" i="1"/>
  <c r="J643" i="1"/>
  <c r="K643" i="1"/>
  <c r="L643" i="1"/>
  <c r="G644" i="1"/>
  <c r="J644" i="1"/>
  <c r="K644" i="1"/>
  <c r="L644" i="1"/>
  <c r="G645" i="1"/>
  <c r="J645" i="1"/>
  <c r="K645" i="1"/>
  <c r="L645" i="1"/>
  <c r="G646" i="1"/>
  <c r="J646" i="1"/>
  <c r="K646" i="1"/>
  <c r="L646" i="1"/>
  <c r="G647" i="1"/>
  <c r="J647" i="1"/>
  <c r="K647" i="1"/>
  <c r="L647" i="1"/>
  <c r="G648" i="1"/>
  <c r="J648" i="1"/>
  <c r="K648" i="1"/>
  <c r="L648" i="1"/>
  <c r="G649" i="1"/>
  <c r="J649" i="1"/>
  <c r="K649" i="1"/>
  <c r="L649" i="1"/>
  <c r="G650" i="1"/>
  <c r="J650" i="1"/>
  <c r="K650" i="1"/>
  <c r="L650" i="1"/>
  <c r="G651" i="1"/>
  <c r="J651" i="1"/>
  <c r="K651" i="1"/>
  <c r="L651" i="1"/>
  <c r="G652" i="1"/>
  <c r="J652" i="1"/>
  <c r="K652" i="1"/>
  <c r="L652" i="1"/>
  <c r="G653" i="1"/>
  <c r="J653" i="1"/>
  <c r="K653" i="1"/>
  <c r="L653" i="1"/>
  <c r="G654" i="1"/>
  <c r="J654" i="1"/>
  <c r="K654" i="1"/>
  <c r="L654" i="1"/>
  <c r="G655" i="1"/>
  <c r="J655" i="1"/>
  <c r="K655" i="1"/>
  <c r="L655" i="1"/>
  <c r="G656" i="1"/>
  <c r="J656" i="1"/>
  <c r="K656" i="1"/>
  <c r="L656" i="1"/>
  <c r="G657" i="1"/>
  <c r="J657" i="1"/>
  <c r="K657" i="1"/>
  <c r="L657" i="1"/>
  <c r="G658" i="1"/>
  <c r="J658" i="1"/>
  <c r="K658" i="1"/>
  <c r="L658" i="1"/>
  <c r="G659" i="1"/>
  <c r="J659" i="1"/>
  <c r="K659" i="1"/>
  <c r="L659" i="1"/>
  <c r="G660" i="1"/>
  <c r="J660" i="1"/>
  <c r="K660" i="1"/>
  <c r="L660" i="1"/>
  <c r="G661" i="1"/>
  <c r="J661" i="1"/>
  <c r="K661" i="1"/>
  <c r="L661" i="1"/>
  <c r="G662" i="1"/>
  <c r="J662" i="1"/>
  <c r="K662" i="1"/>
  <c r="L662" i="1"/>
  <c r="G663" i="1"/>
  <c r="J663" i="1"/>
  <c r="K663" i="1"/>
  <c r="L663" i="1"/>
  <c r="G664" i="1"/>
  <c r="J664" i="1"/>
  <c r="K664" i="1"/>
  <c r="L664" i="1"/>
  <c r="G665" i="1"/>
  <c r="J665" i="1"/>
  <c r="K665" i="1"/>
  <c r="L665" i="1"/>
  <c r="G666" i="1"/>
  <c r="J666" i="1"/>
  <c r="K666" i="1"/>
  <c r="L666" i="1"/>
  <c r="G667" i="1"/>
  <c r="J667" i="1"/>
  <c r="K667" i="1"/>
  <c r="L667" i="1"/>
  <c r="G668" i="1"/>
  <c r="J668" i="1"/>
  <c r="K668" i="1"/>
  <c r="L668" i="1"/>
  <c r="G669" i="1"/>
  <c r="J669" i="1"/>
  <c r="K669" i="1"/>
  <c r="L669" i="1"/>
  <c r="G670" i="1"/>
  <c r="J670" i="1"/>
  <c r="K670" i="1"/>
  <c r="L670" i="1"/>
  <c r="G671" i="1"/>
  <c r="J671" i="1"/>
  <c r="K671" i="1"/>
  <c r="L671" i="1"/>
  <c r="G672" i="1"/>
  <c r="J672" i="1"/>
  <c r="K672" i="1"/>
  <c r="L672" i="1"/>
  <c r="G673" i="1"/>
  <c r="J673" i="1"/>
  <c r="K673" i="1"/>
  <c r="L673" i="1"/>
  <c r="G674" i="1"/>
  <c r="J674" i="1"/>
  <c r="K674" i="1"/>
  <c r="L674" i="1"/>
  <c r="G675" i="1"/>
  <c r="J675" i="1"/>
  <c r="K675" i="1"/>
  <c r="L675" i="1"/>
  <c r="G676" i="1"/>
  <c r="J676" i="1"/>
  <c r="K676" i="1"/>
  <c r="L676" i="1"/>
  <c r="G677" i="1"/>
  <c r="J677" i="1"/>
  <c r="K677" i="1"/>
  <c r="L677" i="1"/>
  <c r="G678" i="1"/>
  <c r="J678" i="1"/>
  <c r="K678" i="1"/>
  <c r="L678" i="1"/>
  <c r="G679" i="1"/>
  <c r="J679" i="1"/>
  <c r="K679" i="1"/>
  <c r="L679" i="1"/>
  <c r="G680" i="1"/>
  <c r="J680" i="1"/>
  <c r="K680" i="1"/>
  <c r="L680" i="1"/>
  <c r="G681" i="1"/>
  <c r="J681" i="1"/>
  <c r="K681" i="1"/>
  <c r="L681" i="1"/>
  <c r="G682" i="1"/>
  <c r="J682" i="1"/>
  <c r="K682" i="1"/>
  <c r="L682" i="1"/>
  <c r="G683" i="1"/>
  <c r="J683" i="1"/>
  <c r="K683" i="1"/>
  <c r="L683" i="1"/>
  <c r="G684" i="1"/>
  <c r="J684" i="1"/>
  <c r="K684" i="1"/>
  <c r="L684" i="1"/>
  <c r="G685" i="1"/>
  <c r="J685" i="1"/>
  <c r="K685" i="1"/>
  <c r="L685" i="1"/>
  <c r="G686" i="1"/>
  <c r="J686" i="1"/>
  <c r="K686" i="1"/>
  <c r="L686" i="1"/>
  <c r="G687" i="1"/>
  <c r="J687" i="1"/>
  <c r="K687" i="1"/>
  <c r="L687" i="1"/>
  <c r="G688" i="1"/>
  <c r="J688" i="1"/>
  <c r="K688" i="1"/>
  <c r="L688" i="1"/>
  <c r="G689" i="1"/>
  <c r="J689" i="1"/>
  <c r="K689" i="1"/>
  <c r="L689" i="1"/>
  <c r="G690" i="1"/>
  <c r="J690" i="1"/>
  <c r="K690" i="1"/>
  <c r="L690" i="1"/>
  <c r="G691" i="1"/>
  <c r="J691" i="1"/>
  <c r="K691" i="1"/>
  <c r="L691" i="1"/>
  <c r="G692" i="1"/>
  <c r="J692" i="1"/>
  <c r="K692" i="1"/>
  <c r="L692" i="1"/>
  <c r="G693" i="1"/>
  <c r="J693" i="1"/>
  <c r="K693" i="1"/>
  <c r="L693" i="1"/>
  <c r="G694" i="1"/>
  <c r="J694" i="1"/>
  <c r="K694" i="1"/>
  <c r="L694" i="1"/>
  <c r="G695" i="1"/>
  <c r="J695" i="1"/>
  <c r="K695" i="1"/>
  <c r="L695" i="1"/>
  <c r="G696" i="1"/>
  <c r="J696" i="1"/>
  <c r="K696" i="1"/>
  <c r="L696" i="1"/>
  <c r="G697" i="1"/>
  <c r="J697" i="1"/>
  <c r="K697" i="1"/>
  <c r="L697" i="1"/>
  <c r="G698" i="1"/>
  <c r="J698" i="1"/>
  <c r="K698" i="1"/>
  <c r="L698" i="1"/>
  <c r="G699" i="1"/>
  <c r="J699" i="1"/>
  <c r="K699" i="1"/>
  <c r="L699" i="1"/>
  <c r="G700" i="1"/>
  <c r="J700" i="1"/>
  <c r="K700" i="1"/>
  <c r="L700" i="1"/>
  <c r="G701" i="1"/>
  <c r="J701" i="1"/>
  <c r="K701" i="1"/>
  <c r="L701" i="1"/>
  <c r="G702" i="1"/>
  <c r="J702" i="1"/>
  <c r="K702" i="1"/>
  <c r="L702" i="1"/>
  <c r="G703" i="1"/>
  <c r="J703" i="1"/>
  <c r="K703" i="1"/>
  <c r="L703" i="1"/>
  <c r="G704" i="1"/>
  <c r="J704" i="1"/>
  <c r="K704" i="1"/>
  <c r="L704" i="1"/>
  <c r="G705" i="1"/>
  <c r="J705" i="1"/>
  <c r="K705" i="1"/>
  <c r="L705" i="1"/>
  <c r="G706" i="1"/>
  <c r="J706" i="1"/>
  <c r="K706" i="1"/>
  <c r="L706" i="1"/>
  <c r="G707" i="1"/>
  <c r="J707" i="1"/>
  <c r="K707" i="1"/>
  <c r="L707" i="1"/>
  <c r="G708" i="1"/>
  <c r="J708" i="1"/>
  <c r="K708" i="1"/>
  <c r="L708" i="1"/>
  <c r="G709" i="1"/>
  <c r="J709" i="1"/>
  <c r="K709" i="1"/>
  <c r="L709" i="1"/>
  <c r="G710" i="1"/>
  <c r="J710" i="1"/>
  <c r="K710" i="1"/>
  <c r="L710" i="1"/>
  <c r="G711" i="1"/>
  <c r="J711" i="1"/>
  <c r="K711" i="1"/>
  <c r="L711" i="1"/>
  <c r="G712" i="1"/>
  <c r="J712" i="1"/>
  <c r="K712" i="1"/>
  <c r="L712" i="1"/>
  <c r="G713" i="1"/>
  <c r="J713" i="1"/>
  <c r="K713" i="1"/>
  <c r="L713" i="1"/>
  <c r="G714" i="1"/>
  <c r="J714" i="1"/>
  <c r="K714" i="1"/>
  <c r="L714" i="1"/>
  <c r="G715" i="1"/>
  <c r="J715" i="1"/>
  <c r="K715" i="1"/>
  <c r="L715" i="1"/>
  <c r="G716" i="1"/>
  <c r="J716" i="1"/>
  <c r="K716" i="1"/>
  <c r="L716" i="1"/>
  <c r="G717" i="1"/>
  <c r="J717" i="1"/>
  <c r="K717" i="1"/>
  <c r="L717" i="1"/>
  <c r="M62" i="1" l="1"/>
  <c r="M154" i="1"/>
  <c r="S154" i="1" s="1"/>
  <c r="M224" i="1"/>
  <c r="S224" i="1" s="1"/>
  <c r="M194" i="1"/>
  <c r="S194" i="1" s="1"/>
  <c r="M188" i="1"/>
  <c r="S188" i="1" s="1"/>
  <c r="M172" i="1"/>
  <c r="S172" i="1" s="1"/>
  <c r="M263" i="1"/>
  <c r="S263" i="1" s="1"/>
  <c r="M413" i="1"/>
  <c r="S413" i="1" s="1"/>
  <c r="M407" i="1"/>
  <c r="S407" i="1" s="1"/>
  <c r="M401" i="1"/>
  <c r="S401" i="1" s="1"/>
  <c r="M391" i="1"/>
  <c r="S391" i="1" s="1"/>
  <c r="M387" i="1"/>
  <c r="S387" i="1" s="1"/>
  <c r="M383" i="1"/>
  <c r="S383" i="1" s="1"/>
  <c r="M373" i="1"/>
  <c r="S373" i="1" s="1"/>
  <c r="M357" i="1"/>
  <c r="S357" i="1" s="1"/>
  <c r="M349" i="1"/>
  <c r="S349" i="1" s="1"/>
  <c r="M341" i="1"/>
  <c r="S341" i="1" s="1"/>
  <c r="M337" i="1"/>
  <c r="S337" i="1" s="1"/>
  <c r="M331" i="1"/>
  <c r="S331" i="1" s="1"/>
  <c r="M327" i="1"/>
  <c r="S327" i="1" s="1"/>
  <c r="M315" i="1"/>
  <c r="S315" i="1" s="1"/>
  <c r="M313" i="1"/>
  <c r="S313" i="1" s="1"/>
  <c r="M311" i="1"/>
  <c r="S311" i="1" s="1"/>
  <c r="M309" i="1"/>
  <c r="S309" i="1" s="1"/>
  <c r="M305" i="1"/>
  <c r="S305" i="1" s="1"/>
  <c r="M303" i="1"/>
  <c r="S303" i="1" s="1"/>
  <c r="M299" i="1"/>
  <c r="S299" i="1" s="1"/>
  <c r="M297" i="1"/>
  <c r="S297" i="1" s="1"/>
  <c r="M295" i="1"/>
  <c r="S295" i="1" s="1"/>
  <c r="M293" i="1"/>
  <c r="S293" i="1" s="1"/>
  <c r="M289" i="1"/>
  <c r="S289" i="1" s="1"/>
  <c r="M283" i="1"/>
  <c r="S283" i="1" s="1"/>
  <c r="M219" i="1"/>
  <c r="S219" i="1" s="1"/>
  <c r="M217" i="1"/>
  <c r="S217" i="1" s="1"/>
  <c r="M211" i="1"/>
  <c r="S211" i="1" s="1"/>
  <c r="M203" i="1"/>
  <c r="S203" i="1" s="1"/>
  <c r="M201" i="1"/>
  <c r="S201" i="1" s="1"/>
  <c r="M197" i="1"/>
  <c r="S197" i="1" s="1"/>
  <c r="M195" i="1"/>
  <c r="S195" i="1" s="1"/>
  <c r="M193" i="1"/>
  <c r="S193" i="1" s="1"/>
  <c r="M189" i="1"/>
  <c r="S189" i="1" s="1"/>
  <c r="M169" i="1"/>
  <c r="S169" i="1" s="1"/>
  <c r="M165" i="1"/>
  <c r="S165" i="1" s="1"/>
  <c r="M135" i="1"/>
  <c r="S135" i="1" s="1"/>
  <c r="M51" i="1"/>
  <c r="S51" i="1" s="1"/>
  <c r="M49" i="1"/>
  <c r="S49" i="1" s="1"/>
  <c r="M415" i="1"/>
  <c r="S415" i="1" s="1"/>
  <c r="M405" i="1"/>
  <c r="S405" i="1" s="1"/>
  <c r="M399" i="1"/>
  <c r="S399" i="1" s="1"/>
  <c r="M389" i="1"/>
  <c r="S389" i="1" s="1"/>
  <c r="M359" i="1"/>
  <c r="S359" i="1" s="1"/>
  <c r="M351" i="1"/>
  <c r="S351" i="1" s="1"/>
  <c r="M343" i="1"/>
  <c r="S343" i="1" s="1"/>
  <c r="M339" i="1"/>
  <c r="S339" i="1" s="1"/>
  <c r="M335" i="1"/>
  <c r="S335" i="1" s="1"/>
  <c r="M325" i="1"/>
  <c r="S325" i="1" s="1"/>
  <c r="M307" i="1"/>
  <c r="S307" i="1" s="1"/>
  <c r="M403" i="1"/>
  <c r="S403" i="1" s="1"/>
  <c r="M212" i="1"/>
  <c r="S212" i="1" s="1"/>
  <c r="M170" i="1"/>
  <c r="S170" i="1" s="1"/>
  <c r="M440" i="1"/>
  <c r="S440" i="1" s="1"/>
  <c r="M392" i="1"/>
  <c r="S392" i="1" s="1"/>
  <c r="M376" i="1"/>
  <c r="S376" i="1" s="1"/>
  <c r="M352" i="1"/>
  <c r="S352" i="1" s="1"/>
  <c r="M222" i="1"/>
  <c r="S222" i="1" s="1"/>
  <c r="M220" i="1"/>
  <c r="S220" i="1" s="1"/>
  <c r="M164" i="1"/>
  <c r="S164" i="1" s="1"/>
  <c r="M408" i="1"/>
  <c r="S408" i="1" s="1"/>
  <c r="M400" i="1"/>
  <c r="S400" i="1" s="1"/>
  <c r="M360" i="1"/>
  <c r="S360" i="1" s="1"/>
  <c r="M344" i="1"/>
  <c r="S344" i="1" s="1"/>
  <c r="M336" i="1"/>
  <c r="S336" i="1" s="1"/>
  <c r="M328" i="1"/>
  <c r="S328" i="1" s="1"/>
  <c r="M208" i="1"/>
  <c r="S208" i="1" s="1"/>
  <c r="M206" i="1"/>
  <c r="S206" i="1" s="1"/>
  <c r="M130" i="1"/>
  <c r="S130" i="1" s="1"/>
  <c r="M114" i="1"/>
  <c r="S114" i="1" s="1"/>
  <c r="M110" i="1"/>
  <c r="S110" i="1" s="1"/>
  <c r="M106" i="1"/>
  <c r="S106" i="1" s="1"/>
  <c r="M68" i="1"/>
  <c r="S68" i="1" s="1"/>
  <c r="M66" i="1"/>
  <c r="S66" i="1" s="1"/>
  <c r="M64" i="1"/>
  <c r="S64" i="1" s="1"/>
  <c r="M56" i="1"/>
  <c r="S56" i="1" s="1"/>
  <c r="M54" i="1"/>
  <c r="S54" i="1" s="1"/>
  <c r="M52" i="1"/>
  <c r="S52" i="1" s="1"/>
  <c r="M439" i="1"/>
  <c r="S439" i="1" s="1"/>
  <c r="M437" i="1"/>
  <c r="S437" i="1" s="1"/>
  <c r="M159" i="1"/>
  <c r="S159" i="1" s="1"/>
  <c r="M107" i="1"/>
  <c r="S107" i="1" s="1"/>
  <c r="M69" i="1"/>
  <c r="S69" i="1" s="1"/>
  <c r="M53" i="1"/>
  <c r="S53" i="1" s="1"/>
  <c r="M35" i="1"/>
  <c r="S35" i="1" s="1"/>
  <c r="M21" i="1"/>
  <c r="S21" i="1" s="1"/>
  <c r="M5" i="1"/>
  <c r="S5" i="1" s="1"/>
  <c r="M279" i="1"/>
  <c r="S279" i="1" s="1"/>
  <c r="M275" i="1"/>
  <c r="S275" i="1" s="1"/>
  <c r="M185" i="1"/>
  <c r="S185" i="1" s="1"/>
  <c r="M291" i="1"/>
  <c r="S291" i="1" s="1"/>
  <c r="M287" i="1"/>
  <c r="S287" i="1" s="1"/>
  <c r="M196" i="1"/>
  <c r="S196" i="1" s="1"/>
  <c r="M131" i="1"/>
  <c r="S131" i="1" s="1"/>
  <c r="M127" i="1"/>
  <c r="S127" i="1" s="1"/>
  <c r="M123" i="1"/>
  <c r="S123" i="1" s="1"/>
  <c r="M119" i="1"/>
  <c r="S119" i="1" s="1"/>
  <c r="M115" i="1"/>
  <c r="S115" i="1" s="1"/>
  <c r="M103" i="1"/>
  <c r="S103" i="1" s="1"/>
  <c r="M99" i="1"/>
  <c r="S99" i="1" s="1"/>
  <c r="M95" i="1"/>
  <c r="S95" i="1" s="1"/>
  <c r="M93" i="1"/>
  <c r="S93" i="1" s="1"/>
  <c r="M91" i="1"/>
  <c r="S91" i="1" s="1"/>
  <c r="M89" i="1"/>
  <c r="S89" i="1" s="1"/>
  <c r="M87" i="1"/>
  <c r="S87" i="1" s="1"/>
  <c r="M83" i="1"/>
  <c r="S83" i="1" s="1"/>
  <c r="M81" i="1"/>
  <c r="S81" i="1" s="1"/>
  <c r="M67" i="1"/>
  <c r="S67" i="1" s="1"/>
  <c r="M65" i="1"/>
  <c r="S65" i="1" s="1"/>
  <c r="M37" i="1"/>
  <c r="S37" i="1" s="1"/>
  <c r="M431" i="1"/>
  <c r="S431" i="1" s="1"/>
  <c r="M429" i="1"/>
  <c r="S429" i="1" s="1"/>
  <c r="M427" i="1"/>
  <c r="S427" i="1" s="1"/>
  <c r="M425" i="1"/>
  <c r="S425" i="1" s="1"/>
  <c r="M367" i="1"/>
  <c r="S367" i="1" s="1"/>
  <c r="M312" i="1"/>
  <c r="S312" i="1" s="1"/>
  <c r="M280" i="1"/>
  <c r="S280" i="1" s="1"/>
  <c r="M268" i="1"/>
  <c r="S268" i="1" s="1"/>
  <c r="M266" i="1"/>
  <c r="S266" i="1" s="1"/>
  <c r="M264" i="1"/>
  <c r="S264" i="1" s="1"/>
  <c r="M262" i="1"/>
  <c r="S262" i="1" s="1"/>
  <c r="M260" i="1"/>
  <c r="S260" i="1" s="1"/>
  <c r="M162" i="1"/>
  <c r="S162" i="1" s="1"/>
  <c r="M33" i="1"/>
  <c r="S33" i="1" s="1"/>
  <c r="M31" i="1"/>
  <c r="S31" i="1" s="1"/>
  <c r="M29" i="1"/>
  <c r="S29" i="1" s="1"/>
  <c r="M27" i="1"/>
  <c r="S27" i="1" s="1"/>
  <c r="M25" i="1"/>
  <c r="S25" i="1" s="1"/>
  <c r="M23" i="1"/>
  <c r="S23" i="1" s="1"/>
  <c r="M19" i="1"/>
  <c r="S19" i="1" s="1"/>
  <c r="M17" i="1"/>
  <c r="S17" i="1" s="1"/>
  <c r="M3" i="1"/>
  <c r="S3" i="1" s="1"/>
  <c r="M317" i="1"/>
  <c r="S317" i="1" s="1"/>
  <c r="M261" i="1"/>
  <c r="S261" i="1" s="1"/>
  <c r="M146" i="1"/>
  <c r="S146" i="1" s="1"/>
  <c r="M142" i="1"/>
  <c r="S142" i="1" s="1"/>
  <c r="M138" i="1"/>
  <c r="S138" i="1" s="1"/>
  <c r="M273" i="1"/>
  <c r="S273" i="1" s="1"/>
  <c r="M271" i="1"/>
  <c r="S271" i="1" s="1"/>
  <c r="M267" i="1"/>
  <c r="S267" i="1" s="1"/>
  <c r="M183" i="1"/>
  <c r="S183" i="1" s="1"/>
  <c r="M424" i="1"/>
  <c r="S424" i="1" s="1"/>
  <c r="M416" i="1"/>
  <c r="S416" i="1" s="1"/>
  <c r="M384" i="1"/>
  <c r="S384" i="1" s="1"/>
  <c r="M139" i="1"/>
  <c r="S139" i="1" s="1"/>
  <c r="M137" i="1"/>
  <c r="S137" i="1" s="1"/>
  <c r="M161" i="1"/>
  <c r="S161" i="1" s="1"/>
  <c r="M48" i="1"/>
  <c r="S48" i="1" s="1"/>
  <c r="M40" i="1"/>
  <c r="S40" i="1" s="1"/>
  <c r="M38" i="1"/>
  <c r="S38" i="1" s="1"/>
  <c r="M36" i="1"/>
  <c r="S36" i="1" s="1"/>
  <c r="M714" i="1"/>
  <c r="S714" i="1" s="1"/>
  <c r="M710" i="1"/>
  <c r="S710" i="1" s="1"/>
  <c r="M438" i="1"/>
  <c r="S438" i="1" s="1"/>
  <c r="M432" i="1"/>
  <c r="S432" i="1" s="1"/>
  <c r="M381" i="1"/>
  <c r="S381" i="1" s="1"/>
  <c r="M379" i="1"/>
  <c r="S379" i="1" s="1"/>
  <c r="M377" i="1"/>
  <c r="S377" i="1" s="1"/>
  <c r="M375" i="1"/>
  <c r="S375" i="1" s="1"/>
  <c r="M301" i="1"/>
  <c r="S301" i="1" s="1"/>
  <c r="M284" i="1"/>
  <c r="S284" i="1" s="1"/>
  <c r="M221" i="1"/>
  <c r="S221" i="1" s="1"/>
  <c r="M184" i="1"/>
  <c r="S184" i="1" s="1"/>
  <c r="M182" i="1"/>
  <c r="S182" i="1" s="1"/>
  <c r="M111" i="1"/>
  <c r="S111" i="1" s="1"/>
  <c r="M101" i="1"/>
  <c r="S101" i="1" s="1"/>
  <c r="M82" i="1"/>
  <c r="S82" i="1" s="1"/>
  <c r="M47" i="1"/>
  <c r="S47" i="1" s="1"/>
  <c r="M45" i="1"/>
  <c r="S45" i="1" s="1"/>
  <c r="M43" i="1"/>
  <c r="S43" i="1" s="1"/>
  <c r="M41" i="1"/>
  <c r="S41" i="1" s="1"/>
  <c r="M39" i="1"/>
  <c r="S39" i="1" s="1"/>
  <c r="M18" i="1"/>
  <c r="S18" i="1" s="1"/>
  <c r="M436" i="1"/>
  <c r="S436" i="1" s="1"/>
  <c r="M434" i="1"/>
  <c r="S434" i="1" s="1"/>
  <c r="M97" i="1"/>
  <c r="S97" i="1" s="1"/>
  <c r="M85" i="1"/>
  <c r="S85" i="1" s="1"/>
  <c r="M16" i="1"/>
  <c r="S16" i="1" s="1"/>
  <c r="M8" i="1"/>
  <c r="S8" i="1" s="1"/>
  <c r="M6" i="1"/>
  <c r="S6" i="1" s="1"/>
  <c r="M4" i="1"/>
  <c r="S4" i="1" s="1"/>
  <c r="M371" i="1"/>
  <c r="S371" i="1" s="1"/>
  <c r="M369" i="1"/>
  <c r="S369" i="1" s="1"/>
  <c r="M365" i="1"/>
  <c r="S365" i="1" s="1"/>
  <c r="M363" i="1"/>
  <c r="S363" i="1" s="1"/>
  <c r="M361" i="1"/>
  <c r="S361" i="1" s="1"/>
  <c r="M350" i="1"/>
  <c r="S350" i="1" s="1"/>
  <c r="M348" i="1"/>
  <c r="S348" i="1" s="1"/>
  <c r="M346" i="1"/>
  <c r="S346" i="1" s="1"/>
  <c r="M332" i="1"/>
  <c r="S332" i="1" s="1"/>
  <c r="M285" i="1"/>
  <c r="S285" i="1" s="1"/>
  <c r="M218" i="1"/>
  <c r="S218" i="1" s="1"/>
  <c r="M187" i="1"/>
  <c r="S187" i="1" s="1"/>
  <c r="M168" i="1"/>
  <c r="S168" i="1" s="1"/>
  <c r="M166" i="1"/>
  <c r="S166" i="1" s="1"/>
  <c r="M156" i="1"/>
  <c r="S156" i="1" s="1"/>
  <c r="M489" i="1"/>
  <c r="S489" i="1" s="1"/>
  <c r="M449" i="1"/>
  <c r="S449" i="1" s="1"/>
  <c r="M447" i="1"/>
  <c r="S447" i="1" s="1"/>
  <c r="M445" i="1"/>
  <c r="S445" i="1" s="1"/>
  <c r="M443" i="1"/>
  <c r="S443" i="1" s="1"/>
  <c r="M441" i="1"/>
  <c r="S441" i="1" s="1"/>
  <c r="M355" i="1"/>
  <c r="S355" i="1" s="1"/>
  <c r="M353" i="1"/>
  <c r="S353" i="1" s="1"/>
  <c r="M177" i="1"/>
  <c r="S177" i="1" s="1"/>
  <c r="M173" i="1"/>
  <c r="S173" i="1" s="1"/>
  <c r="M160" i="1"/>
  <c r="S160" i="1" s="1"/>
  <c r="M158" i="1"/>
  <c r="S158" i="1" s="1"/>
  <c r="M435" i="1"/>
  <c r="S435" i="1" s="1"/>
  <c r="M433" i="1"/>
  <c r="S433" i="1" s="1"/>
  <c r="M414" i="1"/>
  <c r="S414" i="1" s="1"/>
  <c r="M412" i="1"/>
  <c r="S412" i="1" s="1"/>
  <c r="M410" i="1"/>
  <c r="S410" i="1" s="1"/>
  <c r="M396" i="1"/>
  <c r="S396" i="1" s="1"/>
  <c r="M394" i="1"/>
  <c r="S394" i="1" s="1"/>
  <c r="M390" i="1"/>
  <c r="S390" i="1" s="1"/>
  <c r="M333" i="1"/>
  <c r="S333" i="1" s="1"/>
  <c r="M316" i="1"/>
  <c r="S316" i="1" s="1"/>
  <c r="M281" i="1"/>
  <c r="S281" i="1" s="1"/>
  <c r="M277" i="1"/>
  <c r="S277" i="1" s="1"/>
  <c r="M250" i="1"/>
  <c r="S250" i="1" s="1"/>
  <c r="M248" i="1"/>
  <c r="S248" i="1" s="1"/>
  <c r="M246" i="1"/>
  <c r="S246" i="1" s="1"/>
  <c r="M244" i="1"/>
  <c r="S244" i="1" s="1"/>
  <c r="M242" i="1"/>
  <c r="S242" i="1" s="1"/>
  <c r="M240" i="1"/>
  <c r="S240" i="1" s="1"/>
  <c r="M238" i="1"/>
  <c r="S238" i="1" s="1"/>
  <c r="M236" i="1"/>
  <c r="S236" i="1" s="1"/>
  <c r="M234" i="1"/>
  <c r="S234" i="1" s="1"/>
  <c r="M232" i="1"/>
  <c r="S232" i="1" s="1"/>
  <c r="M230" i="1"/>
  <c r="S230" i="1" s="1"/>
  <c r="M228" i="1"/>
  <c r="S228" i="1" s="1"/>
  <c r="M226" i="1"/>
  <c r="S226" i="1" s="1"/>
  <c r="M210" i="1"/>
  <c r="S210" i="1" s="1"/>
  <c r="M204" i="1"/>
  <c r="S204" i="1" s="1"/>
  <c r="M202" i="1"/>
  <c r="S202" i="1" s="1"/>
  <c r="M171" i="1"/>
  <c r="S171" i="1" s="1"/>
  <c r="M134" i="1"/>
  <c r="S134" i="1" s="1"/>
  <c r="M79" i="1"/>
  <c r="S79" i="1" s="1"/>
  <c r="M77" i="1"/>
  <c r="S77" i="1" s="1"/>
  <c r="M75" i="1"/>
  <c r="S75" i="1" s="1"/>
  <c r="M73" i="1"/>
  <c r="S73" i="1" s="1"/>
  <c r="M71" i="1"/>
  <c r="S71" i="1" s="1"/>
  <c r="M50" i="1"/>
  <c r="S50" i="1" s="1"/>
  <c r="M15" i="1"/>
  <c r="S15" i="1" s="1"/>
  <c r="M13" i="1"/>
  <c r="S13" i="1" s="1"/>
  <c r="M11" i="1"/>
  <c r="S11" i="1" s="1"/>
  <c r="M9" i="1"/>
  <c r="S9" i="1" s="1"/>
  <c r="M7" i="1"/>
  <c r="S7" i="1" s="1"/>
  <c r="M423" i="1"/>
  <c r="S423" i="1" s="1"/>
  <c r="M421" i="1"/>
  <c r="S421" i="1" s="1"/>
  <c r="M419" i="1"/>
  <c r="S419" i="1" s="1"/>
  <c r="M417" i="1"/>
  <c r="S417" i="1" s="1"/>
  <c r="M397" i="1"/>
  <c r="S397" i="1" s="1"/>
  <c r="M374" i="1"/>
  <c r="S374" i="1" s="1"/>
  <c r="M368" i="1"/>
  <c r="S368" i="1" s="1"/>
  <c r="M329" i="1"/>
  <c r="S329" i="1" s="1"/>
  <c r="M300" i="1"/>
  <c r="S300" i="1" s="1"/>
  <c r="M231" i="1"/>
  <c r="S231" i="1" s="1"/>
  <c r="M229" i="1"/>
  <c r="S229" i="1" s="1"/>
  <c r="M227" i="1"/>
  <c r="S227" i="1" s="1"/>
  <c r="M192" i="1"/>
  <c r="S192" i="1" s="1"/>
  <c r="M186" i="1"/>
  <c r="S186" i="1" s="1"/>
  <c r="M155" i="1"/>
  <c r="S155" i="1" s="1"/>
  <c r="M153" i="1"/>
  <c r="S153" i="1" s="1"/>
  <c r="M147" i="1"/>
  <c r="S147" i="1" s="1"/>
  <c r="M143" i="1"/>
  <c r="S143" i="1" s="1"/>
  <c r="M133" i="1"/>
  <c r="S133" i="1" s="1"/>
  <c r="M102" i="1"/>
  <c r="S102" i="1" s="1"/>
  <c r="M63" i="1"/>
  <c r="S63" i="1" s="1"/>
  <c r="M61" i="1"/>
  <c r="S61" i="1" s="1"/>
  <c r="M59" i="1"/>
  <c r="S59" i="1" s="1"/>
  <c r="M57" i="1"/>
  <c r="S57" i="1" s="1"/>
  <c r="M55" i="1"/>
  <c r="S55" i="1" s="1"/>
  <c r="M34" i="1"/>
  <c r="S34" i="1" s="1"/>
  <c r="M716" i="1"/>
  <c r="S716" i="1" s="1"/>
  <c r="M712" i="1"/>
  <c r="S712" i="1" s="1"/>
  <c r="M708" i="1"/>
  <c r="S708" i="1" s="1"/>
  <c r="M504" i="1"/>
  <c r="S504" i="1" s="1"/>
  <c r="M372" i="1"/>
  <c r="S372" i="1" s="1"/>
  <c r="M370" i="1"/>
  <c r="S370" i="1" s="1"/>
  <c r="M323" i="1"/>
  <c r="S323" i="1" s="1"/>
  <c r="M321" i="1"/>
  <c r="S321" i="1" s="1"/>
  <c r="M319" i="1"/>
  <c r="S319" i="1" s="1"/>
  <c r="M296" i="1"/>
  <c r="S296" i="1" s="1"/>
  <c r="M213" i="1"/>
  <c r="S213" i="1" s="1"/>
  <c r="M209" i="1"/>
  <c r="S209" i="1" s="1"/>
  <c r="M207" i="1"/>
  <c r="S207" i="1" s="1"/>
  <c r="M180" i="1"/>
  <c r="S180" i="1" s="1"/>
  <c r="M178" i="1"/>
  <c r="S178" i="1" s="1"/>
  <c r="M129" i="1"/>
  <c r="S129" i="1" s="1"/>
  <c r="M105" i="1"/>
  <c r="S105" i="1" s="1"/>
  <c r="M98" i="1"/>
  <c r="S98" i="1" s="1"/>
  <c r="M84" i="1"/>
  <c r="S84" i="1" s="1"/>
  <c r="M32" i="1"/>
  <c r="S32" i="1" s="1"/>
  <c r="M24" i="1"/>
  <c r="S24" i="1" s="1"/>
  <c r="M22" i="1"/>
  <c r="S22" i="1" s="1"/>
  <c r="M20" i="1"/>
  <c r="S20" i="1" s="1"/>
  <c r="M711" i="1"/>
  <c r="S711" i="1" s="1"/>
  <c r="M703" i="1"/>
  <c r="S703" i="1" s="1"/>
  <c r="M701" i="1"/>
  <c r="S701" i="1" s="1"/>
  <c r="M697" i="1"/>
  <c r="S697" i="1" s="1"/>
  <c r="M693" i="1"/>
  <c r="S693" i="1" s="1"/>
  <c r="M689" i="1"/>
  <c r="S689" i="1" s="1"/>
  <c r="M685" i="1"/>
  <c r="S685" i="1" s="1"/>
  <c r="M681" i="1"/>
  <c r="S681" i="1" s="1"/>
  <c r="M677" i="1"/>
  <c r="S677" i="1" s="1"/>
  <c r="M675" i="1"/>
  <c r="S675" i="1" s="1"/>
  <c r="M671" i="1"/>
  <c r="S671" i="1" s="1"/>
  <c r="M669" i="1"/>
  <c r="S669" i="1" s="1"/>
  <c r="M665" i="1"/>
  <c r="S665" i="1" s="1"/>
  <c r="M661" i="1"/>
  <c r="S661" i="1" s="1"/>
  <c r="M657" i="1"/>
  <c r="S657" i="1" s="1"/>
  <c r="M653" i="1"/>
  <c r="S653" i="1" s="1"/>
  <c r="M651" i="1"/>
  <c r="S651" i="1" s="1"/>
  <c r="M647" i="1"/>
  <c r="S647" i="1" s="1"/>
  <c r="M643" i="1"/>
  <c r="S643" i="1" s="1"/>
  <c r="M641" i="1"/>
  <c r="S641" i="1" s="1"/>
  <c r="M637" i="1"/>
  <c r="S637" i="1" s="1"/>
  <c r="M633" i="1"/>
  <c r="S633" i="1" s="1"/>
  <c r="M631" i="1"/>
  <c r="S631" i="1" s="1"/>
  <c r="M627" i="1"/>
  <c r="S627" i="1" s="1"/>
  <c r="M623" i="1"/>
  <c r="S623" i="1" s="1"/>
  <c r="M619" i="1"/>
  <c r="S619" i="1" s="1"/>
  <c r="M615" i="1"/>
  <c r="S615" i="1" s="1"/>
  <c r="M611" i="1"/>
  <c r="S611" i="1" s="1"/>
  <c r="M607" i="1"/>
  <c r="S607" i="1" s="1"/>
  <c r="M605" i="1"/>
  <c r="S605" i="1" s="1"/>
  <c r="M601" i="1"/>
  <c r="S601" i="1" s="1"/>
  <c r="M599" i="1"/>
  <c r="S599" i="1" s="1"/>
  <c r="M595" i="1"/>
  <c r="S595" i="1" s="1"/>
  <c r="M591" i="1"/>
  <c r="S591" i="1" s="1"/>
  <c r="M587" i="1"/>
  <c r="S587" i="1" s="1"/>
  <c r="M585" i="1"/>
  <c r="S585" i="1" s="1"/>
  <c r="M581" i="1"/>
  <c r="S581" i="1" s="1"/>
  <c r="M577" i="1"/>
  <c r="S577" i="1" s="1"/>
  <c r="M573" i="1"/>
  <c r="S573" i="1" s="1"/>
  <c r="M569" i="1"/>
  <c r="S569" i="1" s="1"/>
  <c r="M567" i="1"/>
  <c r="S567" i="1" s="1"/>
  <c r="M563" i="1"/>
  <c r="S563" i="1" s="1"/>
  <c r="M559" i="1"/>
  <c r="S559" i="1" s="1"/>
  <c r="M557" i="1"/>
  <c r="S557" i="1" s="1"/>
  <c r="M553" i="1"/>
  <c r="S553" i="1" s="1"/>
  <c r="M549" i="1"/>
  <c r="S549" i="1" s="1"/>
  <c r="M545" i="1"/>
  <c r="S545" i="1" s="1"/>
  <c r="M541" i="1"/>
  <c r="S541" i="1" s="1"/>
  <c r="M537" i="1"/>
  <c r="S537" i="1" s="1"/>
  <c r="M533" i="1"/>
  <c r="S533" i="1" s="1"/>
  <c r="M531" i="1"/>
  <c r="S531" i="1" s="1"/>
  <c r="M527" i="1"/>
  <c r="S527" i="1" s="1"/>
  <c r="M525" i="1"/>
  <c r="S525" i="1" s="1"/>
  <c r="M523" i="1"/>
  <c r="S523" i="1" s="1"/>
  <c r="M519" i="1"/>
  <c r="S519" i="1" s="1"/>
  <c r="M517" i="1"/>
  <c r="S517" i="1" s="1"/>
  <c r="M515" i="1"/>
  <c r="S515" i="1" s="1"/>
  <c r="M513" i="1"/>
  <c r="S513" i="1" s="1"/>
  <c r="M511" i="1"/>
  <c r="S511" i="1" s="1"/>
  <c r="M509" i="1"/>
  <c r="S509" i="1" s="1"/>
  <c r="M507" i="1"/>
  <c r="S507" i="1" s="1"/>
  <c r="M505" i="1"/>
  <c r="S505" i="1" s="1"/>
  <c r="M503" i="1"/>
  <c r="S503" i="1" s="1"/>
  <c r="M501" i="1"/>
  <c r="S501" i="1" s="1"/>
  <c r="M499" i="1"/>
  <c r="S499" i="1" s="1"/>
  <c r="M497" i="1"/>
  <c r="S497" i="1" s="1"/>
  <c r="M495" i="1"/>
  <c r="S495" i="1" s="1"/>
  <c r="M493" i="1"/>
  <c r="S493" i="1" s="1"/>
  <c r="M491" i="1"/>
  <c r="S491" i="1" s="1"/>
  <c r="M487" i="1"/>
  <c r="S487" i="1" s="1"/>
  <c r="M485" i="1"/>
  <c r="S485" i="1" s="1"/>
  <c r="M483" i="1"/>
  <c r="S483" i="1" s="1"/>
  <c r="M481" i="1"/>
  <c r="S481" i="1" s="1"/>
  <c r="M479" i="1"/>
  <c r="S479" i="1" s="1"/>
  <c r="M477" i="1"/>
  <c r="S477" i="1" s="1"/>
  <c r="M475" i="1"/>
  <c r="S475" i="1" s="1"/>
  <c r="M473" i="1"/>
  <c r="S473" i="1" s="1"/>
  <c r="M471" i="1"/>
  <c r="S471" i="1" s="1"/>
  <c r="M469" i="1"/>
  <c r="S469" i="1" s="1"/>
  <c r="M467" i="1"/>
  <c r="S467" i="1" s="1"/>
  <c r="M465" i="1"/>
  <c r="S465" i="1" s="1"/>
  <c r="M463" i="1"/>
  <c r="S463" i="1" s="1"/>
  <c r="M461" i="1"/>
  <c r="S461" i="1" s="1"/>
  <c r="M459" i="1"/>
  <c r="S459" i="1" s="1"/>
  <c r="M457" i="1"/>
  <c r="S457" i="1" s="1"/>
  <c r="M455" i="1"/>
  <c r="S455" i="1" s="1"/>
  <c r="M453" i="1"/>
  <c r="S453" i="1" s="1"/>
  <c r="M451" i="1"/>
  <c r="S451" i="1" s="1"/>
  <c r="M699" i="1"/>
  <c r="S699" i="1" s="1"/>
  <c r="M695" i="1"/>
  <c r="S695" i="1" s="1"/>
  <c r="M691" i="1"/>
  <c r="S691" i="1" s="1"/>
  <c r="M687" i="1"/>
  <c r="S687" i="1" s="1"/>
  <c r="M683" i="1"/>
  <c r="S683" i="1" s="1"/>
  <c r="M679" i="1"/>
  <c r="S679" i="1" s="1"/>
  <c r="M673" i="1"/>
  <c r="S673" i="1" s="1"/>
  <c r="M667" i="1"/>
  <c r="S667" i="1" s="1"/>
  <c r="M663" i="1"/>
  <c r="S663" i="1" s="1"/>
  <c r="M659" i="1"/>
  <c r="S659" i="1" s="1"/>
  <c r="M655" i="1"/>
  <c r="S655" i="1" s="1"/>
  <c r="M649" i="1"/>
  <c r="S649" i="1" s="1"/>
  <c r="M645" i="1"/>
  <c r="S645" i="1" s="1"/>
  <c r="M639" i="1"/>
  <c r="S639" i="1" s="1"/>
  <c r="M635" i="1"/>
  <c r="S635" i="1" s="1"/>
  <c r="M629" i="1"/>
  <c r="S629" i="1" s="1"/>
  <c r="M625" i="1"/>
  <c r="S625" i="1" s="1"/>
  <c r="M621" i="1"/>
  <c r="S621" i="1" s="1"/>
  <c r="M617" i="1"/>
  <c r="S617" i="1" s="1"/>
  <c r="M613" i="1"/>
  <c r="S613" i="1" s="1"/>
  <c r="M609" i="1"/>
  <c r="S609" i="1" s="1"/>
  <c r="M603" i="1"/>
  <c r="S603" i="1" s="1"/>
  <c r="M597" i="1"/>
  <c r="S597" i="1" s="1"/>
  <c r="M593" i="1"/>
  <c r="S593" i="1" s="1"/>
  <c r="M589" i="1"/>
  <c r="S589" i="1" s="1"/>
  <c r="M583" i="1"/>
  <c r="S583" i="1" s="1"/>
  <c r="M579" i="1"/>
  <c r="S579" i="1" s="1"/>
  <c r="M575" i="1"/>
  <c r="S575" i="1" s="1"/>
  <c r="M571" i="1"/>
  <c r="S571" i="1" s="1"/>
  <c r="M565" i="1"/>
  <c r="S565" i="1" s="1"/>
  <c r="M561" i="1"/>
  <c r="S561" i="1" s="1"/>
  <c r="M555" i="1"/>
  <c r="S555" i="1" s="1"/>
  <c r="M551" i="1"/>
  <c r="S551" i="1" s="1"/>
  <c r="M547" i="1"/>
  <c r="S547" i="1" s="1"/>
  <c r="M543" i="1"/>
  <c r="S543" i="1" s="1"/>
  <c r="M539" i="1"/>
  <c r="S539" i="1" s="1"/>
  <c r="M535" i="1"/>
  <c r="S535" i="1" s="1"/>
  <c r="M529" i="1"/>
  <c r="S529" i="1" s="1"/>
  <c r="M521" i="1"/>
  <c r="S521" i="1" s="1"/>
  <c r="M707" i="1"/>
  <c r="S707" i="1" s="1"/>
  <c r="M706" i="1"/>
  <c r="S706" i="1" s="1"/>
  <c r="M704" i="1"/>
  <c r="S704" i="1" s="1"/>
  <c r="M702" i="1"/>
  <c r="S702" i="1" s="1"/>
  <c r="M700" i="1"/>
  <c r="S700" i="1" s="1"/>
  <c r="M698" i="1"/>
  <c r="S698" i="1" s="1"/>
  <c r="M696" i="1"/>
  <c r="S696" i="1" s="1"/>
  <c r="M694" i="1"/>
  <c r="S694" i="1" s="1"/>
  <c r="M692" i="1"/>
  <c r="S692" i="1" s="1"/>
  <c r="M690" i="1"/>
  <c r="S690" i="1" s="1"/>
  <c r="M688" i="1"/>
  <c r="S688" i="1" s="1"/>
  <c r="M686" i="1"/>
  <c r="S686" i="1" s="1"/>
  <c r="M684" i="1"/>
  <c r="S684" i="1" s="1"/>
  <c r="M682" i="1"/>
  <c r="S682" i="1" s="1"/>
  <c r="M680" i="1"/>
  <c r="S680" i="1" s="1"/>
  <c r="M678" i="1"/>
  <c r="S678" i="1" s="1"/>
  <c r="M676" i="1"/>
  <c r="S676" i="1" s="1"/>
  <c r="M674" i="1"/>
  <c r="S674" i="1" s="1"/>
  <c r="M672" i="1"/>
  <c r="S672" i="1" s="1"/>
  <c r="M670" i="1"/>
  <c r="S670" i="1" s="1"/>
  <c r="M668" i="1"/>
  <c r="S668" i="1" s="1"/>
  <c r="M666" i="1"/>
  <c r="S666" i="1" s="1"/>
  <c r="M664" i="1"/>
  <c r="S664" i="1" s="1"/>
  <c r="M662" i="1"/>
  <c r="S662" i="1" s="1"/>
  <c r="M660" i="1"/>
  <c r="S660" i="1" s="1"/>
  <c r="M658" i="1"/>
  <c r="S658" i="1" s="1"/>
  <c r="M656" i="1"/>
  <c r="S656" i="1" s="1"/>
  <c r="M654" i="1"/>
  <c r="S654" i="1" s="1"/>
  <c r="M652" i="1"/>
  <c r="S652" i="1" s="1"/>
  <c r="M650" i="1"/>
  <c r="S650" i="1" s="1"/>
  <c r="M648" i="1"/>
  <c r="S648" i="1" s="1"/>
  <c r="M646" i="1"/>
  <c r="S646" i="1" s="1"/>
  <c r="M644" i="1"/>
  <c r="S644" i="1" s="1"/>
  <c r="M642" i="1"/>
  <c r="S642" i="1" s="1"/>
  <c r="M640" i="1"/>
  <c r="S640" i="1" s="1"/>
  <c r="M638" i="1"/>
  <c r="S638" i="1" s="1"/>
  <c r="M636" i="1"/>
  <c r="S636" i="1" s="1"/>
  <c r="M634" i="1"/>
  <c r="S634" i="1" s="1"/>
  <c r="M632" i="1"/>
  <c r="S632" i="1" s="1"/>
  <c r="M630" i="1"/>
  <c r="S630" i="1" s="1"/>
  <c r="M628" i="1"/>
  <c r="S628" i="1" s="1"/>
  <c r="M626" i="1"/>
  <c r="S626" i="1" s="1"/>
  <c r="M624" i="1"/>
  <c r="S624" i="1" s="1"/>
  <c r="M622" i="1"/>
  <c r="S622" i="1" s="1"/>
  <c r="M620" i="1"/>
  <c r="S620" i="1" s="1"/>
  <c r="M618" i="1"/>
  <c r="S618" i="1" s="1"/>
  <c r="M616" i="1"/>
  <c r="S616" i="1" s="1"/>
  <c r="M614" i="1"/>
  <c r="S614" i="1" s="1"/>
  <c r="M612" i="1"/>
  <c r="S612" i="1" s="1"/>
  <c r="M610" i="1"/>
  <c r="S610" i="1" s="1"/>
  <c r="M608" i="1"/>
  <c r="S608" i="1" s="1"/>
  <c r="M606" i="1"/>
  <c r="S606" i="1" s="1"/>
  <c r="M604" i="1"/>
  <c r="S604" i="1" s="1"/>
  <c r="M602" i="1"/>
  <c r="S602" i="1" s="1"/>
  <c r="M600" i="1"/>
  <c r="S600" i="1" s="1"/>
  <c r="M598" i="1"/>
  <c r="S598" i="1" s="1"/>
  <c r="M596" i="1"/>
  <c r="S596" i="1" s="1"/>
  <c r="M594" i="1"/>
  <c r="S594" i="1" s="1"/>
  <c r="M592" i="1"/>
  <c r="S592" i="1" s="1"/>
  <c r="M590" i="1"/>
  <c r="S590" i="1" s="1"/>
  <c r="M588" i="1"/>
  <c r="S588" i="1" s="1"/>
  <c r="M586" i="1"/>
  <c r="S586" i="1" s="1"/>
  <c r="M584" i="1"/>
  <c r="S584" i="1" s="1"/>
  <c r="M582" i="1"/>
  <c r="S582" i="1" s="1"/>
  <c r="M580" i="1"/>
  <c r="S580" i="1" s="1"/>
  <c r="M578" i="1"/>
  <c r="S578" i="1" s="1"/>
  <c r="M576" i="1"/>
  <c r="S576" i="1" s="1"/>
  <c r="M574" i="1"/>
  <c r="S574" i="1" s="1"/>
  <c r="M572" i="1"/>
  <c r="S572" i="1" s="1"/>
  <c r="M570" i="1"/>
  <c r="S570" i="1" s="1"/>
  <c r="M568" i="1"/>
  <c r="S568" i="1" s="1"/>
  <c r="M566" i="1"/>
  <c r="S566" i="1" s="1"/>
  <c r="M564" i="1"/>
  <c r="S564" i="1" s="1"/>
  <c r="M562" i="1"/>
  <c r="S562" i="1" s="1"/>
  <c r="M560" i="1"/>
  <c r="S560" i="1" s="1"/>
  <c r="M558" i="1"/>
  <c r="S558" i="1" s="1"/>
  <c r="M556" i="1"/>
  <c r="S556" i="1" s="1"/>
  <c r="M554" i="1"/>
  <c r="S554" i="1" s="1"/>
  <c r="M552" i="1"/>
  <c r="S552" i="1" s="1"/>
  <c r="M550" i="1"/>
  <c r="S550" i="1" s="1"/>
  <c r="M548" i="1"/>
  <c r="S548" i="1" s="1"/>
  <c r="M546" i="1"/>
  <c r="S546" i="1" s="1"/>
  <c r="M544" i="1"/>
  <c r="S544" i="1" s="1"/>
  <c r="M430" i="1"/>
  <c r="S430" i="1" s="1"/>
  <c r="M395" i="1"/>
  <c r="S395" i="1" s="1"/>
  <c r="M393" i="1"/>
  <c r="S393" i="1" s="1"/>
  <c r="M388" i="1"/>
  <c r="S388" i="1" s="1"/>
  <c r="M386" i="1"/>
  <c r="S386" i="1" s="1"/>
  <c r="M366" i="1"/>
  <c r="S366" i="1" s="1"/>
  <c r="M265" i="1"/>
  <c r="S265" i="1" s="1"/>
  <c r="M258" i="1"/>
  <c r="S258" i="1" s="1"/>
  <c r="M205" i="1"/>
  <c r="S205" i="1" s="1"/>
  <c r="M200" i="1"/>
  <c r="S200" i="1" s="1"/>
  <c r="M198" i="1"/>
  <c r="S198" i="1" s="1"/>
  <c r="M163" i="1"/>
  <c r="S163" i="1" s="1"/>
  <c r="M126" i="1"/>
  <c r="S126" i="1" s="1"/>
  <c r="S62" i="1"/>
  <c r="M46" i="1"/>
  <c r="S46" i="1" s="1"/>
  <c r="M30" i="1"/>
  <c r="S30" i="1" s="1"/>
  <c r="M14" i="1"/>
  <c r="S14" i="1" s="1"/>
  <c r="M428" i="1"/>
  <c r="S428" i="1" s="1"/>
  <c r="M426" i="1"/>
  <c r="S426" i="1" s="1"/>
  <c r="M406" i="1"/>
  <c r="S406" i="1" s="1"/>
  <c r="M364" i="1"/>
  <c r="S364" i="1" s="1"/>
  <c r="M362" i="1"/>
  <c r="S362" i="1" s="1"/>
  <c r="M342" i="1"/>
  <c r="S342" i="1" s="1"/>
  <c r="M324" i="1"/>
  <c r="S324" i="1" s="1"/>
  <c r="M308" i="1"/>
  <c r="S308" i="1" s="1"/>
  <c r="M292" i="1"/>
  <c r="S292" i="1" s="1"/>
  <c r="M276" i="1"/>
  <c r="S276" i="1" s="1"/>
  <c r="M259" i="1"/>
  <c r="S259" i="1" s="1"/>
  <c r="M256" i="1"/>
  <c r="S256" i="1" s="1"/>
  <c r="M254" i="1"/>
  <c r="S254" i="1" s="1"/>
  <c r="M252" i="1"/>
  <c r="S252" i="1" s="1"/>
  <c r="M225" i="1"/>
  <c r="S225" i="1" s="1"/>
  <c r="M223" i="1"/>
  <c r="S223" i="1" s="1"/>
  <c r="M181" i="1"/>
  <c r="S181" i="1" s="1"/>
  <c r="M176" i="1"/>
  <c r="S176" i="1" s="1"/>
  <c r="M174" i="1"/>
  <c r="S174" i="1" s="1"/>
  <c r="M122" i="1"/>
  <c r="S122" i="1" s="1"/>
  <c r="M92" i="1"/>
  <c r="S92" i="1" s="1"/>
  <c r="M76" i="1"/>
  <c r="S76" i="1" s="1"/>
  <c r="M60" i="1"/>
  <c r="S60" i="1" s="1"/>
  <c r="M44" i="1"/>
  <c r="S44" i="1" s="1"/>
  <c r="M28" i="1"/>
  <c r="S28" i="1" s="1"/>
  <c r="M12" i="1"/>
  <c r="S12" i="1" s="1"/>
  <c r="M411" i="1"/>
  <c r="S411" i="1" s="1"/>
  <c r="M409" i="1"/>
  <c r="S409" i="1" s="1"/>
  <c r="M404" i="1"/>
  <c r="S404" i="1" s="1"/>
  <c r="M402" i="1"/>
  <c r="S402" i="1" s="1"/>
  <c r="M382" i="1"/>
  <c r="S382" i="1" s="1"/>
  <c r="M347" i="1"/>
  <c r="S347" i="1" s="1"/>
  <c r="M345" i="1"/>
  <c r="S345" i="1" s="1"/>
  <c r="M340" i="1"/>
  <c r="S340" i="1" s="1"/>
  <c r="M338" i="1"/>
  <c r="S338" i="1" s="1"/>
  <c r="M257" i="1"/>
  <c r="S257" i="1" s="1"/>
  <c r="M216" i="1"/>
  <c r="S216" i="1" s="1"/>
  <c r="M214" i="1"/>
  <c r="S214" i="1" s="1"/>
  <c r="M199" i="1"/>
  <c r="S199" i="1" s="1"/>
  <c r="M179" i="1"/>
  <c r="S179" i="1" s="1"/>
  <c r="M157" i="1"/>
  <c r="S157" i="1" s="1"/>
  <c r="M152" i="1"/>
  <c r="S152" i="1" s="1"/>
  <c r="M150" i="1"/>
  <c r="S150" i="1" s="1"/>
  <c r="M125" i="1"/>
  <c r="S125" i="1" s="1"/>
  <c r="M118" i="1"/>
  <c r="S118" i="1" s="1"/>
  <c r="M90" i="1"/>
  <c r="S90" i="1" s="1"/>
  <c r="M74" i="1"/>
  <c r="S74" i="1" s="1"/>
  <c r="M58" i="1"/>
  <c r="S58" i="1" s="1"/>
  <c r="M42" i="1"/>
  <c r="S42" i="1" s="1"/>
  <c r="M26" i="1"/>
  <c r="S26" i="1" s="1"/>
  <c r="M10" i="1"/>
  <c r="S10" i="1" s="1"/>
  <c r="M540" i="1"/>
  <c r="S540" i="1" s="1"/>
  <c r="M536" i="1"/>
  <c r="S536" i="1" s="1"/>
  <c r="M532" i="1"/>
  <c r="S532" i="1" s="1"/>
  <c r="M528" i="1"/>
  <c r="S528" i="1" s="1"/>
  <c r="M524" i="1"/>
  <c r="S524" i="1" s="1"/>
  <c r="M520" i="1"/>
  <c r="S520" i="1" s="1"/>
  <c r="M518" i="1"/>
  <c r="S518" i="1" s="1"/>
  <c r="M516" i="1"/>
  <c r="S516" i="1" s="1"/>
  <c r="M514" i="1"/>
  <c r="S514" i="1" s="1"/>
  <c r="M512" i="1"/>
  <c r="S512" i="1" s="1"/>
  <c r="M510" i="1"/>
  <c r="S510" i="1" s="1"/>
  <c r="M508" i="1"/>
  <c r="S508" i="1" s="1"/>
  <c r="M506" i="1"/>
  <c r="S506" i="1" s="1"/>
  <c r="M502" i="1"/>
  <c r="S502" i="1" s="1"/>
  <c r="M500" i="1"/>
  <c r="S500" i="1" s="1"/>
  <c r="M498" i="1"/>
  <c r="S498" i="1" s="1"/>
  <c r="M496" i="1"/>
  <c r="S496" i="1" s="1"/>
  <c r="M494" i="1"/>
  <c r="S494" i="1" s="1"/>
  <c r="M492" i="1"/>
  <c r="S492" i="1" s="1"/>
  <c r="M490" i="1"/>
  <c r="S490" i="1" s="1"/>
  <c r="M488" i="1"/>
  <c r="S488" i="1" s="1"/>
  <c r="M486" i="1"/>
  <c r="S486" i="1" s="1"/>
  <c r="M484" i="1"/>
  <c r="S484" i="1" s="1"/>
  <c r="M482" i="1"/>
  <c r="S482" i="1" s="1"/>
  <c r="M480" i="1"/>
  <c r="S480" i="1" s="1"/>
  <c r="M478" i="1"/>
  <c r="S478" i="1" s="1"/>
  <c r="M476" i="1"/>
  <c r="S476" i="1" s="1"/>
  <c r="M474" i="1"/>
  <c r="S474" i="1" s="1"/>
  <c r="M472" i="1"/>
  <c r="S472" i="1" s="1"/>
  <c r="M470" i="1"/>
  <c r="S470" i="1" s="1"/>
  <c r="M468" i="1"/>
  <c r="S468" i="1" s="1"/>
  <c r="M466" i="1"/>
  <c r="S466" i="1" s="1"/>
  <c r="M464" i="1"/>
  <c r="S464" i="1" s="1"/>
  <c r="M462" i="1"/>
  <c r="S462" i="1" s="1"/>
  <c r="M460" i="1"/>
  <c r="S460" i="1" s="1"/>
  <c r="M458" i="1"/>
  <c r="S458" i="1" s="1"/>
  <c r="M456" i="1"/>
  <c r="S456" i="1" s="1"/>
  <c r="M454" i="1"/>
  <c r="S454" i="1" s="1"/>
  <c r="M452" i="1"/>
  <c r="S452" i="1" s="1"/>
  <c r="M450" i="1"/>
  <c r="S450" i="1" s="1"/>
  <c r="M448" i="1"/>
  <c r="S448" i="1" s="1"/>
  <c r="M446" i="1"/>
  <c r="S446" i="1" s="1"/>
  <c r="M444" i="1"/>
  <c r="S444" i="1" s="1"/>
  <c r="M442" i="1"/>
  <c r="S442" i="1" s="1"/>
  <c r="M422" i="1"/>
  <c r="S422" i="1" s="1"/>
  <c r="M385" i="1"/>
  <c r="S385" i="1" s="1"/>
  <c r="M380" i="1"/>
  <c r="S380" i="1" s="1"/>
  <c r="M378" i="1"/>
  <c r="S378" i="1" s="1"/>
  <c r="M358" i="1"/>
  <c r="S358" i="1" s="1"/>
  <c r="M320" i="1"/>
  <c r="S320" i="1" s="1"/>
  <c r="M304" i="1"/>
  <c r="S304" i="1" s="1"/>
  <c r="M288" i="1"/>
  <c r="S288" i="1" s="1"/>
  <c r="M272" i="1"/>
  <c r="S272" i="1" s="1"/>
  <c r="M255" i="1"/>
  <c r="S255" i="1" s="1"/>
  <c r="M253" i="1"/>
  <c r="S253" i="1" s="1"/>
  <c r="M251" i="1"/>
  <c r="S251" i="1" s="1"/>
  <c r="M190" i="1"/>
  <c r="S190" i="1" s="1"/>
  <c r="M175" i="1"/>
  <c r="S175" i="1" s="1"/>
  <c r="M121" i="1"/>
  <c r="S121" i="1" s="1"/>
  <c r="M542" i="1"/>
  <c r="S542" i="1" s="1"/>
  <c r="M538" i="1"/>
  <c r="S538" i="1" s="1"/>
  <c r="M534" i="1"/>
  <c r="S534" i="1" s="1"/>
  <c r="M530" i="1"/>
  <c r="S530" i="1" s="1"/>
  <c r="M526" i="1"/>
  <c r="S526" i="1" s="1"/>
  <c r="M522" i="1"/>
  <c r="S522" i="1" s="1"/>
  <c r="M420" i="1"/>
  <c r="S420" i="1" s="1"/>
  <c r="M418" i="1"/>
  <c r="S418" i="1" s="1"/>
  <c r="M398" i="1"/>
  <c r="S398" i="1" s="1"/>
  <c r="M356" i="1"/>
  <c r="S356" i="1" s="1"/>
  <c r="M354" i="1"/>
  <c r="S354" i="1" s="1"/>
  <c r="M334" i="1"/>
  <c r="S334" i="1" s="1"/>
  <c r="M249" i="1"/>
  <c r="S249" i="1" s="1"/>
  <c r="M247" i="1"/>
  <c r="S247" i="1" s="1"/>
  <c r="M245" i="1"/>
  <c r="S245" i="1" s="1"/>
  <c r="M243" i="1"/>
  <c r="S243" i="1" s="1"/>
  <c r="M215" i="1"/>
  <c r="S215" i="1" s="1"/>
  <c r="M151" i="1"/>
  <c r="S151" i="1" s="1"/>
  <c r="M149" i="1"/>
  <c r="S149" i="1" s="1"/>
  <c r="M117" i="1"/>
  <c r="S117" i="1" s="1"/>
  <c r="M241" i="1"/>
  <c r="S241" i="1" s="1"/>
  <c r="M191" i="1"/>
  <c r="S191" i="1" s="1"/>
  <c r="M145" i="1"/>
  <c r="S145" i="1" s="1"/>
  <c r="M113" i="1"/>
  <c r="S113" i="1" s="1"/>
  <c r="M269" i="1"/>
  <c r="S269" i="1" s="1"/>
  <c r="M239" i="1"/>
  <c r="S239" i="1" s="1"/>
  <c r="M237" i="1"/>
  <c r="S237" i="1" s="1"/>
  <c r="M235" i="1"/>
  <c r="S235" i="1" s="1"/>
  <c r="M233" i="1"/>
  <c r="S233" i="1" s="1"/>
  <c r="M167" i="1"/>
  <c r="S167" i="1" s="1"/>
  <c r="M141" i="1"/>
  <c r="S141" i="1" s="1"/>
  <c r="M109" i="1"/>
  <c r="S109" i="1" s="1"/>
  <c r="M717" i="1"/>
  <c r="S717" i="1" s="1"/>
  <c r="M715" i="1"/>
  <c r="S715" i="1" s="1"/>
  <c r="M713" i="1"/>
  <c r="S713" i="1" s="1"/>
  <c r="M709" i="1"/>
  <c r="S709" i="1" s="1"/>
  <c r="M705" i="1"/>
  <c r="S705" i="1" s="1"/>
  <c r="M330" i="1"/>
  <c r="S330" i="1" s="1"/>
  <c r="M322" i="1"/>
  <c r="S322" i="1" s="1"/>
  <c r="M314" i="1"/>
  <c r="S314" i="1" s="1"/>
  <c r="M306" i="1"/>
  <c r="S306" i="1" s="1"/>
  <c r="M298" i="1"/>
  <c r="S298" i="1" s="1"/>
  <c r="M290" i="1"/>
  <c r="S290" i="1" s="1"/>
  <c r="M282" i="1"/>
  <c r="S282" i="1" s="1"/>
  <c r="M274" i="1"/>
  <c r="S274" i="1" s="1"/>
  <c r="M326" i="1"/>
  <c r="S326" i="1" s="1"/>
  <c r="M318" i="1"/>
  <c r="S318" i="1" s="1"/>
  <c r="M310" i="1"/>
  <c r="S310" i="1" s="1"/>
  <c r="M302" i="1"/>
  <c r="S302" i="1" s="1"/>
  <c r="M294" i="1"/>
  <c r="S294" i="1" s="1"/>
  <c r="M286" i="1"/>
  <c r="S286" i="1" s="1"/>
  <c r="M278" i="1"/>
  <c r="S278" i="1" s="1"/>
  <c r="M270" i="1"/>
  <c r="S270" i="1" s="1"/>
  <c r="M144" i="1"/>
  <c r="S144" i="1" s="1"/>
  <c r="M136" i="1"/>
  <c r="S136" i="1" s="1"/>
  <c r="M128" i="1"/>
  <c r="S128" i="1" s="1"/>
  <c r="M120" i="1"/>
  <c r="S120" i="1" s="1"/>
  <c r="M112" i="1"/>
  <c r="S112" i="1" s="1"/>
  <c r="M104" i="1"/>
  <c r="S104" i="1" s="1"/>
  <c r="M94" i="1"/>
  <c r="S94" i="1" s="1"/>
  <c r="M78" i="1"/>
  <c r="S78" i="1" s="1"/>
  <c r="M88" i="1"/>
  <c r="S88" i="1" s="1"/>
  <c r="M72" i="1"/>
  <c r="S72" i="1" s="1"/>
  <c r="M148" i="1"/>
  <c r="S148" i="1" s="1"/>
  <c r="M140" i="1"/>
  <c r="S140" i="1" s="1"/>
  <c r="M132" i="1"/>
  <c r="S132" i="1" s="1"/>
  <c r="M124" i="1"/>
  <c r="S124" i="1" s="1"/>
  <c r="M116" i="1"/>
  <c r="S116" i="1" s="1"/>
  <c r="M108" i="1"/>
  <c r="S108" i="1" s="1"/>
  <c r="M100" i="1"/>
  <c r="S100" i="1" s="1"/>
  <c r="M86" i="1"/>
  <c r="S86" i="1" s="1"/>
  <c r="M70" i="1"/>
  <c r="S70" i="1" s="1"/>
  <c r="M96" i="1"/>
  <c r="S96" i="1" s="1"/>
  <c r="M80" i="1"/>
  <c r="S80" i="1" s="1"/>
  <c r="J2" i="3" l="1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E2" i="6" l="1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B3" i="7" l="1"/>
  <c r="B2" i="3"/>
  <c r="B2" i="5" s="1"/>
  <c r="B3" i="3"/>
  <c r="B3" i="5" s="1"/>
  <c r="B4" i="3"/>
  <c r="B4" i="5" s="1"/>
  <c r="B5" i="3"/>
  <c r="B5" i="5" s="1"/>
  <c r="B6" i="3"/>
  <c r="B6" i="5" s="1"/>
  <c r="B7" i="3"/>
  <c r="B7" i="5" s="1"/>
  <c r="B8" i="3"/>
  <c r="B8" i="5" s="1"/>
  <c r="B9" i="3"/>
  <c r="B9" i="5" s="1"/>
  <c r="B10" i="3"/>
  <c r="B10" i="5" s="1"/>
  <c r="B11" i="3"/>
  <c r="B11" i="5" s="1"/>
  <c r="B12" i="3"/>
  <c r="B12" i="5" s="1"/>
  <c r="B13" i="3"/>
  <c r="B13" i="5" s="1"/>
  <c r="B14" i="3"/>
  <c r="B14" i="5" s="1"/>
  <c r="B15" i="3"/>
  <c r="B15" i="5" s="1"/>
  <c r="B16" i="3"/>
  <c r="B16" i="5" s="1"/>
  <c r="B17" i="3"/>
  <c r="B17" i="5" s="1"/>
  <c r="B18" i="3"/>
  <c r="B18" i="5" s="1"/>
  <c r="B19" i="3"/>
  <c r="B19" i="5" s="1"/>
  <c r="B20" i="3"/>
  <c r="B20" i="5" s="1"/>
  <c r="B21" i="3"/>
  <c r="B21" i="5" s="1"/>
  <c r="B22" i="3"/>
  <c r="B22" i="5" s="1"/>
  <c r="B23" i="3"/>
  <c r="B23" i="5" s="1"/>
  <c r="B24" i="3"/>
  <c r="B25" i="3"/>
  <c r="B26" i="3"/>
  <c r="B27" i="3"/>
  <c r="B28" i="3"/>
  <c r="B29" i="3"/>
  <c r="B30" i="3"/>
  <c r="B31" i="3"/>
  <c r="B32" i="3"/>
  <c r="B33" i="3"/>
  <c r="B34" i="3"/>
  <c r="B35" i="3"/>
  <c r="A2" i="5"/>
  <c r="A3" i="3"/>
  <c r="A3" i="5" s="1"/>
  <c r="A4" i="3"/>
  <c r="A4" i="5" s="1"/>
  <c r="A5" i="3"/>
  <c r="A5" i="5" s="1"/>
  <c r="A6" i="3"/>
  <c r="A6" i="5" s="1"/>
  <c r="A7" i="3"/>
  <c r="A7" i="5" s="1"/>
  <c r="A8" i="3"/>
  <c r="A8" i="5" s="1"/>
  <c r="A9" i="3"/>
  <c r="A9" i="5" s="1"/>
  <c r="A10" i="3"/>
  <c r="A10" i="5" s="1"/>
  <c r="A11" i="3"/>
  <c r="A11" i="5" s="1"/>
  <c r="A12" i="3"/>
  <c r="A12" i="5" s="1"/>
  <c r="A13" i="3"/>
  <c r="A13" i="5" s="1"/>
  <c r="A14" i="3"/>
  <c r="A14" i="5" s="1"/>
  <c r="A15" i="3"/>
  <c r="A15" i="5" s="1"/>
  <c r="A16" i="3"/>
  <c r="A16" i="5" s="1"/>
  <c r="A17" i="3"/>
  <c r="A17" i="5" s="1"/>
  <c r="A18" i="3"/>
  <c r="A18" i="5" s="1"/>
  <c r="A19" i="3"/>
  <c r="A19" i="5" s="1"/>
  <c r="A20" i="3"/>
  <c r="A20" i="5" s="1"/>
  <c r="A21" i="3"/>
  <c r="A21" i="5" s="1"/>
  <c r="A22" i="3"/>
  <c r="A22" i="5" s="1"/>
  <c r="A23" i="3"/>
  <c r="A23" i="5" s="1"/>
  <c r="A24" i="3"/>
  <c r="A25" i="3"/>
  <c r="A26" i="3"/>
  <c r="A27" i="3"/>
  <c r="A28" i="3"/>
  <c r="A29" i="3"/>
  <c r="A30" i="3"/>
  <c r="A31" i="3"/>
  <c r="A32" i="3"/>
  <c r="A33" i="3"/>
  <c r="A34" i="3"/>
  <c r="A35" i="3"/>
  <c r="Q2" i="6" l="1"/>
  <c r="Q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100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122" i="6"/>
  <c r="Q123" i="6"/>
  <c r="Q124" i="6"/>
  <c r="Q125" i="6"/>
  <c r="Q126" i="6"/>
  <c r="Q127" i="6"/>
  <c r="Q128" i="6"/>
  <c r="Q129" i="6"/>
  <c r="Q130" i="6"/>
  <c r="Q131" i="6"/>
  <c r="Q132" i="6"/>
  <c r="Q133" i="6"/>
  <c r="Q134" i="6"/>
  <c r="Q135" i="6"/>
  <c r="Q136" i="6"/>
  <c r="Q137" i="6"/>
  <c r="Q138" i="6"/>
  <c r="Q139" i="6"/>
  <c r="Q140" i="6"/>
  <c r="Q141" i="6"/>
  <c r="Q142" i="6"/>
  <c r="Q143" i="6"/>
  <c r="Q144" i="6"/>
  <c r="Q145" i="6"/>
  <c r="Q146" i="6"/>
  <c r="Q147" i="6"/>
  <c r="Q148" i="6"/>
  <c r="Q149" i="6"/>
  <c r="Q150" i="6"/>
  <c r="Q151" i="6"/>
  <c r="Q152" i="6"/>
  <c r="Q153" i="6"/>
  <c r="Q154" i="6"/>
  <c r="Q155" i="6"/>
  <c r="Q156" i="6"/>
  <c r="Q157" i="6"/>
  <c r="Q158" i="6"/>
  <c r="Q159" i="6"/>
  <c r="Q160" i="6"/>
  <c r="Q161" i="6"/>
  <c r="Q162" i="6"/>
  <c r="Q163" i="6"/>
  <c r="Q164" i="6"/>
  <c r="Q165" i="6"/>
  <c r="Q166" i="6"/>
  <c r="Q167" i="6"/>
  <c r="Q168" i="6"/>
  <c r="Q169" i="6"/>
  <c r="Q170" i="6"/>
  <c r="Q171" i="6"/>
  <c r="Q172" i="6"/>
  <c r="Q173" i="6"/>
  <c r="Q174" i="6"/>
  <c r="Q175" i="6"/>
  <c r="Q176" i="6"/>
  <c r="Q177" i="6"/>
  <c r="Q178" i="6"/>
  <c r="Q179" i="6"/>
  <c r="Q180" i="6"/>
  <c r="Q181" i="6"/>
  <c r="Q182" i="6"/>
  <c r="Q183" i="6"/>
  <c r="Q184" i="6"/>
  <c r="Q185" i="6"/>
  <c r="Q186" i="6"/>
  <c r="Q187" i="6"/>
  <c r="Q188" i="6"/>
  <c r="Q189" i="6"/>
  <c r="Q190" i="6"/>
  <c r="Q191" i="6"/>
  <c r="Q192" i="6"/>
  <c r="Q193" i="6"/>
  <c r="Q194" i="6"/>
  <c r="Q195" i="6"/>
  <c r="Q196" i="6"/>
  <c r="Q197" i="6"/>
  <c r="Q198" i="6"/>
  <c r="Q199" i="6"/>
  <c r="Q200" i="6"/>
  <c r="Q201" i="6"/>
  <c r="Q202" i="6"/>
  <c r="Q203" i="6"/>
  <c r="Q204" i="6"/>
  <c r="Q205" i="6"/>
  <c r="Q206" i="6"/>
  <c r="Q207" i="6"/>
  <c r="Q208" i="6"/>
  <c r="Q209" i="6"/>
  <c r="Q210" i="6"/>
  <c r="Q211" i="6"/>
  <c r="Q212" i="6"/>
  <c r="Q213" i="6"/>
  <c r="Q214" i="6"/>
  <c r="Q215" i="6"/>
  <c r="Q216" i="6"/>
  <c r="Q217" i="6"/>
  <c r="Q218" i="6"/>
  <c r="Q219" i="6"/>
  <c r="Q220" i="6"/>
  <c r="Q221" i="6"/>
  <c r="Q222" i="6"/>
  <c r="Q223" i="6"/>
  <c r="Q224" i="6"/>
  <c r="Q225" i="6"/>
  <c r="Q226" i="6"/>
  <c r="Q227" i="6"/>
  <c r="Q228" i="6"/>
  <c r="Q229" i="6"/>
  <c r="Q230" i="6"/>
  <c r="Q231" i="6"/>
  <c r="Q232" i="6"/>
  <c r="Q233" i="6"/>
  <c r="Q234" i="6"/>
  <c r="Q235" i="6"/>
  <c r="Q236" i="6"/>
  <c r="Q237" i="6"/>
  <c r="Q238" i="6"/>
  <c r="Q239" i="6"/>
  <c r="Q240" i="6"/>
  <c r="Q241" i="6"/>
  <c r="Q242" i="6"/>
  <c r="Q243" i="6"/>
  <c r="Q244" i="6"/>
  <c r="Q245" i="6"/>
  <c r="Q246" i="6"/>
  <c r="Q247" i="6"/>
  <c r="Q248" i="6"/>
  <c r="Q249" i="6"/>
  <c r="Q250" i="6"/>
  <c r="Q251" i="6"/>
  <c r="Q252" i="6"/>
  <c r="Q253" i="6"/>
  <c r="Q254" i="6"/>
  <c r="Q255" i="6"/>
  <c r="Q256" i="6"/>
  <c r="Q257" i="6"/>
  <c r="Q258" i="6"/>
  <c r="Q259" i="6"/>
  <c r="Q260" i="6"/>
  <c r="Q261" i="6"/>
  <c r="Q262" i="6"/>
  <c r="Q263" i="6"/>
  <c r="Q264" i="6"/>
  <c r="Q265" i="6"/>
  <c r="Q266" i="6"/>
  <c r="Q267" i="6"/>
  <c r="Q268" i="6"/>
  <c r="Q269" i="6"/>
  <c r="Q270" i="6"/>
  <c r="Q271" i="6"/>
  <c r="Q272" i="6"/>
  <c r="Q273" i="6"/>
  <c r="Q274" i="6"/>
  <c r="Q275" i="6"/>
  <c r="Q276" i="6"/>
  <c r="Q277" i="6"/>
  <c r="Q278" i="6"/>
  <c r="Q279" i="6"/>
  <c r="Q280" i="6"/>
  <c r="Q281" i="6"/>
  <c r="Q282" i="6"/>
  <c r="Q283" i="6"/>
  <c r="Q284" i="6"/>
  <c r="Q285" i="6"/>
  <c r="Q286" i="6"/>
  <c r="Q287" i="6"/>
  <c r="Q288" i="6"/>
  <c r="Q289" i="6"/>
  <c r="Q290" i="6"/>
  <c r="Q291" i="6"/>
  <c r="Q292" i="6"/>
  <c r="Q293" i="6"/>
  <c r="Q294" i="6"/>
  <c r="Q295" i="6"/>
  <c r="Q296" i="6"/>
  <c r="Q297" i="6"/>
  <c r="Q298" i="6"/>
  <c r="Q299" i="6"/>
  <c r="Q300" i="6"/>
  <c r="Q301" i="6"/>
  <c r="Q302" i="6"/>
  <c r="Q303" i="6"/>
  <c r="Q304" i="6"/>
  <c r="Q305" i="6"/>
  <c r="Q306" i="6"/>
  <c r="Q307" i="6"/>
  <c r="Q308" i="6"/>
  <c r="Q309" i="6"/>
  <c r="Q310" i="6"/>
  <c r="Q311" i="6"/>
  <c r="Q312" i="6"/>
  <c r="Q313" i="6"/>
  <c r="Q314" i="6"/>
  <c r="Q315" i="6"/>
  <c r="Q316" i="6"/>
  <c r="Q317" i="6"/>
  <c r="Q318" i="6"/>
  <c r="Q319" i="6"/>
  <c r="Q320" i="6"/>
  <c r="Q321" i="6"/>
  <c r="Q322" i="6"/>
  <c r="Q323" i="6"/>
  <c r="Q324" i="6"/>
  <c r="Q325" i="6"/>
  <c r="Q326" i="6"/>
  <c r="Q327" i="6"/>
  <c r="Q328" i="6"/>
  <c r="Q329" i="6"/>
  <c r="Q330" i="6"/>
  <c r="Q331" i="6"/>
  <c r="Q332" i="6"/>
  <c r="Q333" i="6"/>
  <c r="Q334" i="6"/>
  <c r="Q335" i="6"/>
  <c r="Q336" i="6"/>
  <c r="Q337" i="6"/>
  <c r="Q338" i="6"/>
  <c r="Q339" i="6"/>
  <c r="Q340" i="6"/>
  <c r="Q341" i="6"/>
  <c r="Q342" i="6"/>
  <c r="Q343" i="6"/>
  <c r="Q344" i="6"/>
  <c r="Q345" i="6"/>
  <c r="Q346" i="6"/>
  <c r="Q347" i="6"/>
  <c r="Q348" i="6"/>
  <c r="Q349" i="6"/>
  <c r="Q350" i="6"/>
  <c r="Q351" i="6"/>
  <c r="Q352" i="6"/>
  <c r="Q353" i="6"/>
  <c r="Q354" i="6"/>
  <c r="Q355" i="6"/>
  <c r="Q356" i="6"/>
  <c r="Q357" i="6"/>
  <c r="Q358" i="6"/>
  <c r="Q359" i="6"/>
  <c r="Q360" i="6"/>
  <c r="Q361" i="6"/>
  <c r="Q362" i="6"/>
  <c r="Q363" i="6"/>
  <c r="Q364" i="6"/>
  <c r="Q365" i="6"/>
  <c r="Q366" i="6"/>
  <c r="Q367" i="6"/>
  <c r="Q368" i="6"/>
  <c r="Q369" i="6"/>
  <c r="Q370" i="6"/>
  <c r="Q371" i="6"/>
  <c r="Q372" i="6"/>
  <c r="Q373" i="6"/>
  <c r="Q374" i="6"/>
  <c r="Q375" i="6"/>
  <c r="Q376" i="6"/>
  <c r="Q377" i="6"/>
  <c r="Q378" i="6"/>
  <c r="Q379" i="6"/>
  <c r="Q380" i="6"/>
  <c r="Q381" i="6"/>
  <c r="Q382" i="6"/>
  <c r="Q383" i="6"/>
  <c r="Q384" i="6"/>
  <c r="Q385" i="6"/>
  <c r="Q386" i="6"/>
  <c r="Q387" i="6"/>
  <c r="Q388" i="6"/>
  <c r="Q389" i="6"/>
  <c r="Q390" i="6"/>
  <c r="Q391" i="6"/>
  <c r="Q392" i="6"/>
  <c r="Q393" i="6"/>
  <c r="Q394" i="6"/>
  <c r="Q395" i="6"/>
  <c r="Q396" i="6"/>
  <c r="Q397" i="6"/>
  <c r="Q398" i="6"/>
  <c r="Q399" i="6"/>
  <c r="Q400" i="6"/>
  <c r="Q401" i="6"/>
  <c r="Q402" i="6"/>
  <c r="Q403" i="6"/>
  <c r="Q404" i="6"/>
  <c r="Q405" i="6"/>
  <c r="Q406" i="6"/>
  <c r="Q407" i="6"/>
  <c r="Q408" i="6"/>
  <c r="Q409" i="6"/>
  <c r="Q410" i="6"/>
  <c r="Q411" i="6"/>
  <c r="Q412" i="6"/>
  <c r="Q413" i="6"/>
  <c r="Q414" i="6"/>
  <c r="Q415" i="6"/>
  <c r="Q416" i="6"/>
  <c r="Q417" i="6"/>
  <c r="Q418" i="6"/>
  <c r="Q419" i="6"/>
  <c r="Q420" i="6"/>
  <c r="Q421" i="6"/>
  <c r="Q422" i="6"/>
  <c r="Q423" i="6"/>
  <c r="Q424" i="6"/>
  <c r="Q425" i="6"/>
  <c r="Q426" i="6"/>
  <c r="Q427" i="6"/>
  <c r="Q428" i="6"/>
  <c r="Q429" i="6"/>
  <c r="Q430" i="6"/>
  <c r="Q431" i="6"/>
  <c r="Q432" i="6"/>
  <c r="Q433" i="6"/>
  <c r="Q434" i="6"/>
  <c r="Q435" i="6"/>
  <c r="Q436" i="6"/>
  <c r="Q437" i="6"/>
  <c r="Q438" i="6"/>
  <c r="Q439" i="6"/>
  <c r="Q440" i="6"/>
  <c r="Q441" i="6"/>
  <c r="Q442" i="6"/>
  <c r="Q443" i="6"/>
  <c r="Q444" i="6"/>
  <c r="Q445" i="6"/>
  <c r="Q446" i="6"/>
  <c r="Q447" i="6"/>
  <c r="Q448" i="6"/>
  <c r="Q449" i="6"/>
  <c r="J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K2" i="6" l="1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M2" i="6"/>
  <c r="N2" i="6"/>
  <c r="O2" i="6"/>
  <c r="M3" i="6"/>
  <c r="N3" i="6"/>
  <c r="O3" i="6"/>
  <c r="M4" i="6"/>
  <c r="N4" i="6"/>
  <c r="O4" i="6"/>
  <c r="M5" i="6"/>
  <c r="N5" i="6"/>
  <c r="O5" i="6"/>
  <c r="M6" i="6"/>
  <c r="N6" i="6"/>
  <c r="O6" i="6"/>
  <c r="M7" i="6"/>
  <c r="N7" i="6"/>
  <c r="O7" i="6"/>
  <c r="M8" i="6"/>
  <c r="N8" i="6"/>
  <c r="O8" i="6"/>
  <c r="M9" i="6"/>
  <c r="N9" i="6"/>
  <c r="O9" i="6"/>
  <c r="M10" i="6"/>
  <c r="N10" i="6"/>
  <c r="O10" i="6"/>
  <c r="M11" i="6"/>
  <c r="N11" i="6"/>
  <c r="O11" i="6"/>
  <c r="M12" i="6"/>
  <c r="N12" i="6"/>
  <c r="O12" i="6"/>
  <c r="M13" i="6"/>
  <c r="N13" i="6"/>
  <c r="O13" i="6"/>
  <c r="M14" i="6"/>
  <c r="N14" i="6"/>
  <c r="O14" i="6"/>
  <c r="M15" i="6"/>
  <c r="N15" i="6"/>
  <c r="O15" i="6"/>
  <c r="M16" i="6"/>
  <c r="N16" i="6"/>
  <c r="O16" i="6"/>
  <c r="M17" i="6"/>
  <c r="N17" i="6"/>
  <c r="O17" i="6"/>
  <c r="M18" i="6"/>
  <c r="N18" i="6"/>
  <c r="O18" i="6"/>
  <c r="M19" i="6"/>
  <c r="N19" i="6"/>
  <c r="O19" i="6"/>
  <c r="M20" i="6"/>
  <c r="N20" i="6"/>
  <c r="O20" i="6"/>
  <c r="M21" i="6"/>
  <c r="N21" i="6"/>
  <c r="O21" i="6"/>
  <c r="M22" i="6"/>
  <c r="N22" i="6"/>
  <c r="O22" i="6"/>
  <c r="M23" i="6"/>
  <c r="N23" i="6"/>
  <c r="O23" i="6"/>
  <c r="M24" i="6"/>
  <c r="N24" i="6"/>
  <c r="O24" i="6"/>
  <c r="M25" i="6"/>
  <c r="N25" i="6"/>
  <c r="O25" i="6"/>
  <c r="M26" i="6"/>
  <c r="N26" i="6"/>
  <c r="O26" i="6"/>
  <c r="M27" i="6"/>
  <c r="N27" i="6"/>
  <c r="O27" i="6"/>
  <c r="M28" i="6"/>
  <c r="N28" i="6"/>
  <c r="O28" i="6"/>
  <c r="M29" i="6"/>
  <c r="N29" i="6"/>
  <c r="O29" i="6"/>
  <c r="M30" i="6"/>
  <c r="N30" i="6"/>
  <c r="O30" i="6"/>
  <c r="M31" i="6"/>
  <c r="N31" i="6"/>
  <c r="O31" i="6"/>
  <c r="M32" i="6"/>
  <c r="N32" i="6"/>
  <c r="O32" i="6"/>
  <c r="M33" i="6"/>
  <c r="N33" i="6"/>
  <c r="O33" i="6"/>
  <c r="M34" i="6"/>
  <c r="N34" i="6"/>
  <c r="O34" i="6"/>
  <c r="M35" i="6"/>
  <c r="N35" i="6"/>
  <c r="O35" i="6"/>
  <c r="M36" i="6"/>
  <c r="N36" i="6"/>
  <c r="O36" i="6"/>
  <c r="M37" i="6"/>
  <c r="N37" i="6"/>
  <c r="O37" i="6"/>
  <c r="M38" i="6"/>
  <c r="N38" i="6"/>
  <c r="O38" i="6"/>
  <c r="M39" i="6"/>
  <c r="N39" i="6"/>
  <c r="O39" i="6"/>
  <c r="M40" i="6"/>
  <c r="N40" i="6"/>
  <c r="O40" i="6"/>
  <c r="M41" i="6"/>
  <c r="N41" i="6"/>
  <c r="O41" i="6"/>
  <c r="M42" i="6"/>
  <c r="N42" i="6"/>
  <c r="O42" i="6"/>
  <c r="M43" i="6"/>
  <c r="N43" i="6"/>
  <c r="O43" i="6"/>
  <c r="M44" i="6"/>
  <c r="N44" i="6"/>
  <c r="O44" i="6"/>
  <c r="M45" i="6"/>
  <c r="N45" i="6"/>
  <c r="O45" i="6"/>
  <c r="M46" i="6"/>
  <c r="N46" i="6"/>
  <c r="O46" i="6"/>
  <c r="M47" i="6"/>
  <c r="N47" i="6"/>
  <c r="O47" i="6"/>
  <c r="M48" i="6"/>
  <c r="N48" i="6"/>
  <c r="O48" i="6"/>
  <c r="M49" i="6"/>
  <c r="N49" i="6"/>
  <c r="O49" i="6"/>
  <c r="M50" i="6"/>
  <c r="N50" i="6"/>
  <c r="O50" i="6"/>
  <c r="M51" i="6"/>
  <c r="N51" i="6"/>
  <c r="O51" i="6"/>
  <c r="M53" i="6"/>
  <c r="N53" i="6"/>
  <c r="O53" i="6"/>
  <c r="M54" i="6"/>
  <c r="N54" i="6"/>
  <c r="O54" i="6"/>
  <c r="M55" i="6"/>
  <c r="N55" i="6"/>
  <c r="O55" i="6"/>
  <c r="M56" i="6"/>
  <c r="N56" i="6"/>
  <c r="O56" i="6"/>
  <c r="M57" i="6"/>
  <c r="N57" i="6"/>
  <c r="O57" i="6"/>
  <c r="M58" i="6"/>
  <c r="N58" i="6"/>
  <c r="O58" i="6"/>
  <c r="M59" i="6"/>
  <c r="N59" i="6"/>
  <c r="O59" i="6"/>
  <c r="M60" i="6"/>
  <c r="N60" i="6"/>
  <c r="O60" i="6"/>
  <c r="M61" i="6"/>
  <c r="N61" i="6"/>
  <c r="O61" i="6"/>
  <c r="M62" i="6"/>
  <c r="N62" i="6"/>
  <c r="O62" i="6"/>
  <c r="M63" i="6"/>
  <c r="N63" i="6"/>
  <c r="O63" i="6"/>
  <c r="M64" i="6"/>
  <c r="N64" i="6"/>
  <c r="O64" i="6"/>
  <c r="M65" i="6"/>
  <c r="N65" i="6"/>
  <c r="O65" i="6"/>
  <c r="M66" i="6"/>
  <c r="N66" i="6"/>
  <c r="O66" i="6"/>
  <c r="M67" i="6"/>
  <c r="N67" i="6"/>
  <c r="O67" i="6"/>
  <c r="M68" i="6"/>
  <c r="N68" i="6"/>
  <c r="O68" i="6"/>
  <c r="M69" i="6"/>
  <c r="N69" i="6"/>
  <c r="O69" i="6"/>
  <c r="M70" i="6"/>
  <c r="N70" i="6"/>
  <c r="O70" i="6"/>
  <c r="M71" i="6"/>
  <c r="N71" i="6"/>
  <c r="O71" i="6"/>
  <c r="M72" i="6"/>
  <c r="N72" i="6"/>
  <c r="O72" i="6"/>
  <c r="M73" i="6"/>
  <c r="N73" i="6"/>
  <c r="O73" i="6"/>
  <c r="M74" i="6"/>
  <c r="N74" i="6"/>
  <c r="O74" i="6"/>
  <c r="M75" i="6"/>
  <c r="N75" i="6"/>
  <c r="O75" i="6"/>
  <c r="M76" i="6"/>
  <c r="N76" i="6"/>
  <c r="O76" i="6"/>
  <c r="M77" i="6"/>
  <c r="N77" i="6"/>
  <c r="O77" i="6"/>
  <c r="M78" i="6"/>
  <c r="N78" i="6"/>
  <c r="O78" i="6"/>
  <c r="M79" i="6"/>
  <c r="N79" i="6"/>
  <c r="O79" i="6"/>
  <c r="M80" i="6"/>
  <c r="N80" i="6"/>
  <c r="O80" i="6"/>
  <c r="M81" i="6"/>
  <c r="N81" i="6"/>
  <c r="O81" i="6"/>
  <c r="M82" i="6"/>
  <c r="N82" i="6"/>
  <c r="O82" i="6"/>
  <c r="M83" i="6"/>
  <c r="N83" i="6"/>
  <c r="O83" i="6"/>
  <c r="M84" i="6"/>
  <c r="N84" i="6"/>
  <c r="O84" i="6"/>
  <c r="M85" i="6"/>
  <c r="N85" i="6"/>
  <c r="O85" i="6"/>
  <c r="M86" i="6"/>
  <c r="N86" i="6"/>
  <c r="O86" i="6"/>
  <c r="M87" i="6"/>
  <c r="N87" i="6"/>
  <c r="O87" i="6"/>
  <c r="M88" i="6"/>
  <c r="N88" i="6"/>
  <c r="O88" i="6"/>
  <c r="M89" i="6"/>
  <c r="N89" i="6"/>
  <c r="O89" i="6"/>
  <c r="M90" i="6"/>
  <c r="N90" i="6"/>
  <c r="O90" i="6"/>
  <c r="M91" i="6"/>
  <c r="N91" i="6"/>
  <c r="O91" i="6"/>
  <c r="M92" i="6"/>
  <c r="N92" i="6"/>
  <c r="O92" i="6"/>
  <c r="M93" i="6"/>
  <c r="N93" i="6"/>
  <c r="O93" i="6"/>
  <c r="M94" i="6"/>
  <c r="N94" i="6"/>
  <c r="O94" i="6"/>
  <c r="M95" i="6"/>
  <c r="N95" i="6"/>
  <c r="O95" i="6"/>
  <c r="M96" i="6"/>
  <c r="N96" i="6"/>
  <c r="O96" i="6"/>
  <c r="M97" i="6"/>
  <c r="N97" i="6"/>
  <c r="O97" i="6"/>
  <c r="M98" i="6"/>
  <c r="N98" i="6"/>
  <c r="O98" i="6"/>
  <c r="M100" i="6"/>
  <c r="N100" i="6"/>
  <c r="O100" i="6"/>
  <c r="M101" i="6"/>
  <c r="N101" i="6"/>
  <c r="O101" i="6"/>
  <c r="M102" i="6"/>
  <c r="N102" i="6"/>
  <c r="O102" i="6"/>
  <c r="M103" i="6"/>
  <c r="N103" i="6"/>
  <c r="O103" i="6"/>
  <c r="M104" i="6"/>
  <c r="N104" i="6"/>
  <c r="O104" i="6"/>
  <c r="M105" i="6"/>
  <c r="N105" i="6"/>
  <c r="O105" i="6"/>
  <c r="M106" i="6"/>
  <c r="N106" i="6"/>
  <c r="O106" i="6"/>
  <c r="M107" i="6"/>
  <c r="N107" i="6"/>
  <c r="O107" i="6"/>
  <c r="M108" i="6"/>
  <c r="N108" i="6"/>
  <c r="O108" i="6"/>
  <c r="M109" i="6"/>
  <c r="N109" i="6"/>
  <c r="O109" i="6"/>
  <c r="M110" i="6"/>
  <c r="N110" i="6"/>
  <c r="O110" i="6"/>
  <c r="M111" i="6"/>
  <c r="N111" i="6"/>
  <c r="O111" i="6"/>
  <c r="M112" i="6"/>
  <c r="N112" i="6"/>
  <c r="O112" i="6"/>
  <c r="M113" i="6"/>
  <c r="N113" i="6"/>
  <c r="O113" i="6"/>
  <c r="M114" i="6"/>
  <c r="N114" i="6"/>
  <c r="O114" i="6"/>
  <c r="M115" i="6"/>
  <c r="N115" i="6"/>
  <c r="O115" i="6"/>
  <c r="M116" i="6"/>
  <c r="N116" i="6"/>
  <c r="O116" i="6"/>
  <c r="M117" i="6"/>
  <c r="N117" i="6"/>
  <c r="O117" i="6"/>
  <c r="M118" i="6"/>
  <c r="N118" i="6"/>
  <c r="O118" i="6"/>
  <c r="M119" i="6"/>
  <c r="N119" i="6"/>
  <c r="O119" i="6"/>
  <c r="M120" i="6"/>
  <c r="N120" i="6"/>
  <c r="O120" i="6"/>
  <c r="M121" i="6"/>
  <c r="N121" i="6"/>
  <c r="O121" i="6"/>
  <c r="M122" i="6"/>
  <c r="N122" i="6"/>
  <c r="O122" i="6"/>
  <c r="M123" i="6"/>
  <c r="N123" i="6"/>
  <c r="O123" i="6"/>
  <c r="M124" i="6"/>
  <c r="N124" i="6"/>
  <c r="O124" i="6"/>
  <c r="M125" i="6"/>
  <c r="N125" i="6"/>
  <c r="O125" i="6"/>
  <c r="M126" i="6"/>
  <c r="N126" i="6"/>
  <c r="O126" i="6"/>
  <c r="M127" i="6"/>
  <c r="N127" i="6"/>
  <c r="O127" i="6"/>
  <c r="M128" i="6"/>
  <c r="N128" i="6"/>
  <c r="O128" i="6"/>
  <c r="M129" i="6"/>
  <c r="N129" i="6"/>
  <c r="O129" i="6"/>
  <c r="M130" i="6"/>
  <c r="N130" i="6"/>
  <c r="O130" i="6"/>
  <c r="M131" i="6"/>
  <c r="N131" i="6"/>
  <c r="O131" i="6"/>
  <c r="M132" i="6"/>
  <c r="N132" i="6"/>
  <c r="O132" i="6"/>
  <c r="M133" i="6"/>
  <c r="N133" i="6"/>
  <c r="O133" i="6"/>
  <c r="M134" i="6"/>
  <c r="N134" i="6"/>
  <c r="O134" i="6"/>
  <c r="M135" i="6"/>
  <c r="N135" i="6"/>
  <c r="O135" i="6"/>
  <c r="M136" i="6"/>
  <c r="N136" i="6"/>
  <c r="O136" i="6"/>
  <c r="M137" i="6"/>
  <c r="N137" i="6"/>
  <c r="O137" i="6"/>
  <c r="M138" i="6"/>
  <c r="N138" i="6"/>
  <c r="O138" i="6"/>
  <c r="M139" i="6"/>
  <c r="N139" i="6"/>
  <c r="O139" i="6"/>
  <c r="M140" i="6"/>
  <c r="N140" i="6"/>
  <c r="O140" i="6"/>
  <c r="M141" i="6"/>
  <c r="N141" i="6"/>
  <c r="O141" i="6"/>
  <c r="M142" i="6"/>
  <c r="N142" i="6"/>
  <c r="O142" i="6"/>
  <c r="M143" i="6"/>
  <c r="N143" i="6"/>
  <c r="O143" i="6"/>
  <c r="M144" i="6"/>
  <c r="N144" i="6"/>
  <c r="O144" i="6"/>
  <c r="M145" i="6"/>
  <c r="N145" i="6"/>
  <c r="O145" i="6"/>
  <c r="M146" i="6"/>
  <c r="N146" i="6"/>
  <c r="O146" i="6"/>
  <c r="M147" i="6"/>
  <c r="N147" i="6"/>
  <c r="O147" i="6"/>
  <c r="M148" i="6"/>
  <c r="N148" i="6"/>
  <c r="O148" i="6"/>
  <c r="M149" i="6"/>
  <c r="N149" i="6"/>
  <c r="O149" i="6"/>
  <c r="M150" i="6"/>
  <c r="N150" i="6"/>
  <c r="O150" i="6"/>
  <c r="M151" i="6"/>
  <c r="N151" i="6"/>
  <c r="O151" i="6"/>
  <c r="M152" i="6"/>
  <c r="N152" i="6"/>
  <c r="O152" i="6"/>
  <c r="M153" i="6"/>
  <c r="N153" i="6"/>
  <c r="O153" i="6"/>
  <c r="M154" i="6"/>
  <c r="N154" i="6"/>
  <c r="O154" i="6"/>
  <c r="M155" i="6"/>
  <c r="N155" i="6"/>
  <c r="O155" i="6"/>
  <c r="M156" i="6"/>
  <c r="N156" i="6"/>
  <c r="O156" i="6"/>
  <c r="M157" i="6"/>
  <c r="N157" i="6"/>
  <c r="O157" i="6"/>
  <c r="M158" i="6"/>
  <c r="N158" i="6"/>
  <c r="O158" i="6"/>
  <c r="M159" i="6"/>
  <c r="N159" i="6"/>
  <c r="O159" i="6"/>
  <c r="M160" i="6"/>
  <c r="N160" i="6"/>
  <c r="O160" i="6"/>
  <c r="M161" i="6"/>
  <c r="N161" i="6"/>
  <c r="O161" i="6"/>
  <c r="M162" i="6"/>
  <c r="N162" i="6"/>
  <c r="O162" i="6"/>
  <c r="M163" i="6"/>
  <c r="N163" i="6"/>
  <c r="O163" i="6"/>
  <c r="M164" i="6"/>
  <c r="N164" i="6"/>
  <c r="O164" i="6"/>
  <c r="M165" i="6"/>
  <c r="N165" i="6"/>
  <c r="O165" i="6"/>
  <c r="M166" i="6"/>
  <c r="N166" i="6"/>
  <c r="O166" i="6"/>
  <c r="M167" i="6"/>
  <c r="N167" i="6"/>
  <c r="O167" i="6"/>
  <c r="M168" i="6"/>
  <c r="N168" i="6"/>
  <c r="O168" i="6"/>
  <c r="M169" i="6"/>
  <c r="N169" i="6"/>
  <c r="O169" i="6"/>
  <c r="M170" i="6"/>
  <c r="N170" i="6"/>
  <c r="O170" i="6"/>
  <c r="M171" i="6"/>
  <c r="N171" i="6"/>
  <c r="O171" i="6"/>
  <c r="M172" i="6"/>
  <c r="N172" i="6"/>
  <c r="O172" i="6"/>
  <c r="M173" i="6"/>
  <c r="N173" i="6"/>
  <c r="O173" i="6"/>
  <c r="M174" i="6"/>
  <c r="N174" i="6"/>
  <c r="O174" i="6"/>
  <c r="M175" i="6"/>
  <c r="N175" i="6"/>
  <c r="O175" i="6"/>
  <c r="M176" i="6"/>
  <c r="N176" i="6"/>
  <c r="O176" i="6"/>
  <c r="M177" i="6"/>
  <c r="N177" i="6"/>
  <c r="O177" i="6"/>
  <c r="M178" i="6"/>
  <c r="N178" i="6"/>
  <c r="O178" i="6"/>
  <c r="M179" i="6"/>
  <c r="N179" i="6"/>
  <c r="O179" i="6"/>
  <c r="M180" i="6"/>
  <c r="N180" i="6"/>
  <c r="O180" i="6"/>
  <c r="M181" i="6"/>
  <c r="N181" i="6"/>
  <c r="O181" i="6"/>
  <c r="M182" i="6"/>
  <c r="N182" i="6"/>
  <c r="O182" i="6"/>
  <c r="M183" i="6"/>
  <c r="N183" i="6"/>
  <c r="O183" i="6"/>
  <c r="M184" i="6"/>
  <c r="N184" i="6"/>
  <c r="O184" i="6"/>
  <c r="M185" i="6"/>
  <c r="N185" i="6"/>
  <c r="O185" i="6"/>
  <c r="M186" i="6"/>
  <c r="N186" i="6"/>
  <c r="O186" i="6"/>
  <c r="M187" i="6"/>
  <c r="N187" i="6"/>
  <c r="O187" i="6"/>
  <c r="M188" i="6"/>
  <c r="N188" i="6"/>
  <c r="O188" i="6"/>
  <c r="M189" i="6"/>
  <c r="N189" i="6"/>
  <c r="O189" i="6"/>
  <c r="M190" i="6"/>
  <c r="N190" i="6"/>
  <c r="O190" i="6"/>
  <c r="M191" i="6"/>
  <c r="N191" i="6"/>
  <c r="O191" i="6"/>
  <c r="M192" i="6"/>
  <c r="N192" i="6"/>
  <c r="O192" i="6"/>
  <c r="M193" i="6"/>
  <c r="N193" i="6"/>
  <c r="O193" i="6"/>
  <c r="M194" i="6"/>
  <c r="N194" i="6"/>
  <c r="O194" i="6"/>
  <c r="M195" i="6"/>
  <c r="N195" i="6"/>
  <c r="O195" i="6"/>
  <c r="M196" i="6"/>
  <c r="N196" i="6"/>
  <c r="O196" i="6"/>
  <c r="M197" i="6"/>
  <c r="N197" i="6"/>
  <c r="O197" i="6"/>
  <c r="M198" i="6"/>
  <c r="N198" i="6"/>
  <c r="O198" i="6"/>
  <c r="M199" i="6"/>
  <c r="N199" i="6"/>
  <c r="O199" i="6"/>
  <c r="M200" i="6"/>
  <c r="N200" i="6"/>
  <c r="O200" i="6"/>
  <c r="M201" i="6"/>
  <c r="N201" i="6"/>
  <c r="O201" i="6"/>
  <c r="M202" i="6"/>
  <c r="N202" i="6"/>
  <c r="O202" i="6"/>
  <c r="M203" i="6"/>
  <c r="N203" i="6"/>
  <c r="O203" i="6"/>
  <c r="M204" i="6"/>
  <c r="N204" i="6"/>
  <c r="O204" i="6"/>
  <c r="M205" i="6"/>
  <c r="N205" i="6"/>
  <c r="O205" i="6"/>
  <c r="M206" i="6"/>
  <c r="N206" i="6"/>
  <c r="O206" i="6"/>
  <c r="M207" i="6"/>
  <c r="N207" i="6"/>
  <c r="O207" i="6"/>
  <c r="M208" i="6"/>
  <c r="N208" i="6"/>
  <c r="O208" i="6"/>
  <c r="M209" i="6"/>
  <c r="N209" i="6"/>
  <c r="O209" i="6"/>
  <c r="M210" i="6"/>
  <c r="N210" i="6"/>
  <c r="O210" i="6"/>
  <c r="M211" i="6"/>
  <c r="N211" i="6"/>
  <c r="O211" i="6"/>
  <c r="M212" i="6"/>
  <c r="N212" i="6"/>
  <c r="O212" i="6"/>
  <c r="M213" i="6"/>
  <c r="N213" i="6"/>
  <c r="O213" i="6"/>
  <c r="M214" i="6"/>
  <c r="N214" i="6"/>
  <c r="O214" i="6"/>
  <c r="M215" i="6"/>
  <c r="N215" i="6"/>
  <c r="O215" i="6"/>
  <c r="M216" i="6"/>
  <c r="N216" i="6"/>
  <c r="O216" i="6"/>
  <c r="M217" i="6"/>
  <c r="N217" i="6"/>
  <c r="O217" i="6"/>
  <c r="M218" i="6"/>
  <c r="N218" i="6"/>
  <c r="O218" i="6"/>
  <c r="M219" i="6"/>
  <c r="N219" i="6"/>
  <c r="O219" i="6"/>
  <c r="M220" i="6"/>
  <c r="N220" i="6"/>
  <c r="O220" i="6"/>
  <c r="M221" i="6"/>
  <c r="N221" i="6"/>
  <c r="O221" i="6"/>
  <c r="M222" i="6"/>
  <c r="N222" i="6"/>
  <c r="O222" i="6"/>
  <c r="M223" i="6"/>
  <c r="N223" i="6"/>
  <c r="O223" i="6"/>
  <c r="M224" i="6"/>
  <c r="N224" i="6"/>
  <c r="O224" i="6"/>
  <c r="M225" i="6"/>
  <c r="N225" i="6"/>
  <c r="O225" i="6"/>
  <c r="M226" i="6"/>
  <c r="N226" i="6"/>
  <c r="O226" i="6"/>
  <c r="M227" i="6"/>
  <c r="N227" i="6"/>
  <c r="O227" i="6"/>
  <c r="M228" i="6"/>
  <c r="N228" i="6"/>
  <c r="O228" i="6"/>
  <c r="M229" i="6"/>
  <c r="N229" i="6"/>
  <c r="O229" i="6"/>
  <c r="M230" i="6"/>
  <c r="N230" i="6"/>
  <c r="O230" i="6"/>
  <c r="M231" i="6"/>
  <c r="N231" i="6"/>
  <c r="O231" i="6"/>
  <c r="M232" i="6"/>
  <c r="N232" i="6"/>
  <c r="O232" i="6"/>
  <c r="M233" i="6"/>
  <c r="N233" i="6"/>
  <c r="O233" i="6"/>
  <c r="M234" i="6"/>
  <c r="N234" i="6"/>
  <c r="O234" i="6"/>
  <c r="M235" i="6"/>
  <c r="N235" i="6"/>
  <c r="O235" i="6"/>
  <c r="M236" i="6"/>
  <c r="N236" i="6"/>
  <c r="O236" i="6"/>
  <c r="M237" i="6"/>
  <c r="N237" i="6"/>
  <c r="O237" i="6"/>
  <c r="M238" i="6"/>
  <c r="N238" i="6"/>
  <c r="O238" i="6"/>
  <c r="M239" i="6"/>
  <c r="N239" i="6"/>
  <c r="O239" i="6"/>
  <c r="M240" i="6"/>
  <c r="N240" i="6"/>
  <c r="O240" i="6"/>
  <c r="M241" i="6"/>
  <c r="N241" i="6"/>
  <c r="O241" i="6"/>
  <c r="M242" i="6"/>
  <c r="N242" i="6"/>
  <c r="O242" i="6"/>
  <c r="M243" i="6"/>
  <c r="N243" i="6"/>
  <c r="O243" i="6"/>
  <c r="M244" i="6"/>
  <c r="N244" i="6"/>
  <c r="O244" i="6"/>
  <c r="M245" i="6"/>
  <c r="N245" i="6"/>
  <c r="O245" i="6"/>
  <c r="M246" i="6"/>
  <c r="N246" i="6"/>
  <c r="O246" i="6"/>
  <c r="M247" i="6"/>
  <c r="N247" i="6"/>
  <c r="O247" i="6"/>
  <c r="M248" i="6"/>
  <c r="N248" i="6"/>
  <c r="O248" i="6"/>
  <c r="M249" i="6"/>
  <c r="N249" i="6"/>
  <c r="O249" i="6"/>
  <c r="M250" i="6"/>
  <c r="N250" i="6"/>
  <c r="O250" i="6"/>
  <c r="M251" i="6"/>
  <c r="N251" i="6"/>
  <c r="O251" i="6"/>
  <c r="M252" i="6"/>
  <c r="N252" i="6"/>
  <c r="O252" i="6"/>
  <c r="M253" i="6"/>
  <c r="N253" i="6"/>
  <c r="O253" i="6"/>
  <c r="M254" i="6"/>
  <c r="N254" i="6"/>
  <c r="O254" i="6"/>
  <c r="M255" i="6"/>
  <c r="N255" i="6"/>
  <c r="O255" i="6"/>
  <c r="M256" i="6"/>
  <c r="N256" i="6"/>
  <c r="O256" i="6"/>
  <c r="M257" i="6"/>
  <c r="N257" i="6"/>
  <c r="O257" i="6"/>
  <c r="M258" i="6"/>
  <c r="N258" i="6"/>
  <c r="O258" i="6"/>
  <c r="M259" i="6"/>
  <c r="N259" i="6"/>
  <c r="O259" i="6"/>
  <c r="M260" i="6"/>
  <c r="N260" i="6"/>
  <c r="O260" i="6"/>
  <c r="M261" i="6"/>
  <c r="N261" i="6"/>
  <c r="O261" i="6"/>
  <c r="M262" i="6"/>
  <c r="N262" i="6"/>
  <c r="O262" i="6"/>
  <c r="M263" i="6"/>
  <c r="N263" i="6"/>
  <c r="O263" i="6"/>
  <c r="M264" i="6"/>
  <c r="N264" i="6"/>
  <c r="O264" i="6"/>
  <c r="M265" i="6"/>
  <c r="N265" i="6"/>
  <c r="O265" i="6"/>
  <c r="M266" i="6"/>
  <c r="N266" i="6"/>
  <c r="O266" i="6"/>
  <c r="M267" i="6"/>
  <c r="N267" i="6"/>
  <c r="O267" i="6"/>
  <c r="M268" i="6"/>
  <c r="N268" i="6"/>
  <c r="O268" i="6"/>
  <c r="M269" i="6"/>
  <c r="N269" i="6"/>
  <c r="O269" i="6"/>
  <c r="M270" i="6"/>
  <c r="N270" i="6"/>
  <c r="O270" i="6"/>
  <c r="M271" i="6"/>
  <c r="N271" i="6"/>
  <c r="O271" i="6"/>
  <c r="M272" i="6"/>
  <c r="N272" i="6"/>
  <c r="O272" i="6"/>
  <c r="M273" i="6"/>
  <c r="N273" i="6"/>
  <c r="O273" i="6"/>
  <c r="M274" i="6"/>
  <c r="N274" i="6"/>
  <c r="O274" i="6"/>
  <c r="M275" i="6"/>
  <c r="N275" i="6"/>
  <c r="O275" i="6"/>
  <c r="M276" i="6"/>
  <c r="N276" i="6"/>
  <c r="O276" i="6"/>
  <c r="M277" i="6"/>
  <c r="N277" i="6"/>
  <c r="O277" i="6"/>
  <c r="M278" i="6"/>
  <c r="N278" i="6"/>
  <c r="O278" i="6"/>
  <c r="M279" i="6"/>
  <c r="N279" i="6"/>
  <c r="O279" i="6"/>
  <c r="M280" i="6"/>
  <c r="N280" i="6"/>
  <c r="O280" i="6"/>
  <c r="M281" i="6"/>
  <c r="N281" i="6"/>
  <c r="O281" i="6"/>
  <c r="M282" i="6"/>
  <c r="N282" i="6"/>
  <c r="O282" i="6"/>
  <c r="M283" i="6"/>
  <c r="N283" i="6"/>
  <c r="O283" i="6"/>
  <c r="M284" i="6"/>
  <c r="N284" i="6"/>
  <c r="O284" i="6"/>
  <c r="M285" i="6"/>
  <c r="N285" i="6"/>
  <c r="O285" i="6"/>
  <c r="M286" i="6"/>
  <c r="N286" i="6"/>
  <c r="O286" i="6"/>
  <c r="M287" i="6"/>
  <c r="N287" i="6"/>
  <c r="O287" i="6"/>
  <c r="M288" i="6"/>
  <c r="N288" i="6"/>
  <c r="O288" i="6"/>
  <c r="M289" i="6"/>
  <c r="N289" i="6"/>
  <c r="O289" i="6"/>
  <c r="M290" i="6"/>
  <c r="N290" i="6"/>
  <c r="O290" i="6"/>
  <c r="M291" i="6"/>
  <c r="N291" i="6"/>
  <c r="O291" i="6"/>
  <c r="M292" i="6"/>
  <c r="N292" i="6"/>
  <c r="O292" i="6"/>
  <c r="M293" i="6"/>
  <c r="N293" i="6"/>
  <c r="O293" i="6"/>
  <c r="M294" i="6"/>
  <c r="N294" i="6"/>
  <c r="O294" i="6"/>
  <c r="M295" i="6"/>
  <c r="N295" i="6"/>
  <c r="O295" i="6"/>
  <c r="M296" i="6"/>
  <c r="N296" i="6"/>
  <c r="O296" i="6"/>
  <c r="M297" i="6"/>
  <c r="N297" i="6"/>
  <c r="O297" i="6"/>
  <c r="M298" i="6"/>
  <c r="N298" i="6"/>
  <c r="O298" i="6"/>
  <c r="M299" i="6"/>
  <c r="N299" i="6"/>
  <c r="O299" i="6"/>
  <c r="M300" i="6"/>
  <c r="N300" i="6"/>
  <c r="O300" i="6"/>
  <c r="M301" i="6"/>
  <c r="N301" i="6"/>
  <c r="O301" i="6"/>
  <c r="M302" i="6"/>
  <c r="N302" i="6"/>
  <c r="O302" i="6"/>
  <c r="M303" i="6"/>
  <c r="N303" i="6"/>
  <c r="O303" i="6"/>
  <c r="M304" i="6"/>
  <c r="N304" i="6"/>
  <c r="O304" i="6"/>
  <c r="M305" i="6"/>
  <c r="N305" i="6"/>
  <c r="O305" i="6"/>
  <c r="M306" i="6"/>
  <c r="N306" i="6"/>
  <c r="O306" i="6"/>
  <c r="M307" i="6"/>
  <c r="N307" i="6"/>
  <c r="O307" i="6"/>
  <c r="M308" i="6"/>
  <c r="N308" i="6"/>
  <c r="O308" i="6"/>
  <c r="M309" i="6"/>
  <c r="N309" i="6"/>
  <c r="O309" i="6"/>
  <c r="M310" i="6"/>
  <c r="N310" i="6"/>
  <c r="O310" i="6"/>
  <c r="M311" i="6"/>
  <c r="N311" i="6"/>
  <c r="O311" i="6"/>
  <c r="M312" i="6"/>
  <c r="N312" i="6"/>
  <c r="O312" i="6"/>
  <c r="M313" i="6"/>
  <c r="N313" i="6"/>
  <c r="O313" i="6"/>
  <c r="M314" i="6"/>
  <c r="N314" i="6"/>
  <c r="O314" i="6"/>
  <c r="M315" i="6"/>
  <c r="N315" i="6"/>
  <c r="O315" i="6"/>
  <c r="M316" i="6"/>
  <c r="N316" i="6"/>
  <c r="O316" i="6"/>
  <c r="M317" i="6"/>
  <c r="N317" i="6"/>
  <c r="O317" i="6"/>
  <c r="M318" i="6"/>
  <c r="N318" i="6"/>
  <c r="O318" i="6"/>
  <c r="M319" i="6"/>
  <c r="N319" i="6"/>
  <c r="O319" i="6"/>
  <c r="M320" i="6"/>
  <c r="N320" i="6"/>
  <c r="O320" i="6"/>
  <c r="M321" i="6"/>
  <c r="N321" i="6"/>
  <c r="O321" i="6"/>
  <c r="M322" i="6"/>
  <c r="N322" i="6"/>
  <c r="O322" i="6"/>
  <c r="M323" i="6"/>
  <c r="N323" i="6"/>
  <c r="O323" i="6"/>
  <c r="M324" i="6"/>
  <c r="N324" i="6"/>
  <c r="O324" i="6"/>
  <c r="M325" i="6"/>
  <c r="N325" i="6"/>
  <c r="O325" i="6"/>
  <c r="M326" i="6"/>
  <c r="N326" i="6"/>
  <c r="O326" i="6"/>
  <c r="M327" i="6"/>
  <c r="N327" i="6"/>
  <c r="O327" i="6"/>
  <c r="M328" i="6"/>
  <c r="N328" i="6"/>
  <c r="O328" i="6"/>
  <c r="M329" i="6"/>
  <c r="N329" i="6"/>
  <c r="O329" i="6"/>
  <c r="M330" i="6"/>
  <c r="N330" i="6"/>
  <c r="O330" i="6"/>
  <c r="M331" i="6"/>
  <c r="N331" i="6"/>
  <c r="O331" i="6"/>
  <c r="M332" i="6"/>
  <c r="N332" i="6"/>
  <c r="O332" i="6"/>
  <c r="M333" i="6"/>
  <c r="N333" i="6"/>
  <c r="O333" i="6"/>
  <c r="M334" i="6"/>
  <c r="N334" i="6"/>
  <c r="O334" i="6"/>
  <c r="M335" i="6"/>
  <c r="N335" i="6"/>
  <c r="O335" i="6"/>
  <c r="M336" i="6"/>
  <c r="N336" i="6"/>
  <c r="O336" i="6"/>
  <c r="M337" i="6"/>
  <c r="N337" i="6"/>
  <c r="O337" i="6"/>
  <c r="M338" i="6"/>
  <c r="N338" i="6"/>
  <c r="O338" i="6"/>
  <c r="M339" i="6"/>
  <c r="N339" i="6"/>
  <c r="O339" i="6"/>
  <c r="M340" i="6"/>
  <c r="N340" i="6"/>
  <c r="O340" i="6"/>
  <c r="M341" i="6"/>
  <c r="N341" i="6"/>
  <c r="O341" i="6"/>
  <c r="M342" i="6"/>
  <c r="N342" i="6"/>
  <c r="O342" i="6"/>
  <c r="M343" i="6"/>
  <c r="N343" i="6"/>
  <c r="O343" i="6"/>
  <c r="M344" i="6"/>
  <c r="N344" i="6"/>
  <c r="O344" i="6"/>
  <c r="M345" i="6"/>
  <c r="N345" i="6"/>
  <c r="O345" i="6"/>
  <c r="M346" i="6"/>
  <c r="N346" i="6"/>
  <c r="O346" i="6"/>
  <c r="M347" i="6"/>
  <c r="N347" i="6"/>
  <c r="O347" i="6"/>
  <c r="M348" i="6"/>
  <c r="N348" i="6"/>
  <c r="O348" i="6"/>
  <c r="M349" i="6"/>
  <c r="N349" i="6"/>
  <c r="O349" i="6"/>
  <c r="M350" i="6"/>
  <c r="N350" i="6"/>
  <c r="O350" i="6"/>
  <c r="M351" i="6"/>
  <c r="N351" i="6"/>
  <c r="O351" i="6"/>
  <c r="M352" i="6"/>
  <c r="N352" i="6"/>
  <c r="O352" i="6"/>
  <c r="M353" i="6"/>
  <c r="N353" i="6"/>
  <c r="O353" i="6"/>
  <c r="M354" i="6"/>
  <c r="N354" i="6"/>
  <c r="O354" i="6"/>
  <c r="M355" i="6"/>
  <c r="N355" i="6"/>
  <c r="O355" i="6"/>
  <c r="M356" i="6"/>
  <c r="N356" i="6"/>
  <c r="O356" i="6"/>
  <c r="M357" i="6"/>
  <c r="N357" i="6"/>
  <c r="O357" i="6"/>
  <c r="M358" i="6"/>
  <c r="N358" i="6"/>
  <c r="O358" i="6"/>
  <c r="M359" i="6"/>
  <c r="N359" i="6"/>
  <c r="O359" i="6"/>
  <c r="M360" i="6"/>
  <c r="N360" i="6"/>
  <c r="O360" i="6"/>
  <c r="M361" i="6"/>
  <c r="N361" i="6"/>
  <c r="O361" i="6"/>
  <c r="M362" i="6"/>
  <c r="N362" i="6"/>
  <c r="O362" i="6"/>
  <c r="M363" i="6"/>
  <c r="N363" i="6"/>
  <c r="O363" i="6"/>
  <c r="M364" i="6"/>
  <c r="N364" i="6"/>
  <c r="O364" i="6"/>
  <c r="M365" i="6"/>
  <c r="N365" i="6"/>
  <c r="O365" i="6"/>
  <c r="M366" i="6"/>
  <c r="N366" i="6"/>
  <c r="O366" i="6"/>
  <c r="M367" i="6"/>
  <c r="N367" i="6"/>
  <c r="O367" i="6"/>
  <c r="M368" i="6"/>
  <c r="N368" i="6"/>
  <c r="O368" i="6"/>
  <c r="M369" i="6"/>
  <c r="N369" i="6"/>
  <c r="O369" i="6"/>
  <c r="M370" i="6"/>
  <c r="N370" i="6"/>
  <c r="O370" i="6"/>
  <c r="M371" i="6"/>
  <c r="N371" i="6"/>
  <c r="O371" i="6"/>
  <c r="M372" i="6"/>
  <c r="N372" i="6"/>
  <c r="O372" i="6"/>
  <c r="M373" i="6"/>
  <c r="N373" i="6"/>
  <c r="O373" i="6"/>
  <c r="M374" i="6"/>
  <c r="N374" i="6"/>
  <c r="O374" i="6"/>
  <c r="M375" i="6"/>
  <c r="N375" i="6"/>
  <c r="O375" i="6"/>
  <c r="M376" i="6"/>
  <c r="N376" i="6"/>
  <c r="O376" i="6"/>
  <c r="M377" i="6"/>
  <c r="N377" i="6"/>
  <c r="O377" i="6"/>
  <c r="M378" i="6"/>
  <c r="N378" i="6"/>
  <c r="O378" i="6"/>
  <c r="M379" i="6"/>
  <c r="N379" i="6"/>
  <c r="O379" i="6"/>
  <c r="M380" i="6"/>
  <c r="N380" i="6"/>
  <c r="O380" i="6"/>
  <c r="M381" i="6"/>
  <c r="N381" i="6"/>
  <c r="O381" i="6"/>
  <c r="M382" i="6"/>
  <c r="N382" i="6"/>
  <c r="O382" i="6"/>
  <c r="M383" i="6"/>
  <c r="N383" i="6"/>
  <c r="O383" i="6"/>
  <c r="M384" i="6"/>
  <c r="N384" i="6"/>
  <c r="O384" i="6"/>
  <c r="M385" i="6"/>
  <c r="N385" i="6"/>
  <c r="O385" i="6"/>
  <c r="M386" i="6"/>
  <c r="N386" i="6"/>
  <c r="O386" i="6"/>
  <c r="M387" i="6"/>
  <c r="N387" i="6"/>
  <c r="O387" i="6"/>
  <c r="M388" i="6"/>
  <c r="N388" i="6"/>
  <c r="O388" i="6"/>
  <c r="M389" i="6"/>
  <c r="N389" i="6"/>
  <c r="O389" i="6"/>
  <c r="M390" i="6"/>
  <c r="N390" i="6"/>
  <c r="O390" i="6"/>
  <c r="M391" i="6"/>
  <c r="N391" i="6"/>
  <c r="O391" i="6"/>
  <c r="M392" i="6"/>
  <c r="N392" i="6"/>
  <c r="O392" i="6"/>
  <c r="M393" i="6"/>
  <c r="N393" i="6"/>
  <c r="O393" i="6"/>
  <c r="M394" i="6"/>
  <c r="N394" i="6"/>
  <c r="O394" i="6"/>
  <c r="M395" i="6"/>
  <c r="N395" i="6"/>
  <c r="O395" i="6"/>
  <c r="M396" i="6"/>
  <c r="N396" i="6"/>
  <c r="O396" i="6"/>
  <c r="M397" i="6"/>
  <c r="N397" i="6"/>
  <c r="O397" i="6"/>
  <c r="M398" i="6"/>
  <c r="N398" i="6"/>
  <c r="O398" i="6"/>
  <c r="M399" i="6"/>
  <c r="N399" i="6"/>
  <c r="O399" i="6"/>
  <c r="M400" i="6"/>
  <c r="N400" i="6"/>
  <c r="O400" i="6"/>
  <c r="M401" i="6"/>
  <c r="N401" i="6"/>
  <c r="O401" i="6"/>
  <c r="M402" i="6"/>
  <c r="N402" i="6"/>
  <c r="O402" i="6"/>
  <c r="M403" i="6"/>
  <c r="N403" i="6"/>
  <c r="O403" i="6"/>
  <c r="M404" i="6"/>
  <c r="N404" i="6"/>
  <c r="O404" i="6"/>
  <c r="M405" i="6"/>
  <c r="N405" i="6"/>
  <c r="O405" i="6"/>
  <c r="M406" i="6"/>
  <c r="N406" i="6"/>
  <c r="O406" i="6"/>
  <c r="M407" i="6"/>
  <c r="N407" i="6"/>
  <c r="O407" i="6"/>
  <c r="M408" i="6"/>
  <c r="N408" i="6"/>
  <c r="O408" i="6"/>
  <c r="M409" i="6"/>
  <c r="N409" i="6"/>
  <c r="O409" i="6"/>
  <c r="M410" i="6"/>
  <c r="N410" i="6"/>
  <c r="O410" i="6"/>
  <c r="M411" i="6"/>
  <c r="N411" i="6"/>
  <c r="O411" i="6"/>
  <c r="M412" i="6"/>
  <c r="N412" i="6"/>
  <c r="O412" i="6"/>
  <c r="M413" i="6"/>
  <c r="N413" i="6"/>
  <c r="O413" i="6"/>
  <c r="M414" i="6"/>
  <c r="N414" i="6"/>
  <c r="O414" i="6"/>
  <c r="M415" i="6"/>
  <c r="N415" i="6"/>
  <c r="O415" i="6"/>
  <c r="M416" i="6"/>
  <c r="N416" i="6"/>
  <c r="O416" i="6"/>
  <c r="M417" i="6"/>
  <c r="N417" i="6"/>
  <c r="O417" i="6"/>
  <c r="M418" i="6"/>
  <c r="N418" i="6"/>
  <c r="O418" i="6"/>
  <c r="M419" i="6"/>
  <c r="N419" i="6"/>
  <c r="O419" i="6"/>
  <c r="M420" i="6"/>
  <c r="N420" i="6"/>
  <c r="O420" i="6"/>
  <c r="M421" i="6"/>
  <c r="N421" i="6"/>
  <c r="O421" i="6"/>
  <c r="M422" i="6"/>
  <c r="N422" i="6"/>
  <c r="O422" i="6"/>
  <c r="M423" i="6"/>
  <c r="N423" i="6"/>
  <c r="O423" i="6"/>
  <c r="M424" i="6"/>
  <c r="N424" i="6"/>
  <c r="O424" i="6"/>
  <c r="M425" i="6"/>
  <c r="N425" i="6"/>
  <c r="O425" i="6"/>
  <c r="M426" i="6"/>
  <c r="N426" i="6"/>
  <c r="O426" i="6"/>
  <c r="M427" i="6"/>
  <c r="N427" i="6"/>
  <c r="O427" i="6"/>
  <c r="M428" i="6"/>
  <c r="N428" i="6"/>
  <c r="O428" i="6"/>
  <c r="M429" i="6"/>
  <c r="N429" i="6"/>
  <c r="O429" i="6"/>
  <c r="M430" i="6"/>
  <c r="N430" i="6"/>
  <c r="O430" i="6"/>
  <c r="M431" i="6"/>
  <c r="N431" i="6"/>
  <c r="O431" i="6"/>
  <c r="M432" i="6"/>
  <c r="N432" i="6"/>
  <c r="O432" i="6"/>
  <c r="M433" i="6"/>
  <c r="N433" i="6"/>
  <c r="O433" i="6"/>
  <c r="M434" i="6"/>
  <c r="N434" i="6"/>
  <c r="O434" i="6"/>
  <c r="M435" i="6"/>
  <c r="N435" i="6"/>
  <c r="O435" i="6"/>
  <c r="M436" i="6"/>
  <c r="N436" i="6"/>
  <c r="O436" i="6"/>
  <c r="M437" i="6"/>
  <c r="N437" i="6"/>
  <c r="O437" i="6"/>
  <c r="M438" i="6"/>
  <c r="N438" i="6"/>
  <c r="O438" i="6"/>
  <c r="M439" i="6"/>
  <c r="N439" i="6"/>
  <c r="O439" i="6"/>
  <c r="M440" i="6"/>
  <c r="N440" i="6"/>
  <c r="O440" i="6"/>
  <c r="M441" i="6"/>
  <c r="N441" i="6"/>
  <c r="O441" i="6"/>
  <c r="M442" i="6"/>
  <c r="N442" i="6"/>
  <c r="O442" i="6"/>
  <c r="M443" i="6"/>
  <c r="N443" i="6"/>
  <c r="O443" i="6"/>
  <c r="M444" i="6"/>
  <c r="N444" i="6"/>
  <c r="O444" i="6"/>
  <c r="M445" i="6"/>
  <c r="N445" i="6"/>
  <c r="O445" i="6"/>
  <c r="M446" i="6"/>
  <c r="N446" i="6"/>
  <c r="O446" i="6"/>
  <c r="M447" i="6"/>
  <c r="N447" i="6"/>
  <c r="O447" i="6"/>
  <c r="M448" i="6"/>
  <c r="N448" i="6"/>
  <c r="O448" i="6"/>
  <c r="M449" i="6"/>
  <c r="N449" i="6"/>
  <c r="O449" i="6"/>
  <c r="M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P2" i="6" l="1"/>
  <c r="P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98" i="6"/>
  <c r="P100" i="6"/>
  <c r="P101" i="6"/>
  <c r="P102" i="6"/>
  <c r="P103" i="6"/>
  <c r="P104" i="6"/>
  <c r="P105" i="6"/>
  <c r="P106" i="6"/>
  <c r="P107" i="6"/>
  <c r="P108" i="6"/>
  <c r="P109" i="6"/>
  <c r="P110" i="6"/>
  <c r="P111" i="6"/>
  <c r="P112" i="6"/>
  <c r="P113" i="6"/>
  <c r="P114" i="6"/>
  <c r="P115" i="6"/>
  <c r="P116" i="6"/>
  <c r="P117" i="6"/>
  <c r="P118" i="6"/>
  <c r="P119" i="6"/>
  <c r="P120" i="6"/>
  <c r="P121" i="6"/>
  <c r="P122" i="6"/>
  <c r="P123" i="6"/>
  <c r="P124" i="6"/>
  <c r="P125" i="6"/>
  <c r="P126" i="6"/>
  <c r="P127" i="6"/>
  <c r="P128" i="6"/>
  <c r="P129" i="6"/>
  <c r="P130" i="6"/>
  <c r="P131" i="6"/>
  <c r="P132" i="6"/>
  <c r="P133" i="6"/>
  <c r="P134" i="6"/>
  <c r="P135" i="6"/>
  <c r="P136" i="6"/>
  <c r="P137" i="6"/>
  <c r="P138" i="6"/>
  <c r="P139" i="6"/>
  <c r="P140" i="6"/>
  <c r="P141" i="6"/>
  <c r="P142" i="6"/>
  <c r="P143" i="6"/>
  <c r="P144" i="6"/>
  <c r="P145" i="6"/>
  <c r="P146" i="6"/>
  <c r="P147" i="6"/>
  <c r="P148" i="6"/>
  <c r="P149" i="6"/>
  <c r="P150" i="6"/>
  <c r="P151" i="6"/>
  <c r="P152" i="6"/>
  <c r="P153" i="6"/>
  <c r="P154" i="6"/>
  <c r="P155" i="6"/>
  <c r="P156" i="6"/>
  <c r="P157" i="6"/>
  <c r="P158" i="6"/>
  <c r="P159" i="6"/>
  <c r="P160" i="6"/>
  <c r="P161" i="6"/>
  <c r="P162" i="6"/>
  <c r="P163" i="6"/>
  <c r="P164" i="6"/>
  <c r="P165" i="6"/>
  <c r="P166" i="6"/>
  <c r="P167" i="6"/>
  <c r="P168" i="6"/>
  <c r="P169" i="6"/>
  <c r="P170" i="6"/>
  <c r="P171" i="6"/>
  <c r="P172" i="6"/>
  <c r="P173" i="6"/>
  <c r="P174" i="6"/>
  <c r="P175" i="6"/>
  <c r="P176" i="6"/>
  <c r="P177" i="6"/>
  <c r="P178" i="6"/>
  <c r="P179" i="6"/>
  <c r="P180" i="6"/>
  <c r="P181" i="6"/>
  <c r="P182" i="6"/>
  <c r="P183" i="6"/>
  <c r="P184" i="6"/>
  <c r="P185" i="6"/>
  <c r="P186" i="6"/>
  <c r="P187" i="6"/>
  <c r="P188" i="6"/>
  <c r="P189" i="6"/>
  <c r="P190" i="6"/>
  <c r="P191" i="6"/>
  <c r="P192" i="6"/>
  <c r="P193" i="6"/>
  <c r="P194" i="6"/>
  <c r="P195" i="6"/>
  <c r="P196" i="6"/>
  <c r="P197" i="6"/>
  <c r="P198" i="6"/>
  <c r="P199" i="6"/>
  <c r="P200" i="6"/>
  <c r="P201" i="6"/>
  <c r="P202" i="6"/>
  <c r="P203" i="6"/>
  <c r="P204" i="6"/>
  <c r="P205" i="6"/>
  <c r="P206" i="6"/>
  <c r="P207" i="6"/>
  <c r="P208" i="6"/>
  <c r="P209" i="6"/>
  <c r="P210" i="6"/>
  <c r="P211" i="6"/>
  <c r="P212" i="6"/>
  <c r="P213" i="6"/>
  <c r="P214" i="6"/>
  <c r="P215" i="6"/>
  <c r="P216" i="6"/>
  <c r="P217" i="6"/>
  <c r="P218" i="6"/>
  <c r="P219" i="6"/>
  <c r="P220" i="6"/>
  <c r="P221" i="6"/>
  <c r="P222" i="6"/>
  <c r="P223" i="6"/>
  <c r="P224" i="6"/>
  <c r="P225" i="6"/>
  <c r="P226" i="6"/>
  <c r="P227" i="6"/>
  <c r="P228" i="6"/>
  <c r="P229" i="6"/>
  <c r="P230" i="6"/>
  <c r="P231" i="6"/>
  <c r="P232" i="6"/>
  <c r="P233" i="6"/>
  <c r="P234" i="6"/>
  <c r="P235" i="6"/>
  <c r="P236" i="6"/>
  <c r="P237" i="6"/>
  <c r="P238" i="6"/>
  <c r="P239" i="6"/>
  <c r="P240" i="6"/>
  <c r="P241" i="6"/>
  <c r="P242" i="6"/>
  <c r="P243" i="6"/>
  <c r="P244" i="6"/>
  <c r="P245" i="6"/>
  <c r="P246" i="6"/>
  <c r="P247" i="6"/>
  <c r="P248" i="6"/>
  <c r="P249" i="6"/>
  <c r="P250" i="6"/>
  <c r="P251" i="6"/>
  <c r="P252" i="6"/>
  <c r="P253" i="6"/>
  <c r="P254" i="6"/>
  <c r="P255" i="6"/>
  <c r="P256" i="6"/>
  <c r="P257" i="6"/>
  <c r="P258" i="6"/>
  <c r="P259" i="6"/>
  <c r="P260" i="6"/>
  <c r="P261" i="6"/>
  <c r="P262" i="6"/>
  <c r="P263" i="6"/>
  <c r="P264" i="6"/>
  <c r="P265" i="6"/>
  <c r="P266" i="6"/>
  <c r="P267" i="6"/>
  <c r="P268" i="6"/>
  <c r="P269" i="6"/>
  <c r="P270" i="6"/>
  <c r="P271" i="6"/>
  <c r="P272" i="6"/>
  <c r="P273" i="6"/>
  <c r="P274" i="6"/>
  <c r="P275" i="6"/>
  <c r="P276" i="6"/>
  <c r="P277" i="6"/>
  <c r="P278" i="6"/>
  <c r="P279" i="6"/>
  <c r="P280" i="6"/>
  <c r="P281" i="6"/>
  <c r="P282" i="6"/>
  <c r="P283" i="6"/>
  <c r="P284" i="6"/>
  <c r="P285" i="6"/>
  <c r="P286" i="6"/>
  <c r="P287" i="6"/>
  <c r="P288" i="6"/>
  <c r="P289" i="6"/>
  <c r="P290" i="6"/>
  <c r="P291" i="6"/>
  <c r="P292" i="6"/>
  <c r="P293" i="6"/>
  <c r="P294" i="6"/>
  <c r="P295" i="6"/>
  <c r="P296" i="6"/>
  <c r="P297" i="6"/>
  <c r="P298" i="6"/>
  <c r="P299" i="6"/>
  <c r="P300" i="6"/>
  <c r="P301" i="6"/>
  <c r="P302" i="6"/>
  <c r="P303" i="6"/>
  <c r="P304" i="6"/>
  <c r="P305" i="6"/>
  <c r="P306" i="6"/>
  <c r="P307" i="6"/>
  <c r="P308" i="6"/>
  <c r="P309" i="6"/>
  <c r="P310" i="6"/>
  <c r="P311" i="6"/>
  <c r="P312" i="6"/>
  <c r="P313" i="6"/>
  <c r="P314" i="6"/>
  <c r="P315" i="6"/>
  <c r="P316" i="6"/>
  <c r="P317" i="6"/>
  <c r="P318" i="6"/>
  <c r="P319" i="6"/>
  <c r="P320" i="6"/>
  <c r="P321" i="6"/>
  <c r="P322" i="6"/>
  <c r="P323" i="6"/>
  <c r="P324" i="6"/>
  <c r="P325" i="6"/>
  <c r="P326" i="6"/>
  <c r="P327" i="6"/>
  <c r="P328" i="6"/>
  <c r="P329" i="6"/>
  <c r="P330" i="6"/>
  <c r="P331" i="6"/>
  <c r="P332" i="6"/>
  <c r="P333" i="6"/>
  <c r="P334" i="6"/>
  <c r="P335" i="6"/>
  <c r="P336" i="6"/>
  <c r="P337" i="6"/>
  <c r="P338" i="6"/>
  <c r="P339" i="6"/>
  <c r="P340" i="6"/>
  <c r="P341" i="6"/>
  <c r="P342" i="6"/>
  <c r="P343" i="6"/>
  <c r="P344" i="6"/>
  <c r="P345" i="6"/>
  <c r="P346" i="6"/>
  <c r="P347" i="6"/>
  <c r="P348" i="6"/>
  <c r="P349" i="6"/>
  <c r="P350" i="6"/>
  <c r="P351" i="6"/>
  <c r="P352" i="6"/>
  <c r="P353" i="6"/>
  <c r="P354" i="6"/>
  <c r="P355" i="6"/>
  <c r="P356" i="6"/>
  <c r="P357" i="6"/>
  <c r="P358" i="6"/>
  <c r="P359" i="6"/>
  <c r="P360" i="6"/>
  <c r="P361" i="6"/>
  <c r="P362" i="6"/>
  <c r="P363" i="6"/>
  <c r="P364" i="6"/>
  <c r="P365" i="6"/>
  <c r="P366" i="6"/>
  <c r="P367" i="6"/>
  <c r="P368" i="6"/>
  <c r="P369" i="6"/>
  <c r="P370" i="6"/>
  <c r="P371" i="6"/>
  <c r="P372" i="6"/>
  <c r="P373" i="6"/>
  <c r="P374" i="6"/>
  <c r="P375" i="6"/>
  <c r="P376" i="6"/>
  <c r="P377" i="6"/>
  <c r="P378" i="6"/>
  <c r="P379" i="6"/>
  <c r="P380" i="6"/>
  <c r="P381" i="6"/>
  <c r="P382" i="6"/>
  <c r="P383" i="6"/>
  <c r="P384" i="6"/>
  <c r="P385" i="6"/>
  <c r="P386" i="6"/>
  <c r="P387" i="6"/>
  <c r="P388" i="6"/>
  <c r="P389" i="6"/>
  <c r="P390" i="6"/>
  <c r="P391" i="6"/>
  <c r="P392" i="6"/>
  <c r="P393" i="6"/>
  <c r="P394" i="6"/>
  <c r="P395" i="6"/>
  <c r="P396" i="6"/>
  <c r="P397" i="6"/>
  <c r="P398" i="6"/>
  <c r="P399" i="6"/>
  <c r="P400" i="6"/>
  <c r="P401" i="6"/>
  <c r="P402" i="6"/>
  <c r="P403" i="6"/>
  <c r="P404" i="6"/>
  <c r="P405" i="6"/>
  <c r="P406" i="6"/>
  <c r="P407" i="6"/>
  <c r="P408" i="6"/>
  <c r="P409" i="6"/>
  <c r="P410" i="6"/>
  <c r="P411" i="6"/>
  <c r="P412" i="6"/>
  <c r="P413" i="6"/>
  <c r="P414" i="6"/>
  <c r="P415" i="6"/>
  <c r="P416" i="6"/>
  <c r="P417" i="6"/>
  <c r="P418" i="6"/>
  <c r="P419" i="6"/>
  <c r="P420" i="6"/>
  <c r="P421" i="6"/>
  <c r="P422" i="6"/>
  <c r="P423" i="6"/>
  <c r="P424" i="6"/>
  <c r="P425" i="6"/>
  <c r="P426" i="6"/>
  <c r="P427" i="6"/>
  <c r="P428" i="6"/>
  <c r="P429" i="6"/>
  <c r="P430" i="6"/>
  <c r="P431" i="6"/>
  <c r="P432" i="6"/>
  <c r="P433" i="6"/>
  <c r="P434" i="6"/>
  <c r="P435" i="6"/>
  <c r="P436" i="6"/>
  <c r="P437" i="6"/>
  <c r="P438" i="6"/>
  <c r="P439" i="6"/>
  <c r="P440" i="6"/>
  <c r="P441" i="6"/>
  <c r="P442" i="6"/>
  <c r="P443" i="6"/>
  <c r="P444" i="6"/>
  <c r="P445" i="6"/>
  <c r="P446" i="6"/>
  <c r="P447" i="6"/>
  <c r="P448" i="6"/>
  <c r="P449" i="6"/>
  <c r="B2" i="6"/>
  <c r="C2" i="6"/>
  <c r="D2" i="6"/>
  <c r="F2" i="6"/>
  <c r="G2" i="6"/>
  <c r="B3" i="6"/>
  <c r="C3" i="6"/>
  <c r="D3" i="6"/>
  <c r="F3" i="6"/>
  <c r="G3" i="6"/>
  <c r="B4" i="6"/>
  <c r="C4" i="6"/>
  <c r="D4" i="6"/>
  <c r="F4" i="6"/>
  <c r="G4" i="6"/>
  <c r="B5" i="6"/>
  <c r="C5" i="6"/>
  <c r="D5" i="6"/>
  <c r="F5" i="6"/>
  <c r="G5" i="6"/>
  <c r="B6" i="6"/>
  <c r="C6" i="6"/>
  <c r="D6" i="6"/>
  <c r="F6" i="6"/>
  <c r="G6" i="6"/>
  <c r="B7" i="6"/>
  <c r="C7" i="6"/>
  <c r="D7" i="6"/>
  <c r="F7" i="6"/>
  <c r="G7" i="6"/>
  <c r="B8" i="6"/>
  <c r="C8" i="6"/>
  <c r="D8" i="6"/>
  <c r="F8" i="6"/>
  <c r="G8" i="6"/>
  <c r="B9" i="6"/>
  <c r="C9" i="6"/>
  <c r="D9" i="6"/>
  <c r="F9" i="6"/>
  <c r="G9" i="6"/>
  <c r="B10" i="6"/>
  <c r="C10" i="6"/>
  <c r="D10" i="6"/>
  <c r="F10" i="6"/>
  <c r="G10" i="6"/>
  <c r="B11" i="6"/>
  <c r="C11" i="6"/>
  <c r="D11" i="6"/>
  <c r="F11" i="6"/>
  <c r="G11" i="6"/>
  <c r="B12" i="6"/>
  <c r="C12" i="6"/>
  <c r="D12" i="6"/>
  <c r="F12" i="6"/>
  <c r="G12" i="6"/>
  <c r="B13" i="6"/>
  <c r="C13" i="6"/>
  <c r="D13" i="6"/>
  <c r="F13" i="6"/>
  <c r="G13" i="6"/>
  <c r="B14" i="6"/>
  <c r="C14" i="6"/>
  <c r="D14" i="6"/>
  <c r="F14" i="6"/>
  <c r="G14" i="6"/>
  <c r="B15" i="6"/>
  <c r="C15" i="6"/>
  <c r="D15" i="6"/>
  <c r="F15" i="6"/>
  <c r="G15" i="6"/>
  <c r="B16" i="6"/>
  <c r="C16" i="6"/>
  <c r="D16" i="6"/>
  <c r="F16" i="6"/>
  <c r="G16" i="6"/>
  <c r="B17" i="6"/>
  <c r="C17" i="6"/>
  <c r="D17" i="6"/>
  <c r="F17" i="6"/>
  <c r="G17" i="6"/>
  <c r="B18" i="6"/>
  <c r="C18" i="6"/>
  <c r="D18" i="6"/>
  <c r="F18" i="6"/>
  <c r="G18" i="6"/>
  <c r="B19" i="6"/>
  <c r="C19" i="6"/>
  <c r="D19" i="6"/>
  <c r="F19" i="6"/>
  <c r="G19" i="6"/>
  <c r="B20" i="6"/>
  <c r="C20" i="6"/>
  <c r="D20" i="6"/>
  <c r="F20" i="6"/>
  <c r="G20" i="6"/>
  <c r="B21" i="6"/>
  <c r="C21" i="6"/>
  <c r="D21" i="6"/>
  <c r="F21" i="6"/>
  <c r="G21" i="6"/>
  <c r="B22" i="6"/>
  <c r="C22" i="6"/>
  <c r="D22" i="6"/>
  <c r="F22" i="6"/>
  <c r="G22" i="6"/>
  <c r="B23" i="6"/>
  <c r="C23" i="6"/>
  <c r="D23" i="6"/>
  <c r="F23" i="6"/>
  <c r="G23" i="6"/>
  <c r="B24" i="6"/>
  <c r="C24" i="6"/>
  <c r="D24" i="6"/>
  <c r="F24" i="6"/>
  <c r="G24" i="6"/>
  <c r="B25" i="6"/>
  <c r="C25" i="6"/>
  <c r="D25" i="6"/>
  <c r="F25" i="6"/>
  <c r="G25" i="6"/>
  <c r="B26" i="6"/>
  <c r="C26" i="6"/>
  <c r="D26" i="6"/>
  <c r="F26" i="6"/>
  <c r="G26" i="6"/>
  <c r="B27" i="6"/>
  <c r="C27" i="6"/>
  <c r="D27" i="6"/>
  <c r="F27" i="6"/>
  <c r="G27" i="6"/>
  <c r="B28" i="6"/>
  <c r="C28" i="6"/>
  <c r="D28" i="6"/>
  <c r="F28" i="6"/>
  <c r="G28" i="6"/>
  <c r="B29" i="6"/>
  <c r="C29" i="6"/>
  <c r="D29" i="6"/>
  <c r="F29" i="6"/>
  <c r="G29" i="6"/>
  <c r="B30" i="6"/>
  <c r="C30" i="6"/>
  <c r="D30" i="6"/>
  <c r="F30" i="6"/>
  <c r="G30" i="6"/>
  <c r="B31" i="6"/>
  <c r="C31" i="6"/>
  <c r="D31" i="6"/>
  <c r="F31" i="6"/>
  <c r="G31" i="6"/>
  <c r="B32" i="6"/>
  <c r="C32" i="6"/>
  <c r="D32" i="6"/>
  <c r="F32" i="6"/>
  <c r="G32" i="6"/>
  <c r="B33" i="6"/>
  <c r="C33" i="6"/>
  <c r="D33" i="6"/>
  <c r="F33" i="6"/>
  <c r="G33" i="6"/>
  <c r="B34" i="6"/>
  <c r="C34" i="6"/>
  <c r="D34" i="6"/>
  <c r="F34" i="6"/>
  <c r="G34" i="6"/>
  <c r="B35" i="6"/>
  <c r="C35" i="6"/>
  <c r="D35" i="6"/>
  <c r="F35" i="6"/>
  <c r="G35" i="6"/>
  <c r="B36" i="6"/>
  <c r="C36" i="6"/>
  <c r="D36" i="6"/>
  <c r="F36" i="6"/>
  <c r="G36" i="6"/>
  <c r="B37" i="6"/>
  <c r="C37" i="6"/>
  <c r="D37" i="6"/>
  <c r="F37" i="6"/>
  <c r="G37" i="6"/>
  <c r="B38" i="6"/>
  <c r="C38" i="6"/>
  <c r="D38" i="6"/>
  <c r="F38" i="6"/>
  <c r="G38" i="6"/>
  <c r="B39" i="6"/>
  <c r="C39" i="6"/>
  <c r="D39" i="6"/>
  <c r="F39" i="6"/>
  <c r="G39" i="6"/>
  <c r="B40" i="6"/>
  <c r="C40" i="6"/>
  <c r="D40" i="6"/>
  <c r="F40" i="6"/>
  <c r="G40" i="6"/>
  <c r="B41" i="6"/>
  <c r="C41" i="6"/>
  <c r="D41" i="6"/>
  <c r="F41" i="6"/>
  <c r="G41" i="6"/>
  <c r="B42" i="6"/>
  <c r="C42" i="6"/>
  <c r="D42" i="6"/>
  <c r="F42" i="6"/>
  <c r="G42" i="6"/>
  <c r="B43" i="6"/>
  <c r="C43" i="6"/>
  <c r="D43" i="6"/>
  <c r="F43" i="6"/>
  <c r="G43" i="6"/>
  <c r="B44" i="6"/>
  <c r="C44" i="6"/>
  <c r="D44" i="6"/>
  <c r="F44" i="6"/>
  <c r="G44" i="6"/>
  <c r="B45" i="6"/>
  <c r="C45" i="6"/>
  <c r="D45" i="6"/>
  <c r="F45" i="6"/>
  <c r="G45" i="6"/>
  <c r="B46" i="6"/>
  <c r="C46" i="6"/>
  <c r="D46" i="6"/>
  <c r="F46" i="6"/>
  <c r="G46" i="6"/>
  <c r="B47" i="6"/>
  <c r="C47" i="6"/>
  <c r="D47" i="6"/>
  <c r="F47" i="6"/>
  <c r="G47" i="6"/>
  <c r="B48" i="6"/>
  <c r="C48" i="6"/>
  <c r="D48" i="6"/>
  <c r="F48" i="6"/>
  <c r="G48" i="6"/>
  <c r="B49" i="6"/>
  <c r="C49" i="6"/>
  <c r="D49" i="6"/>
  <c r="F49" i="6"/>
  <c r="G49" i="6"/>
  <c r="B50" i="6"/>
  <c r="C50" i="6"/>
  <c r="D50" i="6"/>
  <c r="F50" i="6"/>
  <c r="G50" i="6"/>
  <c r="B51" i="6"/>
  <c r="C51" i="6"/>
  <c r="D51" i="6"/>
  <c r="F51" i="6"/>
  <c r="G51" i="6"/>
  <c r="B53" i="6"/>
  <c r="C53" i="6"/>
  <c r="D53" i="6"/>
  <c r="F53" i="6"/>
  <c r="G53" i="6"/>
  <c r="B54" i="6"/>
  <c r="C54" i="6"/>
  <c r="D54" i="6"/>
  <c r="F54" i="6"/>
  <c r="G54" i="6"/>
  <c r="B55" i="6"/>
  <c r="C55" i="6"/>
  <c r="D55" i="6"/>
  <c r="F55" i="6"/>
  <c r="G55" i="6"/>
  <c r="B56" i="6"/>
  <c r="C56" i="6"/>
  <c r="D56" i="6"/>
  <c r="F56" i="6"/>
  <c r="G56" i="6"/>
  <c r="B57" i="6"/>
  <c r="C57" i="6"/>
  <c r="D57" i="6"/>
  <c r="F57" i="6"/>
  <c r="G57" i="6"/>
  <c r="B58" i="6"/>
  <c r="C58" i="6"/>
  <c r="D58" i="6"/>
  <c r="F58" i="6"/>
  <c r="G58" i="6"/>
  <c r="B59" i="6"/>
  <c r="C59" i="6"/>
  <c r="D59" i="6"/>
  <c r="F59" i="6"/>
  <c r="G59" i="6"/>
  <c r="B60" i="6"/>
  <c r="C60" i="6"/>
  <c r="D60" i="6"/>
  <c r="F60" i="6"/>
  <c r="G60" i="6"/>
  <c r="B61" i="6"/>
  <c r="C61" i="6"/>
  <c r="D61" i="6"/>
  <c r="F61" i="6"/>
  <c r="G61" i="6"/>
  <c r="B62" i="6"/>
  <c r="C62" i="6"/>
  <c r="D62" i="6"/>
  <c r="F62" i="6"/>
  <c r="G62" i="6"/>
  <c r="B63" i="6"/>
  <c r="C63" i="6"/>
  <c r="D63" i="6"/>
  <c r="F63" i="6"/>
  <c r="G63" i="6"/>
  <c r="B64" i="6"/>
  <c r="C64" i="6"/>
  <c r="D64" i="6"/>
  <c r="F64" i="6"/>
  <c r="G64" i="6"/>
  <c r="B65" i="6"/>
  <c r="C65" i="6"/>
  <c r="D65" i="6"/>
  <c r="F65" i="6"/>
  <c r="G65" i="6"/>
  <c r="B66" i="6"/>
  <c r="C66" i="6"/>
  <c r="D66" i="6"/>
  <c r="F66" i="6"/>
  <c r="G66" i="6"/>
  <c r="B67" i="6"/>
  <c r="C67" i="6"/>
  <c r="D67" i="6"/>
  <c r="F67" i="6"/>
  <c r="G67" i="6"/>
  <c r="B68" i="6"/>
  <c r="C68" i="6"/>
  <c r="D68" i="6"/>
  <c r="F68" i="6"/>
  <c r="G68" i="6"/>
  <c r="B69" i="6"/>
  <c r="C69" i="6"/>
  <c r="D69" i="6"/>
  <c r="F69" i="6"/>
  <c r="G69" i="6"/>
  <c r="B70" i="6"/>
  <c r="C70" i="6"/>
  <c r="D70" i="6"/>
  <c r="F70" i="6"/>
  <c r="G70" i="6"/>
  <c r="B71" i="6"/>
  <c r="C71" i="6"/>
  <c r="D71" i="6"/>
  <c r="F71" i="6"/>
  <c r="G71" i="6"/>
  <c r="B72" i="6"/>
  <c r="C72" i="6"/>
  <c r="D72" i="6"/>
  <c r="F72" i="6"/>
  <c r="G72" i="6"/>
  <c r="B73" i="6"/>
  <c r="C73" i="6"/>
  <c r="D73" i="6"/>
  <c r="F73" i="6"/>
  <c r="G73" i="6"/>
  <c r="B74" i="6"/>
  <c r="C74" i="6"/>
  <c r="D74" i="6"/>
  <c r="F74" i="6"/>
  <c r="G74" i="6"/>
  <c r="B75" i="6"/>
  <c r="C75" i="6"/>
  <c r="D75" i="6"/>
  <c r="F75" i="6"/>
  <c r="G75" i="6"/>
  <c r="B76" i="6"/>
  <c r="C76" i="6"/>
  <c r="D76" i="6"/>
  <c r="F76" i="6"/>
  <c r="G76" i="6"/>
  <c r="B77" i="6"/>
  <c r="C77" i="6"/>
  <c r="D77" i="6"/>
  <c r="F77" i="6"/>
  <c r="G77" i="6"/>
  <c r="B78" i="6"/>
  <c r="C78" i="6"/>
  <c r="D78" i="6"/>
  <c r="F78" i="6"/>
  <c r="G78" i="6"/>
  <c r="B79" i="6"/>
  <c r="C79" i="6"/>
  <c r="D79" i="6"/>
  <c r="F79" i="6"/>
  <c r="G79" i="6"/>
  <c r="B80" i="6"/>
  <c r="C80" i="6"/>
  <c r="D80" i="6"/>
  <c r="F80" i="6"/>
  <c r="G80" i="6"/>
  <c r="B81" i="6"/>
  <c r="C81" i="6"/>
  <c r="D81" i="6"/>
  <c r="F81" i="6"/>
  <c r="G81" i="6"/>
  <c r="B82" i="6"/>
  <c r="C82" i="6"/>
  <c r="D82" i="6"/>
  <c r="F82" i="6"/>
  <c r="G82" i="6"/>
  <c r="B83" i="6"/>
  <c r="C83" i="6"/>
  <c r="D83" i="6"/>
  <c r="F83" i="6"/>
  <c r="G83" i="6"/>
  <c r="B84" i="6"/>
  <c r="C84" i="6"/>
  <c r="D84" i="6"/>
  <c r="F84" i="6"/>
  <c r="G84" i="6"/>
  <c r="B85" i="6"/>
  <c r="C85" i="6"/>
  <c r="D85" i="6"/>
  <c r="F85" i="6"/>
  <c r="G85" i="6"/>
  <c r="B86" i="6"/>
  <c r="C86" i="6"/>
  <c r="D86" i="6"/>
  <c r="F86" i="6"/>
  <c r="G86" i="6"/>
  <c r="B87" i="6"/>
  <c r="C87" i="6"/>
  <c r="D87" i="6"/>
  <c r="F87" i="6"/>
  <c r="G87" i="6"/>
  <c r="B88" i="6"/>
  <c r="C88" i="6"/>
  <c r="D88" i="6"/>
  <c r="F88" i="6"/>
  <c r="G88" i="6"/>
  <c r="B89" i="6"/>
  <c r="C89" i="6"/>
  <c r="D89" i="6"/>
  <c r="F89" i="6"/>
  <c r="G89" i="6"/>
  <c r="B90" i="6"/>
  <c r="C90" i="6"/>
  <c r="D90" i="6"/>
  <c r="F90" i="6"/>
  <c r="G90" i="6"/>
  <c r="B91" i="6"/>
  <c r="C91" i="6"/>
  <c r="D91" i="6"/>
  <c r="F91" i="6"/>
  <c r="G91" i="6"/>
  <c r="B92" i="6"/>
  <c r="C92" i="6"/>
  <c r="D92" i="6"/>
  <c r="F92" i="6"/>
  <c r="G92" i="6"/>
  <c r="B93" i="6"/>
  <c r="C93" i="6"/>
  <c r="D93" i="6"/>
  <c r="F93" i="6"/>
  <c r="G93" i="6"/>
  <c r="B94" i="6"/>
  <c r="C94" i="6"/>
  <c r="D94" i="6"/>
  <c r="F94" i="6"/>
  <c r="G94" i="6"/>
  <c r="B95" i="6"/>
  <c r="C95" i="6"/>
  <c r="D95" i="6"/>
  <c r="F95" i="6"/>
  <c r="G95" i="6"/>
  <c r="B96" i="6"/>
  <c r="C96" i="6"/>
  <c r="D96" i="6"/>
  <c r="F96" i="6"/>
  <c r="G96" i="6"/>
  <c r="B97" i="6"/>
  <c r="C97" i="6"/>
  <c r="D97" i="6"/>
  <c r="F97" i="6"/>
  <c r="G97" i="6"/>
  <c r="B98" i="6"/>
  <c r="C98" i="6"/>
  <c r="D98" i="6"/>
  <c r="F98" i="6"/>
  <c r="G98" i="6"/>
  <c r="B100" i="6"/>
  <c r="C100" i="6"/>
  <c r="D100" i="6"/>
  <c r="F100" i="6"/>
  <c r="G100" i="6"/>
  <c r="B101" i="6"/>
  <c r="C101" i="6"/>
  <c r="D101" i="6"/>
  <c r="F101" i="6"/>
  <c r="G101" i="6"/>
  <c r="B102" i="6"/>
  <c r="C102" i="6"/>
  <c r="D102" i="6"/>
  <c r="F102" i="6"/>
  <c r="G102" i="6"/>
  <c r="B103" i="6"/>
  <c r="C103" i="6"/>
  <c r="D103" i="6"/>
  <c r="F103" i="6"/>
  <c r="G103" i="6"/>
  <c r="B104" i="6"/>
  <c r="C104" i="6"/>
  <c r="D104" i="6"/>
  <c r="F104" i="6"/>
  <c r="G104" i="6"/>
  <c r="B105" i="6"/>
  <c r="C105" i="6"/>
  <c r="D105" i="6"/>
  <c r="F105" i="6"/>
  <c r="G105" i="6"/>
  <c r="B106" i="6"/>
  <c r="C106" i="6"/>
  <c r="D106" i="6"/>
  <c r="F106" i="6"/>
  <c r="G106" i="6"/>
  <c r="B107" i="6"/>
  <c r="C107" i="6"/>
  <c r="D107" i="6"/>
  <c r="F107" i="6"/>
  <c r="G107" i="6"/>
  <c r="B108" i="6"/>
  <c r="C108" i="6"/>
  <c r="D108" i="6"/>
  <c r="F108" i="6"/>
  <c r="G108" i="6"/>
  <c r="B109" i="6"/>
  <c r="C109" i="6"/>
  <c r="D109" i="6"/>
  <c r="F109" i="6"/>
  <c r="G109" i="6"/>
  <c r="B110" i="6"/>
  <c r="C110" i="6"/>
  <c r="D110" i="6"/>
  <c r="F110" i="6"/>
  <c r="G110" i="6"/>
  <c r="B111" i="6"/>
  <c r="C111" i="6"/>
  <c r="D111" i="6"/>
  <c r="F111" i="6"/>
  <c r="G111" i="6"/>
  <c r="B112" i="6"/>
  <c r="C112" i="6"/>
  <c r="D112" i="6"/>
  <c r="F112" i="6"/>
  <c r="G112" i="6"/>
  <c r="B113" i="6"/>
  <c r="C113" i="6"/>
  <c r="D113" i="6"/>
  <c r="F113" i="6"/>
  <c r="G113" i="6"/>
  <c r="B114" i="6"/>
  <c r="C114" i="6"/>
  <c r="D114" i="6"/>
  <c r="F114" i="6"/>
  <c r="G114" i="6"/>
  <c r="B115" i="6"/>
  <c r="C115" i="6"/>
  <c r="D115" i="6"/>
  <c r="F115" i="6"/>
  <c r="G115" i="6"/>
  <c r="B116" i="6"/>
  <c r="C116" i="6"/>
  <c r="D116" i="6"/>
  <c r="F116" i="6"/>
  <c r="G116" i="6"/>
  <c r="B117" i="6"/>
  <c r="C117" i="6"/>
  <c r="D117" i="6"/>
  <c r="F117" i="6"/>
  <c r="G117" i="6"/>
  <c r="B118" i="6"/>
  <c r="C118" i="6"/>
  <c r="D118" i="6"/>
  <c r="F118" i="6"/>
  <c r="G118" i="6"/>
  <c r="B119" i="6"/>
  <c r="C119" i="6"/>
  <c r="D119" i="6"/>
  <c r="F119" i="6"/>
  <c r="G119" i="6"/>
  <c r="B120" i="6"/>
  <c r="C120" i="6"/>
  <c r="D120" i="6"/>
  <c r="F120" i="6"/>
  <c r="G120" i="6"/>
  <c r="B121" i="6"/>
  <c r="C121" i="6"/>
  <c r="D121" i="6"/>
  <c r="F121" i="6"/>
  <c r="G121" i="6"/>
  <c r="B122" i="6"/>
  <c r="C122" i="6"/>
  <c r="D122" i="6"/>
  <c r="F122" i="6"/>
  <c r="G122" i="6"/>
  <c r="B123" i="6"/>
  <c r="C123" i="6"/>
  <c r="D123" i="6"/>
  <c r="F123" i="6"/>
  <c r="G123" i="6"/>
  <c r="B124" i="6"/>
  <c r="C124" i="6"/>
  <c r="D124" i="6"/>
  <c r="F124" i="6"/>
  <c r="G124" i="6"/>
  <c r="B125" i="6"/>
  <c r="C125" i="6"/>
  <c r="D125" i="6"/>
  <c r="F125" i="6"/>
  <c r="G125" i="6"/>
  <c r="B126" i="6"/>
  <c r="C126" i="6"/>
  <c r="D126" i="6"/>
  <c r="F126" i="6"/>
  <c r="G126" i="6"/>
  <c r="B127" i="6"/>
  <c r="C127" i="6"/>
  <c r="D127" i="6"/>
  <c r="F127" i="6"/>
  <c r="G127" i="6"/>
  <c r="B128" i="6"/>
  <c r="C128" i="6"/>
  <c r="D128" i="6"/>
  <c r="F128" i="6"/>
  <c r="G128" i="6"/>
  <c r="B129" i="6"/>
  <c r="C129" i="6"/>
  <c r="D129" i="6"/>
  <c r="F129" i="6"/>
  <c r="G129" i="6"/>
  <c r="B130" i="6"/>
  <c r="C130" i="6"/>
  <c r="D130" i="6"/>
  <c r="F130" i="6"/>
  <c r="G130" i="6"/>
  <c r="B131" i="6"/>
  <c r="C131" i="6"/>
  <c r="D131" i="6"/>
  <c r="F131" i="6"/>
  <c r="G131" i="6"/>
  <c r="B132" i="6"/>
  <c r="C132" i="6"/>
  <c r="D132" i="6"/>
  <c r="F132" i="6"/>
  <c r="G132" i="6"/>
  <c r="B133" i="6"/>
  <c r="C133" i="6"/>
  <c r="D133" i="6"/>
  <c r="F133" i="6"/>
  <c r="G133" i="6"/>
  <c r="B134" i="6"/>
  <c r="C134" i="6"/>
  <c r="D134" i="6"/>
  <c r="F134" i="6"/>
  <c r="G134" i="6"/>
  <c r="B135" i="6"/>
  <c r="C135" i="6"/>
  <c r="D135" i="6"/>
  <c r="F135" i="6"/>
  <c r="G135" i="6"/>
  <c r="B136" i="6"/>
  <c r="C136" i="6"/>
  <c r="D136" i="6"/>
  <c r="F136" i="6"/>
  <c r="G136" i="6"/>
  <c r="B137" i="6"/>
  <c r="C137" i="6"/>
  <c r="D137" i="6"/>
  <c r="F137" i="6"/>
  <c r="G137" i="6"/>
  <c r="B138" i="6"/>
  <c r="C138" i="6"/>
  <c r="D138" i="6"/>
  <c r="F138" i="6"/>
  <c r="G138" i="6"/>
  <c r="B139" i="6"/>
  <c r="C139" i="6"/>
  <c r="D139" i="6"/>
  <c r="F139" i="6"/>
  <c r="G139" i="6"/>
  <c r="B140" i="6"/>
  <c r="C140" i="6"/>
  <c r="D140" i="6"/>
  <c r="F140" i="6"/>
  <c r="G140" i="6"/>
  <c r="B141" i="6"/>
  <c r="C141" i="6"/>
  <c r="D141" i="6"/>
  <c r="F141" i="6"/>
  <c r="G141" i="6"/>
  <c r="B142" i="6"/>
  <c r="C142" i="6"/>
  <c r="D142" i="6"/>
  <c r="F142" i="6"/>
  <c r="G142" i="6"/>
  <c r="B143" i="6"/>
  <c r="C143" i="6"/>
  <c r="D143" i="6"/>
  <c r="F143" i="6"/>
  <c r="G143" i="6"/>
  <c r="B144" i="6"/>
  <c r="C144" i="6"/>
  <c r="D144" i="6"/>
  <c r="F144" i="6"/>
  <c r="G144" i="6"/>
  <c r="B145" i="6"/>
  <c r="C145" i="6"/>
  <c r="D145" i="6"/>
  <c r="F145" i="6"/>
  <c r="G145" i="6"/>
  <c r="B146" i="6"/>
  <c r="C146" i="6"/>
  <c r="D146" i="6"/>
  <c r="F146" i="6"/>
  <c r="G146" i="6"/>
  <c r="B147" i="6"/>
  <c r="C147" i="6"/>
  <c r="D147" i="6"/>
  <c r="F147" i="6"/>
  <c r="G147" i="6"/>
  <c r="B148" i="6"/>
  <c r="C148" i="6"/>
  <c r="D148" i="6"/>
  <c r="F148" i="6"/>
  <c r="G148" i="6"/>
  <c r="B149" i="6"/>
  <c r="C149" i="6"/>
  <c r="D149" i="6"/>
  <c r="F149" i="6"/>
  <c r="G149" i="6"/>
  <c r="B150" i="6"/>
  <c r="C150" i="6"/>
  <c r="D150" i="6"/>
  <c r="F150" i="6"/>
  <c r="G150" i="6"/>
  <c r="B151" i="6"/>
  <c r="C151" i="6"/>
  <c r="D151" i="6"/>
  <c r="F151" i="6"/>
  <c r="G151" i="6"/>
  <c r="B152" i="6"/>
  <c r="C152" i="6"/>
  <c r="D152" i="6"/>
  <c r="F152" i="6"/>
  <c r="G152" i="6"/>
  <c r="B153" i="6"/>
  <c r="C153" i="6"/>
  <c r="D153" i="6"/>
  <c r="F153" i="6"/>
  <c r="G153" i="6"/>
  <c r="B154" i="6"/>
  <c r="C154" i="6"/>
  <c r="D154" i="6"/>
  <c r="F154" i="6"/>
  <c r="G154" i="6"/>
  <c r="B155" i="6"/>
  <c r="C155" i="6"/>
  <c r="D155" i="6"/>
  <c r="F155" i="6"/>
  <c r="G155" i="6"/>
  <c r="B156" i="6"/>
  <c r="C156" i="6"/>
  <c r="D156" i="6"/>
  <c r="F156" i="6"/>
  <c r="G156" i="6"/>
  <c r="B157" i="6"/>
  <c r="C157" i="6"/>
  <c r="D157" i="6"/>
  <c r="F157" i="6"/>
  <c r="G157" i="6"/>
  <c r="B158" i="6"/>
  <c r="C158" i="6"/>
  <c r="D158" i="6"/>
  <c r="F158" i="6"/>
  <c r="G158" i="6"/>
  <c r="B159" i="6"/>
  <c r="C159" i="6"/>
  <c r="D159" i="6"/>
  <c r="F159" i="6"/>
  <c r="G159" i="6"/>
  <c r="B160" i="6"/>
  <c r="C160" i="6"/>
  <c r="D160" i="6"/>
  <c r="F160" i="6"/>
  <c r="G160" i="6"/>
  <c r="B161" i="6"/>
  <c r="C161" i="6"/>
  <c r="D161" i="6"/>
  <c r="F161" i="6"/>
  <c r="G161" i="6"/>
  <c r="B162" i="6"/>
  <c r="C162" i="6"/>
  <c r="D162" i="6"/>
  <c r="F162" i="6"/>
  <c r="G162" i="6"/>
  <c r="B163" i="6"/>
  <c r="C163" i="6"/>
  <c r="D163" i="6"/>
  <c r="F163" i="6"/>
  <c r="G163" i="6"/>
  <c r="B164" i="6"/>
  <c r="C164" i="6"/>
  <c r="D164" i="6"/>
  <c r="F164" i="6"/>
  <c r="G164" i="6"/>
  <c r="B165" i="6"/>
  <c r="C165" i="6"/>
  <c r="D165" i="6"/>
  <c r="F165" i="6"/>
  <c r="G165" i="6"/>
  <c r="B166" i="6"/>
  <c r="C166" i="6"/>
  <c r="D166" i="6"/>
  <c r="F166" i="6"/>
  <c r="G166" i="6"/>
  <c r="B167" i="6"/>
  <c r="C167" i="6"/>
  <c r="D167" i="6"/>
  <c r="F167" i="6"/>
  <c r="G167" i="6"/>
  <c r="B168" i="6"/>
  <c r="C168" i="6"/>
  <c r="D168" i="6"/>
  <c r="F168" i="6"/>
  <c r="G168" i="6"/>
  <c r="B169" i="6"/>
  <c r="C169" i="6"/>
  <c r="D169" i="6"/>
  <c r="F169" i="6"/>
  <c r="G169" i="6"/>
  <c r="B170" i="6"/>
  <c r="C170" i="6"/>
  <c r="D170" i="6"/>
  <c r="F170" i="6"/>
  <c r="G170" i="6"/>
  <c r="B171" i="6"/>
  <c r="C171" i="6"/>
  <c r="D171" i="6"/>
  <c r="F171" i="6"/>
  <c r="G171" i="6"/>
  <c r="B172" i="6"/>
  <c r="C172" i="6"/>
  <c r="D172" i="6"/>
  <c r="F172" i="6"/>
  <c r="G172" i="6"/>
  <c r="B173" i="6"/>
  <c r="C173" i="6"/>
  <c r="D173" i="6"/>
  <c r="F173" i="6"/>
  <c r="G173" i="6"/>
  <c r="B174" i="6"/>
  <c r="C174" i="6"/>
  <c r="D174" i="6"/>
  <c r="F174" i="6"/>
  <c r="G174" i="6"/>
  <c r="B175" i="6"/>
  <c r="C175" i="6"/>
  <c r="D175" i="6"/>
  <c r="F175" i="6"/>
  <c r="G175" i="6"/>
  <c r="B176" i="6"/>
  <c r="C176" i="6"/>
  <c r="D176" i="6"/>
  <c r="F176" i="6"/>
  <c r="G176" i="6"/>
  <c r="B177" i="6"/>
  <c r="C177" i="6"/>
  <c r="D177" i="6"/>
  <c r="F177" i="6"/>
  <c r="G177" i="6"/>
  <c r="B178" i="6"/>
  <c r="C178" i="6"/>
  <c r="D178" i="6"/>
  <c r="F178" i="6"/>
  <c r="G178" i="6"/>
  <c r="B179" i="6"/>
  <c r="C179" i="6"/>
  <c r="D179" i="6"/>
  <c r="F179" i="6"/>
  <c r="G179" i="6"/>
  <c r="B180" i="6"/>
  <c r="C180" i="6"/>
  <c r="D180" i="6"/>
  <c r="F180" i="6"/>
  <c r="G180" i="6"/>
  <c r="B181" i="6"/>
  <c r="C181" i="6"/>
  <c r="D181" i="6"/>
  <c r="F181" i="6"/>
  <c r="G181" i="6"/>
  <c r="B182" i="6"/>
  <c r="C182" i="6"/>
  <c r="D182" i="6"/>
  <c r="F182" i="6"/>
  <c r="G182" i="6"/>
  <c r="B183" i="6"/>
  <c r="C183" i="6"/>
  <c r="D183" i="6"/>
  <c r="F183" i="6"/>
  <c r="G183" i="6"/>
  <c r="B184" i="6"/>
  <c r="C184" i="6"/>
  <c r="D184" i="6"/>
  <c r="F184" i="6"/>
  <c r="G184" i="6"/>
  <c r="B185" i="6"/>
  <c r="C185" i="6"/>
  <c r="D185" i="6"/>
  <c r="F185" i="6"/>
  <c r="G185" i="6"/>
  <c r="B186" i="6"/>
  <c r="C186" i="6"/>
  <c r="D186" i="6"/>
  <c r="F186" i="6"/>
  <c r="G186" i="6"/>
  <c r="B187" i="6"/>
  <c r="C187" i="6"/>
  <c r="D187" i="6"/>
  <c r="F187" i="6"/>
  <c r="G187" i="6"/>
  <c r="B188" i="6"/>
  <c r="C188" i="6"/>
  <c r="D188" i="6"/>
  <c r="F188" i="6"/>
  <c r="G188" i="6"/>
  <c r="B189" i="6"/>
  <c r="C189" i="6"/>
  <c r="D189" i="6"/>
  <c r="F189" i="6"/>
  <c r="G189" i="6"/>
  <c r="B190" i="6"/>
  <c r="C190" i="6"/>
  <c r="D190" i="6"/>
  <c r="F190" i="6"/>
  <c r="G190" i="6"/>
  <c r="B191" i="6"/>
  <c r="C191" i="6"/>
  <c r="D191" i="6"/>
  <c r="F191" i="6"/>
  <c r="G191" i="6"/>
  <c r="B192" i="6"/>
  <c r="C192" i="6"/>
  <c r="D192" i="6"/>
  <c r="F192" i="6"/>
  <c r="G192" i="6"/>
  <c r="B193" i="6"/>
  <c r="C193" i="6"/>
  <c r="D193" i="6"/>
  <c r="F193" i="6"/>
  <c r="G193" i="6"/>
  <c r="B194" i="6"/>
  <c r="C194" i="6"/>
  <c r="D194" i="6"/>
  <c r="F194" i="6"/>
  <c r="G194" i="6"/>
  <c r="B195" i="6"/>
  <c r="C195" i="6"/>
  <c r="D195" i="6"/>
  <c r="F195" i="6"/>
  <c r="G195" i="6"/>
  <c r="B196" i="6"/>
  <c r="C196" i="6"/>
  <c r="D196" i="6"/>
  <c r="F196" i="6"/>
  <c r="G196" i="6"/>
  <c r="B197" i="6"/>
  <c r="C197" i="6"/>
  <c r="D197" i="6"/>
  <c r="F197" i="6"/>
  <c r="G197" i="6"/>
  <c r="B198" i="6"/>
  <c r="C198" i="6"/>
  <c r="D198" i="6"/>
  <c r="F198" i="6"/>
  <c r="G198" i="6"/>
  <c r="B199" i="6"/>
  <c r="C199" i="6"/>
  <c r="D199" i="6"/>
  <c r="F199" i="6"/>
  <c r="G199" i="6"/>
  <c r="B200" i="6"/>
  <c r="C200" i="6"/>
  <c r="D200" i="6"/>
  <c r="F200" i="6"/>
  <c r="G200" i="6"/>
  <c r="B201" i="6"/>
  <c r="C201" i="6"/>
  <c r="D201" i="6"/>
  <c r="F201" i="6"/>
  <c r="G201" i="6"/>
  <c r="B202" i="6"/>
  <c r="C202" i="6"/>
  <c r="D202" i="6"/>
  <c r="F202" i="6"/>
  <c r="G202" i="6"/>
  <c r="B203" i="6"/>
  <c r="C203" i="6"/>
  <c r="D203" i="6"/>
  <c r="F203" i="6"/>
  <c r="G203" i="6"/>
  <c r="B204" i="6"/>
  <c r="C204" i="6"/>
  <c r="D204" i="6"/>
  <c r="F204" i="6"/>
  <c r="G204" i="6"/>
  <c r="B205" i="6"/>
  <c r="C205" i="6"/>
  <c r="D205" i="6"/>
  <c r="F205" i="6"/>
  <c r="G205" i="6"/>
  <c r="B206" i="6"/>
  <c r="C206" i="6"/>
  <c r="D206" i="6"/>
  <c r="F206" i="6"/>
  <c r="G206" i="6"/>
  <c r="B207" i="6"/>
  <c r="C207" i="6"/>
  <c r="D207" i="6"/>
  <c r="F207" i="6"/>
  <c r="G207" i="6"/>
  <c r="B208" i="6"/>
  <c r="C208" i="6"/>
  <c r="D208" i="6"/>
  <c r="F208" i="6"/>
  <c r="G208" i="6"/>
  <c r="B209" i="6"/>
  <c r="C209" i="6"/>
  <c r="D209" i="6"/>
  <c r="F209" i="6"/>
  <c r="G209" i="6"/>
  <c r="B210" i="6"/>
  <c r="C210" i="6"/>
  <c r="D210" i="6"/>
  <c r="F210" i="6"/>
  <c r="G210" i="6"/>
  <c r="B211" i="6"/>
  <c r="C211" i="6"/>
  <c r="D211" i="6"/>
  <c r="F211" i="6"/>
  <c r="G211" i="6"/>
  <c r="B212" i="6"/>
  <c r="C212" i="6"/>
  <c r="D212" i="6"/>
  <c r="F212" i="6"/>
  <c r="G212" i="6"/>
  <c r="B213" i="6"/>
  <c r="C213" i="6"/>
  <c r="D213" i="6"/>
  <c r="F213" i="6"/>
  <c r="G213" i="6"/>
  <c r="B214" i="6"/>
  <c r="C214" i="6"/>
  <c r="D214" i="6"/>
  <c r="F214" i="6"/>
  <c r="G214" i="6"/>
  <c r="B215" i="6"/>
  <c r="C215" i="6"/>
  <c r="D215" i="6"/>
  <c r="F215" i="6"/>
  <c r="G215" i="6"/>
  <c r="B216" i="6"/>
  <c r="C216" i="6"/>
  <c r="D216" i="6"/>
  <c r="F216" i="6"/>
  <c r="G216" i="6"/>
  <c r="B217" i="6"/>
  <c r="C217" i="6"/>
  <c r="D217" i="6"/>
  <c r="F217" i="6"/>
  <c r="G217" i="6"/>
  <c r="B218" i="6"/>
  <c r="C218" i="6"/>
  <c r="D218" i="6"/>
  <c r="F218" i="6"/>
  <c r="G218" i="6"/>
  <c r="B219" i="6"/>
  <c r="C219" i="6"/>
  <c r="D219" i="6"/>
  <c r="F219" i="6"/>
  <c r="G219" i="6"/>
  <c r="B220" i="6"/>
  <c r="C220" i="6"/>
  <c r="D220" i="6"/>
  <c r="F220" i="6"/>
  <c r="G220" i="6"/>
  <c r="B221" i="6"/>
  <c r="C221" i="6"/>
  <c r="D221" i="6"/>
  <c r="F221" i="6"/>
  <c r="G221" i="6"/>
  <c r="B222" i="6"/>
  <c r="C222" i="6"/>
  <c r="D222" i="6"/>
  <c r="F222" i="6"/>
  <c r="G222" i="6"/>
  <c r="B223" i="6"/>
  <c r="C223" i="6"/>
  <c r="D223" i="6"/>
  <c r="F223" i="6"/>
  <c r="G223" i="6"/>
  <c r="B224" i="6"/>
  <c r="C224" i="6"/>
  <c r="D224" i="6"/>
  <c r="F224" i="6"/>
  <c r="G224" i="6"/>
  <c r="B225" i="6"/>
  <c r="C225" i="6"/>
  <c r="D225" i="6"/>
  <c r="F225" i="6"/>
  <c r="G225" i="6"/>
  <c r="B226" i="6"/>
  <c r="C226" i="6"/>
  <c r="D226" i="6"/>
  <c r="F226" i="6"/>
  <c r="G226" i="6"/>
  <c r="B227" i="6"/>
  <c r="C227" i="6"/>
  <c r="D227" i="6"/>
  <c r="F227" i="6"/>
  <c r="G227" i="6"/>
  <c r="B228" i="6"/>
  <c r="C228" i="6"/>
  <c r="D228" i="6"/>
  <c r="F228" i="6"/>
  <c r="G228" i="6"/>
  <c r="B229" i="6"/>
  <c r="C229" i="6"/>
  <c r="D229" i="6"/>
  <c r="F229" i="6"/>
  <c r="G229" i="6"/>
  <c r="B230" i="6"/>
  <c r="C230" i="6"/>
  <c r="D230" i="6"/>
  <c r="F230" i="6"/>
  <c r="G230" i="6"/>
  <c r="B231" i="6"/>
  <c r="C231" i="6"/>
  <c r="D231" i="6"/>
  <c r="F231" i="6"/>
  <c r="G231" i="6"/>
  <c r="B232" i="6"/>
  <c r="C232" i="6"/>
  <c r="D232" i="6"/>
  <c r="F232" i="6"/>
  <c r="G232" i="6"/>
  <c r="B233" i="6"/>
  <c r="C233" i="6"/>
  <c r="D233" i="6"/>
  <c r="F233" i="6"/>
  <c r="G233" i="6"/>
  <c r="B234" i="6"/>
  <c r="C234" i="6"/>
  <c r="D234" i="6"/>
  <c r="F234" i="6"/>
  <c r="G234" i="6"/>
  <c r="B235" i="6"/>
  <c r="C235" i="6"/>
  <c r="D235" i="6"/>
  <c r="F235" i="6"/>
  <c r="G235" i="6"/>
  <c r="B236" i="6"/>
  <c r="C236" i="6"/>
  <c r="D236" i="6"/>
  <c r="F236" i="6"/>
  <c r="G236" i="6"/>
  <c r="B237" i="6"/>
  <c r="C237" i="6"/>
  <c r="D237" i="6"/>
  <c r="F237" i="6"/>
  <c r="G237" i="6"/>
  <c r="B238" i="6"/>
  <c r="C238" i="6"/>
  <c r="D238" i="6"/>
  <c r="F238" i="6"/>
  <c r="G238" i="6"/>
  <c r="B239" i="6"/>
  <c r="C239" i="6"/>
  <c r="D239" i="6"/>
  <c r="F239" i="6"/>
  <c r="G239" i="6"/>
  <c r="B240" i="6"/>
  <c r="C240" i="6"/>
  <c r="D240" i="6"/>
  <c r="F240" i="6"/>
  <c r="G240" i="6"/>
  <c r="B241" i="6"/>
  <c r="C241" i="6"/>
  <c r="D241" i="6"/>
  <c r="F241" i="6"/>
  <c r="G241" i="6"/>
  <c r="B242" i="6"/>
  <c r="C242" i="6"/>
  <c r="D242" i="6"/>
  <c r="F242" i="6"/>
  <c r="G242" i="6"/>
  <c r="B243" i="6"/>
  <c r="C243" i="6"/>
  <c r="D243" i="6"/>
  <c r="F243" i="6"/>
  <c r="G243" i="6"/>
  <c r="B244" i="6"/>
  <c r="C244" i="6"/>
  <c r="D244" i="6"/>
  <c r="F244" i="6"/>
  <c r="G244" i="6"/>
  <c r="B245" i="6"/>
  <c r="C245" i="6"/>
  <c r="D245" i="6"/>
  <c r="F245" i="6"/>
  <c r="G245" i="6"/>
  <c r="B246" i="6"/>
  <c r="C246" i="6"/>
  <c r="D246" i="6"/>
  <c r="F246" i="6"/>
  <c r="G246" i="6"/>
  <c r="B247" i="6"/>
  <c r="C247" i="6"/>
  <c r="D247" i="6"/>
  <c r="F247" i="6"/>
  <c r="G247" i="6"/>
  <c r="B248" i="6"/>
  <c r="C248" i="6"/>
  <c r="D248" i="6"/>
  <c r="F248" i="6"/>
  <c r="G248" i="6"/>
  <c r="B249" i="6"/>
  <c r="C249" i="6"/>
  <c r="D249" i="6"/>
  <c r="F249" i="6"/>
  <c r="G249" i="6"/>
  <c r="B250" i="6"/>
  <c r="C250" i="6"/>
  <c r="D250" i="6"/>
  <c r="F250" i="6"/>
  <c r="G250" i="6"/>
  <c r="B251" i="6"/>
  <c r="C251" i="6"/>
  <c r="D251" i="6"/>
  <c r="F251" i="6"/>
  <c r="G251" i="6"/>
  <c r="B252" i="6"/>
  <c r="C252" i="6"/>
  <c r="D252" i="6"/>
  <c r="F252" i="6"/>
  <c r="G252" i="6"/>
  <c r="B253" i="6"/>
  <c r="C253" i="6"/>
  <c r="D253" i="6"/>
  <c r="F253" i="6"/>
  <c r="G253" i="6"/>
  <c r="B254" i="6"/>
  <c r="C254" i="6"/>
  <c r="D254" i="6"/>
  <c r="F254" i="6"/>
  <c r="G254" i="6"/>
  <c r="B255" i="6"/>
  <c r="C255" i="6"/>
  <c r="D255" i="6"/>
  <c r="F255" i="6"/>
  <c r="G255" i="6"/>
  <c r="B256" i="6"/>
  <c r="C256" i="6"/>
  <c r="D256" i="6"/>
  <c r="F256" i="6"/>
  <c r="G256" i="6"/>
  <c r="B257" i="6"/>
  <c r="C257" i="6"/>
  <c r="D257" i="6"/>
  <c r="F257" i="6"/>
  <c r="G257" i="6"/>
  <c r="B258" i="6"/>
  <c r="C258" i="6"/>
  <c r="D258" i="6"/>
  <c r="F258" i="6"/>
  <c r="G258" i="6"/>
  <c r="B259" i="6"/>
  <c r="C259" i="6"/>
  <c r="D259" i="6"/>
  <c r="F259" i="6"/>
  <c r="G259" i="6"/>
  <c r="B260" i="6"/>
  <c r="C260" i="6"/>
  <c r="D260" i="6"/>
  <c r="F260" i="6"/>
  <c r="G260" i="6"/>
  <c r="B261" i="6"/>
  <c r="C261" i="6"/>
  <c r="D261" i="6"/>
  <c r="F261" i="6"/>
  <c r="G261" i="6"/>
  <c r="B262" i="6"/>
  <c r="C262" i="6"/>
  <c r="D262" i="6"/>
  <c r="F262" i="6"/>
  <c r="G262" i="6"/>
  <c r="B263" i="6"/>
  <c r="C263" i="6"/>
  <c r="D263" i="6"/>
  <c r="F263" i="6"/>
  <c r="G263" i="6"/>
  <c r="B264" i="6"/>
  <c r="C264" i="6"/>
  <c r="D264" i="6"/>
  <c r="F264" i="6"/>
  <c r="G264" i="6"/>
  <c r="B265" i="6"/>
  <c r="C265" i="6"/>
  <c r="D265" i="6"/>
  <c r="F265" i="6"/>
  <c r="G265" i="6"/>
  <c r="B266" i="6"/>
  <c r="C266" i="6"/>
  <c r="D266" i="6"/>
  <c r="F266" i="6"/>
  <c r="G266" i="6"/>
  <c r="B267" i="6"/>
  <c r="C267" i="6"/>
  <c r="D267" i="6"/>
  <c r="F267" i="6"/>
  <c r="G267" i="6"/>
  <c r="B268" i="6"/>
  <c r="C268" i="6"/>
  <c r="D268" i="6"/>
  <c r="F268" i="6"/>
  <c r="G268" i="6"/>
  <c r="B269" i="6"/>
  <c r="C269" i="6"/>
  <c r="D269" i="6"/>
  <c r="F269" i="6"/>
  <c r="G269" i="6"/>
  <c r="B270" i="6"/>
  <c r="C270" i="6"/>
  <c r="D270" i="6"/>
  <c r="F270" i="6"/>
  <c r="G270" i="6"/>
  <c r="B271" i="6"/>
  <c r="C271" i="6"/>
  <c r="D271" i="6"/>
  <c r="F271" i="6"/>
  <c r="G271" i="6"/>
  <c r="B272" i="6"/>
  <c r="C272" i="6"/>
  <c r="D272" i="6"/>
  <c r="F272" i="6"/>
  <c r="G272" i="6"/>
  <c r="B273" i="6"/>
  <c r="C273" i="6"/>
  <c r="D273" i="6"/>
  <c r="F273" i="6"/>
  <c r="G273" i="6"/>
  <c r="B274" i="6"/>
  <c r="C274" i="6"/>
  <c r="D274" i="6"/>
  <c r="F274" i="6"/>
  <c r="G274" i="6"/>
  <c r="B275" i="6"/>
  <c r="C275" i="6"/>
  <c r="D275" i="6"/>
  <c r="F275" i="6"/>
  <c r="G275" i="6"/>
  <c r="B276" i="6"/>
  <c r="C276" i="6"/>
  <c r="D276" i="6"/>
  <c r="F276" i="6"/>
  <c r="G276" i="6"/>
  <c r="B277" i="6"/>
  <c r="C277" i="6"/>
  <c r="D277" i="6"/>
  <c r="F277" i="6"/>
  <c r="G277" i="6"/>
  <c r="B278" i="6"/>
  <c r="C278" i="6"/>
  <c r="D278" i="6"/>
  <c r="F278" i="6"/>
  <c r="G278" i="6"/>
  <c r="B279" i="6"/>
  <c r="C279" i="6"/>
  <c r="D279" i="6"/>
  <c r="F279" i="6"/>
  <c r="G279" i="6"/>
  <c r="B280" i="6"/>
  <c r="C280" i="6"/>
  <c r="D280" i="6"/>
  <c r="F280" i="6"/>
  <c r="G280" i="6"/>
  <c r="B281" i="6"/>
  <c r="C281" i="6"/>
  <c r="D281" i="6"/>
  <c r="F281" i="6"/>
  <c r="G281" i="6"/>
  <c r="B282" i="6"/>
  <c r="C282" i="6"/>
  <c r="D282" i="6"/>
  <c r="F282" i="6"/>
  <c r="G282" i="6"/>
  <c r="B283" i="6"/>
  <c r="C283" i="6"/>
  <c r="D283" i="6"/>
  <c r="F283" i="6"/>
  <c r="G283" i="6"/>
  <c r="B284" i="6"/>
  <c r="C284" i="6"/>
  <c r="D284" i="6"/>
  <c r="F284" i="6"/>
  <c r="G284" i="6"/>
  <c r="B285" i="6"/>
  <c r="C285" i="6"/>
  <c r="D285" i="6"/>
  <c r="F285" i="6"/>
  <c r="G285" i="6"/>
  <c r="B286" i="6"/>
  <c r="C286" i="6"/>
  <c r="D286" i="6"/>
  <c r="F286" i="6"/>
  <c r="G286" i="6"/>
  <c r="B287" i="6"/>
  <c r="C287" i="6"/>
  <c r="D287" i="6"/>
  <c r="F287" i="6"/>
  <c r="G287" i="6"/>
  <c r="B288" i="6"/>
  <c r="C288" i="6"/>
  <c r="D288" i="6"/>
  <c r="F288" i="6"/>
  <c r="G288" i="6"/>
  <c r="B289" i="6"/>
  <c r="C289" i="6"/>
  <c r="D289" i="6"/>
  <c r="F289" i="6"/>
  <c r="G289" i="6"/>
  <c r="B290" i="6"/>
  <c r="C290" i="6"/>
  <c r="D290" i="6"/>
  <c r="F290" i="6"/>
  <c r="G290" i="6"/>
  <c r="B291" i="6"/>
  <c r="C291" i="6"/>
  <c r="D291" i="6"/>
  <c r="F291" i="6"/>
  <c r="G291" i="6"/>
  <c r="B292" i="6"/>
  <c r="C292" i="6"/>
  <c r="D292" i="6"/>
  <c r="F292" i="6"/>
  <c r="G292" i="6"/>
  <c r="B293" i="6"/>
  <c r="C293" i="6"/>
  <c r="D293" i="6"/>
  <c r="F293" i="6"/>
  <c r="G293" i="6"/>
  <c r="B294" i="6"/>
  <c r="C294" i="6"/>
  <c r="D294" i="6"/>
  <c r="F294" i="6"/>
  <c r="G294" i="6"/>
  <c r="B295" i="6"/>
  <c r="C295" i="6"/>
  <c r="D295" i="6"/>
  <c r="F295" i="6"/>
  <c r="G295" i="6"/>
  <c r="B296" i="6"/>
  <c r="C296" i="6"/>
  <c r="D296" i="6"/>
  <c r="F296" i="6"/>
  <c r="G296" i="6"/>
  <c r="B297" i="6"/>
  <c r="C297" i="6"/>
  <c r="D297" i="6"/>
  <c r="F297" i="6"/>
  <c r="G297" i="6"/>
  <c r="B298" i="6"/>
  <c r="C298" i="6"/>
  <c r="D298" i="6"/>
  <c r="F298" i="6"/>
  <c r="G298" i="6"/>
  <c r="B299" i="6"/>
  <c r="C299" i="6"/>
  <c r="D299" i="6"/>
  <c r="F299" i="6"/>
  <c r="G299" i="6"/>
  <c r="B300" i="6"/>
  <c r="C300" i="6"/>
  <c r="D300" i="6"/>
  <c r="F300" i="6"/>
  <c r="G300" i="6"/>
  <c r="B301" i="6"/>
  <c r="C301" i="6"/>
  <c r="D301" i="6"/>
  <c r="F301" i="6"/>
  <c r="G301" i="6"/>
  <c r="B302" i="6"/>
  <c r="C302" i="6"/>
  <c r="D302" i="6"/>
  <c r="F302" i="6"/>
  <c r="G302" i="6"/>
  <c r="B303" i="6"/>
  <c r="C303" i="6"/>
  <c r="D303" i="6"/>
  <c r="F303" i="6"/>
  <c r="G303" i="6"/>
  <c r="B304" i="6"/>
  <c r="C304" i="6"/>
  <c r="D304" i="6"/>
  <c r="F304" i="6"/>
  <c r="G304" i="6"/>
  <c r="B305" i="6"/>
  <c r="C305" i="6"/>
  <c r="D305" i="6"/>
  <c r="F305" i="6"/>
  <c r="G305" i="6"/>
  <c r="B306" i="6"/>
  <c r="C306" i="6"/>
  <c r="D306" i="6"/>
  <c r="F306" i="6"/>
  <c r="G306" i="6"/>
  <c r="B307" i="6"/>
  <c r="C307" i="6"/>
  <c r="D307" i="6"/>
  <c r="F307" i="6"/>
  <c r="G307" i="6"/>
  <c r="B308" i="6"/>
  <c r="C308" i="6"/>
  <c r="D308" i="6"/>
  <c r="F308" i="6"/>
  <c r="G308" i="6"/>
  <c r="B309" i="6"/>
  <c r="C309" i="6"/>
  <c r="D309" i="6"/>
  <c r="F309" i="6"/>
  <c r="G309" i="6"/>
  <c r="B310" i="6"/>
  <c r="C310" i="6"/>
  <c r="D310" i="6"/>
  <c r="F310" i="6"/>
  <c r="G310" i="6"/>
  <c r="B311" i="6"/>
  <c r="C311" i="6"/>
  <c r="D311" i="6"/>
  <c r="F311" i="6"/>
  <c r="G311" i="6"/>
  <c r="B312" i="6"/>
  <c r="C312" i="6"/>
  <c r="D312" i="6"/>
  <c r="F312" i="6"/>
  <c r="G312" i="6"/>
  <c r="B313" i="6"/>
  <c r="C313" i="6"/>
  <c r="D313" i="6"/>
  <c r="F313" i="6"/>
  <c r="G313" i="6"/>
  <c r="B314" i="6"/>
  <c r="C314" i="6"/>
  <c r="D314" i="6"/>
  <c r="F314" i="6"/>
  <c r="G314" i="6"/>
  <c r="B315" i="6"/>
  <c r="C315" i="6"/>
  <c r="D315" i="6"/>
  <c r="F315" i="6"/>
  <c r="G315" i="6"/>
  <c r="B316" i="6"/>
  <c r="C316" i="6"/>
  <c r="D316" i="6"/>
  <c r="F316" i="6"/>
  <c r="G316" i="6"/>
  <c r="B317" i="6"/>
  <c r="C317" i="6"/>
  <c r="D317" i="6"/>
  <c r="F317" i="6"/>
  <c r="G317" i="6"/>
  <c r="B318" i="6"/>
  <c r="C318" i="6"/>
  <c r="D318" i="6"/>
  <c r="F318" i="6"/>
  <c r="G318" i="6"/>
  <c r="B319" i="6"/>
  <c r="C319" i="6"/>
  <c r="D319" i="6"/>
  <c r="F319" i="6"/>
  <c r="G319" i="6"/>
  <c r="B320" i="6"/>
  <c r="C320" i="6"/>
  <c r="D320" i="6"/>
  <c r="F320" i="6"/>
  <c r="G320" i="6"/>
  <c r="B321" i="6"/>
  <c r="C321" i="6"/>
  <c r="D321" i="6"/>
  <c r="F321" i="6"/>
  <c r="G321" i="6"/>
  <c r="B322" i="6"/>
  <c r="C322" i="6"/>
  <c r="D322" i="6"/>
  <c r="F322" i="6"/>
  <c r="G322" i="6"/>
  <c r="B323" i="6"/>
  <c r="C323" i="6"/>
  <c r="D323" i="6"/>
  <c r="F323" i="6"/>
  <c r="G323" i="6"/>
  <c r="B324" i="6"/>
  <c r="C324" i="6"/>
  <c r="D324" i="6"/>
  <c r="F324" i="6"/>
  <c r="G324" i="6"/>
  <c r="B325" i="6"/>
  <c r="C325" i="6"/>
  <c r="D325" i="6"/>
  <c r="F325" i="6"/>
  <c r="G325" i="6"/>
  <c r="B326" i="6"/>
  <c r="C326" i="6"/>
  <c r="D326" i="6"/>
  <c r="F326" i="6"/>
  <c r="G326" i="6"/>
  <c r="B327" i="6"/>
  <c r="C327" i="6"/>
  <c r="D327" i="6"/>
  <c r="F327" i="6"/>
  <c r="G327" i="6"/>
  <c r="B328" i="6"/>
  <c r="C328" i="6"/>
  <c r="D328" i="6"/>
  <c r="F328" i="6"/>
  <c r="G328" i="6"/>
  <c r="B329" i="6"/>
  <c r="C329" i="6"/>
  <c r="D329" i="6"/>
  <c r="F329" i="6"/>
  <c r="G329" i="6"/>
  <c r="B330" i="6"/>
  <c r="C330" i="6"/>
  <c r="D330" i="6"/>
  <c r="F330" i="6"/>
  <c r="G330" i="6"/>
  <c r="B331" i="6"/>
  <c r="C331" i="6"/>
  <c r="D331" i="6"/>
  <c r="F331" i="6"/>
  <c r="G331" i="6"/>
  <c r="B332" i="6"/>
  <c r="C332" i="6"/>
  <c r="D332" i="6"/>
  <c r="F332" i="6"/>
  <c r="G332" i="6"/>
  <c r="B333" i="6"/>
  <c r="C333" i="6"/>
  <c r="D333" i="6"/>
  <c r="F333" i="6"/>
  <c r="G333" i="6"/>
  <c r="B334" i="6"/>
  <c r="C334" i="6"/>
  <c r="D334" i="6"/>
  <c r="F334" i="6"/>
  <c r="G334" i="6"/>
  <c r="B335" i="6"/>
  <c r="C335" i="6"/>
  <c r="D335" i="6"/>
  <c r="F335" i="6"/>
  <c r="G335" i="6"/>
  <c r="B336" i="6"/>
  <c r="C336" i="6"/>
  <c r="D336" i="6"/>
  <c r="F336" i="6"/>
  <c r="G336" i="6"/>
  <c r="B337" i="6"/>
  <c r="C337" i="6"/>
  <c r="D337" i="6"/>
  <c r="F337" i="6"/>
  <c r="G337" i="6"/>
  <c r="B338" i="6"/>
  <c r="C338" i="6"/>
  <c r="D338" i="6"/>
  <c r="F338" i="6"/>
  <c r="G338" i="6"/>
  <c r="B339" i="6"/>
  <c r="C339" i="6"/>
  <c r="D339" i="6"/>
  <c r="F339" i="6"/>
  <c r="G339" i="6"/>
  <c r="B340" i="6"/>
  <c r="C340" i="6"/>
  <c r="D340" i="6"/>
  <c r="F340" i="6"/>
  <c r="G340" i="6"/>
  <c r="B341" i="6"/>
  <c r="C341" i="6"/>
  <c r="D341" i="6"/>
  <c r="F341" i="6"/>
  <c r="G341" i="6"/>
  <c r="B342" i="6"/>
  <c r="C342" i="6"/>
  <c r="D342" i="6"/>
  <c r="F342" i="6"/>
  <c r="G342" i="6"/>
  <c r="B343" i="6"/>
  <c r="C343" i="6"/>
  <c r="D343" i="6"/>
  <c r="F343" i="6"/>
  <c r="G343" i="6"/>
  <c r="B344" i="6"/>
  <c r="C344" i="6"/>
  <c r="D344" i="6"/>
  <c r="F344" i="6"/>
  <c r="G344" i="6"/>
  <c r="B345" i="6"/>
  <c r="C345" i="6"/>
  <c r="D345" i="6"/>
  <c r="F345" i="6"/>
  <c r="G345" i="6"/>
  <c r="B346" i="6"/>
  <c r="C346" i="6"/>
  <c r="D346" i="6"/>
  <c r="F346" i="6"/>
  <c r="G346" i="6"/>
  <c r="B347" i="6"/>
  <c r="C347" i="6"/>
  <c r="D347" i="6"/>
  <c r="F347" i="6"/>
  <c r="G347" i="6"/>
  <c r="B348" i="6"/>
  <c r="C348" i="6"/>
  <c r="D348" i="6"/>
  <c r="F348" i="6"/>
  <c r="G348" i="6"/>
  <c r="B349" i="6"/>
  <c r="C349" i="6"/>
  <c r="D349" i="6"/>
  <c r="F349" i="6"/>
  <c r="G349" i="6"/>
  <c r="B350" i="6"/>
  <c r="C350" i="6"/>
  <c r="D350" i="6"/>
  <c r="F350" i="6"/>
  <c r="G350" i="6"/>
  <c r="B351" i="6"/>
  <c r="C351" i="6"/>
  <c r="D351" i="6"/>
  <c r="F351" i="6"/>
  <c r="G351" i="6"/>
  <c r="B352" i="6"/>
  <c r="C352" i="6"/>
  <c r="D352" i="6"/>
  <c r="F352" i="6"/>
  <c r="G352" i="6"/>
  <c r="B353" i="6"/>
  <c r="C353" i="6"/>
  <c r="D353" i="6"/>
  <c r="F353" i="6"/>
  <c r="G353" i="6"/>
  <c r="B354" i="6"/>
  <c r="C354" i="6"/>
  <c r="D354" i="6"/>
  <c r="F354" i="6"/>
  <c r="G354" i="6"/>
  <c r="B355" i="6"/>
  <c r="C355" i="6"/>
  <c r="D355" i="6"/>
  <c r="F355" i="6"/>
  <c r="G355" i="6"/>
  <c r="B356" i="6"/>
  <c r="C356" i="6"/>
  <c r="D356" i="6"/>
  <c r="F356" i="6"/>
  <c r="G356" i="6"/>
  <c r="B357" i="6"/>
  <c r="C357" i="6"/>
  <c r="D357" i="6"/>
  <c r="F357" i="6"/>
  <c r="G357" i="6"/>
  <c r="B358" i="6"/>
  <c r="C358" i="6"/>
  <c r="D358" i="6"/>
  <c r="F358" i="6"/>
  <c r="G358" i="6"/>
  <c r="B359" i="6"/>
  <c r="C359" i="6"/>
  <c r="D359" i="6"/>
  <c r="F359" i="6"/>
  <c r="G359" i="6"/>
  <c r="B360" i="6"/>
  <c r="C360" i="6"/>
  <c r="D360" i="6"/>
  <c r="F360" i="6"/>
  <c r="G360" i="6"/>
  <c r="B361" i="6"/>
  <c r="C361" i="6"/>
  <c r="D361" i="6"/>
  <c r="F361" i="6"/>
  <c r="G361" i="6"/>
  <c r="B362" i="6"/>
  <c r="C362" i="6"/>
  <c r="D362" i="6"/>
  <c r="F362" i="6"/>
  <c r="G362" i="6"/>
  <c r="B363" i="6"/>
  <c r="C363" i="6"/>
  <c r="D363" i="6"/>
  <c r="F363" i="6"/>
  <c r="G363" i="6"/>
  <c r="B364" i="6"/>
  <c r="C364" i="6"/>
  <c r="D364" i="6"/>
  <c r="F364" i="6"/>
  <c r="G364" i="6"/>
  <c r="B365" i="6"/>
  <c r="C365" i="6"/>
  <c r="D365" i="6"/>
  <c r="F365" i="6"/>
  <c r="G365" i="6"/>
  <c r="B366" i="6"/>
  <c r="C366" i="6"/>
  <c r="D366" i="6"/>
  <c r="F366" i="6"/>
  <c r="G366" i="6"/>
  <c r="B367" i="6"/>
  <c r="C367" i="6"/>
  <c r="D367" i="6"/>
  <c r="F367" i="6"/>
  <c r="G367" i="6"/>
  <c r="B368" i="6"/>
  <c r="C368" i="6"/>
  <c r="D368" i="6"/>
  <c r="F368" i="6"/>
  <c r="G368" i="6"/>
  <c r="B369" i="6"/>
  <c r="C369" i="6"/>
  <c r="D369" i="6"/>
  <c r="F369" i="6"/>
  <c r="G369" i="6"/>
  <c r="B370" i="6"/>
  <c r="C370" i="6"/>
  <c r="D370" i="6"/>
  <c r="F370" i="6"/>
  <c r="G370" i="6"/>
  <c r="B371" i="6"/>
  <c r="C371" i="6"/>
  <c r="D371" i="6"/>
  <c r="F371" i="6"/>
  <c r="G371" i="6"/>
  <c r="B372" i="6"/>
  <c r="C372" i="6"/>
  <c r="D372" i="6"/>
  <c r="F372" i="6"/>
  <c r="G372" i="6"/>
  <c r="B373" i="6"/>
  <c r="C373" i="6"/>
  <c r="D373" i="6"/>
  <c r="F373" i="6"/>
  <c r="G373" i="6"/>
  <c r="B374" i="6"/>
  <c r="C374" i="6"/>
  <c r="D374" i="6"/>
  <c r="F374" i="6"/>
  <c r="G374" i="6"/>
  <c r="B375" i="6"/>
  <c r="C375" i="6"/>
  <c r="D375" i="6"/>
  <c r="F375" i="6"/>
  <c r="G375" i="6"/>
  <c r="B376" i="6"/>
  <c r="C376" i="6"/>
  <c r="D376" i="6"/>
  <c r="F376" i="6"/>
  <c r="G376" i="6"/>
  <c r="B377" i="6"/>
  <c r="C377" i="6"/>
  <c r="D377" i="6"/>
  <c r="F377" i="6"/>
  <c r="G377" i="6"/>
  <c r="B378" i="6"/>
  <c r="C378" i="6"/>
  <c r="D378" i="6"/>
  <c r="F378" i="6"/>
  <c r="G378" i="6"/>
  <c r="B379" i="6"/>
  <c r="C379" i="6"/>
  <c r="D379" i="6"/>
  <c r="F379" i="6"/>
  <c r="G379" i="6"/>
  <c r="B380" i="6"/>
  <c r="C380" i="6"/>
  <c r="D380" i="6"/>
  <c r="F380" i="6"/>
  <c r="G380" i="6"/>
  <c r="B381" i="6"/>
  <c r="C381" i="6"/>
  <c r="D381" i="6"/>
  <c r="F381" i="6"/>
  <c r="G381" i="6"/>
  <c r="B382" i="6"/>
  <c r="C382" i="6"/>
  <c r="D382" i="6"/>
  <c r="F382" i="6"/>
  <c r="G382" i="6"/>
  <c r="B383" i="6"/>
  <c r="C383" i="6"/>
  <c r="D383" i="6"/>
  <c r="F383" i="6"/>
  <c r="G383" i="6"/>
  <c r="B384" i="6"/>
  <c r="C384" i="6"/>
  <c r="D384" i="6"/>
  <c r="F384" i="6"/>
  <c r="G384" i="6"/>
  <c r="B385" i="6"/>
  <c r="C385" i="6"/>
  <c r="D385" i="6"/>
  <c r="F385" i="6"/>
  <c r="G385" i="6"/>
  <c r="B386" i="6"/>
  <c r="C386" i="6"/>
  <c r="D386" i="6"/>
  <c r="F386" i="6"/>
  <c r="G386" i="6"/>
  <c r="B387" i="6"/>
  <c r="C387" i="6"/>
  <c r="D387" i="6"/>
  <c r="F387" i="6"/>
  <c r="G387" i="6"/>
  <c r="B388" i="6"/>
  <c r="C388" i="6"/>
  <c r="D388" i="6"/>
  <c r="F388" i="6"/>
  <c r="G388" i="6"/>
  <c r="B389" i="6"/>
  <c r="C389" i="6"/>
  <c r="D389" i="6"/>
  <c r="F389" i="6"/>
  <c r="G389" i="6"/>
  <c r="B390" i="6"/>
  <c r="C390" i="6"/>
  <c r="D390" i="6"/>
  <c r="F390" i="6"/>
  <c r="G390" i="6"/>
  <c r="B391" i="6"/>
  <c r="C391" i="6"/>
  <c r="D391" i="6"/>
  <c r="F391" i="6"/>
  <c r="G391" i="6"/>
  <c r="B392" i="6"/>
  <c r="C392" i="6"/>
  <c r="D392" i="6"/>
  <c r="F392" i="6"/>
  <c r="G392" i="6"/>
  <c r="B393" i="6"/>
  <c r="C393" i="6"/>
  <c r="D393" i="6"/>
  <c r="F393" i="6"/>
  <c r="G393" i="6"/>
  <c r="B394" i="6"/>
  <c r="C394" i="6"/>
  <c r="D394" i="6"/>
  <c r="F394" i="6"/>
  <c r="G394" i="6"/>
  <c r="B395" i="6"/>
  <c r="C395" i="6"/>
  <c r="D395" i="6"/>
  <c r="F395" i="6"/>
  <c r="G395" i="6"/>
  <c r="B396" i="6"/>
  <c r="C396" i="6"/>
  <c r="D396" i="6"/>
  <c r="F396" i="6"/>
  <c r="G396" i="6"/>
  <c r="B397" i="6"/>
  <c r="C397" i="6"/>
  <c r="D397" i="6"/>
  <c r="F397" i="6"/>
  <c r="G397" i="6"/>
  <c r="B398" i="6"/>
  <c r="C398" i="6"/>
  <c r="D398" i="6"/>
  <c r="F398" i="6"/>
  <c r="G398" i="6"/>
  <c r="B399" i="6"/>
  <c r="C399" i="6"/>
  <c r="D399" i="6"/>
  <c r="F399" i="6"/>
  <c r="G399" i="6"/>
  <c r="B400" i="6"/>
  <c r="C400" i="6"/>
  <c r="D400" i="6"/>
  <c r="F400" i="6"/>
  <c r="G400" i="6"/>
  <c r="B401" i="6"/>
  <c r="C401" i="6"/>
  <c r="D401" i="6"/>
  <c r="F401" i="6"/>
  <c r="G401" i="6"/>
  <c r="B402" i="6"/>
  <c r="C402" i="6"/>
  <c r="D402" i="6"/>
  <c r="F402" i="6"/>
  <c r="G402" i="6"/>
  <c r="B403" i="6"/>
  <c r="C403" i="6"/>
  <c r="D403" i="6"/>
  <c r="F403" i="6"/>
  <c r="G403" i="6"/>
  <c r="B404" i="6"/>
  <c r="C404" i="6"/>
  <c r="D404" i="6"/>
  <c r="F404" i="6"/>
  <c r="G404" i="6"/>
  <c r="B405" i="6"/>
  <c r="C405" i="6"/>
  <c r="D405" i="6"/>
  <c r="F405" i="6"/>
  <c r="G405" i="6"/>
  <c r="B406" i="6"/>
  <c r="C406" i="6"/>
  <c r="D406" i="6"/>
  <c r="F406" i="6"/>
  <c r="G406" i="6"/>
  <c r="B407" i="6"/>
  <c r="C407" i="6"/>
  <c r="D407" i="6"/>
  <c r="F407" i="6"/>
  <c r="G407" i="6"/>
  <c r="B408" i="6"/>
  <c r="C408" i="6"/>
  <c r="D408" i="6"/>
  <c r="F408" i="6"/>
  <c r="G408" i="6"/>
  <c r="B409" i="6"/>
  <c r="C409" i="6"/>
  <c r="D409" i="6"/>
  <c r="F409" i="6"/>
  <c r="G409" i="6"/>
  <c r="B410" i="6"/>
  <c r="C410" i="6"/>
  <c r="D410" i="6"/>
  <c r="F410" i="6"/>
  <c r="G410" i="6"/>
  <c r="B411" i="6"/>
  <c r="C411" i="6"/>
  <c r="D411" i="6"/>
  <c r="F411" i="6"/>
  <c r="G411" i="6"/>
  <c r="B412" i="6"/>
  <c r="C412" i="6"/>
  <c r="D412" i="6"/>
  <c r="F412" i="6"/>
  <c r="G412" i="6"/>
  <c r="B413" i="6"/>
  <c r="C413" i="6"/>
  <c r="D413" i="6"/>
  <c r="F413" i="6"/>
  <c r="G413" i="6"/>
  <c r="B414" i="6"/>
  <c r="C414" i="6"/>
  <c r="D414" i="6"/>
  <c r="F414" i="6"/>
  <c r="G414" i="6"/>
  <c r="B415" i="6"/>
  <c r="C415" i="6"/>
  <c r="D415" i="6"/>
  <c r="F415" i="6"/>
  <c r="G415" i="6"/>
  <c r="B416" i="6"/>
  <c r="C416" i="6"/>
  <c r="D416" i="6"/>
  <c r="F416" i="6"/>
  <c r="G416" i="6"/>
  <c r="B417" i="6"/>
  <c r="C417" i="6"/>
  <c r="D417" i="6"/>
  <c r="F417" i="6"/>
  <c r="G417" i="6"/>
  <c r="B418" i="6"/>
  <c r="C418" i="6"/>
  <c r="D418" i="6"/>
  <c r="F418" i="6"/>
  <c r="G418" i="6"/>
  <c r="B419" i="6"/>
  <c r="C419" i="6"/>
  <c r="D419" i="6"/>
  <c r="F419" i="6"/>
  <c r="G419" i="6"/>
  <c r="B420" i="6"/>
  <c r="C420" i="6"/>
  <c r="D420" i="6"/>
  <c r="F420" i="6"/>
  <c r="G420" i="6"/>
  <c r="B421" i="6"/>
  <c r="C421" i="6"/>
  <c r="D421" i="6"/>
  <c r="F421" i="6"/>
  <c r="G421" i="6"/>
  <c r="B422" i="6"/>
  <c r="C422" i="6"/>
  <c r="D422" i="6"/>
  <c r="F422" i="6"/>
  <c r="G422" i="6"/>
  <c r="B423" i="6"/>
  <c r="C423" i="6"/>
  <c r="D423" i="6"/>
  <c r="F423" i="6"/>
  <c r="G423" i="6"/>
  <c r="B424" i="6"/>
  <c r="C424" i="6"/>
  <c r="D424" i="6"/>
  <c r="F424" i="6"/>
  <c r="G424" i="6"/>
  <c r="B425" i="6"/>
  <c r="C425" i="6"/>
  <c r="D425" i="6"/>
  <c r="F425" i="6"/>
  <c r="G425" i="6"/>
  <c r="B426" i="6"/>
  <c r="C426" i="6"/>
  <c r="D426" i="6"/>
  <c r="F426" i="6"/>
  <c r="G426" i="6"/>
  <c r="B427" i="6"/>
  <c r="C427" i="6"/>
  <c r="D427" i="6"/>
  <c r="F427" i="6"/>
  <c r="G427" i="6"/>
  <c r="B428" i="6"/>
  <c r="C428" i="6"/>
  <c r="D428" i="6"/>
  <c r="F428" i="6"/>
  <c r="G428" i="6"/>
  <c r="B429" i="6"/>
  <c r="C429" i="6"/>
  <c r="D429" i="6"/>
  <c r="F429" i="6"/>
  <c r="G429" i="6"/>
  <c r="B430" i="6"/>
  <c r="C430" i="6"/>
  <c r="D430" i="6"/>
  <c r="F430" i="6"/>
  <c r="G430" i="6"/>
  <c r="B431" i="6"/>
  <c r="C431" i="6"/>
  <c r="D431" i="6"/>
  <c r="F431" i="6"/>
  <c r="G431" i="6"/>
  <c r="B432" i="6"/>
  <c r="C432" i="6"/>
  <c r="D432" i="6"/>
  <c r="F432" i="6"/>
  <c r="G432" i="6"/>
  <c r="B433" i="6"/>
  <c r="C433" i="6"/>
  <c r="D433" i="6"/>
  <c r="F433" i="6"/>
  <c r="G433" i="6"/>
  <c r="B434" i="6"/>
  <c r="C434" i="6"/>
  <c r="D434" i="6"/>
  <c r="F434" i="6"/>
  <c r="G434" i="6"/>
  <c r="B435" i="6"/>
  <c r="C435" i="6"/>
  <c r="D435" i="6"/>
  <c r="F435" i="6"/>
  <c r="G435" i="6"/>
  <c r="B436" i="6"/>
  <c r="C436" i="6"/>
  <c r="D436" i="6"/>
  <c r="F436" i="6"/>
  <c r="G436" i="6"/>
  <c r="B437" i="6"/>
  <c r="C437" i="6"/>
  <c r="D437" i="6"/>
  <c r="F437" i="6"/>
  <c r="G437" i="6"/>
  <c r="B438" i="6"/>
  <c r="C438" i="6"/>
  <c r="D438" i="6"/>
  <c r="F438" i="6"/>
  <c r="G438" i="6"/>
  <c r="B439" i="6"/>
  <c r="C439" i="6"/>
  <c r="D439" i="6"/>
  <c r="F439" i="6"/>
  <c r="G439" i="6"/>
  <c r="B440" i="6"/>
  <c r="C440" i="6"/>
  <c r="D440" i="6"/>
  <c r="F440" i="6"/>
  <c r="G440" i="6"/>
  <c r="B441" i="6"/>
  <c r="C441" i="6"/>
  <c r="D441" i="6"/>
  <c r="F441" i="6"/>
  <c r="G441" i="6"/>
  <c r="B442" i="6"/>
  <c r="C442" i="6"/>
  <c r="D442" i="6"/>
  <c r="F442" i="6"/>
  <c r="G442" i="6"/>
  <c r="B443" i="6"/>
  <c r="C443" i="6"/>
  <c r="D443" i="6"/>
  <c r="F443" i="6"/>
  <c r="G443" i="6"/>
  <c r="B444" i="6"/>
  <c r="C444" i="6"/>
  <c r="D444" i="6"/>
  <c r="F444" i="6"/>
  <c r="G444" i="6"/>
  <c r="B445" i="6"/>
  <c r="C445" i="6"/>
  <c r="D445" i="6"/>
  <c r="F445" i="6"/>
  <c r="G445" i="6"/>
  <c r="B446" i="6"/>
  <c r="C446" i="6"/>
  <c r="D446" i="6"/>
  <c r="F446" i="6"/>
  <c r="G446" i="6"/>
  <c r="B447" i="6"/>
  <c r="C447" i="6"/>
  <c r="D447" i="6"/>
  <c r="F447" i="6"/>
  <c r="G447" i="6"/>
  <c r="B448" i="6"/>
  <c r="C448" i="6"/>
  <c r="D448" i="6"/>
  <c r="F448" i="6"/>
  <c r="G448" i="6"/>
  <c r="B449" i="6"/>
  <c r="C449" i="6"/>
  <c r="D449" i="6"/>
  <c r="F449" i="6"/>
  <c r="G449" i="6"/>
  <c r="I447" i="6" l="1"/>
  <c r="I435" i="6"/>
  <c r="I423" i="6"/>
  <c r="I411" i="6"/>
  <c r="I399" i="6"/>
  <c r="I387" i="6"/>
  <c r="I375" i="6"/>
  <c r="I363" i="6"/>
  <c r="I351" i="6"/>
  <c r="I339" i="6"/>
  <c r="I327" i="6"/>
  <c r="I315" i="6"/>
  <c r="I303" i="6"/>
  <c r="I291" i="6"/>
  <c r="I279" i="6"/>
  <c r="I267" i="6"/>
  <c r="I255" i="6"/>
  <c r="I243" i="6"/>
  <c r="I231" i="6"/>
  <c r="I219" i="6"/>
  <c r="I207" i="6"/>
  <c r="I195" i="6"/>
  <c r="I183" i="6"/>
  <c r="I171" i="6"/>
  <c r="I159" i="6"/>
  <c r="I147" i="6"/>
  <c r="I135" i="6"/>
  <c r="I123" i="6"/>
  <c r="I111" i="6"/>
  <c r="I98" i="6"/>
  <c r="I86" i="6"/>
  <c r="I74" i="6"/>
  <c r="I62" i="6"/>
  <c r="I49" i="6"/>
  <c r="I37" i="6"/>
  <c r="I25" i="6"/>
  <c r="I13" i="6"/>
  <c r="I446" i="6"/>
  <c r="I434" i="6"/>
  <c r="I422" i="6"/>
  <c r="I410" i="6"/>
  <c r="I398" i="6"/>
  <c r="I386" i="6"/>
  <c r="I374" i="6"/>
  <c r="I362" i="6"/>
  <c r="I350" i="6"/>
  <c r="I338" i="6"/>
  <c r="I326" i="6"/>
  <c r="I314" i="6"/>
  <c r="I302" i="6"/>
  <c r="I290" i="6"/>
  <c r="I278" i="6"/>
  <c r="I266" i="6"/>
  <c r="I254" i="6"/>
  <c r="I242" i="6"/>
  <c r="I230" i="6"/>
  <c r="I218" i="6"/>
  <c r="I206" i="6"/>
  <c r="I194" i="6"/>
  <c r="I182" i="6"/>
  <c r="I170" i="6"/>
  <c r="I158" i="6"/>
  <c r="I146" i="6"/>
  <c r="I134" i="6"/>
  <c r="I122" i="6"/>
  <c r="I110" i="6"/>
  <c r="I97" i="6"/>
  <c r="I85" i="6"/>
  <c r="I73" i="6"/>
  <c r="I61" i="6"/>
  <c r="I48" i="6"/>
  <c r="I36" i="6"/>
  <c r="I24" i="6"/>
  <c r="I12" i="6"/>
  <c r="I445" i="6"/>
  <c r="I433" i="6"/>
  <c r="I421" i="6"/>
  <c r="I409" i="6"/>
  <c r="I397" i="6"/>
  <c r="I385" i="6"/>
  <c r="I373" i="6"/>
  <c r="I361" i="6"/>
  <c r="I349" i="6"/>
  <c r="I337" i="6"/>
  <c r="I325" i="6"/>
  <c r="I313" i="6"/>
  <c r="I301" i="6"/>
  <c r="I289" i="6"/>
  <c r="I277" i="6"/>
  <c r="I265" i="6"/>
  <c r="I253" i="6"/>
  <c r="I241" i="6"/>
  <c r="I229" i="6"/>
  <c r="I217" i="6"/>
  <c r="I205" i="6"/>
  <c r="I193" i="6"/>
  <c r="I181" i="6"/>
  <c r="I169" i="6"/>
  <c r="I157" i="6"/>
  <c r="I145" i="6"/>
  <c r="I133" i="6"/>
  <c r="I121" i="6"/>
  <c r="I109" i="6"/>
  <c r="I96" i="6"/>
  <c r="I84" i="6"/>
  <c r="I72" i="6"/>
  <c r="I60" i="6"/>
  <c r="I47" i="6"/>
  <c r="I35" i="6"/>
  <c r="I23" i="6"/>
  <c r="I11" i="6"/>
  <c r="I444" i="6"/>
  <c r="I432" i="6"/>
  <c r="I420" i="6"/>
  <c r="I408" i="6"/>
  <c r="I396" i="6"/>
  <c r="I384" i="6"/>
  <c r="I372" i="6"/>
  <c r="I360" i="6"/>
  <c r="I348" i="6"/>
  <c r="I336" i="6"/>
  <c r="I324" i="6"/>
  <c r="I312" i="6"/>
  <c r="I300" i="6"/>
  <c r="I288" i="6"/>
  <c r="I276" i="6"/>
  <c r="I264" i="6"/>
  <c r="I252" i="6"/>
  <c r="I240" i="6"/>
  <c r="I228" i="6"/>
  <c r="I216" i="6"/>
  <c r="I204" i="6"/>
  <c r="I192" i="6"/>
  <c r="I180" i="6"/>
  <c r="I168" i="6"/>
  <c r="I156" i="6"/>
  <c r="I144" i="6"/>
  <c r="I132" i="6"/>
  <c r="I120" i="6"/>
  <c r="I108" i="6"/>
  <c r="I95" i="6"/>
  <c r="I83" i="6"/>
  <c r="I59" i="6"/>
  <c r="I46" i="6"/>
  <c r="I34" i="6"/>
  <c r="I22" i="6"/>
  <c r="I10" i="6"/>
  <c r="I443" i="6"/>
  <c r="I431" i="6"/>
  <c r="I419" i="6"/>
  <c r="I407" i="6"/>
  <c r="I395" i="6"/>
  <c r="I383" i="6"/>
  <c r="I371" i="6"/>
  <c r="I359" i="6"/>
  <c r="I347" i="6"/>
  <c r="I335" i="6"/>
  <c r="I323" i="6"/>
  <c r="I311" i="6"/>
  <c r="I299" i="6"/>
  <c r="I287" i="6"/>
  <c r="I275" i="6"/>
  <c r="I263" i="6"/>
  <c r="I251" i="6"/>
  <c r="I239" i="6"/>
  <c r="I227" i="6"/>
  <c r="I215" i="6"/>
  <c r="I203" i="6"/>
  <c r="I191" i="6"/>
  <c r="I179" i="6"/>
  <c r="I167" i="6"/>
  <c r="I155" i="6"/>
  <c r="I143" i="6"/>
  <c r="I131" i="6"/>
  <c r="I119" i="6"/>
  <c r="I107" i="6"/>
  <c r="I94" i="6"/>
  <c r="I82" i="6"/>
  <c r="I58" i="6"/>
  <c r="I45" i="6"/>
  <c r="I33" i="6"/>
  <c r="I21" i="6"/>
  <c r="I9" i="6"/>
  <c r="I442" i="6"/>
  <c r="I430" i="6"/>
  <c r="I418" i="6"/>
  <c r="I406" i="6"/>
  <c r="I394" i="6"/>
  <c r="I382" i="6"/>
  <c r="I370" i="6"/>
  <c r="I358" i="6"/>
  <c r="I346" i="6"/>
  <c r="I334" i="6"/>
  <c r="I322" i="6"/>
  <c r="I310" i="6"/>
  <c r="I298" i="6"/>
  <c r="I286" i="6"/>
  <c r="I274" i="6"/>
  <c r="I262" i="6"/>
  <c r="I250" i="6"/>
  <c r="I238" i="6"/>
  <c r="I226" i="6"/>
  <c r="I214" i="6"/>
  <c r="I202" i="6"/>
  <c r="I190" i="6"/>
  <c r="I178" i="6"/>
  <c r="I166" i="6"/>
  <c r="I154" i="6"/>
  <c r="I142" i="6"/>
  <c r="I130" i="6"/>
  <c r="I118" i="6"/>
  <c r="I106" i="6"/>
  <c r="I93" i="6"/>
  <c r="I81" i="6"/>
  <c r="I57" i="6"/>
  <c r="I44" i="6"/>
  <c r="I32" i="6"/>
  <c r="I20" i="6"/>
  <c r="I8" i="6"/>
  <c r="I441" i="6"/>
  <c r="I429" i="6"/>
  <c r="I417" i="6"/>
  <c r="I405" i="6"/>
  <c r="I393" i="6"/>
  <c r="I381" i="6"/>
  <c r="I369" i="6"/>
  <c r="I357" i="6"/>
  <c r="I345" i="6"/>
  <c r="I333" i="6"/>
  <c r="I321" i="6"/>
  <c r="I309" i="6"/>
  <c r="I297" i="6"/>
  <c r="I285" i="6"/>
  <c r="I273" i="6"/>
  <c r="I261" i="6"/>
  <c r="I249" i="6"/>
  <c r="I237" i="6"/>
  <c r="I225" i="6"/>
  <c r="I213" i="6"/>
  <c r="I201" i="6"/>
  <c r="I189" i="6"/>
  <c r="I177" i="6"/>
  <c r="I165" i="6"/>
  <c r="I153" i="6"/>
  <c r="I141" i="6"/>
  <c r="I129" i="6"/>
  <c r="I117" i="6"/>
  <c r="I105" i="6"/>
  <c r="I92" i="6"/>
  <c r="I80" i="6"/>
  <c r="I56" i="6"/>
  <c r="I43" i="6"/>
  <c r="I31" i="6"/>
  <c r="I19" i="6"/>
  <c r="I7" i="6"/>
  <c r="I440" i="6"/>
  <c r="I428" i="6"/>
  <c r="I416" i="6"/>
  <c r="I404" i="6"/>
  <c r="I392" i="6"/>
  <c r="I380" i="6"/>
  <c r="I368" i="6"/>
  <c r="I356" i="6"/>
  <c r="I344" i="6"/>
  <c r="I332" i="6"/>
  <c r="I320" i="6"/>
  <c r="I308" i="6"/>
  <c r="I296" i="6"/>
  <c r="I284" i="6"/>
  <c r="I272" i="6"/>
  <c r="I260" i="6"/>
  <c r="I248" i="6"/>
  <c r="I236" i="6"/>
  <c r="I224" i="6"/>
  <c r="I212" i="6"/>
  <c r="I200" i="6"/>
  <c r="I188" i="6"/>
  <c r="I176" i="6"/>
  <c r="I164" i="6"/>
  <c r="I152" i="6"/>
  <c r="I140" i="6"/>
  <c r="I128" i="6"/>
  <c r="I116" i="6"/>
  <c r="I104" i="6"/>
  <c r="I91" i="6"/>
  <c r="I79" i="6"/>
  <c r="I55" i="6"/>
  <c r="I42" i="6"/>
  <c r="I30" i="6"/>
  <c r="I18" i="6"/>
  <c r="I6" i="6"/>
  <c r="I439" i="6"/>
  <c r="I427" i="6"/>
  <c r="I415" i="6"/>
  <c r="I403" i="6"/>
  <c r="I391" i="6"/>
  <c r="I379" i="6"/>
  <c r="I367" i="6"/>
  <c r="I355" i="6"/>
  <c r="I343" i="6"/>
  <c r="I331" i="6"/>
  <c r="I319" i="6"/>
  <c r="I307" i="6"/>
  <c r="I295" i="6"/>
  <c r="I283" i="6"/>
  <c r="I271" i="6"/>
  <c r="I259" i="6"/>
  <c r="I247" i="6"/>
  <c r="I235" i="6"/>
  <c r="I223" i="6"/>
  <c r="I211" i="6"/>
  <c r="I199" i="6"/>
  <c r="I187" i="6"/>
  <c r="I175" i="6"/>
  <c r="I163" i="6"/>
  <c r="I151" i="6"/>
  <c r="I139" i="6"/>
  <c r="I127" i="6"/>
  <c r="I115" i="6"/>
  <c r="I103" i="6"/>
  <c r="I90" i="6"/>
  <c r="I78" i="6"/>
  <c r="I54" i="6"/>
  <c r="I41" i="6"/>
  <c r="I29" i="6"/>
  <c r="I17" i="6"/>
  <c r="I5" i="6"/>
  <c r="I438" i="6"/>
  <c r="I426" i="6"/>
  <c r="I414" i="6"/>
  <c r="I402" i="6"/>
  <c r="I390" i="6"/>
  <c r="I378" i="6"/>
  <c r="I366" i="6"/>
  <c r="I354" i="6"/>
  <c r="I342" i="6"/>
  <c r="I330" i="6"/>
  <c r="I318" i="6"/>
  <c r="I306" i="6"/>
  <c r="I294" i="6"/>
  <c r="I282" i="6"/>
  <c r="I270" i="6"/>
  <c r="I258" i="6"/>
  <c r="I246" i="6"/>
  <c r="I234" i="6"/>
  <c r="I222" i="6"/>
  <c r="I210" i="6"/>
  <c r="I198" i="6"/>
  <c r="I186" i="6"/>
  <c r="I174" i="6"/>
  <c r="I162" i="6"/>
  <c r="I150" i="6"/>
  <c r="I138" i="6"/>
  <c r="I126" i="6"/>
  <c r="I114" i="6"/>
  <c r="I102" i="6"/>
  <c r="I89" i="6"/>
  <c r="I77" i="6"/>
  <c r="I53" i="6"/>
  <c r="I40" i="6"/>
  <c r="I28" i="6"/>
  <c r="I16" i="6"/>
  <c r="I4" i="6"/>
  <c r="I449" i="6"/>
  <c r="I437" i="6"/>
  <c r="I425" i="6"/>
  <c r="I413" i="6"/>
  <c r="I401" i="6"/>
  <c r="I389" i="6"/>
  <c r="I377" i="6"/>
  <c r="I365" i="6"/>
  <c r="I353" i="6"/>
  <c r="I341" i="6"/>
  <c r="I329" i="6"/>
  <c r="I317" i="6"/>
  <c r="I305" i="6"/>
  <c r="I293" i="6"/>
  <c r="I281" i="6"/>
  <c r="I269" i="6"/>
  <c r="I257" i="6"/>
  <c r="I245" i="6"/>
  <c r="I233" i="6"/>
  <c r="I221" i="6"/>
  <c r="I209" i="6"/>
  <c r="I197" i="6"/>
  <c r="I185" i="6"/>
  <c r="I173" i="6"/>
  <c r="I161" i="6"/>
  <c r="I149" i="6"/>
  <c r="I137" i="6"/>
  <c r="I125" i="6"/>
  <c r="I113" i="6"/>
  <c r="I101" i="6"/>
  <c r="I88" i="6"/>
  <c r="I76" i="6"/>
  <c r="I64" i="6"/>
  <c r="I51" i="6"/>
  <c r="I39" i="6"/>
  <c r="I27" i="6"/>
  <c r="I15" i="6"/>
  <c r="I3" i="6"/>
  <c r="I448" i="6"/>
  <c r="I436" i="6"/>
  <c r="I424" i="6"/>
  <c r="I412" i="6"/>
  <c r="I400" i="6"/>
  <c r="I388" i="6"/>
  <c r="I376" i="6"/>
  <c r="I364" i="6"/>
  <c r="I352" i="6"/>
  <c r="I340" i="6"/>
  <c r="I328" i="6"/>
  <c r="I316" i="6"/>
  <c r="I304" i="6"/>
  <c r="I292" i="6"/>
  <c r="I280" i="6"/>
  <c r="I268" i="6"/>
  <c r="I256" i="6"/>
  <c r="I244" i="6"/>
  <c r="I232" i="6"/>
  <c r="I220" i="6"/>
  <c r="I208" i="6"/>
  <c r="I196" i="6"/>
  <c r="I184" i="6"/>
  <c r="I172" i="6"/>
  <c r="I160" i="6"/>
  <c r="I148" i="6"/>
  <c r="I136" i="6"/>
  <c r="I124" i="6"/>
  <c r="I112" i="6"/>
  <c r="I100" i="6"/>
  <c r="I75" i="6"/>
  <c r="I63" i="6"/>
  <c r="I50" i="6"/>
  <c r="I38" i="6"/>
  <c r="I26" i="6"/>
  <c r="I14" i="6"/>
  <c r="I2" i="6"/>
  <c r="I71" i="6"/>
  <c r="I70" i="6"/>
  <c r="I69" i="6"/>
  <c r="I68" i="6"/>
  <c r="I67" i="6"/>
  <c r="I66" i="6"/>
  <c r="I65" i="6"/>
  <c r="D3" i="7"/>
  <c r="D52" i="6"/>
  <c r="C3" i="7" s="1"/>
  <c r="I99" i="6" l="1"/>
  <c r="G99" i="6" s="1"/>
  <c r="E3" i="7"/>
  <c r="I52" i="6"/>
  <c r="C15" i="7"/>
  <c r="F3" i="7" l="1"/>
  <c r="G3" i="7" s="1"/>
  <c r="G15" i="7" s="1"/>
  <c r="G52" i="6"/>
  <c r="E15" i="7"/>
  <c r="D15" i="7"/>
  <c r="F15" i="7" l="1"/>
</calcChain>
</file>

<file path=xl/sharedStrings.xml><?xml version="1.0" encoding="utf-8"?>
<sst xmlns="http://schemas.openxmlformats.org/spreadsheetml/2006/main" count="430" uniqueCount="230">
  <si>
    <t>USUARIO</t>
  </si>
  <si>
    <t>Nº ANIMAL</t>
  </si>
  <si>
    <t>KG PIE</t>
  </si>
  <si>
    <t>FECHA FAENA</t>
  </si>
  <si>
    <t>Nº TROPA</t>
  </si>
  <si>
    <t>KG GANCHO</t>
  </si>
  <si>
    <t>RINDE %</t>
  </si>
  <si>
    <t>$/kg
SERVICIO S/RECUPERO</t>
  </si>
  <si>
    <t>$/KG
SERV. C/RECUPERO</t>
  </si>
  <si>
    <t>Nº FACTURA</t>
  </si>
  <si>
    <t>FECHA 
PAGO</t>
  </si>
  <si>
    <t>MONTO
DEPOSITADO</t>
  </si>
  <si>
    <t>ESTADO
 PAG.</t>
  </si>
  <si>
    <t>OBSERVACIONES</t>
  </si>
  <si>
    <t>TOTAL</t>
  </si>
  <si>
    <t>TOTAL $
FACTURA C/IMP.</t>
  </si>
  <si>
    <t>KG
ACHURAS</t>
  </si>
  <si>
    <t>CLIENTE</t>
  </si>
  <si>
    <t>FECHA DE
PAGO</t>
  </si>
  <si>
    <t>MONTO 
DEPOSITADO</t>
  </si>
  <si>
    <t>ESTADO</t>
  </si>
  <si>
    <t>Nº TROPAS</t>
  </si>
  <si>
    <t>FECHA 
FAENA</t>
  </si>
  <si>
    <t>FACTURA Nº</t>
  </si>
  <si>
    <t xml:space="preserve">FECHA </t>
  </si>
  <si>
    <t>MONTO 
TOTAL</t>
  </si>
  <si>
    <t>KG 
DESPERDICIO</t>
  </si>
  <si>
    <t>$ / KG</t>
  </si>
  <si>
    <t>TASA 
INSP. VET.
(X CAB.)</t>
  </si>
  <si>
    <t>ARANCEL
IPCVA 
(X CAB.)</t>
  </si>
  <si>
    <t>UNIDADES</t>
  </si>
  <si>
    <t>KG TOTAL</t>
  </si>
  <si>
    <t>KG
HUESO</t>
  </si>
  <si>
    <t>TROPA</t>
  </si>
  <si>
    <t>FACTURA
VENTA MENUDENCIA</t>
  </si>
  <si>
    <t>$ MONTO
HUESO</t>
  </si>
  <si>
    <t>$ MONTO
DESPERDICIO</t>
  </si>
  <si>
    <t>$ MONTO
GRASA</t>
  </si>
  <si>
    <t>SERVICIO
FAENA</t>
  </si>
  <si>
    <t>$ CUERO</t>
  </si>
  <si>
    <t>$ GRASA 
DREASING</t>
  </si>
  <si>
    <t>TOTAL
OPERACIÓN $</t>
  </si>
  <si>
    <t>FACTURA 
COMPRA
MENUDENCIA</t>
  </si>
  <si>
    <t>TOTAL $
X SERV.
+ 21% IVA</t>
  </si>
  <si>
    <t>$ / KG
+10,5 IVA</t>
  </si>
  <si>
    <t>$ / KG
+10.5 IVA</t>
  </si>
  <si>
    <t>$/KG
+ 10.5 IVA</t>
  </si>
  <si>
    <t>TOTAL $
FACTURA 
C/IVA</t>
  </si>
  <si>
    <t>$ / UNIDAD
+10.5 IVA</t>
  </si>
  <si>
    <t>KG
GRASA</t>
  </si>
  <si>
    <t>TOTAL $
FACTURA 
S/IVA</t>
  </si>
  <si>
    <t>TOTAL 
FACTURA
 COMPRA</t>
  </si>
  <si>
    <t>VALOR 
POR
 UNIDAD</t>
  </si>
  <si>
    <t>CANTIDAD
 ANIMALES</t>
  </si>
  <si>
    <t>VALOR
 POR KG</t>
  </si>
  <si>
    <t>AREA COMPRAS</t>
  </si>
  <si>
    <t>AREA VENTA</t>
  </si>
  <si>
    <t>MONTO 
TOTAL
SIN IVA</t>
  </si>
  <si>
    <t>PRECIO
MARMETO
X KG</t>
  </si>
  <si>
    <t>KG
ACHURAS
Decomisadas</t>
  </si>
  <si>
    <t>JUNIO</t>
  </si>
  <si>
    <t>JULIO</t>
  </si>
  <si>
    <t>AGOSTO</t>
  </si>
  <si>
    <t>PRECIO
TRIAUD
X KG</t>
  </si>
  <si>
    <t>MORAGA</t>
  </si>
  <si>
    <t>SEPTIEMBRE</t>
  </si>
  <si>
    <t>PRECIO
POR
CLIENTE</t>
  </si>
  <si>
    <t>STOCK</t>
  </si>
  <si>
    <t>TOTALES</t>
  </si>
  <si>
    <t>BUENOS</t>
  </si>
  <si>
    <t>CORTADO</t>
  </si>
  <si>
    <t>NOVIEMBRE</t>
  </si>
  <si>
    <t xml:space="preserve">OCTUBRE </t>
  </si>
  <si>
    <t>DICIEMBRE</t>
  </si>
  <si>
    <t xml:space="preserve">$ARG/kg
SERVICIO </t>
  </si>
  <si>
    <t>CANTIDA 
CABEZAS</t>
  </si>
  <si>
    <t>$ ARG
POR CABEZA</t>
  </si>
  <si>
    <t>$ARG POR SERVICIO</t>
  </si>
  <si>
    <t>TOTAL
OPERACIÓN $ARG</t>
  </si>
  <si>
    <t>SOLO SERVICIO</t>
  </si>
  <si>
    <t>CON VENTAS EXTRAS</t>
  </si>
  <si>
    <t>$ARG POR ANIMAL</t>
  </si>
  <si>
    <t>VENTA 
LAVADITO</t>
  </si>
  <si>
    <t>KG
LAVADITO</t>
  </si>
  <si>
    <t>Cantidad 
Animales</t>
  </si>
  <si>
    <t>Nº 
TROPAS</t>
  </si>
  <si>
    <t>kg</t>
  </si>
  <si>
    <t>$/kg s/IVA</t>
  </si>
  <si>
    <t>Lavadito
(Chinchulin)</t>
  </si>
  <si>
    <t>Fecha</t>
  </si>
  <si>
    <t>ARTICULOS COMERCIALIZADOS</t>
  </si>
  <si>
    <t>AREA DE VENTA</t>
  </si>
  <si>
    <t>Nº</t>
  </si>
  <si>
    <t xml:space="preserve"> 
FACTURA</t>
  </si>
  <si>
    <r>
      <t>SALIDA</t>
    </r>
    <r>
      <rPr>
        <b/>
        <sz val="6"/>
        <color theme="1"/>
        <rFont val="Times New Roman"/>
        <family val="1"/>
      </rPr>
      <t xml:space="preserve">
CORTADO</t>
    </r>
  </si>
  <si>
    <r>
      <t>SALIDA</t>
    </r>
    <r>
      <rPr>
        <b/>
        <sz val="6"/>
        <color theme="1"/>
        <rFont val="Times New Roman"/>
        <family val="1"/>
      </rPr>
      <t xml:space="preserve">
BUENO</t>
    </r>
  </si>
  <si>
    <t>GANADERA NORTE NEUQUINO</t>
  </si>
  <si>
    <t>Titular</t>
  </si>
  <si>
    <t>00004-00000387</t>
  </si>
  <si>
    <t>00004-00000388</t>
  </si>
  <si>
    <t>MES 2026</t>
  </si>
  <si>
    <t>ENERO</t>
  </si>
  <si>
    <t>DISTRIBUIDORA DE LA PATAGONIA</t>
  </si>
  <si>
    <t>DOS DE FIERRO SA</t>
  </si>
  <si>
    <t>00004-00000390</t>
  </si>
  <si>
    <t>00004-00000389</t>
  </si>
  <si>
    <t>00004-00000391</t>
  </si>
  <si>
    <t>MUCA SAS</t>
  </si>
  <si>
    <t>00004-00000394</t>
  </si>
  <si>
    <t>00004-00000395</t>
  </si>
  <si>
    <t>FERREYRA MARTIN</t>
  </si>
  <si>
    <t>FRIGORIFICO DE LA PATAGONIA SRL</t>
  </si>
  <si>
    <t>VIENTOS DEL VALLE</t>
  </si>
  <si>
    <t>FEBRERO</t>
  </si>
  <si>
    <t>MARZO</t>
  </si>
  <si>
    <t>ABRIL</t>
  </si>
  <si>
    <t>MAYO</t>
  </si>
  <si>
    <t>FECHA 
FACTURA</t>
  </si>
  <si>
    <t>00004-00000396</t>
  </si>
  <si>
    <t>00004-00000397</t>
  </si>
  <si>
    <t>00004-00000398</t>
  </si>
  <si>
    <t>LASAGNO JORGE ALBERTO</t>
  </si>
  <si>
    <t>00004-00000393</t>
  </si>
  <si>
    <t>00004-00000400</t>
  </si>
  <si>
    <t>00004-00000401</t>
  </si>
  <si>
    <t>00004-00000399</t>
  </si>
  <si>
    <t>E-CHEQ</t>
  </si>
  <si>
    <t>00004-00000402</t>
  </si>
  <si>
    <t>00004-00000403</t>
  </si>
  <si>
    <t>00004-00000404</t>
  </si>
  <si>
    <t>00004-00000405</t>
  </si>
  <si>
    <t>FERREYRA ALBERTO</t>
  </si>
  <si>
    <t>00004-00000406</t>
  </si>
  <si>
    <t>00004-00000407</t>
  </si>
  <si>
    <t>DECOMISADO</t>
  </si>
  <si>
    <t>RETIRO MARMETTO 09-01-26</t>
  </si>
  <si>
    <t>RETIRO MARMETTO 16-01-26</t>
  </si>
  <si>
    <t>00004-00000408</t>
  </si>
  <si>
    <t>00004-00000409</t>
  </si>
  <si>
    <t>00004-00000410</t>
  </si>
  <si>
    <t>00004-00000411</t>
  </si>
  <si>
    <t>BOSQUES AMADOS SRL</t>
  </si>
  <si>
    <t>20-21/01/2026</t>
  </si>
  <si>
    <t>E-CHEQ SALDO</t>
  </si>
  <si>
    <t>00004-00000412</t>
  </si>
  <si>
    <t>00004-00000413</t>
  </si>
  <si>
    <t>00004-00000417</t>
  </si>
  <si>
    <t>00004-00000416</t>
  </si>
  <si>
    <t>00004-00000415</t>
  </si>
  <si>
    <t>00004-00000414</t>
  </si>
  <si>
    <t>Faena Dos de Fierro</t>
  </si>
  <si>
    <t>00004-00000418</t>
  </si>
  <si>
    <t>00004-00000419</t>
  </si>
  <si>
    <t>00004-00000420</t>
  </si>
  <si>
    <t>00004-00000421</t>
  </si>
  <si>
    <t>00004-00000422</t>
  </si>
  <si>
    <t>00004-00000423</t>
  </si>
  <si>
    <t>Promedio animal</t>
  </si>
  <si>
    <t>00004-00000424</t>
  </si>
  <si>
    <t>00004-00000425</t>
  </si>
  <si>
    <t>00004-00000426</t>
  </si>
  <si>
    <t>00004-00000428</t>
  </si>
  <si>
    <t>00004-00000429</t>
  </si>
  <si>
    <t>00004-00000430</t>
  </si>
  <si>
    <t>00004-00000431</t>
  </si>
  <si>
    <t>00004-00000433</t>
  </si>
  <si>
    <t>00004-00000434</t>
  </si>
  <si>
    <t>MAIZALES DE LA PATAGONIA SRL</t>
  </si>
  <si>
    <t>FAENA</t>
  </si>
  <si>
    <t>KG ASADO</t>
  </si>
  <si>
    <t>KG DELANTERO</t>
  </si>
  <si>
    <t>KG TRASERO</t>
  </si>
  <si>
    <t>1/2 RES DER.</t>
  </si>
  <si>
    <t>1/2 RES IZQ</t>
  </si>
  <si>
    <t>MERMA %</t>
  </si>
  <si>
    <t>TOTAL KG ING.</t>
  </si>
  <si>
    <t>KG CARNE</t>
  </si>
  <si>
    <t>KG CARNE C/H</t>
  </si>
  <si>
    <t>$/KG 
CARNE C/H</t>
  </si>
  <si>
    <t>$/KG 
CARNE</t>
  </si>
  <si>
    <t>TOTAL FAC. 
CON IMP.</t>
  </si>
  <si>
    <t>Nº FAC.</t>
  </si>
  <si>
    <t>FECHA FAC.</t>
  </si>
  <si>
    <t>FECHA PAGO</t>
  </si>
  <si>
    <t>SERVIO DESPOSTE</t>
  </si>
  <si>
    <t>HUESO</t>
  </si>
  <si>
    <t>GRASA</t>
  </si>
  <si>
    <t>RINDE</t>
  </si>
  <si>
    <t>DIF. +/-</t>
  </si>
  <si>
    <t>Monto 
depositado</t>
  </si>
  <si>
    <t xml:space="preserve">TOTAL FAC. 
</t>
  </si>
  <si>
    <t>SERVICIO
DESPOSTADA</t>
  </si>
  <si>
    <t>DECOMISO</t>
  </si>
  <si>
    <t>00004-00000436</t>
  </si>
  <si>
    <t>00004-00000435</t>
  </si>
  <si>
    <t>00004-00000437</t>
  </si>
  <si>
    <t>00004-00000438</t>
  </si>
  <si>
    <t>00004-00000439</t>
  </si>
  <si>
    <t>00004-00000440</t>
  </si>
  <si>
    <t>00004-00000441</t>
  </si>
  <si>
    <t>00004-00000442</t>
  </si>
  <si>
    <t>00004-00000443</t>
  </si>
  <si>
    <t>00004-00000444</t>
  </si>
  <si>
    <t>00004-00000445</t>
  </si>
  <si>
    <t>00004-00000446</t>
  </si>
  <si>
    <t>00004-00000447</t>
  </si>
  <si>
    <t>00004-00000448</t>
  </si>
  <si>
    <t>00004-00000449</t>
  </si>
  <si>
    <t>00004-00000450</t>
  </si>
  <si>
    <t>00004-00000451</t>
  </si>
  <si>
    <t>00004-00000452</t>
  </si>
  <si>
    <t>00004-00000453</t>
  </si>
  <si>
    <t>00004-00000454</t>
  </si>
  <si>
    <t>00004-00000455</t>
  </si>
  <si>
    <t>00004-00000457</t>
  </si>
  <si>
    <t>00004-00000458</t>
  </si>
  <si>
    <t>00004-00000462</t>
  </si>
  <si>
    <t>00004-00000460</t>
  </si>
  <si>
    <t>00004-00000461</t>
  </si>
  <si>
    <t>00004-00000463</t>
  </si>
  <si>
    <t>00004-00000464</t>
  </si>
  <si>
    <t>00004-00000465</t>
  </si>
  <si>
    <t>00004-00000466</t>
  </si>
  <si>
    <t>00007-00000041</t>
  </si>
  <si>
    <t>00007-00000040</t>
  </si>
  <si>
    <t>00007-00000048</t>
  </si>
  <si>
    <t>00007-00000051</t>
  </si>
  <si>
    <t>00007-00000053</t>
  </si>
  <si>
    <t>CANTIDAD DE ANIMALES</t>
  </si>
  <si>
    <t>CANTIDAD DE  ANIMALES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</si>
</sst>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&quot;$&quot;\ #,##0.00"/>
    <numFmt numFmtId="166" formatCode="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0"/>
      <color rgb="FF00B050"/>
      <name val="Times New Roman"/>
      <family val="1"/>
    </font>
    <font>
      <sz val="10"/>
      <color rgb="FFFF0000"/>
      <name val="Times New Roman"/>
      <family val="1"/>
    </font>
    <font>
      <b/>
      <sz val="10"/>
      <name val="Times New Roman"/>
      <family val="1"/>
    </font>
    <font>
      <b/>
      <sz val="6"/>
      <color theme="1"/>
      <name val="Times New Roman"/>
      <family val="1"/>
    </font>
    <font>
      <sz val="10"/>
      <name val="Times New Roman"/>
      <family val="1"/>
    </font>
    <font>
      <sz val="12"/>
      <color theme="1"/>
      <name val="Times New Roman"/>
      <family val="1"/>
    </font>
    <font>
      <sz val="10"/>
      <color rgb="FF00B050"/>
      <name val="Times New Roman"/>
      <family val="1"/>
    </font>
    <font>
      <u/>
      <sz val="11"/>
      <color theme="10"/>
      <name val="Calibri"/>
      <family val="2"/>
      <scheme val="minor"/>
    </font>
    <font>
      <sz val="12"/>
      <name val="Times New Roman"/>
      <family val="1"/>
    </font>
    <font>
      <b/>
      <sz val="8"/>
      <color theme="1"/>
      <name val="Times New Roman"/>
      <family val="1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275">
    <xf numFmtId="0" fontId="0" fillId="0" borderId="0" xfId="0"/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44" fontId="2" fillId="0" borderId="6" xfId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/>
    <xf numFmtId="4" fontId="2" fillId="0" borderId="0" xfId="0" applyNumberFormat="1" applyFont="1"/>
    <xf numFmtId="44" fontId="2" fillId="0" borderId="0" xfId="0" applyNumberFormat="1" applyFont="1"/>
    <xf numFmtId="44" fontId="2" fillId="0" borderId="0" xfId="1" applyFont="1"/>
    <xf numFmtId="0" fontId="3" fillId="0" borderId="1" xfId="0" applyFont="1" applyBorder="1" applyAlignment="1">
      <alignment horizontal="center" vertical="center" wrapText="1"/>
    </xf>
    <xf numFmtId="44" fontId="4" fillId="0" borderId="4" xfId="1" applyFont="1" applyBorder="1" applyAlignment="1">
      <alignment horizontal="center" vertical="center" wrapText="1"/>
    </xf>
    <xf numFmtId="0" fontId="2" fillId="0" borderId="2" xfId="0" applyFont="1" applyBorder="1"/>
    <xf numFmtId="0" fontId="2" fillId="2" borderId="2" xfId="0" applyFont="1" applyFill="1" applyBorder="1"/>
    <xf numFmtId="4" fontId="3" fillId="2" borderId="2" xfId="0" applyNumberFormat="1" applyFont="1" applyFill="1" applyBorder="1"/>
    <xf numFmtId="14" fontId="2" fillId="2" borderId="2" xfId="0" applyNumberFormat="1" applyFont="1" applyFill="1" applyBorder="1"/>
    <xf numFmtId="10" fontId="3" fillId="2" borderId="2" xfId="2" applyNumberFormat="1" applyFont="1" applyFill="1" applyBorder="1"/>
    <xf numFmtId="44" fontId="2" fillId="0" borderId="2" xfId="1" applyFont="1" applyBorder="1"/>
    <xf numFmtId="44" fontId="3" fillId="0" borderId="2" xfId="1" applyFont="1" applyBorder="1"/>
    <xf numFmtId="14" fontId="2" fillId="0" borderId="2" xfId="0" applyNumberFormat="1" applyFont="1" applyBorder="1"/>
    <xf numFmtId="44" fontId="2" fillId="0" borderId="2" xfId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4" fontId="2" fillId="0" borderId="2" xfId="0" applyNumberFormat="1" applyFont="1" applyBorder="1"/>
    <xf numFmtId="0" fontId="2" fillId="0" borderId="3" xfId="0" applyFont="1" applyBorder="1"/>
    <xf numFmtId="0" fontId="6" fillId="0" borderId="2" xfId="0" applyFont="1" applyBorder="1"/>
    <xf numFmtId="14" fontId="2" fillId="0" borderId="3" xfId="0" applyNumberFormat="1" applyFont="1" applyBorder="1"/>
    <xf numFmtId="0" fontId="6" fillId="0" borderId="3" xfId="0" applyFont="1" applyBorder="1"/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/>
    </xf>
    <xf numFmtId="44" fontId="7" fillId="0" borderId="2" xfId="0" applyNumberFormat="1" applyFont="1" applyBorder="1" applyAlignment="1">
      <alignment horizontal="center"/>
    </xf>
    <xf numFmtId="44" fontId="3" fillId="0" borderId="4" xfId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49" fontId="2" fillId="0" borderId="2" xfId="0" applyNumberFormat="1" applyFont="1" applyBorder="1"/>
    <xf numFmtId="2" fontId="6" fillId="0" borderId="2" xfId="0" applyNumberFormat="1" applyFont="1" applyBorder="1"/>
    <xf numFmtId="44" fontId="2" fillId="3" borderId="6" xfId="1" applyFont="1" applyFill="1" applyBorder="1" applyAlignment="1">
      <alignment horizontal="center" vertical="center" wrapText="1"/>
    </xf>
    <xf numFmtId="44" fontId="2" fillId="0" borderId="7" xfId="1" applyFont="1" applyBorder="1" applyAlignment="1">
      <alignment horizontal="center" vertical="center" wrapText="1"/>
    </xf>
    <xf numFmtId="44" fontId="2" fillId="3" borderId="8" xfId="1" applyFont="1" applyFill="1" applyBorder="1"/>
    <xf numFmtId="2" fontId="3" fillId="3" borderId="1" xfId="0" applyNumberFormat="1" applyFont="1" applyFill="1" applyBorder="1" applyAlignment="1">
      <alignment horizontal="center" vertical="center" wrapText="1"/>
    </xf>
    <xf numFmtId="2" fontId="2" fillId="0" borderId="2" xfId="1" applyNumberFormat="1" applyFont="1" applyBorder="1"/>
    <xf numFmtId="2" fontId="2" fillId="0" borderId="0" xfId="0" applyNumberFormat="1" applyFont="1"/>
    <xf numFmtId="44" fontId="3" fillId="0" borderId="1" xfId="1" applyFont="1" applyBorder="1" applyAlignment="1">
      <alignment horizontal="center" vertical="center" wrapText="1"/>
    </xf>
    <xf numFmtId="44" fontId="2" fillId="0" borderId="9" xfId="1" applyFont="1" applyBorder="1"/>
    <xf numFmtId="44" fontId="2" fillId="0" borderId="3" xfId="1" applyFont="1" applyBorder="1"/>
    <xf numFmtId="14" fontId="3" fillId="0" borderId="1" xfId="0" applyNumberFormat="1" applyFont="1" applyBorder="1" applyAlignment="1">
      <alignment horizontal="center" vertical="center" wrapText="1"/>
    </xf>
    <xf numFmtId="14" fontId="2" fillId="0" borderId="0" xfId="0" applyNumberFormat="1" applyFont="1"/>
    <xf numFmtId="0" fontId="2" fillId="4" borderId="10" xfId="0" applyFont="1" applyFill="1" applyBorder="1" applyAlignment="1">
      <alignment horizontal="center"/>
    </xf>
    <xf numFmtId="0" fontId="2" fillId="6" borderId="6" xfId="0" applyFont="1" applyFill="1" applyBorder="1" applyAlignment="1">
      <alignment wrapText="1"/>
    </xf>
    <xf numFmtId="44" fontId="2" fillId="6" borderId="6" xfId="1" applyFont="1" applyFill="1" applyBorder="1"/>
    <xf numFmtId="44" fontId="2" fillId="0" borderId="2" xfId="1" applyFont="1" applyFill="1" applyBorder="1"/>
    <xf numFmtId="0" fontId="6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49" fontId="2" fillId="0" borderId="2" xfId="0" applyNumberFormat="1" applyFont="1" applyBorder="1" applyAlignment="1">
      <alignment horizontal="center"/>
    </xf>
    <xf numFmtId="44" fontId="5" fillId="0" borderId="2" xfId="1" applyFont="1" applyBorder="1" applyAlignment="1">
      <alignment horizontal="center"/>
    </xf>
    <xf numFmtId="0" fontId="2" fillId="0" borderId="9" xfId="0" applyFont="1" applyBorder="1"/>
    <xf numFmtId="0" fontId="2" fillId="2" borderId="9" xfId="0" applyFont="1" applyFill="1" applyBorder="1"/>
    <xf numFmtId="4" fontId="3" fillId="2" borderId="9" xfId="0" applyNumberFormat="1" applyFont="1" applyFill="1" applyBorder="1"/>
    <xf numFmtId="14" fontId="2" fillId="2" borderId="9" xfId="0" applyNumberFormat="1" applyFont="1" applyFill="1" applyBorder="1"/>
    <xf numFmtId="10" fontId="3" fillId="2" borderId="9" xfId="2" applyNumberFormat="1" applyFont="1" applyFill="1" applyBorder="1"/>
    <xf numFmtId="44" fontId="3" fillId="0" borderId="9" xfId="1" applyFont="1" applyBorder="1"/>
    <xf numFmtId="14" fontId="2" fillId="0" borderId="9" xfId="0" applyNumberFormat="1" applyFont="1" applyBorder="1"/>
    <xf numFmtId="44" fontId="2" fillId="0" borderId="9" xfId="1" applyFont="1" applyBorder="1" applyAlignment="1">
      <alignment horizontal="center"/>
    </xf>
    <xf numFmtId="44" fontId="5" fillId="0" borderId="9" xfId="1" applyFont="1" applyBorder="1" applyAlignment="1">
      <alignment horizontal="center"/>
    </xf>
    <xf numFmtId="44" fontId="2" fillId="6" borderId="0" xfId="1" applyFont="1" applyFill="1"/>
    <xf numFmtId="0" fontId="3" fillId="0" borderId="11" xfId="0" applyFont="1" applyBorder="1" applyAlignment="1">
      <alignment horizontal="center" vertical="center"/>
    </xf>
    <xf numFmtId="164" fontId="2" fillId="0" borderId="2" xfId="1" applyNumberFormat="1" applyFont="1" applyBorder="1" applyAlignment="1">
      <alignment horizontal="center"/>
    </xf>
    <xf numFmtId="164" fontId="2" fillId="0" borderId="3" xfId="1" applyNumberFormat="1" applyFont="1" applyBorder="1" applyAlignment="1">
      <alignment horizontal="center"/>
    </xf>
    <xf numFmtId="0" fontId="3" fillId="7" borderId="11" xfId="0" applyFont="1" applyFill="1" applyBorder="1" applyAlignment="1">
      <alignment horizontal="center" vertical="center" wrapText="1"/>
    </xf>
    <xf numFmtId="0" fontId="3" fillId="7" borderId="12" xfId="0" applyFont="1" applyFill="1" applyBorder="1" applyAlignment="1">
      <alignment horizontal="center" vertical="center"/>
    </xf>
    <xf numFmtId="0" fontId="3" fillId="7" borderId="12" xfId="0" applyFont="1" applyFill="1" applyBorder="1" applyAlignment="1">
      <alignment horizontal="center" vertical="center" wrapText="1"/>
    </xf>
    <xf numFmtId="0" fontId="3" fillId="7" borderId="13" xfId="0" applyFont="1" applyFill="1" applyBorder="1" applyAlignment="1">
      <alignment vertical="center"/>
    </xf>
    <xf numFmtId="0" fontId="8" fillId="0" borderId="11" xfId="0" applyFont="1" applyBorder="1" applyAlignment="1">
      <alignment horizontal="center" vertical="center"/>
    </xf>
    <xf numFmtId="0" fontId="10" fillId="0" borderId="0" xfId="0" applyFont="1"/>
    <xf numFmtId="0" fontId="10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6" xfId="0" applyFont="1" applyBorder="1"/>
    <xf numFmtId="44" fontId="10" fillId="0" borderId="6" xfId="0" applyNumberFormat="1" applyFont="1" applyBorder="1"/>
    <xf numFmtId="44" fontId="10" fillId="0" borderId="6" xfId="1" applyFont="1" applyBorder="1"/>
    <xf numFmtId="44" fontId="10" fillId="0" borderId="16" xfId="1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2" fontId="11" fillId="0" borderId="2" xfId="0" applyNumberFormat="1" applyFont="1" applyBorder="1"/>
    <xf numFmtId="0" fontId="11" fillId="0" borderId="3" xfId="0" applyFont="1" applyBorder="1"/>
    <xf numFmtId="0" fontId="13" fillId="0" borderId="6" xfId="3" applyFont="1" applyBorder="1"/>
    <xf numFmtId="0" fontId="9" fillId="0" borderId="6" xfId="0" applyFont="1" applyBorder="1" applyAlignment="1">
      <alignment horizontal="center" vertical="center"/>
    </xf>
    <xf numFmtId="0" fontId="9" fillId="0" borderId="15" xfId="0" applyFont="1" applyBorder="1"/>
    <xf numFmtId="2" fontId="2" fillId="0" borderId="2" xfId="1" applyNumberFormat="1" applyFont="1" applyFill="1" applyBorder="1"/>
    <xf numFmtId="2" fontId="3" fillId="0" borderId="4" xfId="0" applyNumberFormat="1" applyFont="1" applyBorder="1" applyAlignment="1">
      <alignment horizontal="center" vertical="center" wrapText="1"/>
    </xf>
    <xf numFmtId="2" fontId="6" fillId="0" borderId="2" xfId="1" applyNumberFormat="1" applyFont="1" applyFill="1" applyBorder="1"/>
    <xf numFmtId="44" fontId="2" fillId="0" borderId="3" xfId="1" applyFont="1" applyFill="1" applyBorder="1"/>
    <xf numFmtId="0" fontId="14" fillId="0" borderId="11" xfId="0" applyFont="1" applyBorder="1" applyAlignment="1">
      <alignment horizontal="center" vertical="center" wrapText="1"/>
    </xf>
    <xf numFmtId="14" fontId="6" fillId="0" borderId="2" xfId="0" applyNumberFormat="1" applyFont="1" applyBorder="1"/>
    <xf numFmtId="14" fontId="6" fillId="0" borderId="3" xfId="0" applyNumberFormat="1" applyFont="1" applyBorder="1"/>
    <xf numFmtId="165" fontId="2" fillId="0" borderId="0" xfId="0" applyNumberFormat="1" applyFont="1"/>
    <xf numFmtId="165" fontId="6" fillId="0" borderId="2" xfId="1" applyNumberFormat="1" applyFont="1" applyFill="1" applyBorder="1"/>
    <xf numFmtId="44" fontId="6" fillId="0" borderId="2" xfId="0" applyNumberFormat="1" applyFont="1" applyBorder="1"/>
    <xf numFmtId="44" fontId="11" fillId="0" borderId="2" xfId="1" applyFont="1" applyFill="1" applyBorder="1"/>
    <xf numFmtId="44" fontId="11" fillId="0" borderId="3" xfId="1" applyFont="1" applyFill="1" applyBorder="1"/>
    <xf numFmtId="44" fontId="3" fillId="0" borderId="4" xfId="1" applyFont="1" applyFill="1" applyBorder="1" applyAlignment="1">
      <alignment horizontal="center" vertical="center" wrapText="1"/>
    </xf>
    <xf numFmtId="44" fontId="2" fillId="0" borderId="0" xfId="1" applyFont="1" applyFill="1"/>
    <xf numFmtId="14" fontId="2" fillId="0" borderId="2" xfId="0" applyNumberFormat="1" applyFont="1" applyBorder="1" applyAlignment="1">
      <alignment horizontal="right"/>
    </xf>
    <xf numFmtId="2" fontId="2" fillId="0" borderId="2" xfId="0" applyNumberFormat="1" applyFont="1" applyBorder="1"/>
    <xf numFmtId="14" fontId="2" fillId="3" borderId="2" xfId="0" applyNumberFormat="1" applyFont="1" applyFill="1" applyBorder="1"/>
    <xf numFmtId="0" fontId="2" fillId="3" borderId="2" xfId="0" applyFont="1" applyFill="1" applyBorder="1" applyAlignment="1">
      <alignment horizontal="center"/>
    </xf>
    <xf numFmtId="164" fontId="2" fillId="3" borderId="3" xfId="1" applyNumberFormat="1" applyFont="1" applyFill="1" applyBorder="1" applyAlignment="1">
      <alignment horizontal="center"/>
    </xf>
    <xf numFmtId="0" fontId="2" fillId="3" borderId="3" xfId="0" applyFont="1" applyFill="1" applyBorder="1"/>
    <xf numFmtId="44" fontId="2" fillId="3" borderId="2" xfId="1" applyFont="1" applyFill="1" applyBorder="1"/>
    <xf numFmtId="2" fontId="2" fillId="3" borderId="2" xfId="1" applyNumberFormat="1" applyFont="1" applyFill="1" applyBorder="1"/>
    <xf numFmtId="164" fontId="2" fillId="3" borderId="2" xfId="1" applyNumberFormat="1" applyFont="1" applyFill="1" applyBorder="1" applyAlignment="1">
      <alignment horizontal="center"/>
    </xf>
    <xf numFmtId="0" fontId="2" fillId="3" borderId="2" xfId="0" applyFont="1" applyFill="1" applyBorder="1"/>
    <xf numFmtId="14" fontId="2" fillId="6" borderId="2" xfId="0" applyNumberFormat="1" applyFont="1" applyFill="1" applyBorder="1"/>
    <xf numFmtId="0" fontId="11" fillId="0" borderId="2" xfId="0" applyFont="1" applyBorder="1" applyAlignment="1">
      <alignment horizontal="center"/>
    </xf>
    <xf numFmtId="14" fontId="2" fillId="2" borderId="2" xfId="0" applyNumberFormat="1" applyFont="1" applyFill="1" applyBorder="1" applyAlignment="1">
      <alignment horizontal="right"/>
    </xf>
    <xf numFmtId="2" fontId="2" fillId="0" borderId="9" xfId="0" applyNumberFormat="1" applyFont="1" applyBorder="1"/>
    <xf numFmtId="0" fontId="2" fillId="0" borderId="22" xfId="0" applyFont="1" applyBorder="1"/>
    <xf numFmtId="0" fontId="2" fillId="2" borderId="22" xfId="0" applyFont="1" applyFill="1" applyBorder="1"/>
    <xf numFmtId="4" fontId="3" fillId="2" borderId="22" xfId="0" applyNumberFormat="1" applyFont="1" applyFill="1" applyBorder="1"/>
    <xf numFmtId="14" fontId="2" fillId="2" borderId="22" xfId="0" applyNumberFormat="1" applyFont="1" applyFill="1" applyBorder="1"/>
    <xf numFmtId="10" fontId="3" fillId="2" borderId="22" xfId="2" applyNumberFormat="1" applyFont="1" applyFill="1" applyBorder="1"/>
    <xf numFmtId="44" fontId="2" fillId="0" borderId="22" xfId="1" applyFont="1" applyBorder="1"/>
    <xf numFmtId="44" fontId="3" fillId="0" borderId="22" xfId="1" applyFont="1" applyBorder="1"/>
    <xf numFmtId="14" fontId="2" fillId="0" borderId="22" xfId="0" applyNumberFormat="1" applyFont="1" applyBorder="1"/>
    <xf numFmtId="2" fontId="2" fillId="0" borderId="22" xfId="0" applyNumberFormat="1" applyFont="1" applyBorder="1"/>
    <xf numFmtId="44" fontId="2" fillId="0" borderId="22" xfId="1" applyFont="1" applyBorder="1" applyAlignment="1">
      <alignment horizontal="center"/>
    </xf>
    <xf numFmtId="44" fontId="5" fillId="0" borderId="22" xfId="1" applyFont="1" applyBorder="1" applyAlignment="1">
      <alignment horizontal="center"/>
    </xf>
    <xf numFmtId="49" fontId="2" fillId="0" borderId="9" xfId="0" applyNumberFormat="1" applyFont="1" applyBorder="1" applyAlignment="1">
      <alignment horizontal="center"/>
    </xf>
    <xf numFmtId="49" fontId="2" fillId="0" borderId="9" xfId="0" applyNumberFormat="1" applyFont="1" applyBorder="1"/>
    <xf numFmtId="0" fontId="11" fillId="0" borderId="21" xfId="0" applyFont="1" applyBorder="1"/>
    <xf numFmtId="0" fontId="6" fillId="0" borderId="21" xfId="0" applyFont="1" applyBorder="1"/>
    <xf numFmtId="44" fontId="2" fillId="0" borderId="21" xfId="1" applyFont="1" applyBorder="1"/>
    <xf numFmtId="0" fontId="2" fillId="0" borderId="21" xfId="0" applyFont="1" applyBorder="1"/>
    <xf numFmtId="14" fontId="2" fillId="0" borderId="21" xfId="0" applyNumberFormat="1" applyFont="1" applyBorder="1"/>
    <xf numFmtId="44" fontId="2" fillId="0" borderId="9" xfId="0" applyNumberFormat="1" applyFont="1" applyBorder="1"/>
    <xf numFmtId="49" fontId="2" fillId="0" borderId="22" xfId="0" applyNumberFormat="1" applyFont="1" applyBorder="1" applyAlignment="1">
      <alignment horizontal="center"/>
    </xf>
    <xf numFmtId="49" fontId="2" fillId="0" borderId="22" xfId="0" applyNumberFormat="1" applyFont="1" applyBorder="1"/>
    <xf numFmtId="2" fontId="11" fillId="0" borderId="22" xfId="0" applyNumberFormat="1" applyFont="1" applyBorder="1"/>
    <xf numFmtId="2" fontId="6" fillId="0" borderId="22" xfId="0" applyNumberFormat="1" applyFont="1" applyBorder="1"/>
    <xf numFmtId="44" fontId="2" fillId="0" borderId="22" xfId="0" applyNumberFormat="1" applyFont="1" applyBorder="1"/>
    <xf numFmtId="0" fontId="9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3" fillId="0" borderId="24" xfId="0" applyFont="1" applyBorder="1"/>
    <xf numFmtId="4" fontId="3" fillId="0" borderId="24" xfId="0" applyNumberFormat="1" applyFont="1" applyBorder="1"/>
    <xf numFmtId="44" fontId="3" fillId="0" borderId="24" xfId="0" applyNumberFormat="1" applyFont="1" applyBorder="1"/>
    <xf numFmtId="44" fontId="6" fillId="3" borderId="25" xfId="1" applyFont="1" applyFill="1" applyBorder="1"/>
    <xf numFmtId="44" fontId="2" fillId="9" borderId="12" xfId="1" applyFont="1" applyFill="1" applyBorder="1"/>
    <xf numFmtId="44" fontId="2" fillId="9" borderId="12" xfId="0" applyNumberFormat="1" applyFont="1" applyFill="1" applyBorder="1"/>
    <xf numFmtId="0" fontId="9" fillId="0" borderId="15" xfId="0" applyFont="1" applyBorder="1" applyAlignment="1">
      <alignment horizontal="center"/>
    </xf>
    <xf numFmtId="166" fontId="2" fillId="0" borderId="2" xfId="0" applyNumberFormat="1" applyFont="1" applyBorder="1"/>
    <xf numFmtId="166" fontId="2" fillId="0" borderId="3" xfId="0" applyNumberFormat="1" applyFont="1" applyBorder="1"/>
    <xf numFmtId="166" fontId="2" fillId="0" borderId="2" xfId="1" applyNumberFormat="1" applyFont="1" applyBorder="1"/>
    <xf numFmtId="0" fontId="2" fillId="0" borderId="9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44" fontId="7" fillId="0" borderId="9" xfId="0" applyNumberFormat="1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44" fontId="7" fillId="0" borderId="22" xfId="0" applyNumberFormat="1" applyFont="1" applyBorder="1" applyAlignment="1">
      <alignment horizontal="center"/>
    </xf>
    <xf numFmtId="2" fontId="6" fillId="0" borderId="9" xfId="1" applyNumberFormat="1" applyFont="1" applyFill="1" applyBorder="1"/>
    <xf numFmtId="44" fontId="2" fillId="0" borderId="9" xfId="1" applyFont="1" applyFill="1" applyBorder="1"/>
    <xf numFmtId="2" fontId="2" fillId="0" borderId="9" xfId="1" applyNumberFormat="1" applyFont="1" applyFill="1" applyBorder="1"/>
    <xf numFmtId="44" fontId="2" fillId="0" borderId="21" xfId="1" applyFont="1" applyFill="1" applyBorder="1"/>
    <xf numFmtId="165" fontId="6" fillId="0" borderId="9" xfId="1" applyNumberFormat="1" applyFont="1" applyFill="1" applyBorder="1"/>
    <xf numFmtId="14" fontId="6" fillId="0" borderId="21" xfId="0" applyNumberFormat="1" applyFont="1" applyBorder="1"/>
    <xf numFmtId="44" fontId="11" fillId="0" borderId="21" xfId="1" applyFont="1" applyFill="1" applyBorder="1"/>
    <xf numFmtId="44" fontId="6" fillId="0" borderId="9" xfId="0" applyNumberFormat="1" applyFont="1" applyBorder="1"/>
    <xf numFmtId="2" fontId="6" fillId="0" borderId="22" xfId="1" applyNumberFormat="1" applyFont="1" applyFill="1" applyBorder="1"/>
    <xf numFmtId="44" fontId="2" fillId="0" borderId="22" xfId="1" applyFont="1" applyFill="1" applyBorder="1"/>
    <xf numFmtId="2" fontId="2" fillId="0" borderId="22" xfId="1" applyNumberFormat="1" applyFont="1" applyFill="1" applyBorder="1"/>
    <xf numFmtId="165" fontId="6" fillId="0" borderId="22" xfId="1" applyNumberFormat="1" applyFont="1" applyFill="1" applyBorder="1"/>
    <xf numFmtId="14" fontId="6" fillId="0" borderId="22" xfId="0" applyNumberFormat="1" applyFont="1" applyBorder="1"/>
    <xf numFmtId="44" fontId="11" fillId="0" borderId="22" xfId="1" applyFont="1" applyFill="1" applyBorder="1"/>
    <xf numFmtId="44" fontId="6" fillId="0" borderId="22" xfId="0" applyNumberFormat="1" applyFont="1" applyBorder="1"/>
    <xf numFmtId="0" fontId="3" fillId="0" borderId="11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2" fillId="0" borderId="28" xfId="0" applyFont="1" applyBorder="1"/>
    <xf numFmtId="14" fontId="2" fillId="0" borderId="28" xfId="0" applyNumberFormat="1" applyFont="1" applyBorder="1"/>
    <xf numFmtId="0" fontId="3" fillId="2" borderId="4" xfId="0" applyFont="1" applyFill="1" applyBorder="1" applyAlignment="1">
      <alignment vertical="center"/>
    </xf>
    <xf numFmtId="0" fontId="2" fillId="10" borderId="1" xfId="0" applyFont="1" applyFill="1" applyBorder="1" applyAlignment="1">
      <alignment horizontal="center" vertical="center"/>
    </xf>
    <xf numFmtId="44" fontId="2" fillId="10" borderId="1" xfId="1" applyFont="1" applyFill="1" applyBorder="1" applyAlignment="1">
      <alignment horizontal="center" vertical="center" wrapText="1"/>
    </xf>
    <xf numFmtId="10" fontId="2" fillId="0" borderId="28" xfId="2" applyNumberFormat="1" applyFont="1" applyBorder="1"/>
    <xf numFmtId="10" fontId="2" fillId="0" borderId="2" xfId="2" applyNumberFormat="1" applyFont="1" applyBorder="1"/>
    <xf numFmtId="10" fontId="2" fillId="0" borderId="22" xfId="2" applyNumberFormat="1" applyFont="1" applyBorder="1"/>
    <xf numFmtId="10" fontId="2" fillId="0" borderId="9" xfId="2" applyNumberFormat="1" applyFont="1" applyBorder="1"/>
    <xf numFmtId="2" fontId="2" fillId="10" borderId="1" xfId="0" applyNumberFormat="1" applyFont="1" applyFill="1" applyBorder="1" applyAlignment="1">
      <alignment horizontal="center" vertical="center"/>
    </xf>
    <xf numFmtId="2" fontId="2" fillId="10" borderId="1" xfId="1" applyNumberFormat="1" applyFont="1" applyFill="1" applyBorder="1" applyAlignment="1">
      <alignment horizontal="center" vertical="center" wrapText="1"/>
    </xf>
    <xf numFmtId="2" fontId="2" fillId="0" borderId="9" xfId="1" applyNumberFormat="1" applyFont="1" applyBorder="1"/>
    <xf numFmtId="2" fontId="2" fillId="0" borderId="22" xfId="1" applyNumberFormat="1" applyFont="1" applyBorder="1"/>
    <xf numFmtId="2" fontId="2" fillId="0" borderId="0" xfId="1" applyNumberFormat="1" applyFont="1"/>
    <xf numFmtId="0" fontId="2" fillId="10" borderId="1" xfId="0" applyFont="1" applyFill="1" applyBorder="1" applyAlignment="1">
      <alignment horizontal="center" vertical="center" wrapText="1"/>
    </xf>
    <xf numFmtId="0" fontId="6" fillId="0" borderId="22" xfId="0" applyFont="1" applyBorder="1"/>
    <xf numFmtId="0" fontId="6" fillId="0" borderId="9" xfId="0" applyFont="1" applyBorder="1"/>
    <xf numFmtId="14" fontId="3" fillId="0" borderId="11" xfId="0" applyNumberFormat="1" applyFont="1" applyBorder="1" applyAlignment="1">
      <alignment horizontal="right"/>
    </xf>
    <xf numFmtId="0" fontId="2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44" fontId="2" fillId="0" borderId="12" xfId="1" applyFont="1" applyBorder="1"/>
    <xf numFmtId="0" fontId="2" fillId="0" borderId="12" xfId="0" applyFont="1" applyBorder="1"/>
    <xf numFmtId="14" fontId="2" fillId="0" borderId="12" xfId="0" applyNumberFormat="1" applyFont="1" applyBorder="1"/>
    <xf numFmtId="44" fontId="2" fillId="0" borderId="12" xfId="1" applyFont="1" applyBorder="1" applyAlignment="1">
      <alignment horizontal="center"/>
    </xf>
    <xf numFmtId="44" fontId="7" fillId="0" borderId="12" xfId="0" applyNumberFormat="1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7" xfId="0" applyFont="1" applyBorder="1" applyAlignment="1">
      <alignment vertical="center"/>
    </xf>
    <xf numFmtId="0" fontId="6" fillId="3" borderId="3" xfId="0" applyFont="1" applyFill="1" applyBorder="1"/>
    <xf numFmtId="0" fontId="6" fillId="3" borderId="2" xfId="0" applyFont="1" applyFill="1" applyBorder="1"/>
    <xf numFmtId="164" fontId="2" fillId="0" borderId="21" xfId="1" applyNumberFormat="1" applyFont="1" applyBorder="1" applyAlignment="1">
      <alignment horizontal="center"/>
    </xf>
    <xf numFmtId="14" fontId="2" fillId="3" borderId="22" xfId="0" applyNumberFormat="1" applyFont="1" applyFill="1" applyBorder="1"/>
    <xf numFmtId="0" fontId="2" fillId="3" borderId="22" xfId="0" applyFont="1" applyFill="1" applyBorder="1" applyAlignment="1">
      <alignment horizontal="center"/>
    </xf>
    <xf numFmtId="164" fontId="2" fillId="3" borderId="22" xfId="1" applyNumberFormat="1" applyFont="1" applyFill="1" applyBorder="1" applyAlignment="1">
      <alignment horizontal="center"/>
    </xf>
    <xf numFmtId="0" fontId="2" fillId="3" borderId="22" xfId="0" applyFont="1" applyFill="1" applyBorder="1"/>
    <xf numFmtId="44" fontId="2" fillId="3" borderId="22" xfId="1" applyFont="1" applyFill="1" applyBorder="1"/>
    <xf numFmtId="2" fontId="2" fillId="3" borderId="22" xfId="1" applyNumberFormat="1" applyFont="1" applyFill="1" applyBorder="1"/>
    <xf numFmtId="0" fontId="6" fillId="3" borderId="22" xfId="0" applyFont="1" applyFill="1" applyBorder="1"/>
    <xf numFmtId="164" fontId="2" fillId="0" borderId="22" xfId="1" applyNumberFormat="1" applyFont="1" applyBorder="1" applyAlignment="1">
      <alignment horizontal="center"/>
    </xf>
    <xf numFmtId="164" fontId="2" fillId="0" borderId="9" xfId="1" applyNumberFormat="1" applyFont="1" applyBorder="1" applyAlignment="1">
      <alignment horizontal="center"/>
    </xf>
    <xf numFmtId="2" fontId="2" fillId="0" borderId="3" xfId="0" applyNumberFormat="1" applyFont="1" applyBorder="1"/>
    <xf numFmtId="2" fontId="3" fillId="11" borderId="4" xfId="0" applyNumberFormat="1" applyFont="1" applyFill="1" applyBorder="1" applyAlignment="1">
      <alignment horizontal="center" vertical="center" wrapText="1"/>
    </xf>
    <xf numFmtId="2" fontId="3" fillId="11" borderId="18" xfId="0" applyNumberFormat="1" applyFont="1" applyFill="1" applyBorder="1" applyAlignment="1">
      <alignment horizontal="center" vertical="center" wrapText="1"/>
    </xf>
    <xf numFmtId="2" fontId="3" fillId="11" borderId="6" xfId="0" applyNumberFormat="1" applyFont="1" applyFill="1" applyBorder="1" applyAlignment="1">
      <alignment horizontal="center" vertical="center" wrapText="1"/>
    </xf>
    <xf numFmtId="2" fontId="2" fillId="11" borderId="3" xfId="1" applyNumberFormat="1" applyFont="1" applyFill="1" applyBorder="1"/>
    <xf numFmtId="14" fontId="2" fillId="11" borderId="3" xfId="1" applyNumberFormat="1" applyFont="1" applyFill="1" applyBorder="1"/>
    <xf numFmtId="2" fontId="2" fillId="11" borderId="2" xfId="1" applyNumberFormat="1" applyFont="1" applyFill="1" applyBorder="1"/>
    <xf numFmtId="14" fontId="2" fillId="11" borderId="2" xfId="1" applyNumberFormat="1" applyFont="1" applyFill="1" applyBorder="1"/>
    <xf numFmtId="2" fontId="2" fillId="11" borderId="22" xfId="1" applyNumberFormat="1" applyFont="1" applyFill="1" applyBorder="1"/>
    <xf numFmtId="14" fontId="2" fillId="11" borderId="22" xfId="1" applyNumberFormat="1" applyFont="1" applyFill="1" applyBorder="1"/>
    <xf numFmtId="2" fontId="2" fillId="11" borderId="21" xfId="1" applyNumberFormat="1" applyFont="1" applyFill="1" applyBorder="1"/>
    <xf numFmtId="14" fontId="2" fillId="11" borderId="21" xfId="1" applyNumberFormat="1" applyFont="1" applyFill="1" applyBorder="1"/>
    <xf numFmtId="0" fontId="10" fillId="3" borderId="6" xfId="0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9" fillId="0" borderId="26" xfId="3" applyFont="1" applyBorder="1" applyAlignment="1">
      <alignment horizontal="center" vertical="center"/>
    </xf>
    <xf numFmtId="0" fontId="9" fillId="0" borderId="15" xfId="3" applyFont="1" applyBorder="1" applyAlignment="1">
      <alignment horizontal="center" vertical="center"/>
    </xf>
    <xf numFmtId="0" fontId="9" fillId="0" borderId="27" xfId="3" applyFont="1" applyBorder="1" applyAlignment="1">
      <alignment horizontal="center" vertical="center"/>
    </xf>
    <xf numFmtId="0" fontId="9" fillId="0" borderId="29" xfId="3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 wrapText="1"/>
    </xf>
    <xf numFmtId="14" fontId="3" fillId="0" borderId="5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10" borderId="11" xfId="0" applyFont="1" applyFill="1" applyBorder="1" applyAlignment="1">
      <alignment horizontal="center"/>
    </xf>
    <xf numFmtId="0" fontId="3" fillId="10" borderId="12" xfId="0" applyFont="1" applyFill="1" applyBorder="1" applyAlignment="1">
      <alignment horizontal="center"/>
    </xf>
    <xf numFmtId="0" fontId="3" fillId="10" borderId="13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3" fillId="0" borderId="1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11" borderId="18" xfId="0" applyFont="1" applyFill="1" applyBorder="1" applyAlignment="1">
      <alignment horizontal="center" vertical="center" wrapText="1"/>
    </xf>
    <xf numFmtId="0" fontId="3" fillId="11" borderId="19" xfId="0" applyFont="1" applyFill="1" applyBorder="1" applyAlignment="1">
      <alignment horizontal="center" vertical="center" wrapText="1"/>
    </xf>
    <xf numFmtId="0" fontId="3" fillId="11" borderId="17" xfId="0" applyFont="1" applyFill="1" applyBorder="1" applyAlignment="1">
      <alignment horizontal="center" vertical="center" wrapText="1"/>
    </xf>
    <xf numFmtId="0" fontId="2" fillId="8" borderId="10" xfId="0" applyFont="1" applyFill="1" applyBorder="1" applyAlignment="1">
      <alignment horizontal="center"/>
    </xf>
    <xf numFmtId="2" fontId="2" fillId="3" borderId="10" xfId="0" applyNumberFormat="1" applyFont="1" applyFill="1" applyBorder="1" applyAlignment="1">
      <alignment horizontal="center"/>
    </xf>
    <xf numFmtId="165" fontId="3" fillId="0" borderId="4" xfId="0" applyNumberFormat="1" applyFont="1" applyBorder="1" applyAlignment="1">
      <alignment horizontal="center" vertical="center" wrapText="1"/>
    </xf>
    <xf numFmtId="165" fontId="3" fillId="0" borderId="5" xfId="0" applyNumberFormat="1" applyFont="1" applyBorder="1" applyAlignment="1">
      <alignment horizontal="center" vertical="center" wrapText="1"/>
    </xf>
    <xf numFmtId="44" fontId="3" fillId="0" borderId="4" xfId="1" applyFont="1" applyBorder="1" applyAlignment="1">
      <alignment horizontal="center" vertical="center" wrapText="1"/>
    </xf>
    <xf numFmtId="44" fontId="3" fillId="0" borderId="20" xfId="1" applyFont="1" applyBorder="1" applyAlignment="1">
      <alignment horizontal="center" vertical="center" wrapText="1"/>
    </xf>
  </cellXfs>
  <cellStyles count="4">
    <cellStyle name="Hipervínculo" xfId="3" builtinId="8"/>
    <cellStyle name="Moneda" xfId="1" builtinId="4"/>
    <cellStyle name="Normal" xfId="0" builtinId="0"/>
    <cellStyle name="Porcentaje" xfId="2" builtinId="5"/>
  </cellStyles>
  <dxfs count="1"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tabColor theme="9" tint="-0.249977111117893"/>
  </sheetPr>
  <dimension ref="A1:G15"/>
  <sheetViews>
    <sheetView workbookViewId="0">
      <selection activeCell="I8" sqref="I8"/>
    </sheetView>
  </sheetViews>
  <sheetFormatPr baseColWidth="10" defaultColWidth="11.42578125" defaultRowHeight="15.75" x14ac:dyDescent="0.25"/>
  <cols>
    <col min="1" max="1" width="14.28515625" style="71" bestFit="1" customWidth="1"/>
    <col min="2" max="2" width="11.28515625" style="71" bestFit="1" customWidth="1"/>
    <col min="3" max="3" width="11" style="71" bestFit="1" customWidth="1"/>
    <col min="4" max="4" width="18.85546875" style="71" bestFit="1" customWidth="1"/>
    <col min="5" max="5" width="14.7109375" style="71" bestFit="1" customWidth="1"/>
    <col min="6" max="6" width="20.42578125" style="71" bestFit="1" customWidth="1"/>
    <col min="7" max="7" width="14.7109375" style="71" bestFit="1" customWidth="1"/>
    <col min="8" max="16384" width="11.42578125" style="71"/>
  </cols>
  <sheetData>
    <row r="1" spans="1:7" ht="15.6" x14ac:dyDescent="0.3">
      <c r="D1" s="230" t="s">
        <v>79</v>
      </c>
      <c r="E1" s="230"/>
      <c r="F1" s="231" t="s">
        <v>80</v>
      </c>
      <c r="G1" s="231"/>
    </row>
    <row r="2" spans="1:7" s="74" customFormat="1" ht="38.25" customHeight="1" x14ac:dyDescent="0.25">
      <c r="A2" s="72" t="s">
        <v>100</v>
      </c>
      <c r="B2" s="73" t="s">
        <v>74</v>
      </c>
      <c r="C2" s="73" t="s">
        <v>75</v>
      </c>
      <c r="D2" s="79" t="s">
        <v>77</v>
      </c>
      <c r="E2" s="79" t="s">
        <v>76</v>
      </c>
      <c r="F2" s="78" t="s">
        <v>78</v>
      </c>
      <c r="G2" s="78" t="s">
        <v>81</v>
      </c>
    </row>
    <row r="3" spans="1:7" ht="15.6" x14ac:dyDescent="0.3">
      <c r="A3" s="82" t="s">
        <v>101</v>
      </c>
      <c r="B3" s="76">
        <f>+AVERAGE(DETALLE!E2:E51)</f>
        <v>375.8</v>
      </c>
      <c r="C3" s="75">
        <f>+DETALLE!D52</f>
        <v>1021</v>
      </c>
      <c r="D3" s="76">
        <f>+SUM(DETALLE!G2:G51)</f>
        <v>84059288.5</v>
      </c>
      <c r="E3" s="77">
        <f>+D3/C3</f>
        <v>82330.351126346723</v>
      </c>
      <c r="F3" s="76">
        <f>+DETALLE!I52</f>
        <v>86783487.271819994</v>
      </c>
      <c r="G3" s="77">
        <f>+F3/C3</f>
        <v>84998.518385719872</v>
      </c>
    </row>
    <row r="4" spans="1:7" ht="15.6" x14ac:dyDescent="0.3">
      <c r="A4" s="82" t="s">
        <v>113</v>
      </c>
      <c r="B4" s="76">
        <f>+AVERAGE(DETALLE!E53:E98)</f>
        <v>420</v>
      </c>
      <c r="C4" s="75">
        <f>+DETALLE!D99</f>
        <v>815</v>
      </c>
      <c r="D4" s="76">
        <f>+SUM(DETALLE!G53:G98)</f>
        <v>76018824</v>
      </c>
      <c r="E4" s="77">
        <f>+D4/C4</f>
        <v>93274.63067484663</v>
      </c>
      <c r="F4" s="76">
        <f>+DETALLE!I99</f>
        <v>80093842.726000011</v>
      </c>
      <c r="G4" s="77">
        <f>+F4/C4</f>
        <v>98274.65365153375</v>
      </c>
    </row>
    <row r="5" spans="1:7" ht="15.6" x14ac:dyDescent="0.3">
      <c r="A5" s="75" t="s">
        <v>114</v>
      </c>
      <c r="B5" s="76"/>
      <c r="C5" s="75"/>
      <c r="D5" s="76"/>
      <c r="E5" s="77"/>
      <c r="F5" s="76"/>
      <c r="G5" s="77"/>
    </row>
    <row r="6" spans="1:7" ht="15.6" x14ac:dyDescent="0.3">
      <c r="A6" s="75" t="s">
        <v>115</v>
      </c>
      <c r="B6" s="76"/>
      <c r="C6" s="75"/>
      <c r="D6" s="76"/>
      <c r="E6" s="77"/>
      <c r="F6" s="76"/>
      <c r="G6" s="77"/>
    </row>
    <row r="7" spans="1:7" ht="15.6" x14ac:dyDescent="0.3">
      <c r="A7" s="75" t="s">
        <v>116</v>
      </c>
      <c r="B7" s="76"/>
      <c r="C7" s="75"/>
      <c r="D7" s="76"/>
      <c r="E7" s="77"/>
      <c r="F7" s="76"/>
      <c r="G7" s="77"/>
    </row>
    <row r="8" spans="1:7" ht="15.6" x14ac:dyDescent="0.3">
      <c r="A8" s="75" t="s">
        <v>60</v>
      </c>
      <c r="B8" s="76"/>
      <c r="C8" s="75"/>
      <c r="D8" s="76"/>
      <c r="E8" s="77"/>
      <c r="F8" s="76"/>
      <c r="G8" s="77"/>
    </row>
    <row r="9" spans="1:7" ht="15.6" x14ac:dyDescent="0.3">
      <c r="A9" s="75" t="s">
        <v>61</v>
      </c>
      <c r="B9" s="76"/>
      <c r="C9" s="75"/>
      <c r="D9" s="76"/>
      <c r="E9" s="77"/>
      <c r="F9" s="76"/>
      <c r="G9" s="77"/>
    </row>
    <row r="10" spans="1:7" ht="15.6" x14ac:dyDescent="0.3">
      <c r="A10" s="75" t="s">
        <v>62</v>
      </c>
      <c r="B10" s="76"/>
      <c r="C10" s="75"/>
      <c r="D10" s="76"/>
      <c r="E10" s="77"/>
      <c r="F10" s="76"/>
      <c r="G10" s="77"/>
    </row>
    <row r="11" spans="1:7" x14ac:dyDescent="0.25">
      <c r="A11" s="75" t="s">
        <v>65</v>
      </c>
      <c r="B11" s="76"/>
      <c r="C11" s="75"/>
      <c r="D11" s="76"/>
      <c r="E11" s="77"/>
      <c r="F11" s="76"/>
      <c r="G11" s="77"/>
    </row>
    <row r="12" spans="1:7" x14ac:dyDescent="0.25">
      <c r="A12" s="75" t="s">
        <v>72</v>
      </c>
      <c r="B12" s="76"/>
      <c r="C12" s="75"/>
      <c r="D12" s="76"/>
      <c r="E12" s="77"/>
      <c r="F12" s="76"/>
      <c r="G12" s="77"/>
    </row>
    <row r="13" spans="1:7" x14ac:dyDescent="0.25">
      <c r="A13" s="75" t="s">
        <v>71</v>
      </c>
      <c r="B13" s="76"/>
      <c r="C13" s="75"/>
      <c r="D13" s="76"/>
      <c r="E13" s="77"/>
      <c r="F13" s="76"/>
      <c r="G13" s="77"/>
    </row>
    <row r="14" spans="1:7" x14ac:dyDescent="0.25">
      <c r="A14" s="75" t="s">
        <v>73</v>
      </c>
      <c r="B14" s="76"/>
      <c r="C14" s="75"/>
      <c r="D14" s="76"/>
      <c r="E14" s="77"/>
      <c r="F14" s="76"/>
      <c r="G14" s="77"/>
    </row>
    <row r="15" spans="1:7" x14ac:dyDescent="0.25">
      <c r="A15" s="75" t="s">
        <v>14</v>
      </c>
      <c r="B15" s="75"/>
      <c r="C15" s="75">
        <f>SUM(C3:C14)</f>
        <v>1836</v>
      </c>
      <c r="D15" s="77">
        <f>SUM(D3:D14)</f>
        <v>160078112.5</v>
      </c>
      <c r="E15" s="77">
        <f>SUM(E3:E14)</f>
        <v>175604.98180119335</v>
      </c>
      <c r="F15" s="77">
        <f>SUM(F3:F14)</f>
        <v>166877329.99782002</v>
      </c>
      <c r="G15" s="77">
        <f>SUM(G3:G14)</f>
        <v>183273.17203725362</v>
      </c>
    </row>
  </sheetData>
  <mergeCells count="2">
    <mergeCell ref="D1:E1"/>
    <mergeCell ref="F1:G1"/>
  </mergeCells>
  <hyperlinks>
    <hyperlink ref="A3" location="DETALLE!A2" display="JUNIO"/>
    <hyperlink ref="A4" location="DETALLE!A53" display="FEBRERO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tabColor rgb="FF00B0F0"/>
  </sheetPr>
  <dimension ref="A1:Q449"/>
  <sheetViews>
    <sheetView zoomScaleNormal="100" workbookViewId="0">
      <pane ySplit="1" topLeftCell="A2" activePane="bottomLeft" state="frozen"/>
      <selection pane="bottomLeft" activeCell="D2" sqref="D2"/>
    </sheetView>
  </sheetViews>
  <sheetFormatPr baseColWidth="10" defaultColWidth="11.42578125" defaultRowHeight="12.75" x14ac:dyDescent="0.2"/>
  <cols>
    <col min="1" max="1" width="11.7109375" style="84" bestFit="1" customWidth="1"/>
    <col min="2" max="2" width="7" style="5" bestFit="1" customWidth="1"/>
    <col min="3" max="3" width="18.7109375" style="5" bestFit="1" customWidth="1"/>
    <col min="4" max="4" width="10.85546875" style="5" bestFit="1" customWidth="1"/>
    <col min="5" max="5" width="11.5703125" style="5" bestFit="1" customWidth="1"/>
    <col min="6" max="6" width="14.140625" style="5" bestFit="1" customWidth="1"/>
    <col min="7" max="7" width="16.5703125" style="5" bestFit="1" customWidth="1"/>
    <col min="8" max="8" width="16.5703125" style="5" customWidth="1"/>
    <col min="9" max="9" width="17.28515625" style="36" bestFit="1" customWidth="1"/>
    <col min="10" max="10" width="16.7109375" style="8" customWidth="1"/>
    <col min="11" max="11" width="16.42578125" style="8" customWidth="1"/>
    <col min="12" max="12" width="14.85546875" style="8" bestFit="1" customWidth="1"/>
    <col min="13" max="13" width="11.42578125" style="5"/>
    <col min="14" max="14" width="13.5703125" style="5" customWidth="1"/>
    <col min="15" max="15" width="11.42578125" style="5"/>
    <col min="16" max="16" width="11.5703125" style="5" bestFit="1" customWidth="1"/>
    <col min="17" max="16384" width="11.42578125" style="5"/>
  </cols>
  <sheetData>
    <row r="1" spans="1:17" s="4" customFormat="1" ht="38.25" customHeight="1" x14ac:dyDescent="0.25">
      <c r="A1" s="83" t="s">
        <v>100</v>
      </c>
      <c r="B1" s="1" t="s">
        <v>33</v>
      </c>
      <c r="C1" s="1" t="s">
        <v>0</v>
      </c>
      <c r="D1" s="2" t="s">
        <v>228</v>
      </c>
      <c r="E1" s="2" t="s">
        <v>7</v>
      </c>
      <c r="F1" s="1" t="s">
        <v>5</v>
      </c>
      <c r="G1" s="2" t="s">
        <v>38</v>
      </c>
      <c r="H1" s="2" t="s">
        <v>191</v>
      </c>
      <c r="I1" s="34" t="s">
        <v>41</v>
      </c>
      <c r="J1" s="35" t="s">
        <v>42</v>
      </c>
      <c r="K1" s="3" t="s">
        <v>34</v>
      </c>
      <c r="L1" s="3" t="s">
        <v>82</v>
      </c>
      <c r="M1" s="2" t="s">
        <v>35</v>
      </c>
      <c r="N1" s="2" t="s">
        <v>36</v>
      </c>
      <c r="O1" s="2" t="s">
        <v>37</v>
      </c>
      <c r="P1" s="1" t="s">
        <v>39</v>
      </c>
      <c r="Q1" s="2" t="s">
        <v>40</v>
      </c>
    </row>
    <row r="2" spans="1:17" x14ac:dyDescent="0.2">
      <c r="A2" s="232" t="s">
        <v>101</v>
      </c>
      <c r="B2" s="5">
        <f>+'SERVICIO FAENA'!A3</f>
        <v>1</v>
      </c>
      <c r="C2" s="5" t="str">
        <f>+'SERVICIO FAENA'!B3</f>
        <v>MORAGA</v>
      </c>
      <c r="D2" s="5">
        <f>+'SERVICIO FAENA'!C3</f>
        <v>15</v>
      </c>
      <c r="E2" s="7">
        <f>+'SERVICIO FAENA'!H3</f>
        <v>335</v>
      </c>
      <c r="F2" s="6">
        <f>+'SERVICIO FAENA'!F3</f>
        <v>2940.3</v>
      </c>
      <c r="G2" s="7">
        <f>+'SERVICIO FAENA'!J3</f>
        <v>985000.50000000012</v>
      </c>
      <c r="H2" s="7">
        <f>+'SERVICIO DESPOSTE'!W3</f>
        <v>0</v>
      </c>
      <c r="I2" s="36">
        <f>+(G2-J2)+K2+M2+N2+O2+P2+Q2+L2+H2</f>
        <v>985000.50000000012</v>
      </c>
      <c r="J2" s="8">
        <f>+MENUDENCIAS!I3</f>
        <v>0</v>
      </c>
      <c r="K2" s="8">
        <f>+MENUDENCIAS!O3</f>
        <v>0</v>
      </c>
      <c r="L2" s="8">
        <f>+'MERCADO INTERNO'!AG4</f>
        <v>0</v>
      </c>
      <c r="M2" s="7">
        <f>+RENDERING!H2</f>
        <v>0</v>
      </c>
      <c r="N2" s="7">
        <f>+RENDERING!F2</f>
        <v>0</v>
      </c>
      <c r="O2" s="7">
        <f>+RENDERING!J2</f>
        <v>0</v>
      </c>
      <c r="P2" s="7">
        <f>+CUEROS!N4</f>
        <v>0</v>
      </c>
      <c r="Q2" s="7">
        <f>+'GRASA DREASING'!G2</f>
        <v>0</v>
      </c>
    </row>
    <row r="3" spans="1:17" x14ac:dyDescent="0.2">
      <c r="A3" s="233"/>
      <c r="B3" s="5">
        <f>+'SERVICIO FAENA'!A4</f>
        <v>2</v>
      </c>
      <c r="C3" s="5" t="str">
        <f>+'SERVICIO FAENA'!B4</f>
        <v>GANADERA NORTE NEUQUINO</v>
      </c>
      <c r="D3" s="5">
        <f>+'SERVICIO FAENA'!C4</f>
        <v>43</v>
      </c>
      <c r="E3" s="7">
        <f>+'SERVICIO FAENA'!H4</f>
        <v>335</v>
      </c>
      <c r="F3" s="6">
        <f>+'SERVICIO FAENA'!F4</f>
        <v>9891.7999999999993</v>
      </c>
      <c r="G3" s="7">
        <f>+'SERVICIO FAENA'!J4</f>
        <v>3313752.9999999995</v>
      </c>
      <c r="H3" s="7">
        <f>+'SERVICIO DESPOSTE'!W4</f>
        <v>0</v>
      </c>
      <c r="I3" s="36">
        <f t="shared" ref="I3:I51" si="0">+(G3-J3)+K3+M3+N3+O3+P3+Q3+L3+H3</f>
        <v>3313752.9999999995</v>
      </c>
      <c r="J3" s="8">
        <f>+MENUDENCIAS!I4</f>
        <v>0</v>
      </c>
      <c r="K3" s="8">
        <f>+MENUDENCIAS!O4</f>
        <v>0</v>
      </c>
      <c r="L3" s="8">
        <f>+'MERCADO INTERNO'!AG5</f>
        <v>0</v>
      </c>
      <c r="M3" s="7">
        <f>+RENDERING!H3</f>
        <v>0</v>
      </c>
      <c r="N3" s="7">
        <f>+RENDERING!F3</f>
        <v>0</v>
      </c>
      <c r="O3" s="7">
        <f>+RENDERING!J3</f>
        <v>0</v>
      </c>
      <c r="P3" s="7">
        <f>+CUEROS!N5</f>
        <v>0</v>
      </c>
      <c r="Q3" s="7">
        <f>+'GRASA DREASING'!G3</f>
        <v>0</v>
      </c>
    </row>
    <row r="4" spans="1:17" x14ac:dyDescent="0.2">
      <c r="A4" s="233"/>
      <c r="B4" s="5">
        <f>+'SERVICIO FAENA'!A5</f>
        <v>3</v>
      </c>
      <c r="C4" s="5" t="str">
        <f>+'SERVICIO FAENA'!B5</f>
        <v>GANADERA NORTE NEUQUINO</v>
      </c>
      <c r="D4" s="5">
        <f>+'SERVICIO FAENA'!C5</f>
        <v>40</v>
      </c>
      <c r="E4" s="7">
        <f>+'SERVICIO FAENA'!H5</f>
        <v>335</v>
      </c>
      <c r="F4" s="6">
        <f>+'SERVICIO FAENA'!F5</f>
        <v>8567.7999999999993</v>
      </c>
      <c r="G4" s="7">
        <f>+'SERVICIO FAENA'!J5</f>
        <v>2870212.9999999995</v>
      </c>
      <c r="H4" s="7">
        <f>+'SERVICIO DESPOSTE'!W5</f>
        <v>0</v>
      </c>
      <c r="I4" s="36">
        <f t="shared" si="0"/>
        <v>2870212.9999999995</v>
      </c>
      <c r="J4" s="8">
        <f>+MENUDENCIAS!I5</f>
        <v>0</v>
      </c>
      <c r="K4" s="8">
        <f>+MENUDENCIAS!O5</f>
        <v>0</v>
      </c>
      <c r="L4" s="8">
        <f>+'MERCADO INTERNO'!AG6</f>
        <v>0</v>
      </c>
      <c r="M4" s="7">
        <f>+RENDERING!H4</f>
        <v>0</v>
      </c>
      <c r="N4" s="7">
        <f>+RENDERING!F4</f>
        <v>0</v>
      </c>
      <c r="O4" s="7">
        <f>+RENDERING!J4</f>
        <v>0</v>
      </c>
      <c r="P4" s="7">
        <f>+CUEROS!N6</f>
        <v>0</v>
      </c>
      <c r="Q4" s="7">
        <f>+'GRASA DREASING'!G4</f>
        <v>0</v>
      </c>
    </row>
    <row r="5" spans="1:17" x14ac:dyDescent="0.2">
      <c r="A5" s="233"/>
      <c r="B5" s="5">
        <f>+'SERVICIO FAENA'!A6</f>
        <v>4</v>
      </c>
      <c r="C5" s="5" t="str">
        <f>+'SERVICIO FAENA'!B6</f>
        <v>DOS DE FIERRO SA</v>
      </c>
      <c r="D5" s="5">
        <f>+'SERVICIO FAENA'!C6</f>
        <v>25</v>
      </c>
      <c r="E5" s="7">
        <f>+'SERVICIO FAENA'!H6</f>
        <v>335</v>
      </c>
      <c r="F5" s="6">
        <f>+'SERVICIO FAENA'!F6</f>
        <v>5030.3999999999996</v>
      </c>
      <c r="G5" s="7">
        <f>+'SERVICIO FAENA'!J6</f>
        <v>1685183.9999999998</v>
      </c>
      <c r="H5" s="7">
        <f>+'SERVICIO DESPOSTE'!W6</f>
        <v>0</v>
      </c>
      <c r="I5" s="36">
        <f t="shared" si="0"/>
        <v>1685183.9999999998</v>
      </c>
      <c r="J5" s="8">
        <f>+MENUDENCIAS!I6</f>
        <v>0</v>
      </c>
      <c r="K5" s="8">
        <f>+MENUDENCIAS!O6</f>
        <v>0</v>
      </c>
      <c r="L5" s="8">
        <f>+'MERCADO INTERNO'!AG7</f>
        <v>0</v>
      </c>
      <c r="M5" s="7">
        <f>+RENDERING!H5</f>
        <v>0</v>
      </c>
      <c r="N5" s="7">
        <f>+RENDERING!F5</f>
        <v>0</v>
      </c>
      <c r="O5" s="7">
        <f>+RENDERING!J5</f>
        <v>0</v>
      </c>
      <c r="P5" s="7">
        <f>+CUEROS!N7</f>
        <v>0</v>
      </c>
      <c r="Q5" s="7">
        <f>+'GRASA DREASING'!G5</f>
        <v>0</v>
      </c>
    </row>
    <row r="6" spans="1:17" x14ac:dyDescent="0.2">
      <c r="A6" s="233"/>
      <c r="B6" s="5">
        <f>+'SERVICIO FAENA'!A7</f>
        <v>5</v>
      </c>
      <c r="C6" s="5" t="str">
        <f>+'SERVICIO FAENA'!B7</f>
        <v>DISTRIBUIDORA DE LA PATAGONIA</v>
      </c>
      <c r="D6" s="5">
        <f>+'SERVICIO FAENA'!C7</f>
        <v>30</v>
      </c>
      <c r="E6" s="7">
        <f>+'SERVICIO FAENA'!H7</f>
        <v>335</v>
      </c>
      <c r="F6" s="6">
        <f>+'SERVICIO FAENA'!F7</f>
        <v>6743.3</v>
      </c>
      <c r="G6" s="7">
        <f>+'SERVICIO FAENA'!J7</f>
        <v>2259005.5</v>
      </c>
      <c r="H6" s="7">
        <f>+'SERVICIO DESPOSTE'!W7</f>
        <v>0</v>
      </c>
      <c r="I6" s="36">
        <f t="shared" si="0"/>
        <v>2259005.5</v>
      </c>
      <c r="J6" s="8">
        <f>+MENUDENCIAS!I7</f>
        <v>0</v>
      </c>
      <c r="K6" s="8">
        <f>+MENUDENCIAS!O7</f>
        <v>0</v>
      </c>
      <c r="L6" s="8">
        <f>+'MERCADO INTERNO'!AG8</f>
        <v>0</v>
      </c>
      <c r="M6" s="7">
        <f>+RENDERING!H6</f>
        <v>0</v>
      </c>
      <c r="N6" s="7">
        <f>+RENDERING!F6</f>
        <v>0</v>
      </c>
      <c r="O6" s="7">
        <f>+RENDERING!J6</f>
        <v>0</v>
      </c>
      <c r="P6" s="7">
        <f>+CUEROS!N8</f>
        <v>0</v>
      </c>
      <c r="Q6" s="7">
        <f>+'GRASA DREASING'!G6</f>
        <v>0</v>
      </c>
    </row>
    <row r="7" spans="1:17" x14ac:dyDescent="0.2">
      <c r="A7" s="233"/>
      <c r="B7" s="5">
        <f>+'SERVICIO FAENA'!A8</f>
        <v>6</v>
      </c>
      <c r="C7" s="5" t="str">
        <f>+'SERVICIO FAENA'!B8</f>
        <v>DISTRIBUIDORA DE LA PATAGONIA</v>
      </c>
      <c r="D7" s="5">
        <f>+'SERVICIO FAENA'!C8</f>
        <v>15</v>
      </c>
      <c r="E7" s="7">
        <f>+'SERVICIO FAENA'!H8</f>
        <v>335</v>
      </c>
      <c r="F7" s="6">
        <f>+'SERVICIO FAENA'!F8</f>
        <v>3075.2</v>
      </c>
      <c r="G7" s="7">
        <f>+'SERVICIO FAENA'!J8</f>
        <v>1030191.9999999999</v>
      </c>
      <c r="H7" s="7">
        <f>+'SERVICIO DESPOSTE'!W8</f>
        <v>0</v>
      </c>
      <c r="I7" s="36">
        <f t="shared" si="0"/>
        <v>1030191.9999999999</v>
      </c>
      <c r="J7" s="8">
        <f>+MENUDENCIAS!I8</f>
        <v>0</v>
      </c>
      <c r="K7" s="8">
        <f>+MENUDENCIAS!O8</f>
        <v>0</v>
      </c>
      <c r="L7" s="8">
        <f>+'MERCADO INTERNO'!AG9</f>
        <v>0</v>
      </c>
      <c r="M7" s="7">
        <f>+RENDERING!H7</f>
        <v>0</v>
      </c>
      <c r="N7" s="7">
        <f>+RENDERING!F7</f>
        <v>0</v>
      </c>
      <c r="O7" s="7">
        <f>+RENDERING!J7</f>
        <v>0</v>
      </c>
      <c r="P7" s="7">
        <f>+CUEROS!N9</f>
        <v>0</v>
      </c>
      <c r="Q7" s="7">
        <f>+'GRASA DREASING'!G7</f>
        <v>0</v>
      </c>
    </row>
    <row r="8" spans="1:17" x14ac:dyDescent="0.2">
      <c r="A8" s="233"/>
      <c r="B8" s="5">
        <f>+'SERVICIO FAENA'!A9</f>
        <v>7</v>
      </c>
      <c r="C8" s="5" t="str">
        <f>+'SERVICIO FAENA'!B9</f>
        <v>MUCA SAS</v>
      </c>
      <c r="D8" s="5">
        <f>+'SERVICIO FAENA'!C9</f>
        <v>35</v>
      </c>
      <c r="E8" s="7">
        <f>+'SERVICIO FAENA'!H9</f>
        <v>335</v>
      </c>
      <c r="F8" s="6">
        <f>+'SERVICIO FAENA'!F9</f>
        <v>10641.5</v>
      </c>
      <c r="G8" s="7">
        <f>+'SERVICIO FAENA'!J9</f>
        <v>3564902.5</v>
      </c>
      <c r="H8" s="7">
        <f>+'SERVICIO DESPOSTE'!W9</f>
        <v>0</v>
      </c>
      <c r="I8" s="36">
        <f t="shared" si="0"/>
        <v>3564902.5</v>
      </c>
      <c r="J8" s="8">
        <f>+MENUDENCIAS!I9</f>
        <v>0</v>
      </c>
      <c r="K8" s="8">
        <f>+MENUDENCIAS!O9</f>
        <v>0</v>
      </c>
      <c r="L8" s="8">
        <f>+'MERCADO INTERNO'!AG10</f>
        <v>0</v>
      </c>
      <c r="M8" s="7">
        <f>+RENDERING!H8</f>
        <v>0</v>
      </c>
      <c r="N8" s="7">
        <f>+RENDERING!F8</f>
        <v>0</v>
      </c>
      <c r="O8" s="7">
        <f>+RENDERING!J8</f>
        <v>0</v>
      </c>
      <c r="P8" s="7">
        <f>+CUEROS!N10</f>
        <v>0</v>
      </c>
      <c r="Q8" s="7">
        <f>+'GRASA DREASING'!G8</f>
        <v>0</v>
      </c>
    </row>
    <row r="9" spans="1:17" x14ac:dyDescent="0.2">
      <c r="A9" s="233"/>
      <c r="B9" s="5">
        <f>+'SERVICIO FAENA'!A10</f>
        <v>8</v>
      </c>
      <c r="C9" s="5" t="str">
        <f>+'SERVICIO FAENA'!B10</f>
        <v>MUCA SAS</v>
      </c>
      <c r="D9" s="5">
        <f>+'SERVICIO FAENA'!C10</f>
        <v>5</v>
      </c>
      <c r="E9" s="7">
        <f>+'SERVICIO FAENA'!H10</f>
        <v>335</v>
      </c>
      <c r="F9" s="6">
        <f>+'SERVICIO FAENA'!F10</f>
        <v>1585.2</v>
      </c>
      <c r="G9" s="7">
        <f>+'SERVICIO FAENA'!J10</f>
        <v>531042</v>
      </c>
      <c r="H9" s="7">
        <f>+'SERVICIO DESPOSTE'!W10</f>
        <v>0</v>
      </c>
      <c r="I9" s="36">
        <f t="shared" si="0"/>
        <v>531042</v>
      </c>
      <c r="J9" s="8">
        <f>+MENUDENCIAS!I10</f>
        <v>0</v>
      </c>
      <c r="K9" s="8">
        <f>+MENUDENCIAS!O10</f>
        <v>0</v>
      </c>
      <c r="L9" s="8">
        <f>+'MERCADO INTERNO'!AG11</f>
        <v>0</v>
      </c>
      <c r="M9" s="7">
        <f>+RENDERING!H9</f>
        <v>0</v>
      </c>
      <c r="N9" s="7">
        <f>+RENDERING!F9</f>
        <v>0</v>
      </c>
      <c r="O9" s="7">
        <f>+RENDERING!J9</f>
        <v>0</v>
      </c>
      <c r="P9" s="7">
        <f>+CUEROS!N11</f>
        <v>0</v>
      </c>
      <c r="Q9" s="7">
        <f>+'GRASA DREASING'!G9</f>
        <v>0</v>
      </c>
    </row>
    <row r="10" spans="1:17" x14ac:dyDescent="0.2">
      <c r="A10" s="233"/>
      <c r="B10" s="5">
        <f>+'SERVICIO FAENA'!A11</f>
        <v>9</v>
      </c>
      <c r="C10" s="5" t="str">
        <f>+'SERVICIO FAENA'!B11</f>
        <v>MUCA SAS</v>
      </c>
      <c r="D10" s="5">
        <f>+'SERVICIO FAENA'!C11</f>
        <v>10</v>
      </c>
      <c r="E10" s="7">
        <f>+'SERVICIO FAENA'!H11</f>
        <v>335</v>
      </c>
      <c r="F10" s="6">
        <f>+'SERVICIO FAENA'!F11</f>
        <v>2712.6</v>
      </c>
      <c r="G10" s="7">
        <f>+'SERVICIO FAENA'!J11</f>
        <v>908721</v>
      </c>
      <c r="H10" s="7">
        <f>+'SERVICIO DESPOSTE'!W11</f>
        <v>0</v>
      </c>
      <c r="I10" s="36">
        <f t="shared" si="0"/>
        <v>908721</v>
      </c>
      <c r="J10" s="8">
        <f>+MENUDENCIAS!I11</f>
        <v>0</v>
      </c>
      <c r="K10" s="8">
        <f>+MENUDENCIAS!O11</f>
        <v>0</v>
      </c>
      <c r="L10" s="8">
        <f>+'MERCADO INTERNO'!AG12</f>
        <v>0</v>
      </c>
      <c r="M10" s="7">
        <f>+RENDERING!H10</f>
        <v>0</v>
      </c>
      <c r="N10" s="7">
        <f>+RENDERING!F10</f>
        <v>0</v>
      </c>
      <c r="O10" s="7">
        <f>+RENDERING!J10</f>
        <v>0</v>
      </c>
      <c r="P10" s="7">
        <f>+CUEROS!N12</f>
        <v>0</v>
      </c>
      <c r="Q10" s="7">
        <f>+'GRASA DREASING'!G10</f>
        <v>0</v>
      </c>
    </row>
    <row r="11" spans="1:17" x14ac:dyDescent="0.2">
      <c r="A11" s="233"/>
      <c r="B11" s="5">
        <f>+'SERVICIO FAENA'!A12</f>
        <v>10</v>
      </c>
      <c r="C11" s="5" t="str">
        <f>+'SERVICIO FAENA'!B12</f>
        <v>MORAGA</v>
      </c>
      <c r="D11" s="5">
        <f>+'SERVICIO FAENA'!C12</f>
        <v>15</v>
      </c>
      <c r="E11" s="7">
        <f>+'SERVICIO FAENA'!H12</f>
        <v>335</v>
      </c>
      <c r="F11" s="6">
        <f>+'SERVICIO FAENA'!F12</f>
        <v>3623.5</v>
      </c>
      <c r="G11" s="7">
        <f>+'SERVICIO FAENA'!J12</f>
        <v>1213872.5</v>
      </c>
      <c r="H11" s="7">
        <f>+'SERVICIO DESPOSTE'!W12</f>
        <v>0</v>
      </c>
      <c r="I11" s="36">
        <f t="shared" si="0"/>
        <v>1213872.5</v>
      </c>
      <c r="J11" s="8">
        <f>+MENUDENCIAS!I12</f>
        <v>0</v>
      </c>
      <c r="K11" s="8">
        <f>+MENUDENCIAS!O12</f>
        <v>0</v>
      </c>
      <c r="L11" s="8">
        <f>+'MERCADO INTERNO'!AG13</f>
        <v>0</v>
      </c>
      <c r="M11" s="7">
        <f>+RENDERING!H11</f>
        <v>0</v>
      </c>
      <c r="N11" s="7">
        <f>+RENDERING!F11</f>
        <v>0</v>
      </c>
      <c r="O11" s="7">
        <f>+RENDERING!J11</f>
        <v>0</v>
      </c>
      <c r="P11" s="7">
        <f>+CUEROS!N13</f>
        <v>0</v>
      </c>
      <c r="Q11" s="7">
        <f>+'GRASA DREASING'!G11</f>
        <v>0</v>
      </c>
    </row>
    <row r="12" spans="1:17" x14ac:dyDescent="0.2">
      <c r="A12" s="233"/>
      <c r="B12" s="5">
        <f>+'SERVICIO FAENA'!A13</f>
        <v>11</v>
      </c>
      <c r="C12" s="5" t="str">
        <f>+'SERVICIO FAENA'!B13</f>
        <v>FERREYRA MARTIN</v>
      </c>
      <c r="D12" s="5">
        <f>+'SERVICIO FAENA'!C13</f>
        <v>20</v>
      </c>
      <c r="E12" s="7">
        <f>+'SERVICIO FAENA'!H13</f>
        <v>335</v>
      </c>
      <c r="F12" s="6">
        <f>+'SERVICIO FAENA'!F13</f>
        <v>3381.6</v>
      </c>
      <c r="G12" s="7">
        <f>+'SERVICIO FAENA'!J13</f>
        <v>1132836</v>
      </c>
      <c r="H12" s="7">
        <f>+'SERVICIO DESPOSTE'!W13</f>
        <v>0</v>
      </c>
      <c r="I12" s="36">
        <f t="shared" si="0"/>
        <v>1132836</v>
      </c>
      <c r="J12" s="8">
        <f>+MENUDENCIAS!I13</f>
        <v>0</v>
      </c>
      <c r="K12" s="8">
        <f>+MENUDENCIAS!O13</f>
        <v>0</v>
      </c>
      <c r="L12" s="8">
        <f>+'MERCADO INTERNO'!AG14</f>
        <v>0</v>
      </c>
      <c r="M12" s="7">
        <f>+RENDERING!H12</f>
        <v>0</v>
      </c>
      <c r="N12" s="7">
        <f>+RENDERING!F12</f>
        <v>0</v>
      </c>
      <c r="O12" s="7">
        <f>+RENDERING!J12</f>
        <v>0</v>
      </c>
      <c r="P12" s="7">
        <f>+CUEROS!N14</f>
        <v>0</v>
      </c>
      <c r="Q12" s="7">
        <f>+'GRASA DREASING'!G12</f>
        <v>0</v>
      </c>
    </row>
    <row r="13" spans="1:17" x14ac:dyDescent="0.2">
      <c r="A13" s="233"/>
      <c r="B13" s="5">
        <f>+'SERVICIO FAENA'!A14</f>
        <v>12</v>
      </c>
      <c r="C13" s="5" t="str">
        <f>+'SERVICIO FAENA'!B14</f>
        <v>FERREYRA MARTIN</v>
      </c>
      <c r="D13" s="5">
        <f>+'SERVICIO FAENA'!C14</f>
        <v>3</v>
      </c>
      <c r="E13" s="7">
        <f>+'SERVICIO FAENA'!H14</f>
        <v>335</v>
      </c>
      <c r="F13" s="6">
        <f>+'SERVICIO FAENA'!F14</f>
        <v>467.9</v>
      </c>
      <c r="G13" s="7">
        <f>+'SERVICIO FAENA'!J14</f>
        <v>156746.5</v>
      </c>
      <c r="H13" s="7">
        <f>+'SERVICIO DESPOSTE'!W14</f>
        <v>0</v>
      </c>
      <c r="I13" s="36">
        <f t="shared" si="0"/>
        <v>409253.22239999997</v>
      </c>
      <c r="J13" s="8">
        <f>+MENUDENCIAS!I14</f>
        <v>0</v>
      </c>
      <c r="K13" s="8">
        <f>+MENUDENCIAS!O14</f>
        <v>0</v>
      </c>
      <c r="L13" s="8">
        <f>+'MERCADO INTERNO'!AG15</f>
        <v>252506.7224</v>
      </c>
      <c r="M13" s="7">
        <f>+RENDERING!H13</f>
        <v>0</v>
      </c>
      <c r="N13" s="7">
        <f>+RENDERING!F13</f>
        <v>0</v>
      </c>
      <c r="O13" s="7">
        <f>+RENDERING!J13</f>
        <v>0</v>
      </c>
      <c r="P13" s="7">
        <f>+CUEROS!N15</f>
        <v>0</v>
      </c>
      <c r="Q13" s="7">
        <f>+'GRASA DREASING'!G13</f>
        <v>0</v>
      </c>
    </row>
    <row r="14" spans="1:17" x14ac:dyDescent="0.2">
      <c r="A14" s="233"/>
      <c r="B14" s="5">
        <f>+'SERVICIO FAENA'!A15</f>
        <v>13</v>
      </c>
      <c r="C14" s="5" t="str">
        <f>+'SERVICIO FAENA'!B15</f>
        <v>GANADERA NORTE NEUQUINO</v>
      </c>
      <c r="D14" s="5">
        <f>+'SERVICIO FAENA'!C15</f>
        <v>40</v>
      </c>
      <c r="E14" s="7">
        <f>+'SERVICIO FAENA'!H15</f>
        <v>335</v>
      </c>
      <c r="F14" s="6">
        <f>+'SERVICIO FAENA'!F15</f>
        <v>8946.1</v>
      </c>
      <c r="G14" s="7">
        <f>+'SERVICIO FAENA'!J15</f>
        <v>2996943.5</v>
      </c>
      <c r="H14" s="7">
        <f>+'SERVICIO DESPOSTE'!W15</f>
        <v>0</v>
      </c>
      <c r="I14" s="36">
        <f t="shared" si="0"/>
        <v>3253567.94942</v>
      </c>
      <c r="J14" s="8">
        <f>+MENUDENCIAS!I15</f>
        <v>0</v>
      </c>
      <c r="K14" s="8">
        <f>+MENUDENCIAS!O15</f>
        <v>0</v>
      </c>
      <c r="L14" s="8">
        <f>+'MERCADO INTERNO'!AG16</f>
        <v>256624.44942000002</v>
      </c>
      <c r="M14" s="7">
        <f>+RENDERING!H14</f>
        <v>0</v>
      </c>
      <c r="N14" s="7">
        <f>+RENDERING!F14</f>
        <v>0</v>
      </c>
      <c r="O14" s="7">
        <f>+RENDERING!J14</f>
        <v>0</v>
      </c>
      <c r="P14" s="7">
        <f>+CUEROS!N16</f>
        <v>0</v>
      </c>
      <c r="Q14" s="7">
        <f>+'GRASA DREASING'!G14</f>
        <v>0</v>
      </c>
    </row>
    <row r="15" spans="1:17" x14ac:dyDescent="0.2">
      <c r="A15" s="233"/>
      <c r="B15" s="5">
        <f>+'SERVICIO FAENA'!A16</f>
        <v>14</v>
      </c>
      <c r="C15" s="5" t="str">
        <f>+'SERVICIO FAENA'!B16</f>
        <v>FRIGORIFICO DE LA PATAGONIA SRL</v>
      </c>
      <c r="D15" s="5">
        <f>+'SERVICIO FAENA'!C16</f>
        <v>35</v>
      </c>
      <c r="E15" s="7">
        <f>+'SERVICIO FAENA'!H16</f>
        <v>335</v>
      </c>
      <c r="F15" s="6">
        <f>+'SERVICIO FAENA'!F16</f>
        <v>5797.4</v>
      </c>
      <c r="G15" s="7">
        <f>+'SERVICIO FAENA'!J16</f>
        <v>1942128.9999999998</v>
      </c>
      <c r="H15" s="7">
        <f>+'SERVICIO DESPOSTE'!W16</f>
        <v>0</v>
      </c>
      <c r="I15" s="36">
        <f t="shared" si="0"/>
        <v>2011728.9999999998</v>
      </c>
      <c r="J15" s="8">
        <f>+MENUDENCIAS!I16</f>
        <v>0</v>
      </c>
      <c r="K15" s="8">
        <f>+MENUDENCIAS!O16</f>
        <v>0</v>
      </c>
      <c r="L15" s="8">
        <f>+'MERCADO INTERNO'!AG17</f>
        <v>0</v>
      </c>
      <c r="M15" s="7">
        <f>+RENDERING!H15</f>
        <v>16000</v>
      </c>
      <c r="N15" s="7">
        <f>+RENDERING!F15</f>
        <v>40000</v>
      </c>
      <c r="O15" s="7">
        <f>+RENDERING!J15</f>
        <v>13600</v>
      </c>
      <c r="P15" s="7">
        <f>+CUEROS!N17</f>
        <v>0</v>
      </c>
      <c r="Q15" s="7">
        <f>+'GRASA DREASING'!G15</f>
        <v>0</v>
      </c>
    </row>
    <row r="16" spans="1:17" x14ac:dyDescent="0.2">
      <c r="A16" s="233"/>
      <c r="B16" s="5">
        <f>+'SERVICIO FAENA'!A17</f>
        <v>15</v>
      </c>
      <c r="C16" s="5" t="str">
        <f>+'SERVICIO FAENA'!B17</f>
        <v>GANADERA NORTE NEUQUINO</v>
      </c>
      <c r="D16" s="5">
        <f>+'SERVICIO FAENA'!C17</f>
        <v>46</v>
      </c>
      <c r="E16" s="7">
        <f>+'SERVICIO FAENA'!H17</f>
        <v>335</v>
      </c>
      <c r="F16" s="6">
        <f>+'SERVICIO FAENA'!F17</f>
        <v>9276.2000000000007</v>
      </c>
      <c r="G16" s="7">
        <f>+'SERVICIO FAENA'!J17</f>
        <v>3107527.0000000005</v>
      </c>
      <c r="H16" s="7">
        <f>+'SERVICIO DESPOSTE'!W17</f>
        <v>0</v>
      </c>
      <c r="I16" s="36">
        <f t="shared" si="0"/>
        <v>3293927.0000000005</v>
      </c>
      <c r="J16" s="8">
        <f>+MENUDENCIAS!I17</f>
        <v>0</v>
      </c>
      <c r="K16" s="8">
        <f>+MENUDENCIAS!O17</f>
        <v>0</v>
      </c>
      <c r="L16" s="8">
        <f>+'MERCADO INTERNO'!AG18</f>
        <v>0</v>
      </c>
      <c r="M16" s="7">
        <f>+RENDERING!H16</f>
        <v>46400</v>
      </c>
      <c r="N16" s="7">
        <f>+RENDERING!F16</f>
        <v>115200</v>
      </c>
      <c r="O16" s="7">
        <f>+RENDERING!J16</f>
        <v>24800</v>
      </c>
      <c r="P16" s="7">
        <f>+CUEROS!N18</f>
        <v>0</v>
      </c>
      <c r="Q16" s="7">
        <f>+'GRASA DREASING'!G16</f>
        <v>0</v>
      </c>
    </row>
    <row r="17" spans="1:17" x14ac:dyDescent="0.2">
      <c r="A17" s="233"/>
      <c r="B17" s="5">
        <f>+'SERVICIO FAENA'!A18</f>
        <v>16</v>
      </c>
      <c r="C17" s="5" t="str">
        <f>+'SERVICIO FAENA'!B18</f>
        <v>MORAGA</v>
      </c>
      <c r="D17" s="5">
        <f>+'SERVICIO FAENA'!C18</f>
        <v>15</v>
      </c>
      <c r="E17" s="7">
        <f>+'SERVICIO FAENA'!H18</f>
        <v>335</v>
      </c>
      <c r="F17" s="6">
        <f>+'SERVICIO FAENA'!F18</f>
        <v>3771.7</v>
      </c>
      <c r="G17" s="7">
        <f>+'SERVICIO FAENA'!J18</f>
        <v>1263519.5</v>
      </c>
      <c r="H17" s="7">
        <f>+'SERVICIO DESPOSTE'!W18</f>
        <v>0</v>
      </c>
      <c r="I17" s="36">
        <f t="shared" si="0"/>
        <v>1263519.5</v>
      </c>
      <c r="J17" s="8">
        <f>+MENUDENCIAS!I18</f>
        <v>0</v>
      </c>
      <c r="K17" s="8">
        <f>+MENUDENCIAS!O18</f>
        <v>0</v>
      </c>
      <c r="L17" s="8">
        <f>+'MERCADO INTERNO'!AG19</f>
        <v>0</v>
      </c>
      <c r="M17" s="7">
        <f>+RENDERING!H17</f>
        <v>0</v>
      </c>
      <c r="N17" s="7">
        <f>+RENDERING!F17</f>
        <v>0</v>
      </c>
      <c r="O17" s="7">
        <f>+RENDERING!J17</f>
        <v>0</v>
      </c>
      <c r="P17" s="7">
        <f>+CUEROS!N19</f>
        <v>0</v>
      </c>
      <c r="Q17" s="7">
        <f>+'GRASA DREASING'!G17</f>
        <v>0</v>
      </c>
    </row>
    <row r="18" spans="1:17" x14ac:dyDescent="0.2">
      <c r="A18" s="233"/>
      <c r="B18" s="5">
        <f>+'SERVICIO FAENA'!A19</f>
        <v>17</v>
      </c>
      <c r="C18" s="5" t="str">
        <f>+'SERVICIO FAENA'!B19</f>
        <v>LASAGNO JORGE ALBERTO</v>
      </c>
      <c r="D18" s="5">
        <f>+'SERVICIO FAENA'!C19</f>
        <v>17</v>
      </c>
      <c r="E18" s="7">
        <f>+'SERVICIO FAENA'!H19</f>
        <v>335</v>
      </c>
      <c r="F18" s="6">
        <f>+'SERVICIO FAENA'!F19</f>
        <v>3815</v>
      </c>
      <c r="G18" s="7">
        <f>+'SERVICIO FAENA'!J19</f>
        <v>1278025</v>
      </c>
      <c r="H18" s="7">
        <f>+'SERVICIO DESPOSTE'!W19</f>
        <v>0</v>
      </c>
      <c r="I18" s="36">
        <f t="shared" si="0"/>
        <v>1278025</v>
      </c>
      <c r="J18" s="8">
        <f>+MENUDENCIAS!I19</f>
        <v>0</v>
      </c>
      <c r="K18" s="8">
        <f>+MENUDENCIAS!O19</f>
        <v>0</v>
      </c>
      <c r="L18" s="8">
        <f>+'MERCADO INTERNO'!AG20</f>
        <v>0</v>
      </c>
      <c r="M18" s="7">
        <f>+RENDERING!H18</f>
        <v>0</v>
      </c>
      <c r="N18" s="7">
        <f>+RENDERING!F18</f>
        <v>0</v>
      </c>
      <c r="O18" s="7">
        <f>+RENDERING!J18</f>
        <v>0</v>
      </c>
      <c r="P18" s="7">
        <f>+CUEROS!N20</f>
        <v>0</v>
      </c>
      <c r="Q18" s="7">
        <f>+'GRASA DREASING'!G18</f>
        <v>0</v>
      </c>
    </row>
    <row r="19" spans="1:17" x14ac:dyDescent="0.2">
      <c r="A19" s="233"/>
      <c r="B19" s="5">
        <f>+'SERVICIO FAENA'!A20</f>
        <v>18</v>
      </c>
      <c r="C19" s="5" t="str">
        <f>+'SERVICIO FAENA'!B20</f>
        <v>GANADERA NORTE NEUQUINO</v>
      </c>
      <c r="D19" s="5">
        <f>+'SERVICIO FAENA'!C20</f>
        <v>43</v>
      </c>
      <c r="E19" s="7">
        <f>+'SERVICIO FAENA'!H20</f>
        <v>335</v>
      </c>
      <c r="F19" s="6">
        <f>+'SERVICIO FAENA'!F20</f>
        <v>8837.2999999999993</v>
      </c>
      <c r="G19" s="7">
        <f>+'SERVICIO FAENA'!J20</f>
        <v>2960495.4999999995</v>
      </c>
      <c r="H19" s="7">
        <f>+'SERVICIO DESPOSTE'!W20</f>
        <v>0</v>
      </c>
      <c r="I19" s="36">
        <f t="shared" si="0"/>
        <v>3095695.4999999995</v>
      </c>
      <c r="J19" s="8">
        <f>+MENUDENCIAS!I20</f>
        <v>0</v>
      </c>
      <c r="K19" s="8">
        <f>+MENUDENCIAS!O20</f>
        <v>0</v>
      </c>
      <c r="L19" s="8">
        <f>+'MERCADO INTERNO'!AG21</f>
        <v>0</v>
      </c>
      <c r="M19" s="7">
        <f>+RENDERING!H19</f>
        <v>46400</v>
      </c>
      <c r="N19" s="7">
        <f>+RENDERING!F19</f>
        <v>57600</v>
      </c>
      <c r="O19" s="7">
        <f>+RENDERING!J19</f>
        <v>31200</v>
      </c>
      <c r="P19" s="7">
        <f>+CUEROS!N21</f>
        <v>0</v>
      </c>
      <c r="Q19" s="7">
        <f>+'GRASA DREASING'!G19</f>
        <v>0</v>
      </c>
    </row>
    <row r="20" spans="1:17" x14ac:dyDescent="0.2">
      <c r="A20" s="233"/>
      <c r="B20" s="5">
        <f>+'SERVICIO FAENA'!A21</f>
        <v>19</v>
      </c>
      <c r="C20" s="5" t="str">
        <f>+'SERVICIO FAENA'!B21</f>
        <v>DOS DE FIERRO SA</v>
      </c>
      <c r="D20" s="5">
        <f>+'SERVICIO FAENA'!C21</f>
        <v>25</v>
      </c>
      <c r="E20" s="7">
        <f>+'SERVICIO FAENA'!H21</f>
        <v>335</v>
      </c>
      <c r="F20" s="6">
        <f>+'SERVICIO FAENA'!F21</f>
        <v>5048.5</v>
      </c>
      <c r="G20" s="7">
        <f>+'SERVICIO FAENA'!J21</f>
        <v>1691247.5</v>
      </c>
      <c r="H20" s="7">
        <f>+'SERVICIO DESPOSTE'!W21</f>
        <v>0</v>
      </c>
      <c r="I20" s="36">
        <f t="shared" si="0"/>
        <v>1691247.5</v>
      </c>
      <c r="J20" s="8">
        <f>+MENUDENCIAS!I21</f>
        <v>0</v>
      </c>
      <c r="K20" s="8">
        <f>+MENUDENCIAS!O21</f>
        <v>0</v>
      </c>
      <c r="L20" s="8">
        <f>+'MERCADO INTERNO'!AG22</f>
        <v>0</v>
      </c>
      <c r="M20" s="7">
        <f>+RENDERING!H20</f>
        <v>0</v>
      </c>
      <c r="N20" s="7">
        <f>+RENDERING!F20</f>
        <v>0</v>
      </c>
      <c r="O20" s="7">
        <f>+RENDERING!J20</f>
        <v>0</v>
      </c>
      <c r="P20" s="7">
        <f>+CUEROS!N22</f>
        <v>0</v>
      </c>
      <c r="Q20" s="7">
        <f>+'GRASA DREASING'!G20</f>
        <v>0</v>
      </c>
    </row>
    <row r="21" spans="1:17" x14ac:dyDescent="0.2">
      <c r="A21" s="233"/>
      <c r="B21" s="5">
        <f>+'SERVICIO FAENA'!A22</f>
        <v>20</v>
      </c>
      <c r="C21" s="5" t="str">
        <f>+'SERVICIO FAENA'!B22</f>
        <v>FERREYRA MARTIN</v>
      </c>
      <c r="D21" s="5">
        <f>+'SERVICIO FAENA'!C22</f>
        <v>15</v>
      </c>
      <c r="E21" s="7">
        <f>+'SERVICIO FAENA'!H22</f>
        <v>335</v>
      </c>
      <c r="F21" s="6">
        <f>+'SERVICIO FAENA'!F22</f>
        <v>2689.9</v>
      </c>
      <c r="G21" s="7">
        <f>+'SERVICIO FAENA'!J22</f>
        <v>901116.5</v>
      </c>
      <c r="H21" s="7">
        <f>+'SERVICIO DESPOSTE'!W22</f>
        <v>0</v>
      </c>
      <c r="I21" s="36">
        <f t="shared" si="0"/>
        <v>901116.5</v>
      </c>
      <c r="J21" s="8">
        <f>+MENUDENCIAS!I22</f>
        <v>0</v>
      </c>
      <c r="K21" s="8">
        <f>+MENUDENCIAS!O22</f>
        <v>0</v>
      </c>
      <c r="L21" s="8">
        <f>+'MERCADO INTERNO'!AG23</f>
        <v>0</v>
      </c>
      <c r="M21" s="7">
        <f>+RENDERING!H21</f>
        <v>0</v>
      </c>
      <c r="N21" s="7">
        <f>+RENDERING!F21</f>
        <v>0</v>
      </c>
      <c r="O21" s="7">
        <f>+RENDERING!J21</f>
        <v>0</v>
      </c>
      <c r="P21" s="7">
        <f>+CUEROS!N23</f>
        <v>0</v>
      </c>
      <c r="Q21" s="7">
        <f>+'GRASA DREASING'!G21</f>
        <v>0</v>
      </c>
    </row>
    <row r="22" spans="1:17" x14ac:dyDescent="0.2">
      <c r="A22" s="233"/>
      <c r="B22" s="5">
        <f>+'SERVICIO FAENA'!A23</f>
        <v>21</v>
      </c>
      <c r="C22" s="5" t="str">
        <f>+'SERVICIO FAENA'!B23</f>
        <v>MUCA SAS</v>
      </c>
      <c r="D22" s="5">
        <f>+'SERVICIO FAENA'!C23</f>
        <v>8</v>
      </c>
      <c r="E22" s="7">
        <f>+'SERVICIO FAENA'!H23</f>
        <v>335</v>
      </c>
      <c r="F22" s="6">
        <f>+'SERVICIO FAENA'!F23</f>
        <v>2076.3000000000002</v>
      </c>
      <c r="G22" s="7">
        <f>+'SERVICIO FAENA'!J23</f>
        <v>695560.50000000012</v>
      </c>
      <c r="H22" s="7">
        <f>+'SERVICIO DESPOSTE'!W23</f>
        <v>0</v>
      </c>
      <c r="I22" s="36">
        <f t="shared" si="0"/>
        <v>761960.50000000012</v>
      </c>
      <c r="J22" s="8">
        <f>+MENUDENCIAS!I23</f>
        <v>0</v>
      </c>
      <c r="K22" s="8">
        <f>+MENUDENCIAS!O23</f>
        <v>0</v>
      </c>
      <c r="L22" s="8">
        <f>+'MERCADO INTERNO'!AG24</f>
        <v>0</v>
      </c>
      <c r="M22" s="7">
        <f>+RENDERING!H22</f>
        <v>16800</v>
      </c>
      <c r="N22" s="7">
        <f>+RENDERING!F22</f>
        <v>40000</v>
      </c>
      <c r="O22" s="7">
        <f>+RENDERING!J22</f>
        <v>9600</v>
      </c>
      <c r="P22" s="7">
        <f>+CUEROS!N24</f>
        <v>0</v>
      </c>
      <c r="Q22" s="7">
        <f>+'GRASA DREASING'!G22</f>
        <v>0</v>
      </c>
    </row>
    <row r="23" spans="1:17" x14ac:dyDescent="0.2">
      <c r="A23" s="233"/>
      <c r="B23" s="5">
        <f>+'SERVICIO FAENA'!A24</f>
        <v>22</v>
      </c>
      <c r="C23" s="5" t="str">
        <f>+'SERVICIO FAENA'!B24</f>
        <v>MUCA SAS</v>
      </c>
      <c r="D23" s="5">
        <f>+'SERVICIO FAENA'!C24</f>
        <v>7</v>
      </c>
      <c r="E23" s="7">
        <f>+'SERVICIO FAENA'!H24</f>
        <v>335</v>
      </c>
      <c r="F23" s="6">
        <f>+'SERVICIO FAENA'!F24</f>
        <v>1852.3</v>
      </c>
      <c r="G23" s="7">
        <f>+'SERVICIO FAENA'!J24</f>
        <v>620520.5</v>
      </c>
      <c r="H23" s="7">
        <f>+'SERVICIO DESPOSTE'!W24</f>
        <v>0</v>
      </c>
      <c r="I23" s="36">
        <f t="shared" si="0"/>
        <v>620520.5</v>
      </c>
      <c r="J23" s="8">
        <f>+MENUDENCIAS!I24</f>
        <v>0</v>
      </c>
      <c r="K23" s="8">
        <f>+MENUDENCIAS!O24</f>
        <v>0</v>
      </c>
      <c r="L23" s="8">
        <f>+'MERCADO INTERNO'!AG25</f>
        <v>0</v>
      </c>
      <c r="M23" s="7">
        <f>+RENDERING!H23</f>
        <v>0</v>
      </c>
      <c r="N23" s="7">
        <f>+RENDERING!F23</f>
        <v>0</v>
      </c>
      <c r="O23" s="7">
        <f>+RENDERING!J23</f>
        <v>0</v>
      </c>
      <c r="P23" s="7">
        <f>+CUEROS!N25</f>
        <v>0</v>
      </c>
      <c r="Q23" s="7">
        <f>+'GRASA DREASING'!G23</f>
        <v>0</v>
      </c>
    </row>
    <row r="24" spans="1:17" x14ac:dyDescent="0.2">
      <c r="A24" s="233"/>
      <c r="B24" s="5">
        <f>+'SERVICIO FAENA'!A25</f>
        <v>23</v>
      </c>
      <c r="C24" s="5" t="str">
        <f>+'SERVICIO FAENA'!B25</f>
        <v>MUCA SAS</v>
      </c>
      <c r="D24" s="5">
        <f>+'SERVICIO FAENA'!C25</f>
        <v>5</v>
      </c>
      <c r="E24" s="7">
        <f>+'SERVICIO FAENA'!H25</f>
        <v>335</v>
      </c>
      <c r="F24" s="6">
        <f>+'SERVICIO FAENA'!F25</f>
        <v>2266.5</v>
      </c>
      <c r="G24" s="7">
        <f>+'SERVICIO FAENA'!J25</f>
        <v>759277.5</v>
      </c>
      <c r="H24" s="7">
        <f>+'SERVICIO DESPOSTE'!W25</f>
        <v>0</v>
      </c>
      <c r="I24" s="36">
        <f t="shared" si="0"/>
        <v>759277.5</v>
      </c>
      <c r="J24" s="8">
        <f>+MENUDENCIAS!I25</f>
        <v>0</v>
      </c>
      <c r="K24" s="8">
        <f>+MENUDENCIAS!O25</f>
        <v>0</v>
      </c>
      <c r="L24" s="8">
        <f>+'MERCADO INTERNO'!AG26</f>
        <v>0</v>
      </c>
      <c r="M24" s="7">
        <f>+RENDERING!H24</f>
        <v>0</v>
      </c>
      <c r="N24" s="7">
        <f>+RENDERING!F24</f>
        <v>0</v>
      </c>
      <c r="O24" s="7">
        <f>+RENDERING!J24</f>
        <v>0</v>
      </c>
      <c r="P24" s="7">
        <f>+CUEROS!N26</f>
        <v>0</v>
      </c>
      <c r="Q24" s="7">
        <f>+'GRASA DREASING'!G24</f>
        <v>0</v>
      </c>
    </row>
    <row r="25" spans="1:17" x14ac:dyDescent="0.2">
      <c r="A25" s="233"/>
      <c r="B25" s="5">
        <f>+'SERVICIO FAENA'!A26</f>
        <v>24</v>
      </c>
      <c r="C25" s="5" t="str">
        <f>+'SERVICIO FAENA'!B26</f>
        <v>FERREYRA MARTIN</v>
      </c>
      <c r="D25" s="5">
        <f>+'SERVICIO FAENA'!C26</f>
        <v>30</v>
      </c>
      <c r="E25" s="7">
        <f>+'SERVICIO FAENA'!H26</f>
        <v>335</v>
      </c>
      <c r="F25" s="6">
        <f>+'SERVICIO FAENA'!F26</f>
        <v>5913.5</v>
      </c>
      <c r="G25" s="7">
        <f>+'SERVICIO FAENA'!J26</f>
        <v>1981022.5</v>
      </c>
      <c r="H25" s="7">
        <f>+'SERVICIO DESPOSTE'!W26</f>
        <v>0</v>
      </c>
      <c r="I25" s="36">
        <f t="shared" si="0"/>
        <v>2063422.5</v>
      </c>
      <c r="J25" s="8">
        <f>+MENUDENCIAS!I26</f>
        <v>0</v>
      </c>
      <c r="K25" s="8">
        <f>+MENUDENCIAS!O26</f>
        <v>0</v>
      </c>
      <c r="L25" s="8">
        <f>+'MERCADO INTERNO'!AG27</f>
        <v>0</v>
      </c>
      <c r="M25" s="7">
        <f>+RENDERING!H25</f>
        <v>19200</v>
      </c>
      <c r="N25" s="7">
        <f>+RENDERING!F25</f>
        <v>47200</v>
      </c>
      <c r="O25" s="7">
        <f>+RENDERING!J25</f>
        <v>16000</v>
      </c>
      <c r="P25" s="7">
        <f>+CUEROS!N27</f>
        <v>0</v>
      </c>
      <c r="Q25" s="7">
        <f>+'GRASA DREASING'!G25</f>
        <v>0</v>
      </c>
    </row>
    <row r="26" spans="1:17" x14ac:dyDescent="0.2">
      <c r="A26" s="233"/>
      <c r="B26" s="5">
        <f>+'SERVICIO FAENA'!A27</f>
        <v>25</v>
      </c>
      <c r="C26" s="5" t="str">
        <f>+'SERVICIO FAENA'!B27</f>
        <v>FERREYRA ALBERTO</v>
      </c>
      <c r="D26" s="5">
        <f>+'SERVICIO FAENA'!C27</f>
        <v>6</v>
      </c>
      <c r="E26" s="7">
        <f>+'SERVICIO FAENA'!H27</f>
        <v>335</v>
      </c>
      <c r="F26" s="6">
        <f>+'SERVICIO FAENA'!F27</f>
        <v>1026</v>
      </c>
      <c r="G26" s="7">
        <f>+'SERVICIO FAENA'!J27</f>
        <v>343710</v>
      </c>
      <c r="H26" s="7">
        <f>+'SERVICIO DESPOSTE'!W27</f>
        <v>0</v>
      </c>
      <c r="I26" s="36">
        <f t="shared" si="0"/>
        <v>343710</v>
      </c>
      <c r="J26" s="8">
        <f>+MENUDENCIAS!I27</f>
        <v>0</v>
      </c>
      <c r="K26" s="8">
        <f>+MENUDENCIAS!O27</f>
        <v>0</v>
      </c>
      <c r="L26" s="8">
        <f>+'MERCADO INTERNO'!AG28</f>
        <v>0</v>
      </c>
      <c r="M26" s="7">
        <f>+RENDERING!H26</f>
        <v>0</v>
      </c>
      <c r="N26" s="7">
        <f>+RENDERING!F26</f>
        <v>0</v>
      </c>
      <c r="O26" s="7">
        <f>+RENDERING!J26</f>
        <v>0</v>
      </c>
      <c r="P26" s="7">
        <f>+CUEROS!N28</f>
        <v>0</v>
      </c>
      <c r="Q26" s="7">
        <f>+'GRASA DREASING'!G26</f>
        <v>0</v>
      </c>
    </row>
    <row r="27" spans="1:17" x14ac:dyDescent="0.2">
      <c r="A27" s="233"/>
      <c r="B27" s="5">
        <f>+'SERVICIO FAENA'!A28</f>
        <v>26</v>
      </c>
      <c r="C27" s="5" t="str">
        <f>+'SERVICIO FAENA'!B28</f>
        <v>FRIGORIFICO DE LA PATAGONIA SRL</v>
      </c>
      <c r="D27" s="5">
        <f>+'SERVICIO FAENA'!C28</f>
        <v>50</v>
      </c>
      <c r="E27" s="7">
        <f>+'SERVICIO FAENA'!H28</f>
        <v>335</v>
      </c>
      <c r="F27" s="6">
        <f>+'SERVICIO FAENA'!F28</f>
        <v>11388.5</v>
      </c>
      <c r="G27" s="7">
        <f>+'SERVICIO FAENA'!J28</f>
        <v>3815147.5</v>
      </c>
      <c r="H27" s="7">
        <f>+'SERVICIO DESPOSTE'!W28</f>
        <v>0</v>
      </c>
      <c r="I27" s="36">
        <f t="shared" si="0"/>
        <v>3949547.5</v>
      </c>
      <c r="J27" s="8">
        <f>+MENUDENCIAS!I28</f>
        <v>0</v>
      </c>
      <c r="K27" s="8">
        <f>+MENUDENCIAS!O28</f>
        <v>0</v>
      </c>
      <c r="L27" s="8">
        <f>+'MERCADO INTERNO'!AG29</f>
        <v>0</v>
      </c>
      <c r="M27" s="7">
        <f>+RENDERING!H27</f>
        <v>32000</v>
      </c>
      <c r="N27" s="7">
        <f>+RENDERING!F27</f>
        <v>83200</v>
      </c>
      <c r="O27" s="7">
        <f>+RENDERING!J27</f>
        <v>19200</v>
      </c>
      <c r="P27" s="7">
        <f>+CUEROS!N29</f>
        <v>0</v>
      </c>
      <c r="Q27" s="7">
        <f>+'GRASA DREASING'!G27</f>
        <v>0</v>
      </c>
    </row>
    <row r="28" spans="1:17" x14ac:dyDescent="0.2">
      <c r="A28" s="233"/>
      <c r="B28" s="5">
        <f>+'SERVICIO FAENA'!A29</f>
        <v>27</v>
      </c>
      <c r="C28" s="5" t="str">
        <f>+'SERVICIO FAENA'!B29</f>
        <v>GANADERA NORTE NEUQUINO</v>
      </c>
      <c r="D28" s="5">
        <f>+'SERVICIO FAENA'!C29</f>
        <v>40</v>
      </c>
      <c r="E28" s="7">
        <f>+'SERVICIO FAENA'!H29</f>
        <v>420</v>
      </c>
      <c r="F28" s="6">
        <f>+'SERVICIO FAENA'!F29</f>
        <v>9184</v>
      </c>
      <c r="G28" s="7">
        <f>+'SERVICIO FAENA'!J29</f>
        <v>3857280</v>
      </c>
      <c r="H28" s="7">
        <f>+'SERVICIO DESPOSTE'!W29</f>
        <v>0</v>
      </c>
      <c r="I28" s="36">
        <f t="shared" si="0"/>
        <v>4058880</v>
      </c>
      <c r="J28" s="8">
        <f>+MENUDENCIAS!I29</f>
        <v>0</v>
      </c>
      <c r="K28" s="8">
        <f>+MENUDENCIAS!O29</f>
        <v>0</v>
      </c>
      <c r="L28" s="8">
        <f>+'MERCADO INTERNO'!AG30</f>
        <v>0</v>
      </c>
      <c r="M28" s="7">
        <f>+RENDERING!H28</f>
        <v>51200</v>
      </c>
      <c r="N28" s="7">
        <f>+RENDERING!F28</f>
        <v>120800</v>
      </c>
      <c r="O28" s="7">
        <f>+RENDERING!J28</f>
        <v>29600</v>
      </c>
      <c r="P28" s="7">
        <f>+CUEROS!N30</f>
        <v>0</v>
      </c>
      <c r="Q28" s="7">
        <f>+'GRASA DREASING'!G28</f>
        <v>0</v>
      </c>
    </row>
    <row r="29" spans="1:17" x14ac:dyDescent="0.2">
      <c r="A29" s="233"/>
      <c r="B29" s="5">
        <f>+'SERVICIO FAENA'!A30</f>
        <v>28</v>
      </c>
      <c r="C29" s="5" t="str">
        <f>+'SERVICIO FAENA'!B30</f>
        <v>DOS DE FIERRO SA</v>
      </c>
      <c r="D29" s="5">
        <f>+'SERVICIO FAENA'!C30</f>
        <v>26</v>
      </c>
      <c r="E29" s="7">
        <f>+'SERVICIO FAENA'!H30</f>
        <v>420</v>
      </c>
      <c r="F29" s="6">
        <f>+'SERVICIO FAENA'!F30</f>
        <v>5329.9</v>
      </c>
      <c r="G29" s="7">
        <f>+'SERVICIO FAENA'!J30</f>
        <v>2238558</v>
      </c>
      <c r="H29" s="7">
        <f>+'SERVICIO DESPOSTE'!W30</f>
        <v>0</v>
      </c>
      <c r="I29" s="36">
        <f t="shared" si="0"/>
        <v>2238558</v>
      </c>
      <c r="J29" s="8">
        <f>+MENUDENCIAS!I30</f>
        <v>0</v>
      </c>
      <c r="K29" s="8">
        <f>+MENUDENCIAS!O30</f>
        <v>0</v>
      </c>
      <c r="L29" s="8">
        <f>+'MERCADO INTERNO'!AG31</f>
        <v>0</v>
      </c>
      <c r="M29" s="7">
        <f>+RENDERING!H29</f>
        <v>0</v>
      </c>
      <c r="N29" s="7">
        <f>+RENDERING!F29</f>
        <v>0</v>
      </c>
      <c r="O29" s="7">
        <f>+RENDERING!J29</f>
        <v>0</v>
      </c>
      <c r="P29" s="7">
        <f>+CUEROS!N31</f>
        <v>0</v>
      </c>
      <c r="Q29" s="7">
        <f>+'GRASA DREASING'!G29</f>
        <v>0</v>
      </c>
    </row>
    <row r="30" spans="1:17" x14ac:dyDescent="0.2">
      <c r="A30" s="233"/>
      <c r="B30" s="5">
        <f>+'SERVICIO FAENA'!A31</f>
        <v>29</v>
      </c>
      <c r="C30" s="5" t="str">
        <f>+'SERVICIO FAENA'!B31</f>
        <v>FERREYRA MARTIN</v>
      </c>
      <c r="D30" s="5">
        <f>+'SERVICIO FAENA'!C31</f>
        <v>15</v>
      </c>
      <c r="E30" s="7">
        <f>+'SERVICIO FAENA'!H31</f>
        <v>420</v>
      </c>
      <c r="F30" s="6">
        <f>+'SERVICIO FAENA'!F31</f>
        <v>2923.1</v>
      </c>
      <c r="G30" s="7">
        <f>+'SERVICIO FAENA'!J31</f>
        <v>1227702</v>
      </c>
      <c r="H30" s="7">
        <f>+'SERVICIO DESPOSTE'!W31</f>
        <v>0</v>
      </c>
      <c r="I30" s="36">
        <f t="shared" si="0"/>
        <v>1227702</v>
      </c>
      <c r="J30" s="8">
        <f>+MENUDENCIAS!I31</f>
        <v>0</v>
      </c>
      <c r="K30" s="8">
        <f>+MENUDENCIAS!O31</f>
        <v>0</v>
      </c>
      <c r="L30" s="8">
        <f>+'MERCADO INTERNO'!AG32</f>
        <v>0</v>
      </c>
      <c r="M30" s="7">
        <f>+RENDERING!H30</f>
        <v>0</v>
      </c>
      <c r="N30" s="7">
        <f>+RENDERING!F30</f>
        <v>0</v>
      </c>
      <c r="O30" s="7">
        <f>+RENDERING!J30</f>
        <v>0</v>
      </c>
      <c r="P30" s="7">
        <f>+CUEROS!N32</f>
        <v>0</v>
      </c>
      <c r="Q30" s="7">
        <f>+'GRASA DREASING'!G30</f>
        <v>0</v>
      </c>
    </row>
    <row r="31" spans="1:17" x14ac:dyDescent="0.2">
      <c r="A31" s="233"/>
      <c r="B31" s="5">
        <f>+'SERVICIO FAENA'!A32</f>
        <v>30</v>
      </c>
      <c r="C31" s="5" t="str">
        <f>+'SERVICIO FAENA'!B32</f>
        <v>BOSQUES AMADOS SRL</v>
      </c>
      <c r="D31" s="5">
        <f>+'SERVICIO FAENA'!C32</f>
        <v>18</v>
      </c>
      <c r="E31" s="7">
        <f>+'SERVICIO FAENA'!H32</f>
        <v>420</v>
      </c>
      <c r="F31" s="6">
        <f>+'SERVICIO FAENA'!F32</f>
        <v>3827.7</v>
      </c>
      <c r="G31" s="7">
        <f>+'SERVICIO FAENA'!J32</f>
        <v>1607634</v>
      </c>
      <c r="H31" s="7">
        <f>+'SERVICIO DESPOSTE'!W32</f>
        <v>0</v>
      </c>
      <c r="I31" s="36">
        <f t="shared" si="0"/>
        <v>1784434</v>
      </c>
      <c r="J31" s="8">
        <f>+MENUDENCIAS!I32</f>
        <v>0</v>
      </c>
      <c r="K31" s="8">
        <f>+MENUDENCIAS!O32</f>
        <v>0</v>
      </c>
      <c r="L31" s="8">
        <f>+'MERCADO INTERNO'!AG33</f>
        <v>0</v>
      </c>
      <c r="M31" s="7">
        <f>+RENDERING!H31</f>
        <v>36000</v>
      </c>
      <c r="N31" s="7">
        <f>+RENDERING!F31</f>
        <v>103200</v>
      </c>
      <c r="O31" s="7">
        <f>+RENDERING!J31</f>
        <v>37600</v>
      </c>
      <c r="P31" s="7">
        <f>+CUEROS!N33</f>
        <v>0</v>
      </c>
      <c r="Q31" s="7">
        <f>+'GRASA DREASING'!G31</f>
        <v>0</v>
      </c>
    </row>
    <row r="32" spans="1:17" x14ac:dyDescent="0.2">
      <c r="A32" s="233"/>
      <c r="B32" s="5">
        <f>+'SERVICIO FAENA'!A33</f>
        <v>31</v>
      </c>
      <c r="C32" s="5" t="str">
        <f>+'SERVICIO FAENA'!B33</f>
        <v>MUCA SAS</v>
      </c>
      <c r="D32" s="5">
        <f>+'SERVICIO FAENA'!C33</f>
        <v>50</v>
      </c>
      <c r="E32" s="7">
        <f>+'SERVICIO FAENA'!H33</f>
        <v>420</v>
      </c>
      <c r="F32" s="6">
        <f>+'SERVICIO FAENA'!F33</f>
        <v>14763.6</v>
      </c>
      <c r="G32" s="7">
        <f>+'SERVICIO FAENA'!J33</f>
        <v>6200712</v>
      </c>
      <c r="H32" s="7">
        <f>+'SERVICIO DESPOSTE'!W33</f>
        <v>0</v>
      </c>
      <c r="I32" s="36">
        <f t="shared" si="0"/>
        <v>6240712</v>
      </c>
      <c r="J32" s="8">
        <f>+MENUDENCIAS!I33</f>
        <v>0</v>
      </c>
      <c r="K32" s="8">
        <f>+MENUDENCIAS!O33</f>
        <v>0</v>
      </c>
      <c r="L32" s="8">
        <f>+'MERCADO INTERNO'!AG34</f>
        <v>0</v>
      </c>
      <c r="M32" s="7">
        <f>+RENDERING!H32</f>
        <v>9600</v>
      </c>
      <c r="N32" s="7">
        <f>+RENDERING!F32</f>
        <v>23200</v>
      </c>
      <c r="O32" s="7">
        <f>+RENDERING!J32</f>
        <v>7200</v>
      </c>
      <c r="P32" s="7">
        <f>+CUEROS!N34</f>
        <v>0</v>
      </c>
      <c r="Q32" s="7">
        <f>+'GRASA DREASING'!G32</f>
        <v>0</v>
      </c>
    </row>
    <row r="33" spans="1:17" x14ac:dyDescent="0.2">
      <c r="A33" s="233"/>
      <c r="B33" s="5">
        <f>+'SERVICIO FAENA'!A34</f>
        <v>32</v>
      </c>
      <c r="C33" s="5" t="str">
        <f>+'SERVICIO FAENA'!B34</f>
        <v>FERREYRA ALBERTO</v>
      </c>
      <c r="D33" s="5">
        <f>+'SERVICIO FAENA'!C34</f>
        <v>8</v>
      </c>
      <c r="E33" s="7">
        <f>+'SERVICIO FAENA'!H34</f>
        <v>420</v>
      </c>
      <c r="F33" s="6">
        <f>+'SERVICIO FAENA'!F34</f>
        <v>1669.6</v>
      </c>
      <c r="G33" s="7">
        <f>+'SERVICIO FAENA'!J34</f>
        <v>701232</v>
      </c>
      <c r="H33" s="7">
        <f>+'SERVICIO DESPOSTE'!W34</f>
        <v>0</v>
      </c>
      <c r="I33" s="36">
        <f t="shared" si="0"/>
        <v>701232</v>
      </c>
      <c r="J33" s="8">
        <f>+MENUDENCIAS!I34</f>
        <v>0</v>
      </c>
      <c r="K33" s="8">
        <f>+MENUDENCIAS!O34</f>
        <v>0</v>
      </c>
      <c r="L33" s="8">
        <f>+'MERCADO INTERNO'!AG35</f>
        <v>0</v>
      </c>
      <c r="M33" s="7">
        <f>+RENDERING!H33</f>
        <v>0</v>
      </c>
      <c r="N33" s="7">
        <f>+RENDERING!F33</f>
        <v>0</v>
      </c>
      <c r="O33" s="7">
        <f>+RENDERING!J33</f>
        <v>0</v>
      </c>
      <c r="P33" s="7">
        <f>+CUEROS!N35</f>
        <v>0</v>
      </c>
      <c r="Q33" s="7">
        <f>+'GRASA DREASING'!G33</f>
        <v>0</v>
      </c>
    </row>
    <row r="34" spans="1:17" x14ac:dyDescent="0.2">
      <c r="A34" s="233"/>
      <c r="B34" s="5">
        <f>+'SERVICIO FAENA'!A35</f>
        <v>33</v>
      </c>
      <c r="C34" s="5" t="str">
        <f>+'SERVICIO FAENA'!B35</f>
        <v>FERREYRA MARTIN</v>
      </c>
      <c r="D34" s="5">
        <f>+'SERVICIO FAENA'!C35</f>
        <v>20</v>
      </c>
      <c r="E34" s="7">
        <f>+'SERVICIO FAENA'!H35</f>
        <v>420</v>
      </c>
      <c r="F34" s="6">
        <f>+'SERVICIO FAENA'!F35</f>
        <v>4225.7</v>
      </c>
      <c r="G34" s="7">
        <f>+'SERVICIO FAENA'!J35</f>
        <v>1774794</v>
      </c>
      <c r="H34" s="7">
        <f>+'SERVICIO DESPOSTE'!W35</f>
        <v>0</v>
      </c>
      <c r="I34" s="36">
        <f t="shared" si="0"/>
        <v>1774794</v>
      </c>
      <c r="J34" s="8">
        <f>+MENUDENCIAS!I35</f>
        <v>0</v>
      </c>
      <c r="K34" s="8">
        <f>+MENUDENCIAS!O35</f>
        <v>0</v>
      </c>
      <c r="L34" s="8">
        <f>+'MERCADO INTERNO'!AG36</f>
        <v>0</v>
      </c>
      <c r="M34" s="7">
        <f>+RENDERING!H34</f>
        <v>0</v>
      </c>
      <c r="N34" s="7">
        <f>+RENDERING!F34</f>
        <v>0</v>
      </c>
      <c r="O34" s="7">
        <f>+RENDERING!J34</f>
        <v>0</v>
      </c>
      <c r="P34" s="7">
        <f>+CUEROS!N36</f>
        <v>0</v>
      </c>
      <c r="Q34" s="7">
        <f>+'GRASA DREASING'!G34</f>
        <v>0</v>
      </c>
    </row>
    <row r="35" spans="1:17" x14ac:dyDescent="0.2">
      <c r="A35" s="233"/>
      <c r="B35" s="5">
        <f>+'SERVICIO FAENA'!A36</f>
        <v>34</v>
      </c>
      <c r="C35" s="5" t="str">
        <f>+'SERVICIO FAENA'!B36</f>
        <v>FRIGORIFICO DE LA PATAGONIA SRL</v>
      </c>
      <c r="D35" s="5">
        <f>+'SERVICIO FAENA'!C36</f>
        <v>15</v>
      </c>
      <c r="E35" s="7">
        <f>+'SERVICIO FAENA'!H36</f>
        <v>420</v>
      </c>
      <c r="F35" s="6">
        <f>+'SERVICIO FAENA'!F36</f>
        <v>3412.6</v>
      </c>
      <c r="G35" s="7">
        <f>+'SERVICIO FAENA'!J36</f>
        <v>1433292</v>
      </c>
      <c r="H35" s="7">
        <f>+'SERVICIO DESPOSTE'!W36</f>
        <v>0</v>
      </c>
      <c r="I35" s="36">
        <f t="shared" si="0"/>
        <v>1553292</v>
      </c>
      <c r="J35" s="8">
        <f>+MENUDENCIAS!I36</f>
        <v>0</v>
      </c>
      <c r="K35" s="8">
        <f>+MENUDENCIAS!O36</f>
        <v>0</v>
      </c>
      <c r="L35" s="8">
        <f>+'MERCADO INTERNO'!AG37</f>
        <v>0</v>
      </c>
      <c r="M35" s="7">
        <f>+RENDERING!H35</f>
        <v>31200</v>
      </c>
      <c r="N35" s="7">
        <f>+RENDERING!F35</f>
        <v>72800</v>
      </c>
      <c r="O35" s="7">
        <f>+RENDERING!J35</f>
        <v>16000</v>
      </c>
      <c r="P35" s="7">
        <f>+CUEROS!N37</f>
        <v>0</v>
      </c>
      <c r="Q35" s="7">
        <f>+'GRASA DREASING'!G35</f>
        <v>0</v>
      </c>
    </row>
    <row r="36" spans="1:17" x14ac:dyDescent="0.2">
      <c r="A36" s="233"/>
      <c r="B36" s="5">
        <f>+'SERVICIO FAENA'!A37</f>
        <v>35</v>
      </c>
      <c r="C36" s="5" t="str">
        <f>+'SERVICIO FAENA'!B37</f>
        <v>MUCA SAS</v>
      </c>
      <c r="D36" s="5">
        <f>+'SERVICIO FAENA'!C37</f>
        <v>13</v>
      </c>
      <c r="E36" s="7">
        <f>+'SERVICIO FAENA'!H37</f>
        <v>420</v>
      </c>
      <c r="F36" s="6">
        <f>+'SERVICIO FAENA'!F37</f>
        <v>2920.2</v>
      </c>
      <c r="G36" s="7">
        <f>+'SERVICIO FAENA'!J37</f>
        <v>1226484</v>
      </c>
      <c r="H36" s="7">
        <f>+'SERVICIO DESPOSTE'!W37</f>
        <v>0</v>
      </c>
      <c r="I36" s="36">
        <f t="shared" si="0"/>
        <v>1226484</v>
      </c>
      <c r="J36" s="8">
        <f>+MENUDENCIAS!I37</f>
        <v>0</v>
      </c>
      <c r="K36" s="8">
        <f>+MENUDENCIAS!O37</f>
        <v>0</v>
      </c>
      <c r="L36" s="8">
        <f>+'MERCADO INTERNO'!AG38</f>
        <v>0</v>
      </c>
      <c r="M36" s="7">
        <f>+RENDERING!H36</f>
        <v>0</v>
      </c>
      <c r="N36" s="7">
        <f>+RENDERING!F36</f>
        <v>0</v>
      </c>
      <c r="O36" s="7">
        <f>+RENDERING!J36</f>
        <v>0</v>
      </c>
      <c r="P36" s="7">
        <f>+CUEROS!N38</f>
        <v>0</v>
      </c>
      <c r="Q36" s="7">
        <f>+'GRASA DREASING'!G36</f>
        <v>0</v>
      </c>
    </row>
    <row r="37" spans="1:17" x14ac:dyDescent="0.2">
      <c r="A37" s="233"/>
      <c r="B37" s="5">
        <f>+'SERVICIO FAENA'!A38</f>
        <v>36</v>
      </c>
      <c r="C37" s="5" t="str">
        <f>+'SERVICIO FAENA'!B38</f>
        <v>MUCA SAS</v>
      </c>
      <c r="D37" s="5">
        <f>+'SERVICIO FAENA'!C38</f>
        <v>15</v>
      </c>
      <c r="E37" s="7">
        <f>+'SERVICIO FAENA'!H38</f>
        <v>420</v>
      </c>
      <c r="F37" s="6">
        <f>+'SERVICIO FAENA'!F38</f>
        <v>4307.2</v>
      </c>
      <c r="G37" s="7">
        <f>+'SERVICIO FAENA'!J38</f>
        <v>1809024</v>
      </c>
      <c r="H37" s="7">
        <f>+'SERVICIO DESPOSTE'!W38</f>
        <v>0</v>
      </c>
      <c r="I37" s="36">
        <f t="shared" si="0"/>
        <v>1809024</v>
      </c>
      <c r="J37" s="8">
        <f>+MENUDENCIAS!I38</f>
        <v>0</v>
      </c>
      <c r="K37" s="8">
        <f>+MENUDENCIAS!O38</f>
        <v>0</v>
      </c>
      <c r="L37" s="8">
        <f>+'MERCADO INTERNO'!AG39</f>
        <v>0</v>
      </c>
      <c r="M37" s="7">
        <f>+RENDERING!H37</f>
        <v>0</v>
      </c>
      <c r="N37" s="7">
        <f>+RENDERING!F37</f>
        <v>0</v>
      </c>
      <c r="O37" s="7">
        <f>+RENDERING!J37</f>
        <v>0</v>
      </c>
      <c r="P37" s="7">
        <f>+CUEROS!N39</f>
        <v>0</v>
      </c>
      <c r="Q37" s="7">
        <f>+'GRASA DREASING'!G37</f>
        <v>0</v>
      </c>
    </row>
    <row r="38" spans="1:17" x14ac:dyDescent="0.2">
      <c r="A38" s="233"/>
      <c r="B38" s="5">
        <f>+'SERVICIO FAENA'!A39</f>
        <v>37</v>
      </c>
      <c r="C38" s="5" t="str">
        <f>+'SERVICIO FAENA'!B39</f>
        <v>FERREYRA MARTIN</v>
      </c>
      <c r="D38" s="5">
        <f>+'SERVICIO FAENA'!C39</f>
        <v>15</v>
      </c>
      <c r="E38" s="7">
        <f>+'SERVICIO FAENA'!H39</f>
        <v>420</v>
      </c>
      <c r="F38" s="6">
        <f>+'SERVICIO FAENA'!F39</f>
        <v>2620.9</v>
      </c>
      <c r="G38" s="7">
        <f>+'SERVICIO FAENA'!J39</f>
        <v>1100778</v>
      </c>
      <c r="H38" s="7">
        <f>+'SERVICIO DESPOSTE'!W39</f>
        <v>0</v>
      </c>
      <c r="I38" s="36">
        <f t="shared" si="0"/>
        <v>1199178</v>
      </c>
      <c r="J38" s="8">
        <f>+MENUDENCIAS!I39</f>
        <v>0</v>
      </c>
      <c r="K38" s="8">
        <f>+MENUDENCIAS!O39</f>
        <v>0</v>
      </c>
      <c r="L38" s="8">
        <f>+'MERCADO INTERNO'!AG40</f>
        <v>0</v>
      </c>
      <c r="M38" s="7">
        <f>+RENDERING!H38</f>
        <v>23200</v>
      </c>
      <c r="N38" s="7">
        <f>+RENDERING!F38</f>
        <v>60000</v>
      </c>
      <c r="O38" s="7">
        <f>+RENDERING!J38</f>
        <v>15200</v>
      </c>
      <c r="P38" s="7">
        <f>+CUEROS!N40</f>
        <v>0</v>
      </c>
      <c r="Q38" s="7">
        <f>+'GRASA DREASING'!G38</f>
        <v>0</v>
      </c>
    </row>
    <row r="39" spans="1:17" x14ac:dyDescent="0.2">
      <c r="A39" s="233"/>
      <c r="B39" s="5">
        <f>+'SERVICIO FAENA'!A40</f>
        <v>38</v>
      </c>
      <c r="C39" s="5" t="str">
        <f>+'SERVICIO FAENA'!B40</f>
        <v>FRIGORIFICO DE LA PATAGONIA SRL</v>
      </c>
      <c r="D39" s="5">
        <f>+'SERVICIO FAENA'!C40</f>
        <v>26</v>
      </c>
      <c r="E39" s="7">
        <f>+'SERVICIO FAENA'!H40</f>
        <v>420</v>
      </c>
      <c r="F39" s="6">
        <f>+'SERVICIO FAENA'!F40</f>
        <v>5472.9</v>
      </c>
      <c r="G39" s="7">
        <f>+'SERVICIO FAENA'!J40</f>
        <v>2298618</v>
      </c>
      <c r="H39" s="7">
        <f>+'SERVICIO DESPOSTE'!W40</f>
        <v>0</v>
      </c>
      <c r="I39" s="36">
        <f t="shared" si="0"/>
        <v>2298618</v>
      </c>
      <c r="J39" s="8">
        <f>+MENUDENCIAS!I40</f>
        <v>0</v>
      </c>
      <c r="K39" s="8">
        <f>+MENUDENCIAS!O40</f>
        <v>0</v>
      </c>
      <c r="L39" s="8">
        <f>+'MERCADO INTERNO'!AG41</f>
        <v>0</v>
      </c>
      <c r="M39" s="7">
        <f>+RENDERING!H39</f>
        <v>0</v>
      </c>
      <c r="N39" s="7">
        <f>+RENDERING!F39</f>
        <v>0</v>
      </c>
      <c r="O39" s="7">
        <f>+RENDERING!J39</f>
        <v>0</v>
      </c>
      <c r="P39" s="7">
        <f>+CUEROS!N41</f>
        <v>0</v>
      </c>
      <c r="Q39" s="7">
        <f>+'GRASA DREASING'!G39</f>
        <v>0</v>
      </c>
    </row>
    <row r="40" spans="1:17" x14ac:dyDescent="0.2">
      <c r="A40" s="233"/>
      <c r="B40" s="5">
        <f>+'SERVICIO FAENA'!A41</f>
        <v>39</v>
      </c>
      <c r="C40" s="5" t="str">
        <f>+'SERVICIO FAENA'!B41</f>
        <v>BOSQUES AMADOS SRL</v>
      </c>
      <c r="D40" s="5">
        <f>+'SERVICIO FAENA'!C41</f>
        <v>18</v>
      </c>
      <c r="E40" s="7">
        <f>+'SERVICIO FAENA'!H41</f>
        <v>420</v>
      </c>
      <c r="F40" s="6">
        <f>+'SERVICIO FAENA'!F41</f>
        <v>3938</v>
      </c>
      <c r="G40" s="7">
        <f>+'SERVICIO FAENA'!J41</f>
        <v>1653960</v>
      </c>
      <c r="H40" s="7">
        <f>+'SERVICIO DESPOSTE'!W41</f>
        <v>692667.60000000009</v>
      </c>
      <c r="I40" s="36">
        <f t="shared" si="0"/>
        <v>2495427.6</v>
      </c>
      <c r="J40" s="8">
        <f>+MENUDENCIAS!I41</f>
        <v>0</v>
      </c>
      <c r="K40" s="8">
        <f>+MENUDENCIAS!O41</f>
        <v>0</v>
      </c>
      <c r="L40" s="8">
        <f>+'MERCADO INTERNO'!AG42</f>
        <v>0</v>
      </c>
      <c r="M40" s="7">
        <f>+RENDERING!H40</f>
        <v>40000</v>
      </c>
      <c r="N40" s="7">
        <f>+RENDERING!F40</f>
        <v>88800</v>
      </c>
      <c r="O40" s="7">
        <f>+RENDERING!J40</f>
        <v>20000</v>
      </c>
      <c r="P40" s="7">
        <f>+CUEROS!N42</f>
        <v>0</v>
      </c>
      <c r="Q40" s="7">
        <f>+'GRASA DREASING'!G40</f>
        <v>0</v>
      </c>
    </row>
    <row r="41" spans="1:17" x14ac:dyDescent="0.2">
      <c r="A41" s="233"/>
      <c r="B41" s="5">
        <f>+'SERVICIO FAENA'!A42</f>
        <v>40</v>
      </c>
      <c r="C41" s="5" t="str">
        <f>+'SERVICIO FAENA'!B42</f>
        <v>MUCA SAS</v>
      </c>
      <c r="D41" s="5">
        <f>+'SERVICIO FAENA'!C42</f>
        <v>31</v>
      </c>
      <c r="E41" s="7">
        <f>+'SERVICIO FAENA'!H42</f>
        <v>420</v>
      </c>
      <c r="F41" s="6">
        <f>+'SERVICIO FAENA'!F42</f>
        <v>6649.5</v>
      </c>
      <c r="G41" s="7">
        <f>+'SERVICIO FAENA'!J42</f>
        <v>2792790</v>
      </c>
      <c r="H41" s="7">
        <f>+'SERVICIO DESPOSTE'!W42</f>
        <v>0</v>
      </c>
      <c r="I41" s="36">
        <f t="shared" si="0"/>
        <v>2792790</v>
      </c>
      <c r="J41" s="8">
        <f>+MENUDENCIAS!I42</f>
        <v>0</v>
      </c>
      <c r="K41" s="8">
        <f>+MENUDENCIAS!O42</f>
        <v>0</v>
      </c>
      <c r="L41" s="8">
        <f>+'MERCADO INTERNO'!AG43</f>
        <v>0</v>
      </c>
      <c r="M41" s="7">
        <f>+RENDERING!H41</f>
        <v>0</v>
      </c>
      <c r="N41" s="7">
        <f>+RENDERING!F41</f>
        <v>0</v>
      </c>
      <c r="O41" s="7">
        <f>+RENDERING!J41</f>
        <v>0</v>
      </c>
      <c r="P41" s="7">
        <f>+CUEROS!N43</f>
        <v>0</v>
      </c>
      <c r="Q41" s="7">
        <f>+'GRASA DREASING'!G41</f>
        <v>0</v>
      </c>
    </row>
    <row r="42" spans="1:17" x14ac:dyDescent="0.2">
      <c r="A42" s="233"/>
      <c r="B42" s="5">
        <f>+'SERVICIO FAENA'!A43</f>
        <v>41</v>
      </c>
      <c r="C42" s="5" t="str">
        <f>+'SERVICIO FAENA'!B43</f>
        <v>MUCA SAS</v>
      </c>
      <c r="D42" s="5">
        <f>+'SERVICIO FAENA'!C43</f>
        <v>14</v>
      </c>
      <c r="E42" s="7">
        <f>+'SERVICIO FAENA'!H43</f>
        <v>420</v>
      </c>
      <c r="F42" s="6">
        <f>+'SERVICIO FAENA'!F43</f>
        <v>3165.1</v>
      </c>
      <c r="G42" s="7">
        <f>+'SERVICIO FAENA'!J43</f>
        <v>1329342</v>
      </c>
      <c r="H42" s="7">
        <f>+'SERVICIO DESPOSTE'!W43</f>
        <v>0</v>
      </c>
      <c r="I42" s="36">
        <f t="shared" si="0"/>
        <v>1329342</v>
      </c>
      <c r="J42" s="8">
        <f>+MENUDENCIAS!I43</f>
        <v>0</v>
      </c>
      <c r="K42" s="8">
        <f>+MENUDENCIAS!O43</f>
        <v>0</v>
      </c>
      <c r="L42" s="8">
        <f>+'MERCADO INTERNO'!AG44</f>
        <v>0</v>
      </c>
      <c r="M42" s="7">
        <f>+RENDERING!H42</f>
        <v>0</v>
      </c>
      <c r="N42" s="7">
        <f>+RENDERING!F42</f>
        <v>0</v>
      </c>
      <c r="O42" s="7">
        <f>+RENDERING!J42</f>
        <v>0</v>
      </c>
      <c r="P42" s="7">
        <f>+CUEROS!N44</f>
        <v>0</v>
      </c>
      <c r="Q42" s="7">
        <f>+'GRASA DREASING'!G42</f>
        <v>0</v>
      </c>
    </row>
    <row r="43" spans="1:17" x14ac:dyDescent="0.2">
      <c r="A43" s="233"/>
      <c r="B43" s="5">
        <f>+'SERVICIO FAENA'!A44</f>
        <v>42</v>
      </c>
      <c r="C43" s="5" t="str">
        <f>+'SERVICIO FAENA'!B44</f>
        <v>FERREYRA MARTIN</v>
      </c>
      <c r="D43" s="5">
        <f>+'SERVICIO FAENA'!C44</f>
        <v>14</v>
      </c>
      <c r="E43" s="7">
        <f>+'SERVICIO FAENA'!H44</f>
        <v>420</v>
      </c>
      <c r="F43" s="6">
        <f>+'SERVICIO FAENA'!F44</f>
        <v>2464.5</v>
      </c>
      <c r="G43" s="7">
        <f>+'SERVICIO FAENA'!J44</f>
        <v>1035090</v>
      </c>
      <c r="H43" s="7">
        <f>+'SERVICIO DESPOSTE'!W44</f>
        <v>0</v>
      </c>
      <c r="I43" s="36">
        <f t="shared" si="0"/>
        <v>1097490</v>
      </c>
      <c r="J43" s="8">
        <f>+MENUDENCIAS!I44</f>
        <v>0</v>
      </c>
      <c r="K43" s="8">
        <f>+MENUDENCIAS!O44</f>
        <v>0</v>
      </c>
      <c r="L43" s="8">
        <f>+'MERCADO INTERNO'!AG45</f>
        <v>0</v>
      </c>
      <c r="M43" s="7">
        <f>+RENDERING!H43</f>
        <v>16000</v>
      </c>
      <c r="N43" s="7">
        <f>+RENDERING!F43</f>
        <v>36000</v>
      </c>
      <c r="O43" s="7">
        <f>+RENDERING!J43</f>
        <v>10400</v>
      </c>
      <c r="P43" s="7">
        <f>+CUEROS!N45</f>
        <v>0</v>
      </c>
      <c r="Q43" s="7">
        <f>+'GRASA DREASING'!G43</f>
        <v>0</v>
      </c>
    </row>
    <row r="44" spans="1:17" x14ac:dyDescent="0.2">
      <c r="A44" s="233"/>
      <c r="B44" s="5">
        <f>+'SERVICIO FAENA'!A45</f>
        <v>43</v>
      </c>
      <c r="C44" s="5" t="str">
        <f>+'SERVICIO FAENA'!B45</f>
        <v>FERREYRA MARTIN</v>
      </c>
      <c r="D44" s="5">
        <f>+'SERVICIO FAENA'!C45</f>
        <v>9</v>
      </c>
      <c r="E44" s="7">
        <f>+'SERVICIO FAENA'!H45</f>
        <v>420</v>
      </c>
      <c r="F44" s="6">
        <f>+'SERVICIO FAENA'!F45</f>
        <v>1827.6</v>
      </c>
      <c r="G44" s="7">
        <f>+'SERVICIO FAENA'!J45</f>
        <v>767592</v>
      </c>
      <c r="H44" s="7">
        <f>+'SERVICIO DESPOSTE'!W45</f>
        <v>0</v>
      </c>
      <c r="I44" s="36">
        <f t="shared" si="0"/>
        <v>767592</v>
      </c>
      <c r="J44" s="8">
        <f>+MENUDENCIAS!I45</f>
        <v>0</v>
      </c>
      <c r="K44" s="8">
        <f>+MENUDENCIAS!O45</f>
        <v>0</v>
      </c>
      <c r="L44" s="8">
        <f>+'MERCADO INTERNO'!AG46</f>
        <v>0</v>
      </c>
      <c r="M44" s="7">
        <f>+RENDERING!H44</f>
        <v>0</v>
      </c>
      <c r="N44" s="7">
        <f>+RENDERING!F44</f>
        <v>0</v>
      </c>
      <c r="O44" s="7">
        <f>+RENDERING!J44</f>
        <v>0</v>
      </c>
      <c r="P44" s="7">
        <f>+CUEROS!N46</f>
        <v>0</v>
      </c>
      <c r="Q44" s="7">
        <f>+'GRASA DREASING'!G44</f>
        <v>0</v>
      </c>
    </row>
    <row r="45" spans="1:17" x14ac:dyDescent="0.2">
      <c r="A45" s="233"/>
      <c r="B45" s="5">
        <f>+'SERVICIO FAENA'!A46</f>
        <v>44</v>
      </c>
      <c r="C45" s="5" t="str">
        <f>+'SERVICIO FAENA'!B46</f>
        <v>FERREYRA ALBERTO</v>
      </c>
      <c r="D45" s="5">
        <f>+'SERVICIO FAENA'!C46</f>
        <v>6</v>
      </c>
      <c r="E45" s="7">
        <f>+'SERVICIO FAENA'!H46</f>
        <v>420</v>
      </c>
      <c r="F45" s="6">
        <f>+'SERVICIO FAENA'!F46</f>
        <v>1197.0999999999999</v>
      </c>
      <c r="G45" s="7">
        <f>+'SERVICIO FAENA'!J46</f>
        <v>502781.99999999994</v>
      </c>
      <c r="H45" s="7">
        <f>+'SERVICIO DESPOSTE'!W46</f>
        <v>0</v>
      </c>
      <c r="I45" s="36">
        <f t="shared" si="0"/>
        <v>502781.99999999994</v>
      </c>
      <c r="J45" s="8">
        <f>+MENUDENCIAS!I46</f>
        <v>0</v>
      </c>
      <c r="K45" s="8">
        <f>+MENUDENCIAS!O46</f>
        <v>0</v>
      </c>
      <c r="L45" s="8">
        <f>+'MERCADO INTERNO'!AG47</f>
        <v>0</v>
      </c>
      <c r="M45" s="7">
        <f>+RENDERING!H45</f>
        <v>0</v>
      </c>
      <c r="N45" s="7">
        <f>+RENDERING!F45</f>
        <v>0</v>
      </c>
      <c r="O45" s="7">
        <f>+RENDERING!J45</f>
        <v>0</v>
      </c>
      <c r="P45" s="7">
        <f>+CUEROS!N47</f>
        <v>0</v>
      </c>
      <c r="Q45" s="7">
        <f>+'GRASA DREASING'!G45</f>
        <v>0</v>
      </c>
    </row>
    <row r="46" spans="1:17" x14ac:dyDescent="0.2">
      <c r="A46" s="233"/>
      <c r="B46" s="5">
        <f>+'SERVICIO FAENA'!A47</f>
        <v>45</v>
      </c>
      <c r="C46" s="5" t="str">
        <f>+'SERVICIO FAENA'!B47</f>
        <v>FRIGORIFICO DE LA PATAGONIA SRL</v>
      </c>
      <c r="D46" s="5">
        <f>+'SERVICIO FAENA'!C47</f>
        <v>22</v>
      </c>
      <c r="E46" s="7">
        <f>+'SERVICIO FAENA'!H47</f>
        <v>420</v>
      </c>
      <c r="F46" s="6">
        <f>+'SERVICIO FAENA'!F47</f>
        <v>4622.2</v>
      </c>
      <c r="G46" s="7">
        <f>+'SERVICIO FAENA'!J47</f>
        <v>1941324</v>
      </c>
      <c r="H46" s="7">
        <f>+'SERVICIO DESPOSTE'!W47</f>
        <v>0</v>
      </c>
      <c r="I46" s="36">
        <f t="shared" si="0"/>
        <v>1941324</v>
      </c>
      <c r="J46" s="8">
        <f>+MENUDENCIAS!I47</f>
        <v>0</v>
      </c>
      <c r="K46" s="8">
        <f>+MENUDENCIAS!O47</f>
        <v>0</v>
      </c>
      <c r="L46" s="8">
        <f>+'MERCADO INTERNO'!AG48</f>
        <v>0</v>
      </c>
      <c r="M46" s="7">
        <f>+RENDERING!H46</f>
        <v>0</v>
      </c>
      <c r="N46" s="7">
        <f>+RENDERING!F46</f>
        <v>0</v>
      </c>
      <c r="O46" s="7">
        <f>+RENDERING!J46</f>
        <v>0</v>
      </c>
      <c r="P46" s="7">
        <f>+CUEROS!N48</f>
        <v>0</v>
      </c>
      <c r="Q46" s="7">
        <f>+'GRASA DREASING'!G46</f>
        <v>0</v>
      </c>
    </row>
    <row r="47" spans="1:17" x14ac:dyDescent="0.2">
      <c r="A47" s="233"/>
      <c r="B47" s="5">
        <f>+'SERVICIO FAENA'!A48</f>
        <v>46</v>
      </c>
      <c r="C47" s="5" t="str">
        <f>+'SERVICIO FAENA'!B48</f>
        <v>FRIGORIFICO DE LA PATAGONIA SRL</v>
      </c>
      <c r="D47" s="5">
        <f>+'SERVICIO FAENA'!C48</f>
        <v>20</v>
      </c>
      <c r="E47" s="7">
        <f>+'SERVICIO FAENA'!H48</f>
        <v>420</v>
      </c>
      <c r="F47" s="6">
        <f>+'SERVICIO FAENA'!F48</f>
        <v>4096.1000000000004</v>
      </c>
      <c r="G47" s="7">
        <f>+'SERVICIO FAENA'!J48</f>
        <v>1720362.0000000002</v>
      </c>
      <c r="H47" s="7">
        <f>+'SERVICIO DESPOSTE'!W48</f>
        <v>0</v>
      </c>
      <c r="I47" s="36">
        <f t="shared" si="0"/>
        <v>1720362.0000000002</v>
      </c>
      <c r="J47" s="8">
        <f>+MENUDENCIAS!I48</f>
        <v>0</v>
      </c>
      <c r="K47" s="8">
        <f>+MENUDENCIAS!O48</f>
        <v>0</v>
      </c>
      <c r="L47" s="8">
        <f>+'MERCADO INTERNO'!AG49</f>
        <v>0</v>
      </c>
      <c r="M47" s="7">
        <f>+RENDERING!H47</f>
        <v>0</v>
      </c>
      <c r="N47" s="7">
        <f>+RENDERING!F47</f>
        <v>0</v>
      </c>
      <c r="O47" s="7">
        <f>+RENDERING!J47</f>
        <v>0</v>
      </c>
      <c r="P47" s="7">
        <f>+CUEROS!N49</f>
        <v>0</v>
      </c>
      <c r="Q47" s="7">
        <f>+'GRASA DREASING'!G47</f>
        <v>0</v>
      </c>
    </row>
    <row r="48" spans="1:17" x14ac:dyDescent="0.2">
      <c r="A48" s="233"/>
      <c r="B48" s="5">
        <f>+'SERVICIO FAENA'!A49</f>
        <v>47</v>
      </c>
      <c r="C48" s="5" t="str">
        <f>+'SERVICIO FAENA'!B49</f>
        <v>MUCA SAS</v>
      </c>
      <c r="D48" s="5">
        <f>+'SERVICIO FAENA'!C49</f>
        <v>13</v>
      </c>
      <c r="E48" s="7">
        <f>+'SERVICIO FAENA'!H49</f>
        <v>420</v>
      </c>
      <c r="F48" s="6">
        <f>+'SERVICIO FAENA'!F49</f>
        <v>2656.7</v>
      </c>
      <c r="G48" s="7">
        <f>+'SERVICIO FAENA'!J49</f>
        <v>1115814</v>
      </c>
      <c r="H48" s="7">
        <f>+'SERVICIO DESPOSTE'!W49</f>
        <v>0</v>
      </c>
      <c r="I48" s="36">
        <f t="shared" si="0"/>
        <v>1115814</v>
      </c>
      <c r="J48" s="8">
        <f>+MENUDENCIAS!I49</f>
        <v>0</v>
      </c>
      <c r="K48" s="8">
        <f>+MENUDENCIAS!O49</f>
        <v>0</v>
      </c>
      <c r="L48" s="8">
        <f>+'MERCADO INTERNO'!AG50</f>
        <v>0</v>
      </c>
      <c r="M48" s="7">
        <f>+RENDERING!H48</f>
        <v>0</v>
      </c>
      <c r="N48" s="7">
        <f>+RENDERING!F48</f>
        <v>0</v>
      </c>
      <c r="O48" s="7">
        <f>+RENDERING!J48</f>
        <v>0</v>
      </c>
      <c r="P48" s="7">
        <f>+CUEROS!N50</f>
        <v>0</v>
      </c>
      <c r="Q48" s="7">
        <f>+'GRASA DREASING'!G48</f>
        <v>0</v>
      </c>
    </row>
    <row r="49" spans="1:17" x14ac:dyDescent="0.2">
      <c r="A49" s="233"/>
      <c r="B49" s="5">
        <f>+'SERVICIO FAENA'!A50</f>
        <v>48</v>
      </c>
      <c r="C49" s="5" t="str">
        <f>+'SERVICIO FAENA'!B50</f>
        <v>MUCA SAS</v>
      </c>
      <c r="D49" s="5">
        <f>+'SERVICIO FAENA'!C50</f>
        <v>8</v>
      </c>
      <c r="E49" s="7">
        <f>+'SERVICIO FAENA'!H50</f>
        <v>420</v>
      </c>
      <c r="F49" s="6">
        <f>+'SERVICIO FAENA'!F50</f>
        <v>2534.9</v>
      </c>
      <c r="G49" s="7">
        <f>+'SERVICIO FAENA'!J50</f>
        <v>1064658</v>
      </c>
      <c r="H49" s="7">
        <f>+'SERVICIO DESPOSTE'!W50</f>
        <v>0</v>
      </c>
      <c r="I49" s="36">
        <f t="shared" si="0"/>
        <v>1064658</v>
      </c>
      <c r="J49" s="8">
        <f>+MENUDENCIAS!I50</f>
        <v>0</v>
      </c>
      <c r="K49" s="8">
        <f>+MENUDENCIAS!O50</f>
        <v>0</v>
      </c>
      <c r="L49" s="8">
        <f>+'MERCADO INTERNO'!AG51</f>
        <v>0</v>
      </c>
      <c r="M49" s="7">
        <f>+RENDERING!H49</f>
        <v>0</v>
      </c>
      <c r="N49" s="7">
        <f>+RENDERING!F49</f>
        <v>0</v>
      </c>
      <c r="O49" s="7">
        <f>+RENDERING!J49</f>
        <v>0</v>
      </c>
      <c r="P49" s="7">
        <f>+CUEROS!N51</f>
        <v>0</v>
      </c>
      <c r="Q49" s="7">
        <f>+'GRASA DREASING'!G49</f>
        <v>0</v>
      </c>
    </row>
    <row r="50" spans="1:17" x14ac:dyDescent="0.2">
      <c r="A50" s="233"/>
      <c r="B50" s="5">
        <f>+'SERVICIO FAENA'!A51</f>
        <v>49</v>
      </c>
      <c r="C50" s="5" t="str">
        <f>+'SERVICIO FAENA'!B51</f>
        <v>MUCA SAS</v>
      </c>
      <c r="D50" s="5">
        <f>+'SERVICIO FAENA'!C51</f>
        <v>5</v>
      </c>
      <c r="E50" s="7">
        <f>+'SERVICIO FAENA'!H51</f>
        <v>420</v>
      </c>
      <c r="F50" s="6">
        <f>+'SERVICIO FAENA'!F51</f>
        <v>1128.0999999999999</v>
      </c>
      <c r="G50" s="7">
        <f>+'SERVICIO FAENA'!J51</f>
        <v>473801.99999999994</v>
      </c>
      <c r="H50" s="7">
        <f>+'SERVICIO DESPOSTE'!W51</f>
        <v>0</v>
      </c>
      <c r="I50" s="36">
        <f t="shared" si="0"/>
        <v>473801.99999999994</v>
      </c>
      <c r="J50" s="8">
        <f>+MENUDENCIAS!I51</f>
        <v>0</v>
      </c>
      <c r="K50" s="8">
        <f>+MENUDENCIAS!O51</f>
        <v>0</v>
      </c>
      <c r="L50" s="8">
        <f>+'MERCADO INTERNO'!AG52</f>
        <v>0</v>
      </c>
      <c r="M50" s="7">
        <f>+RENDERING!H50</f>
        <v>0</v>
      </c>
      <c r="N50" s="7">
        <f>+RENDERING!F50</f>
        <v>0</v>
      </c>
      <c r="O50" s="7">
        <f>+RENDERING!J50</f>
        <v>0</v>
      </c>
      <c r="P50" s="7">
        <f>+CUEROS!N52</f>
        <v>0</v>
      </c>
      <c r="Q50" s="7">
        <f>+'GRASA DREASING'!G50</f>
        <v>0</v>
      </c>
    </row>
    <row r="51" spans="1:17" ht="13.5" thickBot="1" x14ac:dyDescent="0.25">
      <c r="A51" s="234"/>
      <c r="B51" s="5">
        <f>+'SERVICIO FAENA'!A52</f>
        <v>50</v>
      </c>
      <c r="C51" s="5" t="str">
        <f>+'SERVICIO FAENA'!B52</f>
        <v>MUCA SAS</v>
      </c>
      <c r="D51" s="5">
        <f>+'SERVICIO FAENA'!C52</f>
        <v>2</v>
      </c>
      <c r="E51" s="7">
        <f>+'SERVICIO FAENA'!H52</f>
        <v>420</v>
      </c>
      <c r="F51" s="6">
        <f>+'SERVICIO FAENA'!F52</f>
        <v>423.7</v>
      </c>
      <c r="G51" s="7">
        <f>+'SERVICIO FAENA'!J52</f>
        <v>177954</v>
      </c>
      <c r="H51" s="7">
        <f>+'SERVICIO DESPOSTE'!W52</f>
        <v>0</v>
      </c>
      <c r="I51" s="36">
        <f t="shared" si="0"/>
        <v>177954</v>
      </c>
      <c r="J51" s="8">
        <f>+MENUDENCIAS!I52</f>
        <v>0</v>
      </c>
      <c r="K51" s="8">
        <f>+MENUDENCIAS!O52</f>
        <v>0</v>
      </c>
      <c r="L51" s="8">
        <f>+'MERCADO INTERNO'!AG53</f>
        <v>0</v>
      </c>
      <c r="M51" s="7">
        <f>+RENDERING!H51</f>
        <v>0</v>
      </c>
      <c r="N51" s="7">
        <f>+RENDERING!F51</f>
        <v>0</v>
      </c>
      <c r="O51" s="7">
        <f>+RENDERING!J51</f>
        <v>0</v>
      </c>
      <c r="P51" s="7">
        <f>+CUEROS!N53</f>
        <v>0</v>
      </c>
      <c r="Q51" s="7">
        <f>+'GRASA DREASING'!G51</f>
        <v>0</v>
      </c>
    </row>
    <row r="52" spans="1:17" ht="14.25" thickTop="1" thickBot="1" x14ac:dyDescent="0.25">
      <c r="A52" s="137" t="s">
        <v>14</v>
      </c>
      <c r="B52" s="138"/>
      <c r="C52" s="138"/>
      <c r="D52" s="139">
        <f>SUM(D2:D51)</f>
        <v>1021</v>
      </c>
      <c r="E52" s="139"/>
      <c r="F52" s="140" t="s">
        <v>157</v>
      </c>
      <c r="G52" s="141">
        <f>+I52/D52</f>
        <v>84998.518385719872</v>
      </c>
      <c r="H52" s="141"/>
      <c r="I52" s="142">
        <f>SUM(I2:I51)</f>
        <v>86783487.271819994</v>
      </c>
      <c r="J52" s="143"/>
      <c r="K52" s="143"/>
      <c r="L52" s="143"/>
      <c r="M52" s="144"/>
      <c r="N52" s="144"/>
      <c r="O52" s="144"/>
      <c r="P52" s="144"/>
      <c r="Q52" s="144"/>
    </row>
    <row r="53" spans="1:17" ht="13.5" thickTop="1" x14ac:dyDescent="0.2">
      <c r="A53" s="235" t="s">
        <v>113</v>
      </c>
      <c r="B53" s="5">
        <f>+'SERVICIO FAENA'!A53</f>
        <v>51</v>
      </c>
      <c r="C53" s="5" t="str">
        <f>+'SERVICIO FAENA'!B53</f>
        <v>GANADERA NORTE NEUQUINO</v>
      </c>
      <c r="D53" s="5">
        <f>+'SERVICIO FAENA'!C53</f>
        <v>42</v>
      </c>
      <c r="E53" s="7">
        <f>+'SERVICIO FAENA'!H53</f>
        <v>420</v>
      </c>
      <c r="F53" s="6">
        <f>+'SERVICIO FAENA'!F53</f>
        <v>9646.7999999999993</v>
      </c>
      <c r="G53" s="7">
        <f>+'SERVICIO FAENA'!J53</f>
        <v>4051655.9999999995</v>
      </c>
      <c r="H53" s="7">
        <f>+'SERVICIO DESPOSTE'!W53</f>
        <v>0</v>
      </c>
      <c r="I53" s="36">
        <f>+(G53-J53)+K53+M53+N53+O53+P53+Q53+L53+H53</f>
        <v>4188455.9999999995</v>
      </c>
      <c r="J53" s="8">
        <f>+MENUDENCIAS!I53</f>
        <v>0</v>
      </c>
      <c r="K53" s="8">
        <f>+MENUDENCIAS!O53</f>
        <v>0</v>
      </c>
      <c r="L53" s="8">
        <f>+'MERCADO INTERNO'!AG54</f>
        <v>0</v>
      </c>
      <c r="M53" s="7">
        <f>+RENDERING!H52</f>
        <v>36000</v>
      </c>
      <c r="N53" s="7">
        <f>+RENDERING!F52</f>
        <v>81600</v>
      </c>
      <c r="O53" s="7">
        <f>+RENDERING!J52</f>
        <v>19200</v>
      </c>
      <c r="P53" s="7">
        <f>+CUEROS!N55</f>
        <v>0</v>
      </c>
      <c r="Q53" s="7">
        <f>+'GRASA DREASING'!G52</f>
        <v>0</v>
      </c>
    </row>
    <row r="54" spans="1:17" x14ac:dyDescent="0.2">
      <c r="A54" s="233"/>
      <c r="B54" s="5">
        <f>+'SERVICIO FAENA'!A54</f>
        <v>52</v>
      </c>
      <c r="C54" s="5" t="str">
        <f>+'SERVICIO FAENA'!B54</f>
        <v>FERREYRA MARTIN</v>
      </c>
      <c r="D54" s="5">
        <f>+'SERVICIO FAENA'!C54</f>
        <v>18</v>
      </c>
      <c r="E54" s="7">
        <f>+'SERVICIO FAENA'!H54</f>
        <v>420</v>
      </c>
      <c r="F54" s="6">
        <f>+'SERVICIO FAENA'!F54</f>
        <v>3004.4</v>
      </c>
      <c r="G54" s="7">
        <f>+'SERVICIO FAENA'!J54</f>
        <v>1261848</v>
      </c>
      <c r="H54" s="7">
        <f>+'SERVICIO DESPOSTE'!W54</f>
        <v>0</v>
      </c>
      <c r="I54" s="36">
        <f t="shared" ref="I54:I118" si="1">+(G54-J54)+K54+M54+N54+O54+P54+Q54+L54+H54</f>
        <v>1261848</v>
      </c>
      <c r="J54" s="8">
        <f>+MENUDENCIAS!I54</f>
        <v>0</v>
      </c>
      <c r="K54" s="8">
        <f>+MENUDENCIAS!O54</f>
        <v>0</v>
      </c>
      <c r="L54" s="8">
        <f>+'MERCADO INTERNO'!AG55</f>
        <v>0</v>
      </c>
      <c r="M54" s="7">
        <f>+RENDERING!H53</f>
        <v>0</v>
      </c>
      <c r="N54" s="7">
        <f>+RENDERING!F53</f>
        <v>0</v>
      </c>
      <c r="O54" s="7">
        <f>+RENDERING!J53</f>
        <v>0</v>
      </c>
      <c r="P54" s="7">
        <f>+CUEROS!N56</f>
        <v>0</v>
      </c>
      <c r="Q54" s="7">
        <f>+'GRASA DREASING'!G53</f>
        <v>0</v>
      </c>
    </row>
    <row r="55" spans="1:17" x14ac:dyDescent="0.2">
      <c r="A55" s="233"/>
      <c r="B55" s="5">
        <f>+'SERVICIO FAENA'!A55</f>
        <v>53</v>
      </c>
      <c r="C55" s="5" t="str">
        <f>+'SERVICIO FAENA'!B55</f>
        <v>BOSQUES AMADOS SRL</v>
      </c>
      <c r="D55" s="5">
        <f>+'SERVICIO FAENA'!C55</f>
        <v>17</v>
      </c>
      <c r="E55" s="7">
        <f>+'SERVICIO FAENA'!H55</f>
        <v>420</v>
      </c>
      <c r="F55" s="6">
        <f>+'SERVICIO FAENA'!F55</f>
        <v>3545.7</v>
      </c>
      <c r="G55" s="7">
        <f>+'SERVICIO FAENA'!J55</f>
        <v>1489194</v>
      </c>
      <c r="H55" s="7">
        <f>+'SERVICIO DESPOSTE'!W55</f>
        <v>0</v>
      </c>
      <c r="I55" s="36">
        <f t="shared" si="1"/>
        <v>1489194</v>
      </c>
      <c r="J55" s="8">
        <f>+MENUDENCIAS!I55</f>
        <v>0</v>
      </c>
      <c r="K55" s="8">
        <f>+MENUDENCIAS!O55</f>
        <v>0</v>
      </c>
      <c r="L55" s="8">
        <f>+'MERCADO INTERNO'!AG56</f>
        <v>0</v>
      </c>
      <c r="M55" s="7">
        <f>+RENDERING!H54</f>
        <v>0</v>
      </c>
      <c r="N55" s="7">
        <f>+RENDERING!F54</f>
        <v>0</v>
      </c>
      <c r="O55" s="7">
        <f>+RENDERING!J54</f>
        <v>0</v>
      </c>
      <c r="P55" s="7">
        <f>+CUEROS!N57</f>
        <v>0</v>
      </c>
      <c r="Q55" s="7">
        <f>+'GRASA DREASING'!G54</f>
        <v>0</v>
      </c>
    </row>
    <row r="56" spans="1:17" x14ac:dyDescent="0.2">
      <c r="A56" s="233"/>
      <c r="B56" s="5">
        <f>+'SERVICIO FAENA'!A56</f>
        <v>54</v>
      </c>
      <c r="C56" s="5" t="str">
        <f>+'SERVICIO FAENA'!B56</f>
        <v>MUCA SAS</v>
      </c>
      <c r="D56" s="5">
        <f>+'SERVICIO FAENA'!C56</f>
        <v>50</v>
      </c>
      <c r="E56" s="7">
        <f>+'SERVICIO FAENA'!H56</f>
        <v>420</v>
      </c>
      <c r="F56" s="6">
        <f>+'SERVICIO FAENA'!F56</f>
        <v>15684.1</v>
      </c>
      <c r="G56" s="7">
        <f>+'SERVICIO FAENA'!J56</f>
        <v>6587322</v>
      </c>
      <c r="H56" s="7">
        <f>+'SERVICIO DESPOSTE'!W56</f>
        <v>0</v>
      </c>
      <c r="I56" s="36">
        <f t="shared" si="1"/>
        <v>6770522</v>
      </c>
      <c r="J56" s="8">
        <f>+MENUDENCIAS!I56</f>
        <v>0</v>
      </c>
      <c r="K56" s="8">
        <f>+MENUDENCIAS!O56</f>
        <v>0</v>
      </c>
      <c r="L56" s="8">
        <f>+'MERCADO INTERNO'!AG57</f>
        <v>0</v>
      </c>
      <c r="M56" s="7">
        <f>+RENDERING!H55</f>
        <v>36000</v>
      </c>
      <c r="N56" s="7">
        <f>+RENDERING!F55</f>
        <v>111200</v>
      </c>
      <c r="O56" s="7">
        <f>+RENDERING!J55</f>
        <v>36000</v>
      </c>
      <c r="P56" s="7">
        <f>+CUEROS!N58</f>
        <v>0</v>
      </c>
      <c r="Q56" s="7">
        <f>+'GRASA DREASING'!G55</f>
        <v>0</v>
      </c>
    </row>
    <row r="57" spans="1:17" x14ac:dyDescent="0.2">
      <c r="A57" s="233"/>
      <c r="B57" s="5">
        <f>+'SERVICIO FAENA'!A57</f>
        <v>55</v>
      </c>
      <c r="C57" s="5" t="str">
        <f>+'SERVICIO FAENA'!B57</f>
        <v>MORAGA</v>
      </c>
      <c r="D57" s="5">
        <f>+'SERVICIO FAENA'!C57</f>
        <v>10</v>
      </c>
      <c r="E57" s="7">
        <f>+'SERVICIO FAENA'!H57</f>
        <v>420</v>
      </c>
      <c r="F57" s="6">
        <f>+'SERVICIO FAENA'!F57</f>
        <v>1943.7</v>
      </c>
      <c r="G57" s="7">
        <f>+'SERVICIO FAENA'!J57</f>
        <v>816354</v>
      </c>
      <c r="H57" s="7">
        <f>+'SERVICIO DESPOSTE'!W57</f>
        <v>0</v>
      </c>
      <c r="I57" s="36">
        <f t="shared" si="1"/>
        <v>889154</v>
      </c>
      <c r="J57" s="8">
        <f>+MENUDENCIAS!I57</f>
        <v>0</v>
      </c>
      <c r="K57" s="8">
        <f>+MENUDENCIAS!O57</f>
        <v>0</v>
      </c>
      <c r="L57" s="8">
        <f>+'MERCADO INTERNO'!AG58</f>
        <v>0</v>
      </c>
      <c r="M57" s="7">
        <f>+RENDERING!H56</f>
        <v>19200</v>
      </c>
      <c r="N57" s="7">
        <f>+RENDERING!F56</f>
        <v>42400</v>
      </c>
      <c r="O57" s="7">
        <f>+RENDERING!J56</f>
        <v>11200</v>
      </c>
      <c r="P57" s="7">
        <f>+CUEROS!N59</f>
        <v>0</v>
      </c>
      <c r="Q57" s="7">
        <f>+'GRASA DREASING'!G56</f>
        <v>0</v>
      </c>
    </row>
    <row r="58" spans="1:17" x14ac:dyDescent="0.2">
      <c r="A58" s="233"/>
      <c r="B58" s="5">
        <f>+'SERVICIO FAENA'!A58</f>
        <v>56</v>
      </c>
      <c r="C58" s="5" t="str">
        <f>+'SERVICIO FAENA'!B58</f>
        <v>FERREYRA MARTIN</v>
      </c>
      <c r="D58" s="5">
        <f>+'SERVICIO FAENA'!C58</f>
        <v>15</v>
      </c>
      <c r="E58" s="7">
        <f>+'SERVICIO FAENA'!H58</f>
        <v>420</v>
      </c>
      <c r="F58" s="6">
        <f>+'SERVICIO FAENA'!F58</f>
        <v>3484.6</v>
      </c>
      <c r="G58" s="7">
        <f>+'SERVICIO FAENA'!J58</f>
        <v>1463532</v>
      </c>
      <c r="H58" s="7">
        <f>+'SERVICIO DESPOSTE'!W58</f>
        <v>0</v>
      </c>
      <c r="I58" s="36">
        <f t="shared" si="1"/>
        <v>1463532</v>
      </c>
      <c r="J58" s="8">
        <f>+MENUDENCIAS!I58</f>
        <v>0</v>
      </c>
      <c r="K58" s="8">
        <f>+MENUDENCIAS!O58</f>
        <v>0</v>
      </c>
      <c r="L58" s="8">
        <f>+'MERCADO INTERNO'!AG59</f>
        <v>0</v>
      </c>
      <c r="M58" s="7">
        <f>+RENDERING!H57</f>
        <v>0</v>
      </c>
      <c r="N58" s="7">
        <f>+RENDERING!F57</f>
        <v>0</v>
      </c>
      <c r="O58" s="7">
        <f>+RENDERING!J57</f>
        <v>0</v>
      </c>
      <c r="P58" s="7">
        <f>+CUEROS!N60</f>
        <v>0</v>
      </c>
      <c r="Q58" s="7">
        <f>+'GRASA DREASING'!G57</f>
        <v>0</v>
      </c>
    </row>
    <row r="59" spans="1:17" x14ac:dyDescent="0.2">
      <c r="A59" s="233"/>
      <c r="B59" s="5">
        <f>+'SERVICIO FAENA'!A59</f>
        <v>57</v>
      </c>
      <c r="C59" s="5" t="str">
        <f>+'SERVICIO FAENA'!B59</f>
        <v>FERREYRA ALBERTO</v>
      </c>
      <c r="D59" s="5">
        <f>+'SERVICIO FAENA'!C59</f>
        <v>5</v>
      </c>
      <c r="E59" s="7">
        <f>+'SERVICIO FAENA'!H59</f>
        <v>420</v>
      </c>
      <c r="F59" s="6">
        <f>+'SERVICIO FAENA'!F59</f>
        <v>925.9</v>
      </c>
      <c r="G59" s="7">
        <f>+'SERVICIO FAENA'!J59</f>
        <v>388878</v>
      </c>
      <c r="H59" s="7">
        <f>+'SERVICIO DESPOSTE'!W59</f>
        <v>0</v>
      </c>
      <c r="I59" s="36">
        <f t="shared" si="1"/>
        <v>388878</v>
      </c>
      <c r="J59" s="8">
        <f>+MENUDENCIAS!I59</f>
        <v>0</v>
      </c>
      <c r="K59" s="8">
        <f>+MENUDENCIAS!O59</f>
        <v>0</v>
      </c>
      <c r="L59" s="8">
        <f>+'MERCADO INTERNO'!AG60</f>
        <v>0</v>
      </c>
      <c r="M59" s="7">
        <f>+RENDERING!H58</f>
        <v>0</v>
      </c>
      <c r="N59" s="7">
        <f>+RENDERING!F58</f>
        <v>0</v>
      </c>
      <c r="O59" s="7">
        <f>+RENDERING!J58</f>
        <v>0</v>
      </c>
      <c r="P59" s="7">
        <f>+CUEROS!N61</f>
        <v>0</v>
      </c>
      <c r="Q59" s="7">
        <f>+'GRASA DREASING'!G58</f>
        <v>0</v>
      </c>
    </row>
    <row r="60" spans="1:17" x14ac:dyDescent="0.2">
      <c r="A60" s="233"/>
      <c r="B60" s="5">
        <f>+'SERVICIO FAENA'!A60</f>
        <v>58</v>
      </c>
      <c r="C60" s="5" t="str">
        <f>+'SERVICIO FAENA'!B60</f>
        <v>FERREYRA MARTIN</v>
      </c>
      <c r="D60" s="5">
        <f>+'SERVICIO FAENA'!C60</f>
        <v>10</v>
      </c>
      <c r="E60" s="7">
        <f>+'SERVICIO FAENA'!H60</f>
        <v>420</v>
      </c>
      <c r="F60" s="6">
        <f>+'SERVICIO FAENA'!F60</f>
        <v>1768.6</v>
      </c>
      <c r="G60" s="7">
        <f>+'SERVICIO FAENA'!J60</f>
        <v>742812</v>
      </c>
      <c r="H60" s="7">
        <f>+'SERVICIO DESPOSTE'!W60</f>
        <v>0</v>
      </c>
      <c r="I60" s="36">
        <f t="shared" si="1"/>
        <v>742812</v>
      </c>
      <c r="J60" s="8">
        <f>+MENUDENCIAS!I60</f>
        <v>0</v>
      </c>
      <c r="K60" s="8">
        <f>+MENUDENCIAS!O60</f>
        <v>0</v>
      </c>
      <c r="L60" s="8">
        <f>+'MERCADO INTERNO'!AG61</f>
        <v>0</v>
      </c>
      <c r="M60" s="7">
        <f>+RENDERING!H59</f>
        <v>0</v>
      </c>
      <c r="N60" s="7">
        <f>+RENDERING!F59</f>
        <v>0</v>
      </c>
      <c r="O60" s="7">
        <f>+RENDERING!J59</f>
        <v>0</v>
      </c>
      <c r="P60" s="7">
        <f>+CUEROS!N62</f>
        <v>0</v>
      </c>
      <c r="Q60" s="7">
        <f>+'GRASA DREASING'!G59</f>
        <v>0</v>
      </c>
    </row>
    <row r="61" spans="1:17" x14ac:dyDescent="0.2">
      <c r="A61" s="233"/>
      <c r="B61" s="5">
        <f>+'SERVICIO FAENA'!A61</f>
        <v>59</v>
      </c>
      <c r="C61" s="5" t="str">
        <f>+'SERVICIO FAENA'!B61</f>
        <v>FRIGORIFICO DE LA PATAGONIA SRL</v>
      </c>
      <c r="D61" s="5">
        <f>+'SERVICIO FAENA'!C61</f>
        <v>20</v>
      </c>
      <c r="E61" s="7">
        <f>+'SERVICIO FAENA'!H61</f>
        <v>420</v>
      </c>
      <c r="F61" s="6">
        <f>+'SERVICIO FAENA'!F61</f>
        <v>3150.7</v>
      </c>
      <c r="G61" s="7">
        <f>+'SERVICIO FAENA'!J61</f>
        <v>1323294</v>
      </c>
      <c r="H61" s="7">
        <f>+'SERVICIO DESPOSTE'!W61</f>
        <v>0</v>
      </c>
      <c r="I61" s="36">
        <f t="shared" si="1"/>
        <v>1463294</v>
      </c>
      <c r="J61" s="8">
        <f>+MENUDENCIAS!I61</f>
        <v>0</v>
      </c>
      <c r="K61" s="8">
        <f>+MENUDENCIAS!O61</f>
        <v>0</v>
      </c>
      <c r="L61" s="8">
        <f>+'MERCADO INTERNO'!AG62</f>
        <v>0</v>
      </c>
      <c r="M61" s="7">
        <f>+RENDERING!H60</f>
        <v>39200</v>
      </c>
      <c r="N61" s="7">
        <f>+RENDERING!F60</f>
        <v>83200</v>
      </c>
      <c r="O61" s="7">
        <f>+RENDERING!J60</f>
        <v>17600</v>
      </c>
      <c r="P61" s="7">
        <f>+CUEROS!N63</f>
        <v>0</v>
      </c>
      <c r="Q61" s="7">
        <f>+'GRASA DREASING'!G60</f>
        <v>0</v>
      </c>
    </row>
    <row r="62" spans="1:17" x14ac:dyDescent="0.2">
      <c r="A62" s="233"/>
      <c r="B62" s="5">
        <f>+'SERVICIO FAENA'!A62</f>
        <v>60</v>
      </c>
      <c r="C62" s="5" t="str">
        <f>+'SERVICIO FAENA'!B62</f>
        <v>FRIGORIFICO DE LA PATAGONIA SRL</v>
      </c>
      <c r="D62" s="5">
        <f>+'SERVICIO FAENA'!C62</f>
        <v>28</v>
      </c>
      <c r="E62" s="7">
        <f>+'SERVICIO FAENA'!H62</f>
        <v>420</v>
      </c>
      <c r="F62" s="6">
        <f>+'SERVICIO FAENA'!F62</f>
        <v>5073.8999999999996</v>
      </c>
      <c r="G62" s="7">
        <f>+'SERVICIO FAENA'!J62</f>
        <v>2131038</v>
      </c>
      <c r="H62" s="7">
        <f>+'SERVICIO DESPOSTE'!W62</f>
        <v>0</v>
      </c>
      <c r="I62" s="36">
        <f t="shared" si="1"/>
        <v>2131038</v>
      </c>
      <c r="J62" s="8">
        <f>+MENUDENCIAS!I62</f>
        <v>0</v>
      </c>
      <c r="K62" s="8">
        <f>+MENUDENCIAS!O62</f>
        <v>0</v>
      </c>
      <c r="L62" s="8">
        <f>+'MERCADO INTERNO'!AG63</f>
        <v>0</v>
      </c>
      <c r="M62" s="7">
        <f>+RENDERING!H61</f>
        <v>0</v>
      </c>
      <c r="N62" s="7">
        <f>+RENDERING!F61</f>
        <v>0</v>
      </c>
      <c r="O62" s="7">
        <f>+RENDERING!J61</f>
        <v>0</v>
      </c>
      <c r="P62" s="7">
        <f>+CUEROS!N64</f>
        <v>0</v>
      </c>
      <c r="Q62" s="7">
        <f>+'GRASA DREASING'!G61</f>
        <v>0</v>
      </c>
    </row>
    <row r="63" spans="1:17" x14ac:dyDescent="0.2">
      <c r="A63" s="233"/>
      <c r="B63" s="5">
        <f>+'SERVICIO FAENA'!A63</f>
        <v>61</v>
      </c>
      <c r="C63" s="5" t="str">
        <f>+'SERVICIO FAENA'!B63</f>
        <v>MAIZALES DE LA PATAGONIA SRL</v>
      </c>
      <c r="D63" s="5">
        <f>+'SERVICIO FAENA'!C63</f>
        <v>20</v>
      </c>
      <c r="E63" s="7">
        <f>+'SERVICIO FAENA'!H63</f>
        <v>420</v>
      </c>
      <c r="F63" s="6">
        <f>+'SERVICIO FAENA'!F63</f>
        <v>4074.2</v>
      </c>
      <c r="G63" s="7">
        <f>+'SERVICIO FAENA'!J63</f>
        <v>1711164</v>
      </c>
      <c r="H63" s="7">
        <f>+'SERVICIO DESPOSTE'!W63</f>
        <v>0</v>
      </c>
      <c r="I63" s="36">
        <f t="shared" si="1"/>
        <v>1711164</v>
      </c>
      <c r="J63" s="8">
        <f>+MENUDENCIAS!I63</f>
        <v>0</v>
      </c>
      <c r="K63" s="8">
        <f>+MENUDENCIAS!O63</f>
        <v>0</v>
      </c>
      <c r="L63" s="8">
        <f>+'MERCADO INTERNO'!AG64</f>
        <v>0</v>
      </c>
      <c r="M63" s="7">
        <f>+RENDERING!H62</f>
        <v>0</v>
      </c>
      <c r="N63" s="7">
        <f>+RENDERING!F62</f>
        <v>0</v>
      </c>
      <c r="O63" s="7">
        <f>+RENDERING!J62</f>
        <v>0</v>
      </c>
      <c r="P63" s="7">
        <f>+CUEROS!N65</f>
        <v>0</v>
      </c>
      <c r="Q63" s="7">
        <f>+'GRASA DREASING'!G62</f>
        <v>0</v>
      </c>
    </row>
    <row r="64" spans="1:17" x14ac:dyDescent="0.2">
      <c r="A64" s="233"/>
      <c r="B64" s="5">
        <f>+'SERVICIO FAENA'!A64</f>
        <v>62</v>
      </c>
      <c r="C64" s="5" t="str">
        <f>+'SERVICIO FAENA'!B64</f>
        <v>FRIGORIFICO DE LA PATAGONIA SRL</v>
      </c>
      <c r="D64" s="5">
        <f>+'SERVICIO FAENA'!C64</f>
        <v>1</v>
      </c>
      <c r="E64" s="7">
        <f>+'SERVICIO FAENA'!H64</f>
        <v>420</v>
      </c>
      <c r="F64" s="6">
        <f>+'SERVICIO FAENA'!F64</f>
        <v>189.7</v>
      </c>
      <c r="G64" s="7">
        <f>+'SERVICIO FAENA'!J64</f>
        <v>79674</v>
      </c>
      <c r="H64" s="7">
        <f>+'SERVICIO DESPOSTE'!W64</f>
        <v>0</v>
      </c>
      <c r="I64" s="36">
        <f t="shared" si="1"/>
        <v>79674</v>
      </c>
      <c r="J64" s="8">
        <f>+MENUDENCIAS!I64</f>
        <v>0</v>
      </c>
      <c r="K64" s="8">
        <f>+MENUDENCIAS!O64</f>
        <v>0</v>
      </c>
      <c r="L64" s="8">
        <f>+'MERCADO INTERNO'!AG65</f>
        <v>0</v>
      </c>
      <c r="M64" s="7">
        <f>+RENDERING!H63</f>
        <v>0</v>
      </c>
      <c r="N64" s="7">
        <f>+RENDERING!F63</f>
        <v>0</v>
      </c>
      <c r="O64" s="7">
        <f>+RENDERING!J63</f>
        <v>0</v>
      </c>
      <c r="P64" s="7">
        <f>+CUEROS!N66</f>
        <v>0</v>
      </c>
      <c r="Q64" s="7">
        <f>+'GRASA DREASING'!G63</f>
        <v>0</v>
      </c>
    </row>
    <row r="65" spans="1:17" x14ac:dyDescent="0.2">
      <c r="A65" s="233"/>
      <c r="B65" s="5">
        <f>+'SERVICIO FAENA'!A65</f>
        <v>63</v>
      </c>
      <c r="C65" s="5" t="str">
        <f>+'SERVICIO FAENA'!B65</f>
        <v>FERREYRA MARTIN</v>
      </c>
      <c r="D65" s="5">
        <f>+'SERVICIO FAENA'!C65</f>
        <v>8</v>
      </c>
      <c r="E65" s="7">
        <f>+'SERVICIO FAENA'!H65</f>
        <v>420</v>
      </c>
      <c r="F65" s="6">
        <f>+'SERVICIO FAENA'!F65</f>
        <v>1437.3</v>
      </c>
      <c r="G65" s="7">
        <f>+'SERVICIO FAENA'!J65</f>
        <v>603666</v>
      </c>
      <c r="H65" s="7">
        <f>+'SERVICIO DESPOSTE'!W65</f>
        <v>0</v>
      </c>
      <c r="I65" s="36">
        <f t="shared" si="1"/>
        <v>761266</v>
      </c>
      <c r="J65" s="8">
        <f>+MENUDENCIAS!I65</f>
        <v>0</v>
      </c>
      <c r="K65" s="8">
        <f>+MENUDENCIAS!O65</f>
        <v>0</v>
      </c>
      <c r="L65" s="8">
        <f>+'MERCADO INTERNO'!AG66</f>
        <v>0</v>
      </c>
      <c r="M65" s="7">
        <f>+RENDERING!H64</f>
        <v>45600</v>
      </c>
      <c r="N65" s="7">
        <f>+RENDERING!F64</f>
        <v>84000</v>
      </c>
      <c r="O65" s="7">
        <f>+RENDERING!J64</f>
        <v>28000</v>
      </c>
      <c r="P65" s="7">
        <f>+CUEROS!N67</f>
        <v>0</v>
      </c>
      <c r="Q65" s="7">
        <f>+'GRASA DREASING'!G64</f>
        <v>0</v>
      </c>
    </row>
    <row r="66" spans="1:17" x14ac:dyDescent="0.2">
      <c r="A66" s="233"/>
      <c r="B66" s="5">
        <f>+'SERVICIO FAENA'!A66</f>
        <v>64</v>
      </c>
      <c r="C66" s="5" t="str">
        <f>+'SERVICIO FAENA'!B66</f>
        <v>FERREYRA MARTIN</v>
      </c>
      <c r="D66" s="5">
        <f>+'SERVICIO FAENA'!C66</f>
        <v>3</v>
      </c>
      <c r="E66" s="7">
        <f>+'SERVICIO FAENA'!H66</f>
        <v>420</v>
      </c>
      <c r="F66" s="6">
        <f>+'SERVICIO FAENA'!F66</f>
        <v>697.2</v>
      </c>
      <c r="G66" s="7">
        <f>+'SERVICIO FAENA'!J66</f>
        <v>292824</v>
      </c>
      <c r="H66" s="7">
        <f>+'SERVICIO DESPOSTE'!W66</f>
        <v>0</v>
      </c>
      <c r="I66" s="36">
        <f t="shared" si="1"/>
        <v>292824</v>
      </c>
      <c r="J66" s="8">
        <f>+MENUDENCIAS!I66</f>
        <v>0</v>
      </c>
      <c r="K66" s="8">
        <f>+MENUDENCIAS!O66</f>
        <v>0</v>
      </c>
      <c r="L66" s="8">
        <f>+'MERCADO INTERNO'!AG67</f>
        <v>0</v>
      </c>
      <c r="M66" s="7">
        <f>+RENDERING!H65</f>
        <v>0</v>
      </c>
      <c r="N66" s="7">
        <f>+RENDERING!F65</f>
        <v>0</v>
      </c>
      <c r="O66" s="7">
        <f>+RENDERING!J65</f>
        <v>0</v>
      </c>
      <c r="P66" s="7">
        <f>+CUEROS!N68</f>
        <v>0</v>
      </c>
      <c r="Q66" s="7">
        <f>+'GRASA DREASING'!G65</f>
        <v>0</v>
      </c>
    </row>
    <row r="67" spans="1:17" x14ac:dyDescent="0.2">
      <c r="A67" s="233"/>
      <c r="B67" s="5">
        <f>+'SERVICIO FAENA'!A67</f>
        <v>65</v>
      </c>
      <c r="C67" s="5" t="str">
        <f>+'SERVICIO FAENA'!B67</f>
        <v>FERREYRA MARTIN</v>
      </c>
      <c r="D67" s="5">
        <f>+'SERVICIO FAENA'!C67</f>
        <v>4</v>
      </c>
      <c r="E67" s="7">
        <f>+'SERVICIO FAENA'!H67</f>
        <v>420</v>
      </c>
      <c r="F67" s="6">
        <f>+'SERVICIO FAENA'!F67</f>
        <v>696.2</v>
      </c>
      <c r="G67" s="7">
        <f>+'SERVICIO FAENA'!J67</f>
        <v>292404</v>
      </c>
      <c r="H67" s="7">
        <f>+'SERVICIO DESPOSTE'!W67</f>
        <v>0</v>
      </c>
      <c r="I67" s="36">
        <f t="shared" si="1"/>
        <v>292404</v>
      </c>
      <c r="J67" s="8">
        <f>+MENUDENCIAS!I67</f>
        <v>0</v>
      </c>
      <c r="K67" s="8">
        <f>+MENUDENCIAS!O67</f>
        <v>0</v>
      </c>
      <c r="L67" s="8">
        <f>+'MERCADO INTERNO'!AG68</f>
        <v>0</v>
      </c>
      <c r="M67" s="7">
        <f>+RENDERING!H66</f>
        <v>0</v>
      </c>
      <c r="N67" s="7">
        <f>+RENDERING!F66</f>
        <v>0</v>
      </c>
      <c r="O67" s="7">
        <f>+RENDERING!J66</f>
        <v>0</v>
      </c>
      <c r="P67" s="7">
        <f>+CUEROS!N69</f>
        <v>0</v>
      </c>
      <c r="Q67" s="7">
        <f>+'GRASA DREASING'!G66</f>
        <v>0</v>
      </c>
    </row>
    <row r="68" spans="1:17" x14ac:dyDescent="0.2">
      <c r="A68" s="233"/>
      <c r="B68" s="5">
        <f>+'SERVICIO FAENA'!A68</f>
        <v>66</v>
      </c>
      <c r="C68" s="5" t="str">
        <f>+'SERVICIO FAENA'!B68</f>
        <v>DOS DE FIERRO SA</v>
      </c>
      <c r="D68" s="5">
        <f>+'SERVICIO FAENA'!C68</f>
        <v>21</v>
      </c>
      <c r="E68" s="7">
        <f>+'SERVICIO FAENA'!H68</f>
        <v>420</v>
      </c>
      <c r="F68" s="6">
        <f>+'SERVICIO FAENA'!F68</f>
        <v>4464</v>
      </c>
      <c r="G68" s="7">
        <f>+'SERVICIO FAENA'!J68</f>
        <v>1874880</v>
      </c>
      <c r="H68" s="7">
        <f>+'SERVICIO DESPOSTE'!W68</f>
        <v>0</v>
      </c>
      <c r="I68" s="36">
        <f t="shared" si="1"/>
        <v>1874880</v>
      </c>
      <c r="J68" s="8">
        <f>+MENUDENCIAS!I68</f>
        <v>0</v>
      </c>
      <c r="K68" s="8">
        <f>+MENUDENCIAS!O68</f>
        <v>0</v>
      </c>
      <c r="L68" s="8">
        <f>+'MERCADO INTERNO'!AG69</f>
        <v>0</v>
      </c>
      <c r="M68" s="7">
        <f>+RENDERING!H67</f>
        <v>0</v>
      </c>
      <c r="N68" s="7">
        <f>+RENDERING!F67</f>
        <v>0</v>
      </c>
      <c r="O68" s="7">
        <f>+RENDERING!J67</f>
        <v>0</v>
      </c>
      <c r="P68" s="7">
        <f>+CUEROS!N70</f>
        <v>0</v>
      </c>
      <c r="Q68" s="7">
        <f>+'GRASA DREASING'!G67</f>
        <v>0</v>
      </c>
    </row>
    <row r="69" spans="1:17" x14ac:dyDescent="0.2">
      <c r="A69" s="233"/>
      <c r="B69" s="5">
        <f>+'SERVICIO FAENA'!A69</f>
        <v>67</v>
      </c>
      <c r="C69" s="5" t="str">
        <f>+'SERVICIO FAENA'!B69</f>
        <v>GANADERA NORTE NEUQUINO</v>
      </c>
      <c r="D69" s="5">
        <f>+'SERVICIO FAENA'!C69</f>
        <v>45</v>
      </c>
      <c r="E69" s="7">
        <f>+'SERVICIO FAENA'!H69</f>
        <v>420</v>
      </c>
      <c r="F69" s="6">
        <f>+'SERVICIO FAENA'!F69</f>
        <v>7791.2</v>
      </c>
      <c r="G69" s="7">
        <f>+'SERVICIO FAENA'!J69</f>
        <v>3272304</v>
      </c>
      <c r="H69" s="7">
        <f>+'SERVICIO DESPOSTE'!W69</f>
        <v>0</v>
      </c>
      <c r="I69" s="36">
        <f t="shared" si="1"/>
        <v>3272304</v>
      </c>
      <c r="J69" s="8">
        <f>+MENUDENCIAS!I69</f>
        <v>0</v>
      </c>
      <c r="K69" s="8">
        <f>+MENUDENCIAS!O69</f>
        <v>0</v>
      </c>
      <c r="L69" s="8">
        <f>+'MERCADO INTERNO'!AG70</f>
        <v>0</v>
      </c>
      <c r="M69" s="7">
        <f>+RENDERING!H68</f>
        <v>0</v>
      </c>
      <c r="N69" s="7">
        <f>+RENDERING!F68</f>
        <v>0</v>
      </c>
      <c r="O69" s="7">
        <f>+RENDERING!J68</f>
        <v>0</v>
      </c>
      <c r="P69" s="7">
        <f>+CUEROS!N71</f>
        <v>0</v>
      </c>
      <c r="Q69" s="7">
        <f>+'GRASA DREASING'!G68</f>
        <v>0</v>
      </c>
    </row>
    <row r="70" spans="1:17" x14ac:dyDescent="0.2">
      <c r="A70" s="233"/>
      <c r="B70" s="5">
        <f>+'SERVICIO FAENA'!A70</f>
        <v>68</v>
      </c>
      <c r="C70" s="5" t="str">
        <f>+'SERVICIO FAENA'!B70</f>
        <v>BOSQUES AMADOS SRL</v>
      </c>
      <c r="D70" s="5">
        <f>+'SERVICIO FAENA'!C70</f>
        <v>18</v>
      </c>
      <c r="E70" s="7">
        <f>+'SERVICIO FAENA'!H70</f>
        <v>420</v>
      </c>
      <c r="F70" s="6">
        <f>+'SERVICIO FAENA'!F70</f>
        <v>3742.8</v>
      </c>
      <c r="G70" s="7">
        <f>+'SERVICIO FAENA'!J70</f>
        <v>1571976</v>
      </c>
      <c r="H70" s="7">
        <f>+'SERVICIO DESPOSTE'!W70</f>
        <v>0</v>
      </c>
      <c r="I70" s="36">
        <f t="shared" si="1"/>
        <v>2101262.7947999998</v>
      </c>
      <c r="J70" s="8">
        <f>+MENUDENCIAS!I70</f>
        <v>0</v>
      </c>
      <c r="K70" s="8">
        <f>+MENUDENCIAS!O70</f>
        <v>0</v>
      </c>
      <c r="L70" s="8">
        <f>+'MERCADO INTERNO'!AG71</f>
        <v>322886.79479999997</v>
      </c>
      <c r="M70" s="7">
        <f>+RENDERING!H69</f>
        <v>48000</v>
      </c>
      <c r="N70" s="7">
        <f>+RENDERING!F69</f>
        <v>122400</v>
      </c>
      <c r="O70" s="7">
        <f>+RENDERING!J69</f>
        <v>36000</v>
      </c>
      <c r="P70" s="7">
        <f>+CUEROS!N72</f>
        <v>0</v>
      </c>
      <c r="Q70" s="7">
        <f>+'GRASA DREASING'!G69</f>
        <v>0</v>
      </c>
    </row>
    <row r="71" spans="1:17" x14ac:dyDescent="0.2">
      <c r="A71" s="233"/>
      <c r="B71" s="5">
        <f>+'SERVICIO FAENA'!A71</f>
        <v>69</v>
      </c>
      <c r="C71" s="5" t="str">
        <f>+'SERVICIO FAENA'!B71</f>
        <v>MUCA SAS</v>
      </c>
      <c r="D71" s="5">
        <f>+'SERVICIO FAENA'!C71</f>
        <v>50</v>
      </c>
      <c r="E71" s="7">
        <f>+'SERVICIO FAENA'!H71</f>
        <v>420</v>
      </c>
      <c r="F71" s="6">
        <f>+'SERVICIO FAENA'!F71</f>
        <v>15246</v>
      </c>
      <c r="G71" s="7">
        <f>+'SERVICIO FAENA'!J71</f>
        <v>6403320</v>
      </c>
      <c r="H71" s="7">
        <f>+'SERVICIO DESPOSTE'!W71</f>
        <v>0</v>
      </c>
      <c r="I71" s="36">
        <f t="shared" si="1"/>
        <v>6403320</v>
      </c>
      <c r="J71" s="8">
        <f>+MENUDENCIAS!I71</f>
        <v>0</v>
      </c>
      <c r="K71" s="8">
        <f>+MENUDENCIAS!O71</f>
        <v>0</v>
      </c>
      <c r="L71" s="8">
        <f>+'MERCADO INTERNO'!AG72</f>
        <v>0</v>
      </c>
      <c r="M71" s="7">
        <f>+RENDERING!H70</f>
        <v>0</v>
      </c>
      <c r="N71" s="7">
        <f>+RENDERING!F70</f>
        <v>0</v>
      </c>
      <c r="O71" s="7">
        <f>+RENDERING!J70</f>
        <v>0</v>
      </c>
      <c r="P71" s="7">
        <f>+CUEROS!N73</f>
        <v>0</v>
      </c>
      <c r="Q71" s="7">
        <f>+'GRASA DREASING'!G70</f>
        <v>0</v>
      </c>
    </row>
    <row r="72" spans="1:17" x14ac:dyDescent="0.2">
      <c r="A72" s="233"/>
      <c r="B72" s="5">
        <f>+'SERVICIO FAENA'!A72</f>
        <v>70</v>
      </c>
      <c r="C72" s="5" t="str">
        <f>+'SERVICIO FAENA'!B72</f>
        <v>FERREYRA ALBERTO</v>
      </c>
      <c r="D72" s="5">
        <f>+'SERVICIO FAENA'!C72</f>
        <v>5</v>
      </c>
      <c r="E72" s="7">
        <f>+'SERVICIO FAENA'!H72</f>
        <v>420</v>
      </c>
      <c r="F72" s="6">
        <f>+'SERVICIO FAENA'!F72</f>
        <v>789.6</v>
      </c>
      <c r="G72" s="7">
        <f>+'SERVICIO FAENA'!J72</f>
        <v>331632</v>
      </c>
      <c r="H72" s="7">
        <f>+'SERVICIO DESPOSTE'!W72</f>
        <v>0</v>
      </c>
      <c r="I72" s="36">
        <f t="shared" si="1"/>
        <v>486032</v>
      </c>
      <c r="J72" s="8">
        <f>+MENUDENCIAS!I72</f>
        <v>0</v>
      </c>
      <c r="K72" s="8">
        <f>+MENUDENCIAS!O72</f>
        <v>0</v>
      </c>
      <c r="L72" s="8">
        <f>+'MERCADO INTERNO'!AG73</f>
        <v>0</v>
      </c>
      <c r="M72" s="7">
        <f>+RENDERING!H71</f>
        <v>40000</v>
      </c>
      <c r="N72" s="7">
        <f>+RENDERING!F71</f>
        <v>80800</v>
      </c>
      <c r="O72" s="7">
        <f>+RENDERING!J71</f>
        <v>33600</v>
      </c>
      <c r="P72" s="7">
        <f>+CUEROS!N74</f>
        <v>0</v>
      </c>
      <c r="Q72" s="7">
        <f>+'GRASA DREASING'!G71</f>
        <v>0</v>
      </c>
    </row>
    <row r="73" spans="1:17" x14ac:dyDescent="0.2">
      <c r="A73" s="233"/>
      <c r="B73" s="5">
        <f>+'SERVICIO FAENA'!A73</f>
        <v>71</v>
      </c>
      <c r="C73" s="5" t="str">
        <f>+'SERVICIO FAENA'!B73</f>
        <v>FRIGORIFICO DE LA PATAGONIA SRL</v>
      </c>
      <c r="D73" s="5">
        <f>+'SERVICIO FAENA'!C73</f>
        <v>25</v>
      </c>
      <c r="E73" s="7">
        <f>+'SERVICIO FAENA'!H73</f>
        <v>420</v>
      </c>
      <c r="F73" s="6">
        <f>+'SERVICIO FAENA'!F73</f>
        <v>5066</v>
      </c>
      <c r="G73" s="7">
        <f>+'SERVICIO FAENA'!J73</f>
        <v>2127720</v>
      </c>
      <c r="H73" s="7">
        <f>+'SERVICIO DESPOSTE'!W73</f>
        <v>0</v>
      </c>
      <c r="I73" s="36">
        <f t="shared" si="1"/>
        <v>2127720</v>
      </c>
      <c r="J73" s="8">
        <f>+MENUDENCIAS!I73</f>
        <v>0</v>
      </c>
      <c r="K73" s="8">
        <f>+MENUDENCIAS!O73</f>
        <v>0</v>
      </c>
      <c r="L73" s="8">
        <f>+'MERCADO INTERNO'!AG74</f>
        <v>0</v>
      </c>
      <c r="M73" s="7">
        <f>+RENDERING!H72</f>
        <v>0</v>
      </c>
      <c r="N73" s="7">
        <f>+RENDERING!F72</f>
        <v>0</v>
      </c>
      <c r="O73" s="7">
        <f>+RENDERING!J72</f>
        <v>0</v>
      </c>
      <c r="P73" s="7">
        <f>+CUEROS!N75</f>
        <v>0</v>
      </c>
      <c r="Q73" s="7">
        <f>+'GRASA DREASING'!G72</f>
        <v>0</v>
      </c>
    </row>
    <row r="74" spans="1:17" x14ac:dyDescent="0.2">
      <c r="A74" s="233"/>
      <c r="B74" s="5">
        <f>+'SERVICIO FAENA'!A74</f>
        <v>72</v>
      </c>
      <c r="C74" s="5" t="str">
        <f>+'SERVICIO FAENA'!B74</f>
        <v>FERREYRA MARTIN</v>
      </c>
      <c r="D74" s="5">
        <f>+'SERVICIO FAENA'!C74</f>
        <v>20</v>
      </c>
      <c r="E74" s="7">
        <f>+'SERVICIO FAENA'!H74</f>
        <v>420</v>
      </c>
      <c r="F74" s="6">
        <f>+'SERVICIO FAENA'!F74</f>
        <v>3572.3</v>
      </c>
      <c r="G74" s="7">
        <f>+'SERVICIO FAENA'!J74</f>
        <v>1500366</v>
      </c>
      <c r="H74" s="7">
        <f>+'SERVICIO DESPOSTE'!W74</f>
        <v>0</v>
      </c>
      <c r="I74" s="36">
        <f t="shared" si="1"/>
        <v>1500366</v>
      </c>
      <c r="J74" s="8">
        <f>+MENUDENCIAS!I74</f>
        <v>0</v>
      </c>
      <c r="K74" s="8">
        <f>+MENUDENCIAS!O74</f>
        <v>0</v>
      </c>
      <c r="L74" s="8">
        <f>+'MERCADO INTERNO'!AG75</f>
        <v>0</v>
      </c>
      <c r="M74" s="7">
        <f>+RENDERING!H73</f>
        <v>0</v>
      </c>
      <c r="N74" s="7">
        <f>+RENDERING!F73</f>
        <v>0</v>
      </c>
      <c r="O74" s="7">
        <f>+RENDERING!J73</f>
        <v>0</v>
      </c>
      <c r="P74" s="7">
        <f>+CUEROS!N76</f>
        <v>0</v>
      </c>
      <c r="Q74" s="7">
        <f>+'GRASA DREASING'!G73</f>
        <v>0</v>
      </c>
    </row>
    <row r="75" spans="1:17" x14ac:dyDescent="0.2">
      <c r="A75" s="233"/>
      <c r="B75" s="5">
        <f>+'SERVICIO FAENA'!A75</f>
        <v>73</v>
      </c>
      <c r="C75" s="5" t="str">
        <f>+'SERVICIO FAENA'!B75</f>
        <v>FRIGORIFICO DE LA PATAGONIA SRL</v>
      </c>
      <c r="D75" s="5">
        <f>+'SERVICIO FAENA'!C75</f>
        <v>15</v>
      </c>
      <c r="E75" s="7">
        <f>+'SERVICIO FAENA'!H75</f>
        <v>420</v>
      </c>
      <c r="F75" s="6">
        <f>+'SERVICIO FAENA'!F75</f>
        <v>3350.2</v>
      </c>
      <c r="G75" s="7">
        <f>+'SERVICIO FAENA'!J75</f>
        <v>1407084</v>
      </c>
      <c r="H75" s="7">
        <f>+'SERVICIO DESPOSTE'!W75</f>
        <v>0</v>
      </c>
      <c r="I75" s="36">
        <f t="shared" si="1"/>
        <v>1407084</v>
      </c>
      <c r="J75" s="8">
        <f>+MENUDENCIAS!I75</f>
        <v>0</v>
      </c>
      <c r="K75" s="8">
        <f>+MENUDENCIAS!O75</f>
        <v>0</v>
      </c>
      <c r="L75" s="8">
        <f>+'MERCADO INTERNO'!AG76</f>
        <v>0</v>
      </c>
      <c r="M75" s="7">
        <f>+RENDERING!H74</f>
        <v>0</v>
      </c>
      <c r="N75" s="7">
        <f>+RENDERING!F74</f>
        <v>0</v>
      </c>
      <c r="O75" s="7">
        <f>+RENDERING!J74</f>
        <v>0</v>
      </c>
      <c r="P75" s="7">
        <f>+CUEROS!N77</f>
        <v>0</v>
      </c>
      <c r="Q75" s="7">
        <f>+'GRASA DREASING'!G74</f>
        <v>0</v>
      </c>
    </row>
    <row r="76" spans="1:17" x14ac:dyDescent="0.2">
      <c r="A76" s="233"/>
      <c r="B76" s="5">
        <f>+'SERVICIO FAENA'!A76</f>
        <v>74</v>
      </c>
      <c r="C76" s="5" t="str">
        <f>+'SERVICIO FAENA'!B76</f>
        <v>FERREYRA MARTIN</v>
      </c>
      <c r="D76" s="5">
        <f>+'SERVICIO FAENA'!C76</f>
        <v>10</v>
      </c>
      <c r="E76" s="7">
        <f>+'SERVICIO FAENA'!H76</f>
        <v>420</v>
      </c>
      <c r="F76" s="6">
        <f>+'SERVICIO FAENA'!F76</f>
        <v>1594.1</v>
      </c>
      <c r="G76" s="7">
        <f>+'SERVICIO FAENA'!J76</f>
        <v>669522</v>
      </c>
      <c r="H76" s="7">
        <f>+'SERVICIO DESPOSTE'!W76</f>
        <v>0</v>
      </c>
      <c r="I76" s="36">
        <f t="shared" si="1"/>
        <v>767122</v>
      </c>
      <c r="J76" s="8">
        <f>+MENUDENCIAS!I76</f>
        <v>0</v>
      </c>
      <c r="K76" s="8">
        <f>+MENUDENCIAS!O76</f>
        <v>0</v>
      </c>
      <c r="L76" s="8">
        <f>+'MERCADO INTERNO'!AG77</f>
        <v>0</v>
      </c>
      <c r="M76" s="7">
        <f>+RENDERING!H75</f>
        <v>27200</v>
      </c>
      <c r="N76" s="7">
        <f>+RENDERING!F75</f>
        <v>55200</v>
      </c>
      <c r="O76" s="7">
        <f>+RENDERING!J75</f>
        <v>15200</v>
      </c>
      <c r="P76" s="7">
        <f>+CUEROS!N78</f>
        <v>0</v>
      </c>
      <c r="Q76" s="7">
        <f>+'GRASA DREASING'!G75</f>
        <v>0</v>
      </c>
    </row>
    <row r="77" spans="1:17" x14ac:dyDescent="0.2">
      <c r="A77" s="233"/>
      <c r="B77" s="5">
        <f>+'SERVICIO FAENA'!A77</f>
        <v>75</v>
      </c>
      <c r="C77" s="5" t="str">
        <f>+'SERVICIO FAENA'!B77</f>
        <v>FERREYRA MARTIN</v>
      </c>
      <c r="D77" s="5">
        <f>+'SERVICIO FAENA'!C77</f>
        <v>5</v>
      </c>
      <c r="E77" s="7">
        <f>+'SERVICIO FAENA'!H77</f>
        <v>420</v>
      </c>
      <c r="F77" s="6">
        <f>+'SERVICIO FAENA'!F77</f>
        <v>862.1</v>
      </c>
      <c r="G77" s="7">
        <f>+'SERVICIO FAENA'!J77</f>
        <v>362082</v>
      </c>
      <c r="H77" s="7">
        <f>+'SERVICIO DESPOSTE'!W77</f>
        <v>0</v>
      </c>
      <c r="I77" s="36">
        <f t="shared" si="1"/>
        <v>362082</v>
      </c>
      <c r="J77" s="8">
        <f>+MENUDENCIAS!I77</f>
        <v>0</v>
      </c>
      <c r="K77" s="8">
        <f>+MENUDENCIAS!O77</f>
        <v>0</v>
      </c>
      <c r="L77" s="8">
        <f>+'MERCADO INTERNO'!AG78</f>
        <v>0</v>
      </c>
      <c r="M77" s="7">
        <f>+RENDERING!H76</f>
        <v>0</v>
      </c>
      <c r="N77" s="7">
        <f>+RENDERING!F76</f>
        <v>0</v>
      </c>
      <c r="O77" s="7">
        <f>+RENDERING!J76</f>
        <v>0</v>
      </c>
      <c r="P77" s="7">
        <f>+CUEROS!N79</f>
        <v>0</v>
      </c>
      <c r="Q77" s="7">
        <f>+'GRASA DREASING'!G76</f>
        <v>0</v>
      </c>
    </row>
    <row r="78" spans="1:17" x14ac:dyDescent="0.2">
      <c r="A78" s="233"/>
      <c r="B78" s="5">
        <f>+'SERVICIO FAENA'!A78</f>
        <v>76</v>
      </c>
      <c r="C78" s="5" t="str">
        <f>+'SERVICIO FAENA'!B78</f>
        <v>BOSQUES AMADOS SRL</v>
      </c>
      <c r="D78" s="5">
        <f>+'SERVICIO FAENA'!C78</f>
        <v>18</v>
      </c>
      <c r="E78" s="7">
        <f>+'SERVICIO FAENA'!H78</f>
        <v>420</v>
      </c>
      <c r="F78" s="6">
        <f>+'SERVICIO FAENA'!F78</f>
        <v>3791.8</v>
      </c>
      <c r="G78" s="7">
        <f>+'SERVICIO FAENA'!J78</f>
        <v>1592556</v>
      </c>
      <c r="H78" s="7">
        <f>+'SERVICIO DESPOSTE'!W78</f>
        <v>0</v>
      </c>
      <c r="I78" s="36">
        <f t="shared" si="1"/>
        <v>1942783.7631999999</v>
      </c>
      <c r="J78" s="8">
        <f>+MENUDENCIAS!I78</f>
        <v>0</v>
      </c>
      <c r="K78" s="8">
        <f>+MENUDENCIAS!O78</f>
        <v>0</v>
      </c>
      <c r="L78" s="8">
        <f>+'MERCADO INTERNO'!AG79</f>
        <v>350227.76319999999</v>
      </c>
      <c r="M78" s="7">
        <f>+RENDERING!H77</f>
        <v>0</v>
      </c>
      <c r="N78" s="7">
        <f>+RENDERING!F77</f>
        <v>0</v>
      </c>
      <c r="O78" s="7">
        <f>+RENDERING!J77</f>
        <v>0</v>
      </c>
      <c r="P78" s="7">
        <f>+CUEROS!N80</f>
        <v>0</v>
      </c>
      <c r="Q78" s="7">
        <f>+'GRASA DREASING'!G77</f>
        <v>0</v>
      </c>
    </row>
    <row r="79" spans="1:17" x14ac:dyDescent="0.2">
      <c r="A79" s="233"/>
      <c r="B79" s="5">
        <f>+'SERVICIO FAENA'!A79</f>
        <v>77</v>
      </c>
      <c r="C79" s="5" t="str">
        <f>+'SERVICIO FAENA'!B79</f>
        <v>FERREYRA MARTIN</v>
      </c>
      <c r="D79" s="5">
        <f>+'SERVICIO FAENA'!C79</f>
        <v>15</v>
      </c>
      <c r="E79" s="7">
        <f>+'SERVICIO FAENA'!H79</f>
        <v>420</v>
      </c>
      <c r="F79" s="6">
        <f>+'SERVICIO FAENA'!F79</f>
        <v>2916.3</v>
      </c>
      <c r="G79" s="7">
        <f>+'SERVICIO FAENA'!J79</f>
        <v>1224846</v>
      </c>
      <c r="H79" s="7">
        <f>+'SERVICIO DESPOSTE'!W79</f>
        <v>0</v>
      </c>
      <c r="I79" s="36">
        <f t="shared" si="1"/>
        <v>1542854.9680000001</v>
      </c>
      <c r="J79" s="8">
        <f>+MENUDENCIAS!I79</f>
        <v>0</v>
      </c>
      <c r="K79" s="8">
        <f>+MENUDENCIAS!O79</f>
        <v>0</v>
      </c>
      <c r="L79" s="8">
        <f>+'MERCADO INTERNO'!AG80</f>
        <v>318008.96800000005</v>
      </c>
      <c r="M79" s="7">
        <f>+RENDERING!H78</f>
        <v>0</v>
      </c>
      <c r="N79" s="7">
        <f>+RENDERING!F78</f>
        <v>0</v>
      </c>
      <c r="O79" s="7">
        <f>+RENDERING!J78</f>
        <v>0</v>
      </c>
      <c r="P79" s="7">
        <f>+CUEROS!N81</f>
        <v>0</v>
      </c>
      <c r="Q79" s="7">
        <f>+'GRASA DREASING'!G78</f>
        <v>0</v>
      </c>
    </row>
    <row r="80" spans="1:17" x14ac:dyDescent="0.2">
      <c r="A80" s="233"/>
      <c r="B80" s="5">
        <f>+'SERVICIO FAENA'!A80</f>
        <v>78</v>
      </c>
      <c r="C80" s="5" t="str">
        <f>+'SERVICIO FAENA'!B80</f>
        <v>FERREYRA ALBERTO</v>
      </c>
      <c r="D80" s="5">
        <f>+'SERVICIO FAENA'!C80</f>
        <v>8</v>
      </c>
      <c r="E80" s="7">
        <f>+'SERVICIO FAENA'!H80</f>
        <v>420</v>
      </c>
      <c r="F80" s="6">
        <f>+'SERVICIO FAENA'!F80</f>
        <v>1465.5</v>
      </c>
      <c r="G80" s="7">
        <f>+'SERVICIO FAENA'!J80</f>
        <v>615510</v>
      </c>
      <c r="H80" s="7">
        <f>+'SERVICIO DESPOSTE'!W80</f>
        <v>0</v>
      </c>
      <c r="I80" s="36">
        <f t="shared" si="1"/>
        <v>825910</v>
      </c>
      <c r="J80" s="8">
        <f>+MENUDENCIAS!I80</f>
        <v>0</v>
      </c>
      <c r="K80" s="8">
        <f>+MENUDENCIAS!O80</f>
        <v>0</v>
      </c>
      <c r="L80" s="8">
        <f>+'MERCADO INTERNO'!AG81</f>
        <v>0</v>
      </c>
      <c r="M80" s="7">
        <f>+RENDERING!H79</f>
        <v>56000</v>
      </c>
      <c r="N80" s="7">
        <f>+RENDERING!F79</f>
        <v>119200</v>
      </c>
      <c r="O80" s="7">
        <f>+RENDERING!J79</f>
        <v>35200</v>
      </c>
      <c r="P80" s="7">
        <f>+CUEROS!N82</f>
        <v>0</v>
      </c>
      <c r="Q80" s="7">
        <f>+'GRASA DREASING'!G79</f>
        <v>0</v>
      </c>
    </row>
    <row r="81" spans="1:17" x14ac:dyDescent="0.2">
      <c r="A81" s="233"/>
      <c r="B81" s="5">
        <f>+'SERVICIO FAENA'!A81</f>
        <v>79</v>
      </c>
      <c r="C81" s="5" t="str">
        <f>+'SERVICIO FAENA'!B81</f>
        <v>MUCA SAS</v>
      </c>
      <c r="D81" s="5">
        <f>+'SERVICIO FAENA'!C81</f>
        <v>20</v>
      </c>
      <c r="E81" s="7">
        <f>+'SERVICIO FAENA'!H81</f>
        <v>420</v>
      </c>
      <c r="F81" s="6">
        <f>+'SERVICIO FAENA'!F81</f>
        <v>4954.8</v>
      </c>
      <c r="G81" s="7">
        <f>+'SERVICIO FAENA'!J81</f>
        <v>2081016</v>
      </c>
      <c r="H81" s="7">
        <f>+'SERVICIO DESPOSTE'!W81</f>
        <v>0</v>
      </c>
      <c r="I81" s="36">
        <f t="shared" si="1"/>
        <v>2081016</v>
      </c>
      <c r="J81" s="8">
        <f>+MENUDENCIAS!I81</f>
        <v>0</v>
      </c>
      <c r="K81" s="8">
        <f>+MENUDENCIAS!O81</f>
        <v>0</v>
      </c>
      <c r="L81" s="8">
        <f>+'MERCADO INTERNO'!AG82</f>
        <v>0</v>
      </c>
      <c r="M81" s="7">
        <f>+RENDERING!H80</f>
        <v>0</v>
      </c>
      <c r="N81" s="7">
        <f>+RENDERING!F80</f>
        <v>0</v>
      </c>
      <c r="O81" s="7">
        <f>+RENDERING!J80</f>
        <v>0</v>
      </c>
      <c r="P81" s="7">
        <f>+CUEROS!N83</f>
        <v>0</v>
      </c>
      <c r="Q81" s="7">
        <f>+'GRASA DREASING'!G80</f>
        <v>0</v>
      </c>
    </row>
    <row r="82" spans="1:17" x14ac:dyDescent="0.2">
      <c r="A82" s="233"/>
      <c r="B82" s="5">
        <f>+'SERVICIO FAENA'!A82</f>
        <v>80</v>
      </c>
      <c r="C82" s="5" t="str">
        <f>+'SERVICIO FAENA'!B82</f>
        <v>FRIGORIFICO DE LA PATAGONIA SRL</v>
      </c>
      <c r="D82" s="5">
        <f>+'SERVICIO FAENA'!C82</f>
        <v>21</v>
      </c>
      <c r="E82" s="7">
        <f>+'SERVICIO FAENA'!H82</f>
        <v>420</v>
      </c>
      <c r="F82" s="6">
        <f>+'SERVICIO FAENA'!F82</f>
        <v>4035.7</v>
      </c>
      <c r="G82" s="7">
        <f>+'SERVICIO FAENA'!J82</f>
        <v>1694994</v>
      </c>
      <c r="H82" s="7">
        <f>+'SERVICIO DESPOSTE'!W82</f>
        <v>0</v>
      </c>
      <c r="I82" s="36">
        <f t="shared" si="1"/>
        <v>1694994</v>
      </c>
      <c r="J82" s="8">
        <f>+MENUDENCIAS!I82</f>
        <v>0</v>
      </c>
      <c r="K82" s="8">
        <f>+MENUDENCIAS!O82</f>
        <v>0</v>
      </c>
      <c r="L82" s="8">
        <f>+'MERCADO INTERNO'!AG83</f>
        <v>0</v>
      </c>
      <c r="M82" s="7">
        <f>+RENDERING!H81</f>
        <v>0</v>
      </c>
      <c r="N82" s="7">
        <f>+RENDERING!F81</f>
        <v>0</v>
      </c>
      <c r="O82" s="7">
        <f>+RENDERING!J81</f>
        <v>0</v>
      </c>
      <c r="P82" s="7">
        <f>+CUEROS!N84</f>
        <v>0</v>
      </c>
      <c r="Q82" s="7">
        <f>+'GRASA DREASING'!G81</f>
        <v>0</v>
      </c>
    </row>
    <row r="83" spans="1:17" x14ac:dyDescent="0.2">
      <c r="A83" s="233"/>
      <c r="B83" s="5">
        <f>+'SERVICIO FAENA'!A83</f>
        <v>81</v>
      </c>
      <c r="C83" s="5" t="str">
        <f>+'SERVICIO FAENA'!B83</f>
        <v>FRIGORIFICO DE LA PATAGONIA SRL</v>
      </c>
      <c r="D83" s="5">
        <f>+'SERVICIO FAENA'!C83</f>
        <v>15</v>
      </c>
      <c r="E83" s="7">
        <f>+'SERVICIO FAENA'!H83</f>
        <v>420</v>
      </c>
      <c r="F83" s="6">
        <f>+'SERVICIO FAENA'!F83</f>
        <v>3378.4</v>
      </c>
      <c r="G83" s="7">
        <f>+'SERVICIO FAENA'!J83</f>
        <v>1418928</v>
      </c>
      <c r="H83" s="7">
        <f>+'SERVICIO DESPOSTE'!W83</f>
        <v>0</v>
      </c>
      <c r="I83" s="36">
        <f t="shared" si="1"/>
        <v>1418928</v>
      </c>
      <c r="J83" s="8">
        <f>+MENUDENCIAS!I83</f>
        <v>0</v>
      </c>
      <c r="K83" s="8">
        <f>+MENUDENCIAS!O83</f>
        <v>0</v>
      </c>
      <c r="L83" s="8">
        <f>+'MERCADO INTERNO'!AG84</f>
        <v>0</v>
      </c>
      <c r="M83" s="7">
        <f>+RENDERING!H82</f>
        <v>0</v>
      </c>
      <c r="N83" s="7">
        <f>+RENDERING!F82</f>
        <v>0</v>
      </c>
      <c r="O83" s="7">
        <f>+RENDERING!J82</f>
        <v>0</v>
      </c>
      <c r="P83" s="7">
        <f>+CUEROS!N85</f>
        <v>0</v>
      </c>
      <c r="Q83" s="7">
        <f>+'GRASA DREASING'!G82</f>
        <v>0</v>
      </c>
    </row>
    <row r="84" spans="1:17" x14ac:dyDescent="0.2">
      <c r="A84" s="233"/>
      <c r="B84" s="5">
        <f>+'SERVICIO FAENA'!A84</f>
        <v>82</v>
      </c>
      <c r="C84" s="5" t="str">
        <f>+'SERVICIO FAENA'!B84</f>
        <v>MAIZALES DE LA PATAGONIA SRL</v>
      </c>
      <c r="D84" s="5">
        <f>+'SERVICIO FAENA'!C84</f>
        <v>15</v>
      </c>
      <c r="E84" s="7">
        <f>+'SERVICIO FAENA'!H84</f>
        <v>420</v>
      </c>
      <c r="F84" s="6">
        <f>+'SERVICIO FAENA'!F84</f>
        <v>3097.6</v>
      </c>
      <c r="G84" s="7">
        <f>+'SERVICIO FAENA'!J84</f>
        <v>1300992</v>
      </c>
      <c r="H84" s="7">
        <f>+'SERVICIO DESPOSTE'!W84</f>
        <v>0</v>
      </c>
      <c r="I84" s="36">
        <f t="shared" si="1"/>
        <v>1300992</v>
      </c>
      <c r="J84" s="8">
        <f>+MENUDENCIAS!I84</f>
        <v>0</v>
      </c>
      <c r="K84" s="8">
        <f>+MENUDENCIAS!O84</f>
        <v>0</v>
      </c>
      <c r="L84" s="8">
        <f>+'MERCADO INTERNO'!AG85</f>
        <v>0</v>
      </c>
      <c r="M84" s="7">
        <f>+RENDERING!H83</f>
        <v>0</v>
      </c>
      <c r="N84" s="7">
        <f>+RENDERING!F83</f>
        <v>0</v>
      </c>
      <c r="O84" s="7">
        <f>+RENDERING!J83</f>
        <v>0</v>
      </c>
      <c r="P84" s="7">
        <f>+CUEROS!N86</f>
        <v>0</v>
      </c>
      <c r="Q84" s="7">
        <f>+'GRASA DREASING'!G83</f>
        <v>0</v>
      </c>
    </row>
    <row r="85" spans="1:17" x14ac:dyDescent="0.2">
      <c r="A85" s="233"/>
      <c r="B85" s="5">
        <f>+'SERVICIO FAENA'!A85</f>
        <v>83</v>
      </c>
      <c r="C85" s="5" t="str">
        <f>+'SERVICIO FAENA'!B85</f>
        <v>MAIZALES DE LA PATAGONIA SRL</v>
      </c>
      <c r="D85" s="5">
        <f>+'SERVICIO FAENA'!C85</f>
        <v>15</v>
      </c>
      <c r="E85" s="7">
        <f>+'SERVICIO FAENA'!H85</f>
        <v>420</v>
      </c>
      <c r="F85" s="6">
        <f>+'SERVICIO FAENA'!F85</f>
        <v>2910.6</v>
      </c>
      <c r="G85" s="7">
        <f>+'SERVICIO FAENA'!J85</f>
        <v>1222452</v>
      </c>
      <c r="H85" s="7">
        <f>+'SERVICIO DESPOSTE'!W85</f>
        <v>0</v>
      </c>
      <c r="I85" s="36">
        <f t="shared" si="1"/>
        <v>1222452</v>
      </c>
      <c r="J85" s="8">
        <f>+MENUDENCIAS!I85</f>
        <v>0</v>
      </c>
      <c r="K85" s="8">
        <f>+MENUDENCIAS!O85</f>
        <v>0</v>
      </c>
      <c r="L85" s="8">
        <f>+'MERCADO INTERNO'!AG86</f>
        <v>0</v>
      </c>
      <c r="M85" s="7">
        <f>+RENDERING!H84</f>
        <v>0</v>
      </c>
      <c r="N85" s="7">
        <f>+RENDERING!F84</f>
        <v>0</v>
      </c>
      <c r="O85" s="7">
        <f>+RENDERING!J84</f>
        <v>0</v>
      </c>
      <c r="P85" s="7">
        <f>+CUEROS!N87</f>
        <v>0</v>
      </c>
      <c r="Q85" s="7">
        <f>+'GRASA DREASING'!G84</f>
        <v>0</v>
      </c>
    </row>
    <row r="86" spans="1:17" x14ac:dyDescent="0.2">
      <c r="A86" s="233"/>
      <c r="B86" s="5">
        <f>+'SERVICIO FAENA'!A86</f>
        <v>84</v>
      </c>
      <c r="C86" s="5" t="str">
        <f>+'SERVICIO FAENA'!B86</f>
        <v>DOS DE FIERRO SA</v>
      </c>
      <c r="D86" s="5">
        <f>+'SERVICIO FAENA'!C86</f>
        <v>21</v>
      </c>
      <c r="E86" s="7">
        <f>+'SERVICIO FAENA'!H86</f>
        <v>420</v>
      </c>
      <c r="F86" s="6">
        <f>+'SERVICIO FAENA'!F86</f>
        <v>4552.3999999999996</v>
      </c>
      <c r="G86" s="7">
        <f>+'SERVICIO FAENA'!J86</f>
        <v>1912007.9999999998</v>
      </c>
      <c r="H86" s="7">
        <f>+'SERVICIO DESPOSTE'!W86</f>
        <v>0</v>
      </c>
      <c r="I86" s="36">
        <f t="shared" si="1"/>
        <v>2002407.9999999998</v>
      </c>
      <c r="J86" s="8">
        <f>+MENUDENCIAS!I86</f>
        <v>0</v>
      </c>
      <c r="K86" s="8">
        <f>+MENUDENCIAS!O86</f>
        <v>0</v>
      </c>
      <c r="L86" s="8">
        <f>+'MERCADO INTERNO'!AG87</f>
        <v>0</v>
      </c>
      <c r="M86" s="7">
        <f>+RENDERING!H85</f>
        <v>23200</v>
      </c>
      <c r="N86" s="7">
        <f>+RENDERING!F85</f>
        <v>55200</v>
      </c>
      <c r="O86" s="7">
        <f>+RENDERING!J85</f>
        <v>12000</v>
      </c>
      <c r="P86" s="7">
        <f>+CUEROS!N88</f>
        <v>0</v>
      </c>
      <c r="Q86" s="7">
        <f>+'GRASA DREASING'!G85</f>
        <v>0</v>
      </c>
    </row>
    <row r="87" spans="1:17" x14ac:dyDescent="0.2">
      <c r="A87" s="233"/>
      <c r="B87" s="5">
        <f>+'SERVICIO FAENA'!A87</f>
        <v>85</v>
      </c>
      <c r="C87" s="5" t="str">
        <f>+'SERVICIO FAENA'!B87</f>
        <v>FERREYRA MARTIN</v>
      </c>
      <c r="D87" s="5">
        <f>+'SERVICIO FAENA'!C87</f>
        <v>18</v>
      </c>
      <c r="E87" s="7">
        <f>+'SERVICIO FAENA'!H87</f>
        <v>420</v>
      </c>
      <c r="F87" s="6">
        <f>+'SERVICIO FAENA'!F87</f>
        <v>3838.7</v>
      </c>
      <c r="G87" s="7">
        <f>+'SERVICIO FAENA'!J87</f>
        <v>1612254</v>
      </c>
      <c r="H87" s="7">
        <f>+'SERVICIO DESPOSTE'!W87</f>
        <v>1148695.2</v>
      </c>
      <c r="I87" s="36">
        <f>+(G87-J87)+K87+M87+N87+O87+P87+Q87+L87+H87</f>
        <v>2760949.2</v>
      </c>
      <c r="J87" s="8">
        <f>+MENUDENCIAS!I87</f>
        <v>0</v>
      </c>
      <c r="K87" s="8">
        <f>+MENUDENCIAS!O87</f>
        <v>0</v>
      </c>
      <c r="L87" s="8">
        <f>+'MERCADO INTERNO'!AG88</f>
        <v>0</v>
      </c>
      <c r="M87" s="7">
        <f>+RENDERING!H86</f>
        <v>0</v>
      </c>
      <c r="N87" s="7">
        <f>+RENDERING!F86</f>
        <v>0</v>
      </c>
      <c r="O87" s="7">
        <f>+RENDERING!J86</f>
        <v>0</v>
      </c>
      <c r="P87" s="7">
        <f>+CUEROS!N89</f>
        <v>0</v>
      </c>
      <c r="Q87" s="7">
        <f>+'GRASA DREASING'!G86</f>
        <v>0</v>
      </c>
    </row>
    <row r="88" spans="1:17" x14ac:dyDescent="0.2">
      <c r="A88" s="233"/>
      <c r="B88" s="5">
        <f>+'SERVICIO FAENA'!A88</f>
        <v>86</v>
      </c>
      <c r="C88" s="5" t="str">
        <f>+'SERVICIO FAENA'!B88</f>
        <v>MUCA SAS</v>
      </c>
      <c r="D88" s="5">
        <f>+'SERVICIO FAENA'!C88</f>
        <v>50</v>
      </c>
      <c r="E88" s="7">
        <f>+'SERVICIO FAENA'!H88</f>
        <v>420</v>
      </c>
      <c r="F88" s="6">
        <f>+'SERVICIO FAENA'!F88</f>
        <v>15497.2</v>
      </c>
      <c r="G88" s="7">
        <f>+'SERVICIO FAENA'!J88</f>
        <v>6508824</v>
      </c>
      <c r="H88" s="7">
        <f>+'SERVICIO DESPOSTE'!W88</f>
        <v>0</v>
      </c>
      <c r="I88" s="36">
        <f t="shared" si="1"/>
        <v>6720824</v>
      </c>
      <c r="J88" s="8">
        <f>+MENUDENCIAS!I88</f>
        <v>0</v>
      </c>
      <c r="K88" s="8">
        <f>+MENUDENCIAS!O88</f>
        <v>0</v>
      </c>
      <c r="L88" s="8">
        <f>+'MERCADO INTERNO'!AG89</f>
        <v>0</v>
      </c>
      <c r="M88" s="7">
        <f>+RENDERING!H87</f>
        <v>46400</v>
      </c>
      <c r="N88" s="7">
        <f>+RENDERING!F87</f>
        <v>126400</v>
      </c>
      <c r="O88" s="7">
        <f>+RENDERING!J87</f>
        <v>39200</v>
      </c>
      <c r="P88" s="7">
        <f>+CUEROS!N90</f>
        <v>0</v>
      </c>
      <c r="Q88" s="7">
        <f>+'GRASA DREASING'!G87</f>
        <v>0</v>
      </c>
    </row>
    <row r="89" spans="1:17" x14ac:dyDescent="0.2">
      <c r="A89" s="233"/>
      <c r="B89" s="5">
        <f>+'SERVICIO FAENA'!A89</f>
        <v>87</v>
      </c>
      <c r="C89" s="5" t="str">
        <f>+'SERVICIO FAENA'!B89</f>
        <v>BOSQUES AMADOS SRL</v>
      </c>
      <c r="D89" s="5">
        <f>+'SERVICIO FAENA'!C89</f>
        <v>18</v>
      </c>
      <c r="E89" s="7">
        <f>+'SERVICIO FAENA'!H89</f>
        <v>420</v>
      </c>
      <c r="F89" s="6">
        <f>+'SERVICIO FAENA'!F89</f>
        <v>3790.6</v>
      </c>
      <c r="G89" s="7">
        <f>+'SERVICIO FAENA'!J89</f>
        <v>1592052</v>
      </c>
      <c r="H89" s="7">
        <f>+'SERVICIO DESPOSTE'!W89</f>
        <v>0</v>
      </c>
      <c r="I89" s="36">
        <f t="shared" si="1"/>
        <v>1592052</v>
      </c>
      <c r="J89" s="8">
        <f>+MENUDENCIAS!I89</f>
        <v>0</v>
      </c>
      <c r="K89" s="8">
        <f>+MENUDENCIAS!O89</f>
        <v>0</v>
      </c>
      <c r="L89" s="8">
        <f>+'MERCADO INTERNO'!AG90</f>
        <v>0</v>
      </c>
      <c r="M89" s="7">
        <f>+RENDERING!H88</f>
        <v>0</v>
      </c>
      <c r="N89" s="7">
        <f>+RENDERING!F88</f>
        <v>0</v>
      </c>
      <c r="O89" s="7">
        <f>+RENDERING!J88</f>
        <v>0</v>
      </c>
      <c r="P89" s="7">
        <f>+CUEROS!N91</f>
        <v>0</v>
      </c>
      <c r="Q89" s="7">
        <f>+'GRASA DREASING'!G88</f>
        <v>0</v>
      </c>
    </row>
    <row r="90" spans="1:17" x14ac:dyDescent="0.2">
      <c r="A90" s="233"/>
      <c r="B90" s="5">
        <f>+'SERVICIO FAENA'!A90</f>
        <v>88</v>
      </c>
      <c r="C90" s="5" t="str">
        <f>+'SERVICIO FAENA'!B90</f>
        <v>FERREYRA ALBERTO</v>
      </c>
      <c r="D90" s="5">
        <f>+'SERVICIO FAENA'!C90</f>
        <v>8</v>
      </c>
      <c r="E90" s="7">
        <f>+'SERVICIO FAENA'!H90</f>
        <v>420</v>
      </c>
      <c r="F90" s="6">
        <f>+'SERVICIO FAENA'!F90</f>
        <v>1321.4</v>
      </c>
      <c r="G90" s="7">
        <f>+'SERVICIO FAENA'!J90</f>
        <v>554988</v>
      </c>
      <c r="H90" s="7">
        <f>+'SERVICIO DESPOSTE'!W90</f>
        <v>0</v>
      </c>
      <c r="I90" s="36">
        <f t="shared" si="1"/>
        <v>610988</v>
      </c>
      <c r="J90" s="8">
        <f>+MENUDENCIAS!I90</f>
        <v>0</v>
      </c>
      <c r="K90" s="8">
        <f>+MENUDENCIAS!O90</f>
        <v>0</v>
      </c>
      <c r="L90" s="8">
        <f>+'MERCADO INTERNO'!AG91</f>
        <v>0</v>
      </c>
      <c r="M90" s="7">
        <f>+RENDERING!H89</f>
        <v>16000</v>
      </c>
      <c r="N90" s="7">
        <f>+RENDERING!F89</f>
        <v>29600</v>
      </c>
      <c r="O90" s="7">
        <f>+RENDERING!J89</f>
        <v>10400</v>
      </c>
      <c r="P90" s="7">
        <f>+CUEROS!N92</f>
        <v>0</v>
      </c>
      <c r="Q90" s="7">
        <f>+'GRASA DREASING'!G89</f>
        <v>0</v>
      </c>
    </row>
    <row r="91" spans="1:17" x14ac:dyDescent="0.2">
      <c r="A91" s="233"/>
      <c r="B91" s="5">
        <f>+'SERVICIO FAENA'!A91</f>
        <v>89</v>
      </c>
      <c r="C91" s="5" t="str">
        <f>+'SERVICIO FAENA'!B91</f>
        <v>FERREYRA MARTIN</v>
      </c>
      <c r="D91" s="5">
        <f>+'SERVICIO FAENA'!C91</f>
        <v>7</v>
      </c>
      <c r="E91" s="7">
        <f>+'SERVICIO FAENA'!H91</f>
        <v>420</v>
      </c>
      <c r="F91" s="6">
        <f>+'SERVICIO FAENA'!F91</f>
        <v>1494.8</v>
      </c>
      <c r="G91" s="7">
        <f>+'SERVICIO FAENA'!J91</f>
        <v>627816</v>
      </c>
      <c r="H91" s="7">
        <f>+'SERVICIO DESPOSTE'!W91</f>
        <v>0</v>
      </c>
      <c r="I91" s="36">
        <f t="shared" si="1"/>
        <v>627816</v>
      </c>
      <c r="J91" s="8">
        <f>+MENUDENCIAS!I91</f>
        <v>0</v>
      </c>
      <c r="K91" s="8">
        <f>+MENUDENCIAS!O91</f>
        <v>0</v>
      </c>
      <c r="L91" s="8">
        <f>+'MERCADO INTERNO'!AG92</f>
        <v>0</v>
      </c>
      <c r="M91" s="7">
        <f>+RENDERING!H90</f>
        <v>0</v>
      </c>
      <c r="N91" s="7">
        <f>+RENDERING!F90</f>
        <v>0</v>
      </c>
      <c r="O91" s="7">
        <f>+RENDERING!J90</f>
        <v>0</v>
      </c>
      <c r="P91" s="7">
        <f>+CUEROS!N93</f>
        <v>0</v>
      </c>
      <c r="Q91" s="7">
        <f>+'GRASA DREASING'!G90</f>
        <v>0</v>
      </c>
    </row>
    <row r="92" spans="1:17" x14ac:dyDescent="0.2">
      <c r="A92" s="233"/>
      <c r="B92" s="5">
        <f>+'SERVICIO FAENA'!A92</f>
        <v>90</v>
      </c>
      <c r="C92" s="5" t="str">
        <f>+'SERVICIO FAENA'!B92</f>
        <v>FERREYRA MARTIN</v>
      </c>
      <c r="D92" s="5">
        <f>+'SERVICIO FAENA'!C92</f>
        <v>11</v>
      </c>
      <c r="E92" s="7">
        <f>+'SERVICIO FAENA'!H92</f>
        <v>420</v>
      </c>
      <c r="F92" s="6">
        <f>+'SERVICIO FAENA'!F92</f>
        <v>2726</v>
      </c>
      <c r="G92" s="7">
        <f>+'SERVICIO FAENA'!J92</f>
        <v>1144920</v>
      </c>
      <c r="H92" s="7">
        <f>+'SERVICIO DESPOSTE'!W92</f>
        <v>0</v>
      </c>
      <c r="I92" s="36">
        <f t="shared" si="1"/>
        <v>1144920</v>
      </c>
      <c r="J92" s="8">
        <f>+MENUDENCIAS!I92</f>
        <v>0</v>
      </c>
      <c r="K92" s="8">
        <f>+MENUDENCIAS!O92</f>
        <v>0</v>
      </c>
      <c r="L92" s="8">
        <f>+'MERCADO INTERNO'!AG93</f>
        <v>0</v>
      </c>
      <c r="M92" s="7">
        <f>+RENDERING!H91</f>
        <v>0</v>
      </c>
      <c r="N92" s="7">
        <f>+RENDERING!F91</f>
        <v>0</v>
      </c>
      <c r="O92" s="7">
        <f>+RENDERING!J91</f>
        <v>0</v>
      </c>
      <c r="P92" s="7">
        <f>+CUEROS!N94</f>
        <v>0</v>
      </c>
      <c r="Q92" s="7">
        <f>+'GRASA DREASING'!G91</f>
        <v>0</v>
      </c>
    </row>
    <row r="93" spans="1:17" x14ac:dyDescent="0.2">
      <c r="A93" s="233"/>
      <c r="B93" s="5">
        <f>+'SERVICIO FAENA'!A93</f>
        <v>91</v>
      </c>
      <c r="C93" s="5" t="str">
        <f>+'SERVICIO FAENA'!B93</f>
        <v>FRIGORIFICO DE LA PATAGONIA SRL</v>
      </c>
      <c r="D93" s="5">
        <f>+'SERVICIO FAENA'!C93</f>
        <v>15</v>
      </c>
      <c r="E93" s="7">
        <f>+'SERVICIO FAENA'!H93</f>
        <v>420</v>
      </c>
      <c r="F93" s="6">
        <f>+'SERVICIO FAENA'!F93</f>
        <v>3311.8</v>
      </c>
      <c r="G93" s="7">
        <f>+'SERVICIO FAENA'!J93</f>
        <v>1390956</v>
      </c>
      <c r="H93" s="7">
        <f>+'SERVICIO DESPOSTE'!W93</f>
        <v>0</v>
      </c>
      <c r="I93" s="36">
        <f t="shared" si="1"/>
        <v>1608556</v>
      </c>
      <c r="J93" s="8">
        <f>+MENUDENCIAS!I93</f>
        <v>0</v>
      </c>
      <c r="K93" s="8">
        <f>+MENUDENCIAS!O93</f>
        <v>0</v>
      </c>
      <c r="L93" s="8">
        <f>+'MERCADO INTERNO'!AG94</f>
        <v>0</v>
      </c>
      <c r="M93" s="7">
        <f>+RENDERING!H92</f>
        <v>55200</v>
      </c>
      <c r="N93" s="7">
        <f>+RENDERING!F92</f>
        <v>131200</v>
      </c>
      <c r="O93" s="7">
        <f>+RENDERING!J92</f>
        <v>31200</v>
      </c>
      <c r="P93" s="7">
        <f>+CUEROS!N95</f>
        <v>0</v>
      </c>
      <c r="Q93" s="7">
        <f>+'GRASA DREASING'!G92</f>
        <v>0</v>
      </c>
    </row>
    <row r="94" spans="1:17" x14ac:dyDescent="0.2">
      <c r="A94" s="233"/>
      <c r="B94" s="5">
        <f>+'SERVICIO FAENA'!A94</f>
        <v>92</v>
      </c>
      <c r="C94" s="5" t="str">
        <f>+'SERVICIO FAENA'!B94</f>
        <v>MAIZALES DE LA PATAGONIA SRL</v>
      </c>
      <c r="D94" s="5">
        <f>+'SERVICIO FAENA'!C94</f>
        <v>10</v>
      </c>
      <c r="E94" s="7">
        <f>+'SERVICIO FAENA'!H94</f>
        <v>420</v>
      </c>
      <c r="F94" s="6">
        <f>+'SERVICIO FAENA'!F94</f>
        <v>2010</v>
      </c>
      <c r="G94" s="7">
        <f>+'SERVICIO FAENA'!J94</f>
        <v>844200</v>
      </c>
      <c r="H94" s="7">
        <f>+'SERVICIO DESPOSTE'!W94</f>
        <v>0</v>
      </c>
      <c r="I94" s="36">
        <f t="shared" si="1"/>
        <v>844200</v>
      </c>
      <c r="J94" s="8">
        <f>+MENUDENCIAS!I94</f>
        <v>0</v>
      </c>
      <c r="K94" s="8">
        <f>+MENUDENCIAS!O94</f>
        <v>0</v>
      </c>
      <c r="L94" s="8">
        <f>+'MERCADO INTERNO'!AG95</f>
        <v>0</v>
      </c>
      <c r="M94" s="7">
        <f>+RENDERING!H93</f>
        <v>0</v>
      </c>
      <c r="N94" s="7">
        <f>+RENDERING!F93</f>
        <v>0</v>
      </c>
      <c r="O94" s="7">
        <f>+RENDERING!J93</f>
        <v>0</v>
      </c>
      <c r="P94" s="7">
        <f>+CUEROS!N96</f>
        <v>0</v>
      </c>
      <c r="Q94" s="7">
        <f>+'GRASA DREASING'!G93</f>
        <v>0</v>
      </c>
    </row>
    <row r="95" spans="1:17" x14ac:dyDescent="0.2">
      <c r="A95" s="233"/>
      <c r="B95" s="5">
        <f>+'SERVICIO FAENA'!A95</f>
        <v>93</v>
      </c>
      <c r="C95" s="5" t="str">
        <f>+'SERVICIO FAENA'!B95</f>
        <v>MAIZALES DE LA PATAGONIA SRL</v>
      </c>
      <c r="D95" s="5">
        <f>+'SERVICIO FAENA'!C95</f>
        <v>20</v>
      </c>
      <c r="E95" s="7">
        <f>+'SERVICIO FAENA'!H95</f>
        <v>420</v>
      </c>
      <c r="F95" s="6">
        <f>+'SERVICIO FAENA'!F95</f>
        <v>4121.3</v>
      </c>
      <c r="G95" s="7">
        <f>+'SERVICIO FAENA'!J95</f>
        <v>1730946</v>
      </c>
      <c r="H95" s="7">
        <f>+'SERVICIO DESPOSTE'!W95</f>
        <v>0</v>
      </c>
      <c r="I95" s="36">
        <f t="shared" si="1"/>
        <v>1730946</v>
      </c>
      <c r="J95" s="8">
        <f>+MENUDENCIAS!I95</f>
        <v>0</v>
      </c>
      <c r="K95" s="8">
        <f>+MENUDENCIAS!O95</f>
        <v>0</v>
      </c>
      <c r="L95" s="8">
        <f>+'MERCADO INTERNO'!AG96</f>
        <v>0</v>
      </c>
      <c r="M95" s="7">
        <f>+RENDERING!H94</f>
        <v>0</v>
      </c>
      <c r="N95" s="7">
        <f>+RENDERING!F94</f>
        <v>0</v>
      </c>
      <c r="O95" s="7">
        <f>+RENDERING!J94</f>
        <v>0</v>
      </c>
      <c r="P95" s="7">
        <f>+CUEROS!N97</f>
        <v>0</v>
      </c>
      <c r="Q95" s="7">
        <f>+'GRASA DREASING'!G94</f>
        <v>0</v>
      </c>
    </row>
    <row r="96" spans="1:17" x14ac:dyDescent="0.2">
      <c r="A96" s="233"/>
      <c r="B96" s="5">
        <f>+'SERVICIO FAENA'!A96</f>
        <v>94</v>
      </c>
      <c r="C96" s="5" t="str">
        <f>+'SERVICIO FAENA'!B96</f>
        <v>FRIGORIFICO DE LA PATAGONIA SRL</v>
      </c>
      <c r="D96" s="5">
        <f>+'SERVICIO FAENA'!C96</f>
        <v>8</v>
      </c>
      <c r="E96" s="7">
        <f>+'SERVICIO FAENA'!H96</f>
        <v>420</v>
      </c>
      <c r="F96" s="6">
        <f>+'SERVICIO FAENA'!F96</f>
        <v>1727.9</v>
      </c>
      <c r="G96" s="7">
        <f>+'SERVICIO FAENA'!J96</f>
        <v>725718</v>
      </c>
      <c r="H96" s="7">
        <f>+'SERVICIO DESPOSTE'!W96</f>
        <v>0</v>
      </c>
      <c r="I96" s="36">
        <f t="shared" si="1"/>
        <v>725718</v>
      </c>
      <c r="J96" s="8">
        <f>+MENUDENCIAS!I96</f>
        <v>0</v>
      </c>
      <c r="K96" s="8">
        <f>+MENUDENCIAS!O96</f>
        <v>0</v>
      </c>
      <c r="L96" s="8">
        <f>+'MERCADO INTERNO'!AG97</f>
        <v>0</v>
      </c>
      <c r="M96" s="7">
        <f>+RENDERING!H95</f>
        <v>0</v>
      </c>
      <c r="N96" s="7">
        <f>+RENDERING!F95</f>
        <v>0</v>
      </c>
      <c r="O96" s="7">
        <f>+RENDERING!J95</f>
        <v>0</v>
      </c>
      <c r="P96" s="7">
        <f>+CUEROS!N98</f>
        <v>0</v>
      </c>
      <c r="Q96" s="7">
        <f>+'GRASA DREASING'!G95</f>
        <v>0</v>
      </c>
    </row>
    <row r="97" spans="1:17" x14ac:dyDescent="0.2">
      <c r="A97" s="233"/>
      <c r="B97" s="5">
        <f>+'SERVICIO FAENA'!A97</f>
        <v>95</v>
      </c>
      <c r="C97" s="5" t="str">
        <f>+'SERVICIO FAENA'!B97</f>
        <v>MUCA SAS</v>
      </c>
      <c r="D97" s="5">
        <f>+'SERVICIO FAENA'!C97</f>
        <v>15</v>
      </c>
      <c r="E97" s="7">
        <f>+'SERVICIO FAENA'!H97</f>
        <v>420</v>
      </c>
      <c r="F97" s="6">
        <f>+'SERVICIO FAENA'!F97</f>
        <v>3367.8</v>
      </c>
      <c r="G97" s="7">
        <f>+'SERVICIO FAENA'!J97</f>
        <v>1414476</v>
      </c>
      <c r="H97" s="7">
        <f>+'SERVICIO DESPOSTE'!W97</f>
        <v>0</v>
      </c>
      <c r="I97" s="36">
        <f t="shared" si="1"/>
        <v>1414476</v>
      </c>
      <c r="J97" s="8">
        <f>+MENUDENCIAS!I97</f>
        <v>0</v>
      </c>
      <c r="K97" s="8">
        <f>+MENUDENCIAS!O97</f>
        <v>0</v>
      </c>
      <c r="L97" s="8">
        <f>+'MERCADO INTERNO'!AG98</f>
        <v>0</v>
      </c>
      <c r="M97" s="7">
        <f>+RENDERING!H96</f>
        <v>0</v>
      </c>
      <c r="N97" s="7">
        <f>+RENDERING!F96</f>
        <v>0</v>
      </c>
      <c r="O97" s="7">
        <f>+RENDERING!J96</f>
        <v>0</v>
      </c>
      <c r="P97" s="7">
        <f>+CUEROS!N99</f>
        <v>0</v>
      </c>
      <c r="Q97" s="7">
        <f>+'GRASA DREASING'!G96</f>
        <v>0</v>
      </c>
    </row>
    <row r="98" spans="1:17" ht="13.5" thickBot="1" x14ac:dyDescent="0.25">
      <c r="A98" s="234"/>
      <c r="B98" s="5">
        <f>+'SERVICIO FAENA'!A98</f>
        <v>96</v>
      </c>
      <c r="C98" s="5" t="str">
        <f>+'SERVICIO FAENA'!B98</f>
        <v>FRIGORIFICO DE LA PATAGONIA SRL</v>
      </c>
      <c r="D98" s="5">
        <f>+'SERVICIO FAENA'!C98</f>
        <v>22</v>
      </c>
      <c r="E98" s="7">
        <f>+'SERVICIO FAENA'!H98</f>
        <v>420</v>
      </c>
      <c r="F98" s="6">
        <f>+'SERVICIO FAENA'!F98</f>
        <v>4885.3</v>
      </c>
      <c r="G98" s="7">
        <f>+'SERVICIO FAENA'!J98</f>
        <v>2051826</v>
      </c>
      <c r="H98" s="7">
        <f>+'SERVICIO DESPOSTE'!W98</f>
        <v>0</v>
      </c>
      <c r="I98" s="36">
        <f t="shared" si="1"/>
        <v>2051826</v>
      </c>
      <c r="J98" s="8">
        <f>+MENUDENCIAS!I98</f>
        <v>0</v>
      </c>
      <c r="K98" s="8">
        <f>+MENUDENCIAS!O98</f>
        <v>0</v>
      </c>
      <c r="L98" s="8">
        <f>+'MERCADO INTERNO'!AG99</f>
        <v>0</v>
      </c>
      <c r="M98" s="7">
        <f>+RENDERING!H97</f>
        <v>0</v>
      </c>
      <c r="N98" s="7">
        <f>+RENDERING!F97</f>
        <v>0</v>
      </c>
      <c r="O98" s="7">
        <f>+RENDERING!J97</f>
        <v>0</v>
      </c>
      <c r="P98" s="7">
        <f>+CUEROS!N100</f>
        <v>0</v>
      </c>
      <c r="Q98" s="7">
        <f>+'GRASA DREASING'!G97</f>
        <v>0</v>
      </c>
    </row>
    <row r="99" spans="1:17" ht="14.25" thickTop="1" thickBot="1" x14ac:dyDescent="0.25">
      <c r="A99" s="137" t="s">
        <v>14</v>
      </c>
      <c r="B99" s="138"/>
      <c r="C99" s="138"/>
      <c r="D99" s="139">
        <f>SUM(D53:D98)</f>
        <v>815</v>
      </c>
      <c r="E99" s="139"/>
      <c r="F99" s="140" t="s">
        <v>157</v>
      </c>
      <c r="G99" s="141">
        <f>+I99/D99</f>
        <v>98274.65365153375</v>
      </c>
      <c r="H99" s="141"/>
      <c r="I99" s="142">
        <f>SUM(I53:I98)</f>
        <v>80093842.726000011</v>
      </c>
      <c r="J99" s="143"/>
      <c r="K99" s="143"/>
      <c r="L99" s="143"/>
      <c r="M99" s="144"/>
      <c r="N99" s="144"/>
      <c r="O99" s="144"/>
      <c r="P99" s="144"/>
      <c r="Q99" s="144"/>
    </row>
    <row r="100" spans="1:17" ht="13.5" thickTop="1" x14ac:dyDescent="0.2">
      <c r="A100" s="145" t="s">
        <v>114</v>
      </c>
      <c r="B100" s="5">
        <f>+'SERVICIO FAENA'!A99</f>
        <v>97</v>
      </c>
      <c r="C100" s="5" t="str">
        <f>+'SERVICIO FAENA'!B99</f>
        <v>FERREYRA MARTIN</v>
      </c>
      <c r="D100" s="5">
        <f>+'SERVICIO FAENA'!C99</f>
        <v>18</v>
      </c>
      <c r="E100" s="7">
        <f>+'SERVICIO FAENA'!H99</f>
        <v>500</v>
      </c>
      <c r="F100" s="6">
        <f>+'SERVICIO FAENA'!F99</f>
        <v>2665.6</v>
      </c>
      <c r="G100" s="7">
        <f>+'SERVICIO FAENA'!J99</f>
        <v>1332800</v>
      </c>
      <c r="H100" s="7">
        <f>+'SERVICIO DESPOSTE'!W99</f>
        <v>0</v>
      </c>
      <c r="I100" s="36">
        <f t="shared" si="1"/>
        <v>1332800</v>
      </c>
      <c r="J100" s="8">
        <f>+MENUDENCIAS!I99</f>
        <v>0</v>
      </c>
      <c r="K100" s="8">
        <f>+MENUDENCIAS!O99</f>
        <v>0</v>
      </c>
      <c r="L100" s="8">
        <f>+MENUDENCIAS!P99</f>
        <v>0</v>
      </c>
      <c r="M100" s="7">
        <f>+RENDERING!H98</f>
        <v>0</v>
      </c>
      <c r="N100" s="7">
        <f>+RENDERING!F98</f>
        <v>0</v>
      </c>
      <c r="O100" s="7">
        <f>+RENDERING!J98</f>
        <v>0</v>
      </c>
      <c r="P100" s="7">
        <f>+CUEROS!N101</f>
        <v>0</v>
      </c>
      <c r="Q100" s="7">
        <f>+'GRASA DREASING'!G98</f>
        <v>0</v>
      </c>
    </row>
    <row r="101" spans="1:17" x14ac:dyDescent="0.2">
      <c r="B101" s="5">
        <f>+'SERVICIO FAENA'!A100</f>
        <v>98</v>
      </c>
      <c r="C101" s="5" t="str">
        <f>+'SERVICIO FAENA'!B100</f>
        <v>GANADERA NORTE NEUQUINO</v>
      </c>
      <c r="D101" s="5">
        <f>+'SERVICIO FAENA'!C100</f>
        <v>44</v>
      </c>
      <c r="E101" s="7">
        <f>+'SERVICIO FAENA'!H100</f>
        <v>500</v>
      </c>
      <c r="F101" s="6">
        <f>+'SERVICIO FAENA'!F100</f>
        <v>9281.5</v>
      </c>
      <c r="G101" s="7">
        <f>+'SERVICIO FAENA'!J100</f>
        <v>4640750</v>
      </c>
      <c r="H101" s="7">
        <f>+'SERVICIO DESPOSTE'!W100</f>
        <v>0</v>
      </c>
      <c r="I101" s="36">
        <f t="shared" si="1"/>
        <v>4640750</v>
      </c>
      <c r="J101" s="8">
        <f>+MENUDENCIAS!I100</f>
        <v>0</v>
      </c>
      <c r="K101" s="8">
        <f>+MENUDENCIAS!O100</f>
        <v>0</v>
      </c>
      <c r="L101" s="8">
        <f>+MENUDENCIAS!P100</f>
        <v>0</v>
      </c>
      <c r="M101" s="7">
        <f>+RENDERING!H99</f>
        <v>0</v>
      </c>
      <c r="N101" s="7">
        <f>+RENDERING!F99</f>
        <v>0</v>
      </c>
      <c r="O101" s="7">
        <f>+RENDERING!J99</f>
        <v>0</v>
      </c>
      <c r="P101" s="7">
        <f>+CUEROS!N102</f>
        <v>0</v>
      </c>
      <c r="Q101" s="7">
        <f>+'GRASA DREASING'!G99</f>
        <v>0</v>
      </c>
    </row>
    <row r="102" spans="1:17" x14ac:dyDescent="0.2">
      <c r="B102" s="5">
        <f>+'SERVICIO FAENA'!A101</f>
        <v>99</v>
      </c>
      <c r="C102" s="5" t="str">
        <f>+'SERVICIO FAENA'!B101</f>
        <v>DOS DE FIERRO SA</v>
      </c>
      <c r="D102" s="5">
        <f>+'SERVICIO FAENA'!C101</f>
        <v>21</v>
      </c>
      <c r="E102" s="7">
        <f>+'SERVICIO FAENA'!H101</f>
        <v>500</v>
      </c>
      <c r="F102" s="6">
        <f>+'SERVICIO FAENA'!F101</f>
        <v>4772.3</v>
      </c>
      <c r="G102" s="7">
        <f>+'SERVICIO FAENA'!J101</f>
        <v>2386150</v>
      </c>
      <c r="H102" s="7">
        <f>+'SERVICIO DESPOSTE'!W101</f>
        <v>0</v>
      </c>
      <c r="I102" s="36">
        <f t="shared" si="1"/>
        <v>2386150</v>
      </c>
      <c r="J102" s="8">
        <f>+MENUDENCIAS!I101</f>
        <v>0</v>
      </c>
      <c r="K102" s="8">
        <f>+MENUDENCIAS!O101</f>
        <v>0</v>
      </c>
      <c r="L102" s="8">
        <f>+MENUDENCIAS!P101</f>
        <v>0</v>
      </c>
      <c r="M102" s="7">
        <f>+RENDERING!H100</f>
        <v>0</v>
      </c>
      <c r="N102" s="7">
        <f>+RENDERING!F100</f>
        <v>0</v>
      </c>
      <c r="O102" s="7">
        <f>+RENDERING!J100</f>
        <v>0</v>
      </c>
      <c r="P102" s="7">
        <f>+CUEROS!N103</f>
        <v>0</v>
      </c>
      <c r="Q102" s="7">
        <f>+'GRASA DREASING'!G100</f>
        <v>0</v>
      </c>
    </row>
    <row r="103" spans="1:17" x14ac:dyDescent="0.2">
      <c r="B103" s="5">
        <f>+'SERVICIO FAENA'!A102</f>
        <v>100</v>
      </c>
      <c r="C103" s="5" t="str">
        <f>+'SERVICIO FAENA'!B102</f>
        <v>BOSQUES AMADOS SRL</v>
      </c>
      <c r="D103" s="5">
        <f>+'SERVICIO FAENA'!C102</f>
        <v>18</v>
      </c>
      <c r="E103" s="7">
        <f>+'SERVICIO FAENA'!H102</f>
        <v>500</v>
      </c>
      <c r="F103" s="6">
        <f>+'SERVICIO FAENA'!F102</f>
        <v>3494.7</v>
      </c>
      <c r="G103" s="7">
        <f>+'SERVICIO FAENA'!J102</f>
        <v>1747350</v>
      </c>
      <c r="H103" s="7">
        <f>+'SERVICIO DESPOSTE'!W102</f>
        <v>0</v>
      </c>
      <c r="I103" s="36">
        <f t="shared" si="1"/>
        <v>1747350</v>
      </c>
      <c r="J103" s="8">
        <f>+MENUDENCIAS!I102</f>
        <v>0</v>
      </c>
      <c r="K103" s="8">
        <f>+MENUDENCIAS!O102</f>
        <v>0</v>
      </c>
      <c r="L103" s="8">
        <f>+MENUDENCIAS!P102</f>
        <v>0</v>
      </c>
      <c r="M103" s="7">
        <f>+RENDERING!H101</f>
        <v>0</v>
      </c>
      <c r="N103" s="7">
        <f>+RENDERING!F101</f>
        <v>0</v>
      </c>
      <c r="O103" s="7">
        <f>+RENDERING!J101</f>
        <v>0</v>
      </c>
      <c r="P103" s="7">
        <f>+CUEROS!N104</f>
        <v>0</v>
      </c>
      <c r="Q103" s="7">
        <f>+'GRASA DREASING'!G101</f>
        <v>0</v>
      </c>
    </row>
    <row r="104" spans="1:17" x14ac:dyDescent="0.2">
      <c r="B104" s="5">
        <f>+'SERVICIO FAENA'!A103</f>
        <v>101</v>
      </c>
      <c r="C104" s="5" t="str">
        <f>+'SERVICIO FAENA'!B103</f>
        <v>FERREYRA ALBERTO</v>
      </c>
      <c r="D104" s="5">
        <f>+'SERVICIO FAENA'!C103</f>
        <v>8</v>
      </c>
      <c r="E104" s="7">
        <f>+'SERVICIO FAENA'!H103</f>
        <v>500</v>
      </c>
      <c r="F104" s="6">
        <f>+'SERVICIO FAENA'!F103</f>
        <v>1416.4</v>
      </c>
      <c r="G104" s="7">
        <f>+'SERVICIO FAENA'!J103</f>
        <v>708200</v>
      </c>
      <c r="H104" s="7">
        <f>+'SERVICIO DESPOSTE'!W103</f>
        <v>0</v>
      </c>
      <c r="I104" s="36">
        <f t="shared" si="1"/>
        <v>708200</v>
      </c>
      <c r="J104" s="8">
        <f>+MENUDENCIAS!I103</f>
        <v>0</v>
      </c>
      <c r="K104" s="8">
        <f>+MENUDENCIAS!O103</f>
        <v>0</v>
      </c>
      <c r="L104" s="8">
        <f>+MENUDENCIAS!P103</f>
        <v>0</v>
      </c>
      <c r="M104" s="7">
        <f>+RENDERING!H102</f>
        <v>0</v>
      </c>
      <c r="N104" s="7">
        <f>+RENDERING!F102</f>
        <v>0</v>
      </c>
      <c r="O104" s="7">
        <f>+RENDERING!J102</f>
        <v>0</v>
      </c>
      <c r="P104" s="7">
        <f>+CUEROS!N105</f>
        <v>0</v>
      </c>
      <c r="Q104" s="7">
        <f>+'GRASA DREASING'!G102</f>
        <v>0</v>
      </c>
    </row>
    <row r="105" spans="1:17" x14ac:dyDescent="0.2">
      <c r="B105" s="5">
        <f>+'SERVICIO FAENA'!A104</f>
        <v>102</v>
      </c>
      <c r="C105" s="5" t="str">
        <f>+'SERVICIO FAENA'!B104</f>
        <v>FERREYRA MARTIN</v>
      </c>
      <c r="D105" s="5">
        <f>+'SERVICIO FAENA'!C104</f>
        <v>12</v>
      </c>
      <c r="E105" s="7">
        <f>+'SERVICIO FAENA'!H104</f>
        <v>500</v>
      </c>
      <c r="F105" s="6">
        <f>+'SERVICIO FAENA'!F104</f>
        <v>2884.7</v>
      </c>
      <c r="G105" s="7">
        <f>+'SERVICIO FAENA'!J104</f>
        <v>1442350</v>
      </c>
      <c r="H105" s="7">
        <f>+'SERVICIO DESPOSTE'!W104</f>
        <v>0</v>
      </c>
      <c r="I105" s="36">
        <f t="shared" si="1"/>
        <v>1442350</v>
      </c>
      <c r="J105" s="8">
        <f>+MENUDENCIAS!I104</f>
        <v>0</v>
      </c>
      <c r="K105" s="8">
        <f>+MENUDENCIAS!O104</f>
        <v>0</v>
      </c>
      <c r="L105" s="8">
        <f>+MENUDENCIAS!P104</f>
        <v>0</v>
      </c>
      <c r="M105" s="7">
        <f>+RENDERING!H103</f>
        <v>0</v>
      </c>
      <c r="N105" s="7">
        <f>+RENDERING!F103</f>
        <v>0</v>
      </c>
      <c r="O105" s="7">
        <f>+RENDERING!J103</f>
        <v>0</v>
      </c>
      <c r="P105" s="7">
        <f>+CUEROS!N106</f>
        <v>0</v>
      </c>
      <c r="Q105" s="7">
        <f>+'GRASA DREASING'!G103</f>
        <v>0</v>
      </c>
    </row>
    <row r="106" spans="1:17" x14ac:dyDescent="0.2">
      <c r="B106" s="5">
        <f>+'SERVICIO FAENA'!A105</f>
        <v>103</v>
      </c>
      <c r="C106" s="5" t="str">
        <f>+'SERVICIO FAENA'!B105</f>
        <v>FERREYRA MARTIN</v>
      </c>
      <c r="D106" s="5">
        <f>+'SERVICIO FAENA'!C105</f>
        <v>10</v>
      </c>
      <c r="E106" s="7">
        <f>+'SERVICIO FAENA'!H105</f>
        <v>500</v>
      </c>
      <c r="F106" s="6">
        <f>+'SERVICIO FAENA'!F105</f>
        <v>1674.7</v>
      </c>
      <c r="G106" s="7">
        <f>+'SERVICIO FAENA'!J105</f>
        <v>837350</v>
      </c>
      <c r="H106" s="7">
        <f>+'SERVICIO DESPOSTE'!W105</f>
        <v>0</v>
      </c>
      <c r="I106" s="36">
        <f t="shared" si="1"/>
        <v>837350</v>
      </c>
      <c r="J106" s="8">
        <f>+MENUDENCIAS!I105</f>
        <v>0</v>
      </c>
      <c r="K106" s="8">
        <f>+MENUDENCIAS!O105</f>
        <v>0</v>
      </c>
      <c r="L106" s="8">
        <f>+MENUDENCIAS!P105</f>
        <v>0</v>
      </c>
      <c r="M106" s="7">
        <f>+RENDERING!H104</f>
        <v>0</v>
      </c>
      <c r="N106" s="7">
        <f>+RENDERING!F104</f>
        <v>0</v>
      </c>
      <c r="O106" s="7">
        <f>+RENDERING!J104</f>
        <v>0</v>
      </c>
      <c r="P106" s="7">
        <f>+CUEROS!N107</f>
        <v>0</v>
      </c>
      <c r="Q106" s="7">
        <f>+'GRASA DREASING'!G104</f>
        <v>0</v>
      </c>
    </row>
    <row r="107" spans="1:17" x14ac:dyDescent="0.2">
      <c r="B107" s="5">
        <f>+'SERVICIO FAENA'!A106</f>
        <v>104</v>
      </c>
      <c r="C107" s="5" t="str">
        <f>+'SERVICIO FAENA'!B106</f>
        <v>MUCA SAS</v>
      </c>
      <c r="D107" s="5">
        <f>+'SERVICIO FAENA'!C106</f>
        <v>20</v>
      </c>
      <c r="E107" s="7">
        <f>+'SERVICIO FAENA'!H106</f>
        <v>500</v>
      </c>
      <c r="F107" s="6">
        <f>+'SERVICIO FAENA'!F106</f>
        <v>4976.6000000000004</v>
      </c>
      <c r="G107" s="7">
        <f>+'SERVICIO FAENA'!J106</f>
        <v>2488300</v>
      </c>
      <c r="H107" s="7">
        <f>+'SERVICIO DESPOSTE'!W106</f>
        <v>0</v>
      </c>
      <c r="I107" s="36">
        <f t="shared" si="1"/>
        <v>2488300</v>
      </c>
      <c r="J107" s="8">
        <f>+MENUDENCIAS!I106</f>
        <v>0</v>
      </c>
      <c r="K107" s="8">
        <f>+MENUDENCIAS!O106</f>
        <v>0</v>
      </c>
      <c r="L107" s="8">
        <f>+MENUDENCIAS!P106</f>
        <v>0</v>
      </c>
      <c r="M107" s="7">
        <f>+RENDERING!H105</f>
        <v>0</v>
      </c>
      <c r="N107" s="7">
        <f>+RENDERING!F105</f>
        <v>0</v>
      </c>
      <c r="O107" s="7">
        <f>+RENDERING!J105</f>
        <v>0</v>
      </c>
      <c r="P107" s="7">
        <f>+CUEROS!N108</f>
        <v>0</v>
      </c>
      <c r="Q107" s="7">
        <f>+'GRASA DREASING'!G105</f>
        <v>0</v>
      </c>
    </row>
    <row r="108" spans="1:17" x14ac:dyDescent="0.2">
      <c r="B108" s="5">
        <f>+'SERVICIO FAENA'!A107</f>
        <v>0</v>
      </c>
      <c r="C108" s="5">
        <f>+'SERVICIO FAENA'!B107</f>
        <v>0</v>
      </c>
      <c r="D108" s="5">
        <f>+'SERVICIO FAENA'!C107</f>
        <v>0</v>
      </c>
      <c r="E108" s="7">
        <f>+'SERVICIO FAENA'!H107</f>
        <v>0</v>
      </c>
      <c r="F108" s="6">
        <f>+'SERVICIO FAENA'!F107</f>
        <v>0</v>
      </c>
      <c r="G108" s="7">
        <f>+'SERVICIO FAENA'!J107</f>
        <v>0</v>
      </c>
      <c r="H108" s="7">
        <f>+'SERVICIO DESPOSTE'!W107</f>
        <v>0</v>
      </c>
      <c r="I108" s="36">
        <f t="shared" si="1"/>
        <v>0</v>
      </c>
      <c r="J108" s="8">
        <f>+MENUDENCIAS!I107</f>
        <v>0</v>
      </c>
      <c r="K108" s="8">
        <f>+MENUDENCIAS!O107</f>
        <v>0</v>
      </c>
      <c r="L108" s="8">
        <f>+MENUDENCIAS!P107</f>
        <v>0</v>
      </c>
      <c r="M108" s="7">
        <f>+RENDERING!H106</f>
        <v>0</v>
      </c>
      <c r="N108" s="7">
        <f>+RENDERING!F106</f>
        <v>0</v>
      </c>
      <c r="O108" s="7">
        <f>+RENDERING!J106</f>
        <v>0</v>
      </c>
      <c r="P108" s="7">
        <f>+CUEROS!N109</f>
        <v>0</v>
      </c>
      <c r="Q108" s="7">
        <f>+'GRASA DREASING'!G106</f>
        <v>0</v>
      </c>
    </row>
    <row r="109" spans="1:17" x14ac:dyDescent="0.2">
      <c r="B109" s="5">
        <f>+'SERVICIO FAENA'!A108</f>
        <v>0</v>
      </c>
      <c r="C109" s="5">
        <f>+'SERVICIO FAENA'!B108</f>
        <v>0</v>
      </c>
      <c r="D109" s="5">
        <f>+'SERVICIO FAENA'!C108</f>
        <v>0</v>
      </c>
      <c r="E109" s="7">
        <f>+'SERVICIO FAENA'!H108</f>
        <v>0</v>
      </c>
      <c r="F109" s="6">
        <f>+'SERVICIO FAENA'!F108</f>
        <v>0</v>
      </c>
      <c r="G109" s="7">
        <f>+'SERVICIO FAENA'!J108</f>
        <v>0</v>
      </c>
      <c r="H109" s="7">
        <f>+'SERVICIO DESPOSTE'!W108</f>
        <v>0</v>
      </c>
      <c r="I109" s="36">
        <f t="shared" si="1"/>
        <v>0</v>
      </c>
      <c r="J109" s="8">
        <f>+MENUDENCIAS!I108</f>
        <v>0</v>
      </c>
      <c r="K109" s="8">
        <f>+MENUDENCIAS!O108</f>
        <v>0</v>
      </c>
      <c r="L109" s="8">
        <f>+MENUDENCIAS!P108</f>
        <v>0</v>
      </c>
      <c r="M109" s="7">
        <f>+RENDERING!H107</f>
        <v>0</v>
      </c>
      <c r="N109" s="7">
        <f>+RENDERING!F107</f>
        <v>0</v>
      </c>
      <c r="O109" s="7">
        <f>+RENDERING!J107</f>
        <v>0</v>
      </c>
      <c r="P109" s="7">
        <f>+CUEROS!N110</f>
        <v>0</v>
      </c>
      <c r="Q109" s="7">
        <f>+'GRASA DREASING'!G107</f>
        <v>0</v>
      </c>
    </row>
    <row r="110" spans="1:17" x14ac:dyDescent="0.2">
      <c r="B110" s="5">
        <f>+'SERVICIO FAENA'!A109</f>
        <v>0</v>
      </c>
      <c r="C110" s="5">
        <f>+'SERVICIO FAENA'!B109</f>
        <v>0</v>
      </c>
      <c r="D110" s="5">
        <f>+'SERVICIO FAENA'!C109</f>
        <v>0</v>
      </c>
      <c r="E110" s="7">
        <f>+'SERVICIO FAENA'!H109</f>
        <v>0</v>
      </c>
      <c r="F110" s="6">
        <f>+'SERVICIO FAENA'!F109</f>
        <v>0</v>
      </c>
      <c r="G110" s="7">
        <f>+'SERVICIO FAENA'!J109</f>
        <v>0</v>
      </c>
      <c r="H110" s="7">
        <f>+'SERVICIO DESPOSTE'!W109</f>
        <v>0</v>
      </c>
      <c r="I110" s="36">
        <f t="shared" si="1"/>
        <v>0</v>
      </c>
      <c r="J110" s="8">
        <f>+MENUDENCIAS!I109</f>
        <v>0</v>
      </c>
      <c r="K110" s="8">
        <f>+MENUDENCIAS!O109</f>
        <v>0</v>
      </c>
      <c r="L110" s="8">
        <f>+MENUDENCIAS!P109</f>
        <v>0</v>
      </c>
      <c r="M110" s="7">
        <f>+RENDERING!H108</f>
        <v>0</v>
      </c>
      <c r="N110" s="7">
        <f>+RENDERING!F108</f>
        <v>0</v>
      </c>
      <c r="O110" s="7">
        <f>+RENDERING!J108</f>
        <v>0</v>
      </c>
      <c r="P110" s="7">
        <f>+CUEROS!N111</f>
        <v>0</v>
      </c>
      <c r="Q110" s="7">
        <f>+'GRASA DREASING'!G108</f>
        <v>0</v>
      </c>
    </row>
    <row r="111" spans="1:17" x14ac:dyDescent="0.2">
      <c r="B111" s="5">
        <f>+'SERVICIO FAENA'!A110</f>
        <v>0</v>
      </c>
      <c r="C111" s="5">
        <f>+'SERVICIO FAENA'!B110</f>
        <v>0</v>
      </c>
      <c r="D111" s="5">
        <f>+'SERVICIO FAENA'!C110</f>
        <v>0</v>
      </c>
      <c r="E111" s="7">
        <f>+'SERVICIO FAENA'!H110</f>
        <v>0</v>
      </c>
      <c r="F111" s="6">
        <f>+'SERVICIO FAENA'!F110</f>
        <v>0</v>
      </c>
      <c r="G111" s="7">
        <f>+'SERVICIO FAENA'!J110</f>
        <v>0</v>
      </c>
      <c r="H111" s="7">
        <f>+'SERVICIO DESPOSTE'!W110</f>
        <v>0</v>
      </c>
      <c r="I111" s="36">
        <f t="shared" si="1"/>
        <v>0</v>
      </c>
      <c r="J111" s="8">
        <f>+MENUDENCIAS!I110</f>
        <v>0</v>
      </c>
      <c r="K111" s="8">
        <f>+MENUDENCIAS!O110</f>
        <v>0</v>
      </c>
      <c r="L111" s="8">
        <f>+MENUDENCIAS!P110</f>
        <v>0</v>
      </c>
      <c r="M111" s="7">
        <f>+RENDERING!H109</f>
        <v>0</v>
      </c>
      <c r="N111" s="7">
        <f>+RENDERING!F109</f>
        <v>0</v>
      </c>
      <c r="O111" s="7">
        <f>+RENDERING!J109</f>
        <v>0</v>
      </c>
      <c r="P111" s="7">
        <f>+CUEROS!N112</f>
        <v>0</v>
      </c>
      <c r="Q111" s="7">
        <f>+'GRASA DREASING'!G109</f>
        <v>0</v>
      </c>
    </row>
    <row r="112" spans="1:17" x14ac:dyDescent="0.2">
      <c r="B112" s="5">
        <f>+'SERVICIO FAENA'!A111</f>
        <v>0</v>
      </c>
      <c r="C112" s="5">
        <f>+'SERVICIO FAENA'!B111</f>
        <v>0</v>
      </c>
      <c r="D112" s="5">
        <f>+'SERVICIO FAENA'!C111</f>
        <v>0</v>
      </c>
      <c r="E112" s="7">
        <f>+'SERVICIO FAENA'!H111</f>
        <v>0</v>
      </c>
      <c r="F112" s="6">
        <f>+'SERVICIO FAENA'!F111</f>
        <v>0</v>
      </c>
      <c r="G112" s="7">
        <f>+'SERVICIO FAENA'!J111</f>
        <v>0</v>
      </c>
      <c r="H112" s="7">
        <f>+'SERVICIO DESPOSTE'!W111</f>
        <v>0</v>
      </c>
      <c r="I112" s="36">
        <f t="shared" si="1"/>
        <v>0</v>
      </c>
      <c r="J112" s="8">
        <f>+MENUDENCIAS!I111</f>
        <v>0</v>
      </c>
      <c r="K112" s="8">
        <f>+MENUDENCIAS!O111</f>
        <v>0</v>
      </c>
      <c r="L112" s="8">
        <f>+MENUDENCIAS!P111</f>
        <v>0</v>
      </c>
      <c r="M112" s="7">
        <f>+RENDERING!H110</f>
        <v>0</v>
      </c>
      <c r="N112" s="7">
        <f>+RENDERING!F110</f>
        <v>0</v>
      </c>
      <c r="O112" s="7">
        <f>+RENDERING!J110</f>
        <v>0</v>
      </c>
      <c r="P112" s="7">
        <f>+CUEROS!N113</f>
        <v>0</v>
      </c>
      <c r="Q112" s="7">
        <f>+'GRASA DREASING'!G110</f>
        <v>0</v>
      </c>
    </row>
    <row r="113" spans="2:17" x14ac:dyDescent="0.2">
      <c r="B113" s="5">
        <f>+'SERVICIO FAENA'!A112</f>
        <v>0</v>
      </c>
      <c r="C113" s="5">
        <f>+'SERVICIO FAENA'!B112</f>
        <v>0</v>
      </c>
      <c r="D113" s="5">
        <f>+'SERVICIO FAENA'!C112</f>
        <v>0</v>
      </c>
      <c r="E113" s="7">
        <f>+'SERVICIO FAENA'!H112</f>
        <v>0</v>
      </c>
      <c r="F113" s="6">
        <f>+'SERVICIO FAENA'!F112</f>
        <v>0</v>
      </c>
      <c r="G113" s="7">
        <f>+'SERVICIO FAENA'!J112</f>
        <v>0</v>
      </c>
      <c r="H113" s="7">
        <f>+'SERVICIO DESPOSTE'!W112</f>
        <v>0</v>
      </c>
      <c r="I113" s="36">
        <f t="shared" si="1"/>
        <v>0</v>
      </c>
      <c r="J113" s="8">
        <f>+MENUDENCIAS!I112</f>
        <v>0</v>
      </c>
      <c r="K113" s="8">
        <f>+MENUDENCIAS!O112</f>
        <v>0</v>
      </c>
      <c r="L113" s="8">
        <f>+MENUDENCIAS!P112</f>
        <v>0</v>
      </c>
      <c r="M113" s="7">
        <f>+RENDERING!H111</f>
        <v>0</v>
      </c>
      <c r="N113" s="7">
        <f>+RENDERING!F111</f>
        <v>0</v>
      </c>
      <c r="O113" s="7">
        <f>+RENDERING!J111</f>
        <v>0</v>
      </c>
      <c r="P113" s="7">
        <f>+CUEROS!N114</f>
        <v>0</v>
      </c>
      <c r="Q113" s="7">
        <f>+'GRASA DREASING'!G111</f>
        <v>0</v>
      </c>
    </row>
    <row r="114" spans="2:17" x14ac:dyDescent="0.2">
      <c r="B114" s="5">
        <f>+'SERVICIO FAENA'!A113</f>
        <v>0</v>
      </c>
      <c r="C114" s="5">
        <f>+'SERVICIO FAENA'!B113</f>
        <v>0</v>
      </c>
      <c r="D114" s="5">
        <f>+'SERVICIO FAENA'!C113</f>
        <v>0</v>
      </c>
      <c r="E114" s="7">
        <f>+'SERVICIO FAENA'!H113</f>
        <v>0</v>
      </c>
      <c r="F114" s="6">
        <f>+'SERVICIO FAENA'!F113</f>
        <v>0</v>
      </c>
      <c r="G114" s="7">
        <f>+'SERVICIO FAENA'!J113</f>
        <v>0</v>
      </c>
      <c r="H114" s="7">
        <f>+'SERVICIO DESPOSTE'!W113</f>
        <v>0</v>
      </c>
      <c r="I114" s="36">
        <f t="shared" si="1"/>
        <v>0</v>
      </c>
      <c r="J114" s="8">
        <f>+MENUDENCIAS!I113</f>
        <v>0</v>
      </c>
      <c r="K114" s="8">
        <f>+MENUDENCIAS!O113</f>
        <v>0</v>
      </c>
      <c r="L114" s="8">
        <f>+MENUDENCIAS!P113</f>
        <v>0</v>
      </c>
      <c r="M114" s="7">
        <f>+RENDERING!H112</f>
        <v>0</v>
      </c>
      <c r="N114" s="7">
        <f>+RENDERING!F112</f>
        <v>0</v>
      </c>
      <c r="O114" s="7">
        <f>+RENDERING!J112</f>
        <v>0</v>
      </c>
      <c r="P114" s="7">
        <f>+CUEROS!N115</f>
        <v>0</v>
      </c>
      <c r="Q114" s="7">
        <f>+'GRASA DREASING'!G112</f>
        <v>0</v>
      </c>
    </row>
    <row r="115" spans="2:17" x14ac:dyDescent="0.2">
      <c r="B115" s="5">
        <f>+'SERVICIO FAENA'!A114</f>
        <v>0</v>
      </c>
      <c r="C115" s="5">
        <f>+'SERVICIO FAENA'!B114</f>
        <v>0</v>
      </c>
      <c r="D115" s="5">
        <f>+'SERVICIO FAENA'!C114</f>
        <v>0</v>
      </c>
      <c r="E115" s="7">
        <f>+'SERVICIO FAENA'!H114</f>
        <v>0</v>
      </c>
      <c r="F115" s="6">
        <f>+'SERVICIO FAENA'!F114</f>
        <v>0</v>
      </c>
      <c r="G115" s="7">
        <f>+'SERVICIO FAENA'!J114</f>
        <v>0</v>
      </c>
      <c r="H115" s="7">
        <f>+'SERVICIO DESPOSTE'!W114</f>
        <v>0</v>
      </c>
      <c r="I115" s="36">
        <f t="shared" si="1"/>
        <v>0</v>
      </c>
      <c r="J115" s="8">
        <f>+MENUDENCIAS!I114</f>
        <v>0</v>
      </c>
      <c r="K115" s="8">
        <f>+MENUDENCIAS!O114</f>
        <v>0</v>
      </c>
      <c r="L115" s="8">
        <f>+MENUDENCIAS!P114</f>
        <v>0</v>
      </c>
      <c r="M115" s="7">
        <f>+RENDERING!H113</f>
        <v>0</v>
      </c>
      <c r="N115" s="7">
        <f>+RENDERING!F113</f>
        <v>0</v>
      </c>
      <c r="O115" s="7">
        <f>+RENDERING!J113</f>
        <v>0</v>
      </c>
      <c r="P115" s="7">
        <f>+CUEROS!N116</f>
        <v>0</v>
      </c>
      <c r="Q115" s="7">
        <f>+'GRASA DREASING'!G113</f>
        <v>0</v>
      </c>
    </row>
    <row r="116" spans="2:17" x14ac:dyDescent="0.2">
      <c r="B116" s="5">
        <f>+'SERVICIO FAENA'!A115</f>
        <v>0</v>
      </c>
      <c r="C116" s="5">
        <f>+'SERVICIO FAENA'!B115</f>
        <v>0</v>
      </c>
      <c r="D116" s="5">
        <f>+'SERVICIO FAENA'!C115</f>
        <v>0</v>
      </c>
      <c r="E116" s="7">
        <f>+'SERVICIO FAENA'!H115</f>
        <v>0</v>
      </c>
      <c r="F116" s="6">
        <f>+'SERVICIO FAENA'!F115</f>
        <v>0</v>
      </c>
      <c r="G116" s="7">
        <f>+'SERVICIO FAENA'!J115</f>
        <v>0</v>
      </c>
      <c r="H116" s="7">
        <f>+'SERVICIO DESPOSTE'!W115</f>
        <v>0</v>
      </c>
      <c r="I116" s="36">
        <f t="shared" si="1"/>
        <v>0</v>
      </c>
      <c r="J116" s="8">
        <f>+MENUDENCIAS!I115</f>
        <v>0</v>
      </c>
      <c r="K116" s="8">
        <f>+MENUDENCIAS!O115</f>
        <v>0</v>
      </c>
      <c r="L116" s="8">
        <f>+MENUDENCIAS!P115</f>
        <v>0</v>
      </c>
      <c r="M116" s="7">
        <f>+RENDERING!H114</f>
        <v>0</v>
      </c>
      <c r="N116" s="7">
        <f>+RENDERING!F114</f>
        <v>0</v>
      </c>
      <c r="O116" s="7">
        <f>+RENDERING!J114</f>
        <v>0</v>
      </c>
      <c r="P116" s="7">
        <f>+CUEROS!N117</f>
        <v>0</v>
      </c>
      <c r="Q116" s="7">
        <f>+'GRASA DREASING'!G114</f>
        <v>0</v>
      </c>
    </row>
    <row r="117" spans="2:17" x14ac:dyDescent="0.2">
      <c r="B117" s="5">
        <f>+'SERVICIO FAENA'!A116</f>
        <v>0</v>
      </c>
      <c r="C117" s="5">
        <f>+'SERVICIO FAENA'!B116</f>
        <v>0</v>
      </c>
      <c r="D117" s="5">
        <f>+'SERVICIO FAENA'!C116</f>
        <v>0</v>
      </c>
      <c r="E117" s="7">
        <f>+'SERVICIO FAENA'!H116</f>
        <v>0</v>
      </c>
      <c r="F117" s="6">
        <f>+'SERVICIO FAENA'!F116</f>
        <v>0</v>
      </c>
      <c r="G117" s="7">
        <f>+'SERVICIO FAENA'!J116</f>
        <v>0</v>
      </c>
      <c r="H117" s="7">
        <f>+'SERVICIO DESPOSTE'!W116</f>
        <v>0</v>
      </c>
      <c r="I117" s="36">
        <f t="shared" si="1"/>
        <v>0</v>
      </c>
      <c r="J117" s="8">
        <f>+MENUDENCIAS!I116</f>
        <v>0</v>
      </c>
      <c r="K117" s="8">
        <f>+MENUDENCIAS!O116</f>
        <v>0</v>
      </c>
      <c r="L117" s="8">
        <f>+MENUDENCIAS!P116</f>
        <v>0</v>
      </c>
      <c r="M117" s="7">
        <f>+RENDERING!H115</f>
        <v>0</v>
      </c>
      <c r="N117" s="7">
        <f>+RENDERING!F115</f>
        <v>0</v>
      </c>
      <c r="O117" s="7">
        <f>+RENDERING!J115</f>
        <v>0</v>
      </c>
      <c r="P117" s="7">
        <f>+CUEROS!N118</f>
        <v>0</v>
      </c>
      <c r="Q117" s="7">
        <f>+'GRASA DREASING'!G115</f>
        <v>0</v>
      </c>
    </row>
    <row r="118" spans="2:17" x14ac:dyDescent="0.2">
      <c r="B118" s="5">
        <f>+'SERVICIO FAENA'!A117</f>
        <v>0</v>
      </c>
      <c r="C118" s="5">
        <f>+'SERVICIO FAENA'!B117</f>
        <v>0</v>
      </c>
      <c r="D118" s="5">
        <f>+'SERVICIO FAENA'!C117</f>
        <v>0</v>
      </c>
      <c r="E118" s="7">
        <f>+'SERVICIO FAENA'!H117</f>
        <v>0</v>
      </c>
      <c r="F118" s="6">
        <f>+'SERVICIO FAENA'!F117</f>
        <v>0</v>
      </c>
      <c r="G118" s="7">
        <f>+'SERVICIO FAENA'!J117</f>
        <v>0</v>
      </c>
      <c r="H118" s="7">
        <f>+'SERVICIO DESPOSTE'!W117</f>
        <v>0</v>
      </c>
      <c r="I118" s="36">
        <f t="shared" si="1"/>
        <v>0</v>
      </c>
      <c r="J118" s="8">
        <f>+MENUDENCIAS!I117</f>
        <v>0</v>
      </c>
      <c r="K118" s="8">
        <f>+MENUDENCIAS!O117</f>
        <v>0</v>
      </c>
      <c r="L118" s="8">
        <f>+MENUDENCIAS!P117</f>
        <v>0</v>
      </c>
      <c r="M118" s="7">
        <f>+RENDERING!H116</f>
        <v>0</v>
      </c>
      <c r="N118" s="7">
        <f>+RENDERING!F116</f>
        <v>0</v>
      </c>
      <c r="O118" s="7">
        <f>+RENDERING!J116</f>
        <v>0</v>
      </c>
      <c r="P118" s="7">
        <f>+CUEROS!N119</f>
        <v>0</v>
      </c>
      <c r="Q118" s="7">
        <f>+'GRASA DREASING'!G116</f>
        <v>0</v>
      </c>
    </row>
    <row r="119" spans="2:17" x14ac:dyDescent="0.2">
      <c r="B119" s="5">
        <f>+'SERVICIO FAENA'!A118</f>
        <v>0</v>
      </c>
      <c r="C119" s="5">
        <f>+'SERVICIO FAENA'!B118</f>
        <v>0</v>
      </c>
      <c r="D119" s="5">
        <f>+'SERVICIO FAENA'!C118</f>
        <v>0</v>
      </c>
      <c r="E119" s="7">
        <f>+'SERVICIO FAENA'!H118</f>
        <v>0</v>
      </c>
      <c r="F119" s="6">
        <f>+'SERVICIO FAENA'!F118</f>
        <v>0</v>
      </c>
      <c r="G119" s="7">
        <f>+'SERVICIO FAENA'!J118</f>
        <v>0</v>
      </c>
      <c r="H119" s="7">
        <f>+'SERVICIO DESPOSTE'!W118</f>
        <v>0</v>
      </c>
      <c r="I119" s="36">
        <f t="shared" ref="I119:I182" si="2">+(G119-J119)+K119+M119+N119+O119+P119+Q119+L119+H119</f>
        <v>0</v>
      </c>
      <c r="J119" s="8">
        <f>+MENUDENCIAS!I118</f>
        <v>0</v>
      </c>
      <c r="K119" s="8">
        <f>+MENUDENCIAS!O118</f>
        <v>0</v>
      </c>
      <c r="L119" s="8">
        <f>+MENUDENCIAS!P118</f>
        <v>0</v>
      </c>
      <c r="M119" s="7">
        <f>+RENDERING!H117</f>
        <v>0</v>
      </c>
      <c r="N119" s="7">
        <f>+RENDERING!F117</f>
        <v>0</v>
      </c>
      <c r="O119" s="7">
        <f>+RENDERING!J117</f>
        <v>0</v>
      </c>
      <c r="P119" s="7">
        <f>+CUEROS!N120</f>
        <v>0</v>
      </c>
      <c r="Q119" s="7">
        <f>+'GRASA DREASING'!G117</f>
        <v>0</v>
      </c>
    </row>
    <row r="120" spans="2:17" x14ac:dyDescent="0.2">
      <c r="B120" s="5">
        <f>+'SERVICIO FAENA'!A119</f>
        <v>0</v>
      </c>
      <c r="C120" s="5">
        <f>+'SERVICIO FAENA'!B119</f>
        <v>0</v>
      </c>
      <c r="D120" s="5">
        <f>+'SERVICIO FAENA'!C119</f>
        <v>0</v>
      </c>
      <c r="E120" s="7">
        <f>+'SERVICIO FAENA'!H119</f>
        <v>0</v>
      </c>
      <c r="F120" s="6">
        <f>+'SERVICIO FAENA'!F119</f>
        <v>0</v>
      </c>
      <c r="G120" s="7">
        <f>+'SERVICIO FAENA'!J119</f>
        <v>0</v>
      </c>
      <c r="H120" s="7">
        <f>+'SERVICIO DESPOSTE'!W119</f>
        <v>0</v>
      </c>
      <c r="I120" s="36">
        <f t="shared" si="2"/>
        <v>0</v>
      </c>
      <c r="J120" s="8">
        <f>+MENUDENCIAS!I119</f>
        <v>0</v>
      </c>
      <c r="K120" s="8">
        <f>+MENUDENCIAS!O119</f>
        <v>0</v>
      </c>
      <c r="L120" s="8">
        <f>+MENUDENCIAS!P119</f>
        <v>0</v>
      </c>
      <c r="M120" s="7">
        <f>+RENDERING!H118</f>
        <v>0</v>
      </c>
      <c r="N120" s="7">
        <f>+RENDERING!F118</f>
        <v>0</v>
      </c>
      <c r="O120" s="7">
        <f>+RENDERING!J118</f>
        <v>0</v>
      </c>
      <c r="P120" s="7">
        <f>+CUEROS!N121</f>
        <v>0</v>
      </c>
      <c r="Q120" s="7">
        <f>+'GRASA DREASING'!G118</f>
        <v>0</v>
      </c>
    </row>
    <row r="121" spans="2:17" x14ac:dyDescent="0.2">
      <c r="B121" s="5">
        <f>+'SERVICIO FAENA'!A120</f>
        <v>0</v>
      </c>
      <c r="C121" s="5">
        <f>+'SERVICIO FAENA'!B120</f>
        <v>0</v>
      </c>
      <c r="D121" s="5">
        <f>+'SERVICIO FAENA'!C120</f>
        <v>0</v>
      </c>
      <c r="E121" s="7">
        <f>+'SERVICIO FAENA'!H120</f>
        <v>0</v>
      </c>
      <c r="F121" s="6">
        <f>+'SERVICIO FAENA'!F120</f>
        <v>0</v>
      </c>
      <c r="G121" s="7">
        <f>+'SERVICIO FAENA'!J120</f>
        <v>0</v>
      </c>
      <c r="H121" s="7">
        <f>+'SERVICIO DESPOSTE'!W120</f>
        <v>0</v>
      </c>
      <c r="I121" s="36">
        <f t="shared" si="2"/>
        <v>0</v>
      </c>
      <c r="J121" s="8">
        <f>+MENUDENCIAS!I120</f>
        <v>0</v>
      </c>
      <c r="K121" s="8">
        <f>+MENUDENCIAS!O120</f>
        <v>0</v>
      </c>
      <c r="L121" s="8">
        <f>+MENUDENCIAS!P120</f>
        <v>0</v>
      </c>
      <c r="M121" s="7">
        <f>+RENDERING!H119</f>
        <v>0</v>
      </c>
      <c r="N121" s="7">
        <f>+RENDERING!F119</f>
        <v>0</v>
      </c>
      <c r="O121" s="7">
        <f>+RENDERING!J119</f>
        <v>0</v>
      </c>
      <c r="P121" s="7">
        <f>+CUEROS!N122</f>
        <v>0</v>
      </c>
      <c r="Q121" s="7">
        <f>+'GRASA DREASING'!G119</f>
        <v>0</v>
      </c>
    </row>
    <row r="122" spans="2:17" x14ac:dyDescent="0.2">
      <c r="B122" s="5">
        <f>+'SERVICIO FAENA'!A121</f>
        <v>0</v>
      </c>
      <c r="C122" s="5">
        <f>+'SERVICIO FAENA'!B121</f>
        <v>0</v>
      </c>
      <c r="D122" s="5">
        <f>+'SERVICIO FAENA'!C121</f>
        <v>0</v>
      </c>
      <c r="E122" s="7">
        <f>+'SERVICIO FAENA'!H121</f>
        <v>0</v>
      </c>
      <c r="F122" s="6">
        <f>+'SERVICIO FAENA'!F121</f>
        <v>0</v>
      </c>
      <c r="G122" s="7">
        <f>+'SERVICIO FAENA'!J121</f>
        <v>0</v>
      </c>
      <c r="H122" s="7">
        <f>+'SERVICIO DESPOSTE'!W121</f>
        <v>0</v>
      </c>
      <c r="I122" s="36">
        <f t="shared" si="2"/>
        <v>0</v>
      </c>
      <c r="J122" s="8">
        <f>+MENUDENCIAS!I121</f>
        <v>0</v>
      </c>
      <c r="K122" s="8">
        <f>+MENUDENCIAS!O121</f>
        <v>0</v>
      </c>
      <c r="L122" s="8">
        <f>+MENUDENCIAS!P121</f>
        <v>0</v>
      </c>
      <c r="M122" s="7">
        <f>+RENDERING!H120</f>
        <v>0</v>
      </c>
      <c r="N122" s="7">
        <f>+RENDERING!F120</f>
        <v>0</v>
      </c>
      <c r="O122" s="7">
        <f>+RENDERING!J120</f>
        <v>0</v>
      </c>
      <c r="P122" s="7">
        <f>+CUEROS!N123</f>
        <v>0</v>
      </c>
      <c r="Q122" s="7">
        <f>+'GRASA DREASING'!G120</f>
        <v>0</v>
      </c>
    </row>
    <row r="123" spans="2:17" x14ac:dyDescent="0.2">
      <c r="B123" s="5">
        <f>+'SERVICIO FAENA'!A122</f>
        <v>0</v>
      </c>
      <c r="C123" s="5">
        <f>+'SERVICIO FAENA'!B122</f>
        <v>0</v>
      </c>
      <c r="D123" s="5">
        <f>+'SERVICIO FAENA'!C122</f>
        <v>0</v>
      </c>
      <c r="E123" s="7">
        <f>+'SERVICIO FAENA'!H122</f>
        <v>0</v>
      </c>
      <c r="F123" s="6">
        <f>+'SERVICIO FAENA'!F122</f>
        <v>0</v>
      </c>
      <c r="G123" s="7">
        <f>+'SERVICIO FAENA'!J122</f>
        <v>0</v>
      </c>
      <c r="H123" s="7">
        <f>+'SERVICIO DESPOSTE'!W122</f>
        <v>0</v>
      </c>
      <c r="I123" s="36">
        <f t="shared" si="2"/>
        <v>0</v>
      </c>
      <c r="J123" s="8">
        <f>+MENUDENCIAS!I122</f>
        <v>0</v>
      </c>
      <c r="K123" s="8">
        <f>+MENUDENCIAS!O122</f>
        <v>0</v>
      </c>
      <c r="L123" s="8">
        <f>+MENUDENCIAS!P122</f>
        <v>0</v>
      </c>
      <c r="M123" s="7">
        <f>+RENDERING!H121</f>
        <v>0</v>
      </c>
      <c r="N123" s="7">
        <f>+RENDERING!F121</f>
        <v>0</v>
      </c>
      <c r="O123" s="7">
        <f>+RENDERING!J121</f>
        <v>0</v>
      </c>
      <c r="P123" s="7">
        <f>+CUEROS!N124</f>
        <v>0</v>
      </c>
      <c r="Q123" s="7">
        <f>+'GRASA DREASING'!G121</f>
        <v>0</v>
      </c>
    </row>
    <row r="124" spans="2:17" x14ac:dyDescent="0.2">
      <c r="B124" s="5">
        <f>+'SERVICIO FAENA'!A123</f>
        <v>0</v>
      </c>
      <c r="C124" s="5">
        <f>+'SERVICIO FAENA'!B123</f>
        <v>0</v>
      </c>
      <c r="D124" s="5">
        <f>+'SERVICIO FAENA'!C123</f>
        <v>0</v>
      </c>
      <c r="E124" s="7">
        <f>+'SERVICIO FAENA'!H123</f>
        <v>0</v>
      </c>
      <c r="F124" s="6">
        <f>+'SERVICIO FAENA'!F123</f>
        <v>0</v>
      </c>
      <c r="G124" s="7">
        <f>+'SERVICIO FAENA'!J123</f>
        <v>0</v>
      </c>
      <c r="H124" s="7">
        <f>+'SERVICIO DESPOSTE'!W123</f>
        <v>0</v>
      </c>
      <c r="I124" s="36">
        <f t="shared" si="2"/>
        <v>0</v>
      </c>
      <c r="J124" s="8">
        <f>+MENUDENCIAS!I123</f>
        <v>0</v>
      </c>
      <c r="K124" s="8">
        <f>+MENUDENCIAS!O123</f>
        <v>0</v>
      </c>
      <c r="L124" s="8">
        <f>+MENUDENCIAS!P123</f>
        <v>0</v>
      </c>
      <c r="M124" s="7">
        <f>+RENDERING!H122</f>
        <v>0</v>
      </c>
      <c r="N124" s="7">
        <f>+RENDERING!F122</f>
        <v>0</v>
      </c>
      <c r="O124" s="7">
        <f>+RENDERING!J122</f>
        <v>0</v>
      </c>
      <c r="P124" s="7">
        <f>+CUEROS!N125</f>
        <v>0</v>
      </c>
      <c r="Q124" s="7">
        <f>+'GRASA DREASING'!G122</f>
        <v>0</v>
      </c>
    </row>
    <row r="125" spans="2:17" x14ac:dyDescent="0.2">
      <c r="B125" s="5">
        <f>+'SERVICIO FAENA'!A124</f>
        <v>0</v>
      </c>
      <c r="C125" s="5">
        <f>+'SERVICIO FAENA'!B124</f>
        <v>0</v>
      </c>
      <c r="D125" s="5">
        <f>+'SERVICIO FAENA'!C124</f>
        <v>0</v>
      </c>
      <c r="E125" s="7">
        <f>+'SERVICIO FAENA'!H124</f>
        <v>0</v>
      </c>
      <c r="F125" s="6">
        <f>+'SERVICIO FAENA'!F124</f>
        <v>0</v>
      </c>
      <c r="G125" s="7">
        <f>+'SERVICIO FAENA'!J124</f>
        <v>0</v>
      </c>
      <c r="H125" s="7">
        <f>+'SERVICIO DESPOSTE'!W124</f>
        <v>0</v>
      </c>
      <c r="I125" s="36">
        <f t="shared" si="2"/>
        <v>0</v>
      </c>
      <c r="J125" s="8">
        <f>+MENUDENCIAS!I124</f>
        <v>0</v>
      </c>
      <c r="K125" s="8">
        <f>+MENUDENCIAS!O124</f>
        <v>0</v>
      </c>
      <c r="L125" s="8">
        <f>+MENUDENCIAS!P124</f>
        <v>0</v>
      </c>
      <c r="M125" s="7">
        <f>+RENDERING!H123</f>
        <v>0</v>
      </c>
      <c r="N125" s="7">
        <f>+RENDERING!F123</f>
        <v>0</v>
      </c>
      <c r="O125" s="7">
        <f>+RENDERING!J123</f>
        <v>0</v>
      </c>
      <c r="P125" s="7">
        <f>+CUEROS!N126</f>
        <v>0</v>
      </c>
      <c r="Q125" s="7">
        <f>+'GRASA DREASING'!G123</f>
        <v>0</v>
      </c>
    </row>
    <row r="126" spans="2:17" x14ac:dyDescent="0.2">
      <c r="B126" s="5">
        <f>+'SERVICIO FAENA'!A125</f>
        <v>0</v>
      </c>
      <c r="C126" s="5">
        <f>+'SERVICIO FAENA'!B125</f>
        <v>0</v>
      </c>
      <c r="D126" s="5">
        <f>+'SERVICIO FAENA'!C125</f>
        <v>0</v>
      </c>
      <c r="E126" s="7">
        <f>+'SERVICIO FAENA'!H125</f>
        <v>0</v>
      </c>
      <c r="F126" s="6">
        <f>+'SERVICIO FAENA'!F125</f>
        <v>0</v>
      </c>
      <c r="G126" s="7">
        <f>+'SERVICIO FAENA'!J125</f>
        <v>0</v>
      </c>
      <c r="H126" s="7">
        <f>+'SERVICIO DESPOSTE'!W125</f>
        <v>0</v>
      </c>
      <c r="I126" s="36">
        <f t="shared" si="2"/>
        <v>0</v>
      </c>
      <c r="J126" s="8">
        <f>+MENUDENCIAS!I125</f>
        <v>0</v>
      </c>
      <c r="K126" s="8">
        <f>+MENUDENCIAS!O125</f>
        <v>0</v>
      </c>
      <c r="L126" s="8">
        <f>+MENUDENCIAS!P125</f>
        <v>0</v>
      </c>
      <c r="M126" s="7">
        <f>+RENDERING!H124</f>
        <v>0</v>
      </c>
      <c r="N126" s="7">
        <f>+RENDERING!F124</f>
        <v>0</v>
      </c>
      <c r="O126" s="7">
        <f>+RENDERING!J124</f>
        <v>0</v>
      </c>
      <c r="P126" s="7">
        <f>+CUEROS!N127</f>
        <v>0</v>
      </c>
      <c r="Q126" s="7">
        <f>+'GRASA DREASING'!G124</f>
        <v>0</v>
      </c>
    </row>
    <row r="127" spans="2:17" x14ac:dyDescent="0.2">
      <c r="B127" s="5">
        <f>+'SERVICIO FAENA'!A126</f>
        <v>0</v>
      </c>
      <c r="C127" s="5">
        <f>+'SERVICIO FAENA'!B126</f>
        <v>0</v>
      </c>
      <c r="D127" s="5">
        <f>+'SERVICIO FAENA'!C126</f>
        <v>0</v>
      </c>
      <c r="E127" s="7">
        <f>+'SERVICIO FAENA'!H126</f>
        <v>0</v>
      </c>
      <c r="F127" s="6">
        <f>+'SERVICIO FAENA'!F126</f>
        <v>0</v>
      </c>
      <c r="G127" s="7">
        <f>+'SERVICIO FAENA'!J126</f>
        <v>0</v>
      </c>
      <c r="H127" s="7">
        <f>+'SERVICIO DESPOSTE'!W126</f>
        <v>0</v>
      </c>
      <c r="I127" s="36">
        <f t="shared" si="2"/>
        <v>0</v>
      </c>
      <c r="J127" s="8">
        <f>+MENUDENCIAS!I126</f>
        <v>0</v>
      </c>
      <c r="K127" s="8">
        <f>+MENUDENCIAS!O126</f>
        <v>0</v>
      </c>
      <c r="L127" s="8">
        <f>+MENUDENCIAS!P126</f>
        <v>0</v>
      </c>
      <c r="M127" s="7">
        <f>+RENDERING!H125</f>
        <v>0</v>
      </c>
      <c r="N127" s="7">
        <f>+RENDERING!F125</f>
        <v>0</v>
      </c>
      <c r="O127" s="7">
        <f>+RENDERING!J125</f>
        <v>0</v>
      </c>
      <c r="P127" s="7">
        <f>+CUEROS!N128</f>
        <v>0</v>
      </c>
      <c r="Q127" s="7">
        <f>+'GRASA DREASING'!G125</f>
        <v>0</v>
      </c>
    </row>
    <row r="128" spans="2:17" x14ac:dyDescent="0.2">
      <c r="B128" s="5">
        <f>+'SERVICIO FAENA'!A127</f>
        <v>0</v>
      </c>
      <c r="C128" s="5">
        <f>+'SERVICIO FAENA'!B127</f>
        <v>0</v>
      </c>
      <c r="D128" s="5">
        <f>+'SERVICIO FAENA'!C127</f>
        <v>0</v>
      </c>
      <c r="E128" s="7">
        <f>+'SERVICIO FAENA'!H127</f>
        <v>0</v>
      </c>
      <c r="F128" s="6">
        <f>+'SERVICIO FAENA'!F127</f>
        <v>0</v>
      </c>
      <c r="G128" s="7">
        <f>+'SERVICIO FAENA'!J127</f>
        <v>0</v>
      </c>
      <c r="H128" s="7">
        <f>+'SERVICIO DESPOSTE'!W127</f>
        <v>0</v>
      </c>
      <c r="I128" s="36">
        <f t="shared" si="2"/>
        <v>0</v>
      </c>
      <c r="J128" s="8">
        <f>+MENUDENCIAS!I127</f>
        <v>0</v>
      </c>
      <c r="K128" s="8">
        <f>+MENUDENCIAS!O127</f>
        <v>0</v>
      </c>
      <c r="L128" s="8">
        <f>+MENUDENCIAS!P127</f>
        <v>0</v>
      </c>
      <c r="M128" s="7">
        <f>+RENDERING!H126</f>
        <v>0</v>
      </c>
      <c r="N128" s="7">
        <f>+RENDERING!F126</f>
        <v>0</v>
      </c>
      <c r="O128" s="7">
        <f>+RENDERING!J126</f>
        <v>0</v>
      </c>
      <c r="P128" s="7">
        <f>+CUEROS!N129</f>
        <v>0</v>
      </c>
      <c r="Q128" s="7">
        <f>+'GRASA DREASING'!G126</f>
        <v>0</v>
      </c>
    </row>
    <row r="129" spans="2:17" x14ac:dyDescent="0.2">
      <c r="B129" s="5">
        <f>+'SERVICIO FAENA'!A128</f>
        <v>0</v>
      </c>
      <c r="C129" s="5">
        <f>+'SERVICIO FAENA'!B128</f>
        <v>0</v>
      </c>
      <c r="D129" s="5">
        <f>+'SERVICIO FAENA'!C128</f>
        <v>0</v>
      </c>
      <c r="E129" s="7">
        <f>+'SERVICIO FAENA'!H128</f>
        <v>0</v>
      </c>
      <c r="F129" s="6">
        <f>+'SERVICIO FAENA'!F128</f>
        <v>0</v>
      </c>
      <c r="G129" s="7">
        <f>+'SERVICIO FAENA'!J128</f>
        <v>0</v>
      </c>
      <c r="H129" s="7">
        <f>+'SERVICIO DESPOSTE'!W128</f>
        <v>0</v>
      </c>
      <c r="I129" s="36">
        <f t="shared" si="2"/>
        <v>0</v>
      </c>
      <c r="J129" s="8">
        <f>+MENUDENCIAS!I128</f>
        <v>0</v>
      </c>
      <c r="K129" s="8">
        <f>+MENUDENCIAS!O128</f>
        <v>0</v>
      </c>
      <c r="L129" s="8">
        <f>+MENUDENCIAS!P128</f>
        <v>0</v>
      </c>
      <c r="M129" s="7">
        <f>+RENDERING!H127</f>
        <v>0</v>
      </c>
      <c r="N129" s="7">
        <f>+RENDERING!F127</f>
        <v>0</v>
      </c>
      <c r="O129" s="7">
        <f>+RENDERING!J127</f>
        <v>0</v>
      </c>
      <c r="P129" s="7">
        <f>+CUEROS!N130</f>
        <v>0</v>
      </c>
      <c r="Q129" s="7">
        <f>+'GRASA DREASING'!G127</f>
        <v>0</v>
      </c>
    </row>
    <row r="130" spans="2:17" x14ac:dyDescent="0.2">
      <c r="B130" s="5">
        <f>+'SERVICIO FAENA'!A129</f>
        <v>0</v>
      </c>
      <c r="C130" s="5">
        <f>+'SERVICIO FAENA'!B129</f>
        <v>0</v>
      </c>
      <c r="D130" s="5">
        <f>+'SERVICIO FAENA'!C129</f>
        <v>0</v>
      </c>
      <c r="E130" s="7">
        <f>+'SERVICIO FAENA'!H129</f>
        <v>0</v>
      </c>
      <c r="F130" s="6">
        <f>+'SERVICIO FAENA'!F129</f>
        <v>0</v>
      </c>
      <c r="G130" s="7">
        <f>+'SERVICIO FAENA'!J129</f>
        <v>0</v>
      </c>
      <c r="H130" s="7">
        <f>+'SERVICIO DESPOSTE'!W129</f>
        <v>0</v>
      </c>
      <c r="I130" s="36">
        <f t="shared" si="2"/>
        <v>0</v>
      </c>
      <c r="J130" s="8">
        <f>+MENUDENCIAS!I129</f>
        <v>0</v>
      </c>
      <c r="K130" s="8">
        <f>+MENUDENCIAS!O129</f>
        <v>0</v>
      </c>
      <c r="L130" s="8">
        <f>+MENUDENCIAS!P129</f>
        <v>0</v>
      </c>
      <c r="M130" s="7">
        <f>+RENDERING!H128</f>
        <v>0</v>
      </c>
      <c r="N130" s="7">
        <f>+RENDERING!F128</f>
        <v>0</v>
      </c>
      <c r="O130" s="7">
        <f>+RENDERING!J128</f>
        <v>0</v>
      </c>
      <c r="P130" s="7">
        <f>+CUEROS!N131</f>
        <v>0</v>
      </c>
      <c r="Q130" s="7">
        <f>+'GRASA DREASING'!G128</f>
        <v>0</v>
      </c>
    </row>
    <row r="131" spans="2:17" x14ac:dyDescent="0.2">
      <c r="B131" s="5">
        <f>+'SERVICIO FAENA'!A130</f>
        <v>0</v>
      </c>
      <c r="C131" s="5">
        <f>+'SERVICIO FAENA'!B130</f>
        <v>0</v>
      </c>
      <c r="D131" s="5">
        <f>+'SERVICIO FAENA'!C130</f>
        <v>0</v>
      </c>
      <c r="E131" s="7">
        <f>+'SERVICIO FAENA'!H130</f>
        <v>0</v>
      </c>
      <c r="F131" s="6">
        <f>+'SERVICIO FAENA'!F130</f>
        <v>0</v>
      </c>
      <c r="G131" s="7">
        <f>+'SERVICIO FAENA'!J130</f>
        <v>0</v>
      </c>
      <c r="H131" s="7">
        <f>+'SERVICIO DESPOSTE'!W130</f>
        <v>0</v>
      </c>
      <c r="I131" s="36">
        <f t="shared" si="2"/>
        <v>0</v>
      </c>
      <c r="J131" s="8">
        <f>+MENUDENCIAS!I130</f>
        <v>0</v>
      </c>
      <c r="K131" s="8">
        <f>+MENUDENCIAS!O130</f>
        <v>0</v>
      </c>
      <c r="L131" s="8">
        <f>+MENUDENCIAS!P130</f>
        <v>0</v>
      </c>
      <c r="M131" s="7">
        <f>+RENDERING!H129</f>
        <v>0</v>
      </c>
      <c r="N131" s="7">
        <f>+RENDERING!F129</f>
        <v>0</v>
      </c>
      <c r="O131" s="7">
        <f>+RENDERING!J129</f>
        <v>0</v>
      </c>
      <c r="P131" s="7">
        <f>+CUEROS!N132</f>
        <v>0</v>
      </c>
      <c r="Q131" s="7">
        <f>+'GRASA DREASING'!G129</f>
        <v>0</v>
      </c>
    </row>
    <row r="132" spans="2:17" x14ac:dyDescent="0.2">
      <c r="B132" s="5">
        <f>+'SERVICIO FAENA'!A131</f>
        <v>0</v>
      </c>
      <c r="C132" s="5">
        <f>+'SERVICIO FAENA'!B131</f>
        <v>0</v>
      </c>
      <c r="D132" s="5">
        <f>+'SERVICIO FAENA'!C131</f>
        <v>0</v>
      </c>
      <c r="E132" s="7">
        <f>+'SERVICIO FAENA'!H131</f>
        <v>0</v>
      </c>
      <c r="F132" s="6">
        <f>+'SERVICIO FAENA'!F131</f>
        <v>0</v>
      </c>
      <c r="G132" s="7">
        <f>+'SERVICIO FAENA'!J131</f>
        <v>0</v>
      </c>
      <c r="H132" s="7">
        <f>+'SERVICIO DESPOSTE'!W131</f>
        <v>0</v>
      </c>
      <c r="I132" s="36">
        <f t="shared" si="2"/>
        <v>0</v>
      </c>
      <c r="J132" s="8">
        <f>+MENUDENCIAS!I131</f>
        <v>0</v>
      </c>
      <c r="K132" s="8">
        <f>+MENUDENCIAS!O131</f>
        <v>0</v>
      </c>
      <c r="L132" s="8">
        <f>+MENUDENCIAS!P131</f>
        <v>0</v>
      </c>
      <c r="M132" s="7">
        <f>+RENDERING!H130</f>
        <v>0</v>
      </c>
      <c r="N132" s="7">
        <f>+RENDERING!F130</f>
        <v>0</v>
      </c>
      <c r="O132" s="7">
        <f>+RENDERING!J130</f>
        <v>0</v>
      </c>
      <c r="P132" s="7">
        <f>+CUEROS!N133</f>
        <v>0</v>
      </c>
      <c r="Q132" s="7">
        <f>+'GRASA DREASING'!G130</f>
        <v>0</v>
      </c>
    </row>
    <row r="133" spans="2:17" x14ac:dyDescent="0.2">
      <c r="B133" s="5">
        <f>+'SERVICIO FAENA'!A132</f>
        <v>0</v>
      </c>
      <c r="C133" s="5">
        <f>+'SERVICIO FAENA'!B132</f>
        <v>0</v>
      </c>
      <c r="D133" s="5">
        <f>+'SERVICIO FAENA'!C132</f>
        <v>0</v>
      </c>
      <c r="E133" s="7">
        <f>+'SERVICIO FAENA'!H132</f>
        <v>0</v>
      </c>
      <c r="F133" s="6">
        <f>+'SERVICIO FAENA'!F132</f>
        <v>0</v>
      </c>
      <c r="G133" s="7">
        <f>+'SERVICIO FAENA'!J132</f>
        <v>0</v>
      </c>
      <c r="H133" s="7">
        <f>+'SERVICIO DESPOSTE'!W132</f>
        <v>0</v>
      </c>
      <c r="I133" s="36">
        <f t="shared" si="2"/>
        <v>0</v>
      </c>
      <c r="J133" s="8">
        <f>+MENUDENCIAS!I132</f>
        <v>0</v>
      </c>
      <c r="K133" s="8">
        <f>+MENUDENCIAS!O132</f>
        <v>0</v>
      </c>
      <c r="L133" s="8">
        <f>+MENUDENCIAS!P132</f>
        <v>0</v>
      </c>
      <c r="M133" s="7">
        <f>+RENDERING!H131</f>
        <v>0</v>
      </c>
      <c r="N133" s="7">
        <f>+RENDERING!F131</f>
        <v>0</v>
      </c>
      <c r="O133" s="7">
        <f>+RENDERING!J131</f>
        <v>0</v>
      </c>
      <c r="P133" s="7">
        <f>+CUEROS!N134</f>
        <v>0</v>
      </c>
      <c r="Q133" s="7">
        <f>+'GRASA DREASING'!G131</f>
        <v>0</v>
      </c>
    </row>
    <row r="134" spans="2:17" x14ac:dyDescent="0.2">
      <c r="B134" s="5">
        <f>+'SERVICIO FAENA'!A133</f>
        <v>0</v>
      </c>
      <c r="C134" s="5">
        <f>+'SERVICIO FAENA'!B133</f>
        <v>0</v>
      </c>
      <c r="D134" s="5">
        <f>+'SERVICIO FAENA'!C133</f>
        <v>0</v>
      </c>
      <c r="E134" s="7">
        <f>+'SERVICIO FAENA'!H133</f>
        <v>0</v>
      </c>
      <c r="F134" s="6">
        <f>+'SERVICIO FAENA'!F133</f>
        <v>0</v>
      </c>
      <c r="G134" s="7">
        <f>+'SERVICIO FAENA'!J133</f>
        <v>0</v>
      </c>
      <c r="H134" s="7">
        <f>+'SERVICIO DESPOSTE'!W133</f>
        <v>0</v>
      </c>
      <c r="I134" s="36">
        <f t="shared" si="2"/>
        <v>0</v>
      </c>
      <c r="J134" s="8">
        <f>+MENUDENCIAS!I133</f>
        <v>0</v>
      </c>
      <c r="K134" s="8">
        <f>+MENUDENCIAS!O133</f>
        <v>0</v>
      </c>
      <c r="L134" s="8">
        <f>+MENUDENCIAS!P133</f>
        <v>0</v>
      </c>
      <c r="M134" s="7">
        <f>+RENDERING!H132</f>
        <v>0</v>
      </c>
      <c r="N134" s="7">
        <f>+RENDERING!F132</f>
        <v>0</v>
      </c>
      <c r="O134" s="7">
        <f>+RENDERING!J132</f>
        <v>0</v>
      </c>
      <c r="P134" s="7">
        <f>+CUEROS!N135</f>
        <v>0</v>
      </c>
      <c r="Q134" s="7">
        <f>+'GRASA DREASING'!G132</f>
        <v>0</v>
      </c>
    </row>
    <row r="135" spans="2:17" x14ac:dyDescent="0.2">
      <c r="B135" s="5">
        <f>+'SERVICIO FAENA'!A134</f>
        <v>0</v>
      </c>
      <c r="C135" s="5">
        <f>+'SERVICIO FAENA'!B134</f>
        <v>0</v>
      </c>
      <c r="D135" s="5">
        <f>+'SERVICIO FAENA'!C134</f>
        <v>0</v>
      </c>
      <c r="E135" s="7">
        <f>+'SERVICIO FAENA'!H134</f>
        <v>0</v>
      </c>
      <c r="F135" s="6">
        <f>+'SERVICIO FAENA'!F134</f>
        <v>0</v>
      </c>
      <c r="G135" s="7">
        <f>+'SERVICIO FAENA'!J134</f>
        <v>0</v>
      </c>
      <c r="H135" s="7">
        <f>+'SERVICIO DESPOSTE'!W134</f>
        <v>0</v>
      </c>
      <c r="I135" s="36">
        <f t="shared" si="2"/>
        <v>0</v>
      </c>
      <c r="J135" s="8">
        <f>+MENUDENCIAS!I134</f>
        <v>0</v>
      </c>
      <c r="K135" s="8">
        <f>+MENUDENCIAS!O134</f>
        <v>0</v>
      </c>
      <c r="L135" s="8">
        <f>+MENUDENCIAS!P134</f>
        <v>0</v>
      </c>
      <c r="M135" s="7">
        <f>+RENDERING!H133</f>
        <v>0</v>
      </c>
      <c r="N135" s="7">
        <f>+RENDERING!F133</f>
        <v>0</v>
      </c>
      <c r="O135" s="7">
        <f>+RENDERING!J133</f>
        <v>0</v>
      </c>
      <c r="P135" s="7">
        <f>+CUEROS!N136</f>
        <v>0</v>
      </c>
      <c r="Q135" s="7">
        <f>+'GRASA DREASING'!G133</f>
        <v>0</v>
      </c>
    </row>
    <row r="136" spans="2:17" x14ac:dyDescent="0.2">
      <c r="B136" s="5">
        <f>+'SERVICIO FAENA'!A135</f>
        <v>0</v>
      </c>
      <c r="C136" s="5">
        <f>+'SERVICIO FAENA'!B135</f>
        <v>0</v>
      </c>
      <c r="D136" s="5">
        <f>+'SERVICIO FAENA'!C135</f>
        <v>0</v>
      </c>
      <c r="E136" s="7">
        <f>+'SERVICIO FAENA'!H135</f>
        <v>0</v>
      </c>
      <c r="F136" s="6">
        <f>+'SERVICIO FAENA'!F135</f>
        <v>0</v>
      </c>
      <c r="G136" s="7">
        <f>+'SERVICIO FAENA'!J135</f>
        <v>0</v>
      </c>
      <c r="H136" s="7">
        <f>+'SERVICIO DESPOSTE'!W135</f>
        <v>0</v>
      </c>
      <c r="I136" s="36">
        <f t="shared" si="2"/>
        <v>0</v>
      </c>
      <c r="J136" s="8">
        <f>+MENUDENCIAS!I135</f>
        <v>0</v>
      </c>
      <c r="K136" s="8">
        <f>+MENUDENCIAS!O135</f>
        <v>0</v>
      </c>
      <c r="L136" s="8">
        <f>+MENUDENCIAS!P135</f>
        <v>0</v>
      </c>
      <c r="M136" s="7">
        <f>+RENDERING!H134</f>
        <v>0</v>
      </c>
      <c r="N136" s="7">
        <f>+RENDERING!F134</f>
        <v>0</v>
      </c>
      <c r="O136" s="7">
        <f>+RENDERING!J134</f>
        <v>0</v>
      </c>
      <c r="P136" s="7">
        <f>+CUEROS!N137</f>
        <v>0</v>
      </c>
      <c r="Q136" s="7">
        <f>+'GRASA DREASING'!G134</f>
        <v>0</v>
      </c>
    </row>
    <row r="137" spans="2:17" x14ac:dyDescent="0.2">
      <c r="B137" s="5">
        <f>+'SERVICIO FAENA'!A136</f>
        <v>0</v>
      </c>
      <c r="C137" s="5">
        <f>+'SERVICIO FAENA'!B136</f>
        <v>0</v>
      </c>
      <c r="D137" s="5">
        <f>+'SERVICIO FAENA'!C136</f>
        <v>0</v>
      </c>
      <c r="E137" s="7">
        <f>+'SERVICIO FAENA'!H136</f>
        <v>0</v>
      </c>
      <c r="F137" s="6">
        <f>+'SERVICIO FAENA'!F136</f>
        <v>0</v>
      </c>
      <c r="G137" s="7">
        <f>+'SERVICIO FAENA'!J136</f>
        <v>0</v>
      </c>
      <c r="H137" s="7">
        <f>+'SERVICIO DESPOSTE'!W136</f>
        <v>0</v>
      </c>
      <c r="I137" s="36">
        <f t="shared" si="2"/>
        <v>0</v>
      </c>
      <c r="J137" s="8">
        <f>+MENUDENCIAS!I136</f>
        <v>0</v>
      </c>
      <c r="K137" s="8">
        <f>+MENUDENCIAS!O136</f>
        <v>0</v>
      </c>
      <c r="L137" s="8">
        <f>+MENUDENCIAS!P136</f>
        <v>0</v>
      </c>
      <c r="M137" s="7">
        <f>+RENDERING!H135</f>
        <v>0</v>
      </c>
      <c r="N137" s="7">
        <f>+RENDERING!F135</f>
        <v>0</v>
      </c>
      <c r="O137" s="7">
        <f>+RENDERING!J135</f>
        <v>0</v>
      </c>
      <c r="P137" s="7">
        <f>+CUEROS!N138</f>
        <v>0</v>
      </c>
      <c r="Q137" s="7">
        <f>+'GRASA DREASING'!G135</f>
        <v>0</v>
      </c>
    </row>
    <row r="138" spans="2:17" x14ac:dyDescent="0.2">
      <c r="B138" s="5">
        <f>+'SERVICIO FAENA'!A137</f>
        <v>0</v>
      </c>
      <c r="C138" s="5">
        <f>+'SERVICIO FAENA'!B137</f>
        <v>0</v>
      </c>
      <c r="D138" s="5">
        <f>+'SERVICIO FAENA'!C137</f>
        <v>0</v>
      </c>
      <c r="E138" s="7">
        <f>+'SERVICIO FAENA'!H137</f>
        <v>0</v>
      </c>
      <c r="F138" s="6">
        <f>+'SERVICIO FAENA'!F137</f>
        <v>0</v>
      </c>
      <c r="G138" s="7">
        <f>+'SERVICIO FAENA'!J137</f>
        <v>0</v>
      </c>
      <c r="H138" s="7">
        <f>+'SERVICIO DESPOSTE'!W137</f>
        <v>0</v>
      </c>
      <c r="I138" s="36">
        <f t="shared" si="2"/>
        <v>0</v>
      </c>
      <c r="J138" s="8">
        <f>+MENUDENCIAS!I137</f>
        <v>0</v>
      </c>
      <c r="K138" s="8">
        <f>+MENUDENCIAS!O137</f>
        <v>0</v>
      </c>
      <c r="L138" s="8">
        <f>+MENUDENCIAS!P137</f>
        <v>0</v>
      </c>
      <c r="M138" s="7">
        <f>+RENDERING!H136</f>
        <v>0</v>
      </c>
      <c r="N138" s="7">
        <f>+RENDERING!F136</f>
        <v>0</v>
      </c>
      <c r="O138" s="7">
        <f>+RENDERING!J136</f>
        <v>0</v>
      </c>
      <c r="P138" s="7">
        <f>+CUEROS!N139</f>
        <v>0</v>
      </c>
      <c r="Q138" s="7">
        <f>+'GRASA DREASING'!G136</f>
        <v>0</v>
      </c>
    </row>
    <row r="139" spans="2:17" x14ac:dyDescent="0.2">
      <c r="B139" s="5">
        <f>+'SERVICIO FAENA'!A138</f>
        <v>0</v>
      </c>
      <c r="C139" s="5">
        <f>+'SERVICIO FAENA'!B138</f>
        <v>0</v>
      </c>
      <c r="D139" s="5">
        <f>+'SERVICIO FAENA'!C138</f>
        <v>0</v>
      </c>
      <c r="E139" s="7">
        <f>+'SERVICIO FAENA'!H138</f>
        <v>0</v>
      </c>
      <c r="F139" s="6">
        <f>+'SERVICIO FAENA'!F138</f>
        <v>0</v>
      </c>
      <c r="G139" s="7">
        <f>+'SERVICIO FAENA'!J138</f>
        <v>0</v>
      </c>
      <c r="H139" s="7">
        <f>+'SERVICIO DESPOSTE'!W138</f>
        <v>0</v>
      </c>
      <c r="I139" s="36">
        <f t="shared" si="2"/>
        <v>0</v>
      </c>
      <c r="J139" s="8">
        <f>+MENUDENCIAS!I138</f>
        <v>0</v>
      </c>
      <c r="K139" s="8">
        <f>+MENUDENCIAS!O138</f>
        <v>0</v>
      </c>
      <c r="L139" s="8">
        <f>+MENUDENCIAS!P138</f>
        <v>0</v>
      </c>
      <c r="M139" s="7">
        <f>+RENDERING!H137</f>
        <v>0</v>
      </c>
      <c r="N139" s="7">
        <f>+RENDERING!F137</f>
        <v>0</v>
      </c>
      <c r="O139" s="7">
        <f>+RENDERING!J137</f>
        <v>0</v>
      </c>
      <c r="P139" s="7">
        <f>+CUEROS!N140</f>
        <v>0</v>
      </c>
      <c r="Q139" s="7">
        <f>+'GRASA DREASING'!G137</f>
        <v>0</v>
      </c>
    </row>
    <row r="140" spans="2:17" x14ac:dyDescent="0.2">
      <c r="B140" s="5">
        <f>+'SERVICIO FAENA'!A139</f>
        <v>0</v>
      </c>
      <c r="C140" s="5">
        <f>+'SERVICIO FAENA'!B139</f>
        <v>0</v>
      </c>
      <c r="D140" s="5">
        <f>+'SERVICIO FAENA'!C139</f>
        <v>0</v>
      </c>
      <c r="E140" s="7">
        <f>+'SERVICIO FAENA'!H139</f>
        <v>0</v>
      </c>
      <c r="F140" s="6">
        <f>+'SERVICIO FAENA'!F139</f>
        <v>0</v>
      </c>
      <c r="G140" s="7">
        <f>+'SERVICIO FAENA'!J139</f>
        <v>0</v>
      </c>
      <c r="H140" s="7">
        <f>+'SERVICIO DESPOSTE'!W139</f>
        <v>0</v>
      </c>
      <c r="I140" s="36">
        <f t="shared" si="2"/>
        <v>0</v>
      </c>
      <c r="J140" s="8">
        <f>+MENUDENCIAS!I139</f>
        <v>0</v>
      </c>
      <c r="K140" s="8">
        <f>+MENUDENCIAS!O139</f>
        <v>0</v>
      </c>
      <c r="L140" s="8">
        <f>+MENUDENCIAS!P139</f>
        <v>0</v>
      </c>
      <c r="M140" s="7">
        <f>+RENDERING!H138</f>
        <v>0</v>
      </c>
      <c r="N140" s="7">
        <f>+RENDERING!F138</f>
        <v>0</v>
      </c>
      <c r="O140" s="7">
        <f>+RENDERING!J138</f>
        <v>0</v>
      </c>
      <c r="P140" s="7">
        <f>+CUEROS!N141</f>
        <v>0</v>
      </c>
      <c r="Q140" s="7">
        <f>+'GRASA DREASING'!G138</f>
        <v>0</v>
      </c>
    </row>
    <row r="141" spans="2:17" x14ac:dyDescent="0.2">
      <c r="B141" s="5">
        <f>+'SERVICIO FAENA'!A140</f>
        <v>0</v>
      </c>
      <c r="C141" s="5">
        <f>+'SERVICIO FAENA'!B140</f>
        <v>0</v>
      </c>
      <c r="D141" s="5">
        <f>+'SERVICIO FAENA'!C140</f>
        <v>0</v>
      </c>
      <c r="E141" s="7">
        <f>+'SERVICIO FAENA'!H140</f>
        <v>0</v>
      </c>
      <c r="F141" s="6">
        <f>+'SERVICIO FAENA'!F140</f>
        <v>0</v>
      </c>
      <c r="G141" s="7">
        <f>+'SERVICIO FAENA'!J140</f>
        <v>0</v>
      </c>
      <c r="H141" s="7">
        <f>+'SERVICIO DESPOSTE'!W140</f>
        <v>0</v>
      </c>
      <c r="I141" s="36">
        <f t="shared" si="2"/>
        <v>0</v>
      </c>
      <c r="J141" s="8">
        <f>+MENUDENCIAS!I140</f>
        <v>0</v>
      </c>
      <c r="K141" s="8">
        <f>+MENUDENCIAS!O140</f>
        <v>0</v>
      </c>
      <c r="L141" s="8">
        <f>+MENUDENCIAS!P140</f>
        <v>0</v>
      </c>
      <c r="M141" s="7">
        <f>+RENDERING!H139</f>
        <v>0</v>
      </c>
      <c r="N141" s="7">
        <f>+RENDERING!F139</f>
        <v>0</v>
      </c>
      <c r="O141" s="7">
        <f>+RENDERING!J139</f>
        <v>0</v>
      </c>
      <c r="P141" s="7">
        <f>+CUEROS!N142</f>
        <v>0</v>
      </c>
      <c r="Q141" s="7">
        <f>+'GRASA DREASING'!G139</f>
        <v>0</v>
      </c>
    </row>
    <row r="142" spans="2:17" x14ac:dyDescent="0.2">
      <c r="B142" s="5">
        <f>+'SERVICIO FAENA'!A141</f>
        <v>0</v>
      </c>
      <c r="C142" s="5">
        <f>+'SERVICIO FAENA'!B141</f>
        <v>0</v>
      </c>
      <c r="D142" s="5">
        <f>+'SERVICIO FAENA'!C141</f>
        <v>0</v>
      </c>
      <c r="E142" s="7">
        <f>+'SERVICIO FAENA'!H141</f>
        <v>0</v>
      </c>
      <c r="F142" s="6">
        <f>+'SERVICIO FAENA'!F141</f>
        <v>0</v>
      </c>
      <c r="G142" s="7">
        <f>+'SERVICIO FAENA'!J141</f>
        <v>0</v>
      </c>
      <c r="H142" s="7">
        <f>+'SERVICIO DESPOSTE'!W141</f>
        <v>0</v>
      </c>
      <c r="I142" s="36">
        <f t="shared" si="2"/>
        <v>0</v>
      </c>
      <c r="J142" s="8">
        <f>+MENUDENCIAS!I141</f>
        <v>0</v>
      </c>
      <c r="K142" s="8">
        <f>+MENUDENCIAS!O141</f>
        <v>0</v>
      </c>
      <c r="L142" s="8">
        <f>+MENUDENCIAS!P141</f>
        <v>0</v>
      </c>
      <c r="M142" s="7">
        <f>+RENDERING!H140</f>
        <v>0</v>
      </c>
      <c r="N142" s="7">
        <f>+RENDERING!F140</f>
        <v>0</v>
      </c>
      <c r="O142" s="7">
        <f>+RENDERING!J140</f>
        <v>0</v>
      </c>
      <c r="P142" s="7">
        <f>+CUEROS!N143</f>
        <v>0</v>
      </c>
      <c r="Q142" s="7">
        <f>+'GRASA DREASING'!G140</f>
        <v>0</v>
      </c>
    </row>
    <row r="143" spans="2:17" x14ac:dyDescent="0.2">
      <c r="B143" s="5">
        <f>+'SERVICIO FAENA'!A142</f>
        <v>0</v>
      </c>
      <c r="C143" s="5">
        <f>+'SERVICIO FAENA'!B142</f>
        <v>0</v>
      </c>
      <c r="D143" s="5">
        <f>+'SERVICIO FAENA'!C142</f>
        <v>0</v>
      </c>
      <c r="E143" s="7">
        <f>+'SERVICIO FAENA'!H142</f>
        <v>0</v>
      </c>
      <c r="F143" s="6">
        <f>+'SERVICIO FAENA'!F142</f>
        <v>0</v>
      </c>
      <c r="G143" s="7">
        <f>+'SERVICIO FAENA'!J142</f>
        <v>0</v>
      </c>
      <c r="H143" s="7">
        <f>+'SERVICIO DESPOSTE'!W142</f>
        <v>0</v>
      </c>
      <c r="I143" s="36">
        <f t="shared" si="2"/>
        <v>0</v>
      </c>
      <c r="J143" s="8">
        <f>+MENUDENCIAS!I142</f>
        <v>0</v>
      </c>
      <c r="K143" s="8">
        <f>+MENUDENCIAS!O142</f>
        <v>0</v>
      </c>
      <c r="L143" s="8">
        <f>+MENUDENCIAS!P142</f>
        <v>0</v>
      </c>
      <c r="M143" s="7">
        <f>+RENDERING!H141</f>
        <v>0</v>
      </c>
      <c r="N143" s="7">
        <f>+RENDERING!F141</f>
        <v>0</v>
      </c>
      <c r="O143" s="7">
        <f>+RENDERING!J141</f>
        <v>0</v>
      </c>
      <c r="P143" s="7">
        <f>+CUEROS!N144</f>
        <v>0</v>
      </c>
      <c r="Q143" s="7">
        <f>+'GRASA DREASING'!G141</f>
        <v>0</v>
      </c>
    </row>
    <row r="144" spans="2:17" x14ac:dyDescent="0.2">
      <c r="B144" s="5">
        <f>+'SERVICIO FAENA'!A143</f>
        <v>0</v>
      </c>
      <c r="C144" s="5">
        <f>+'SERVICIO FAENA'!B143</f>
        <v>0</v>
      </c>
      <c r="D144" s="5">
        <f>+'SERVICIO FAENA'!C143</f>
        <v>0</v>
      </c>
      <c r="E144" s="7">
        <f>+'SERVICIO FAENA'!H143</f>
        <v>0</v>
      </c>
      <c r="F144" s="6">
        <f>+'SERVICIO FAENA'!F143</f>
        <v>0</v>
      </c>
      <c r="G144" s="7">
        <f>+'SERVICIO FAENA'!J143</f>
        <v>0</v>
      </c>
      <c r="H144" s="7">
        <f>+'SERVICIO DESPOSTE'!W143</f>
        <v>0</v>
      </c>
      <c r="I144" s="36">
        <f t="shared" si="2"/>
        <v>0</v>
      </c>
      <c r="J144" s="8">
        <f>+MENUDENCIAS!I143</f>
        <v>0</v>
      </c>
      <c r="K144" s="8">
        <f>+MENUDENCIAS!O143</f>
        <v>0</v>
      </c>
      <c r="L144" s="8">
        <f>+MENUDENCIAS!P143</f>
        <v>0</v>
      </c>
      <c r="M144" s="7">
        <f>+RENDERING!H142</f>
        <v>0</v>
      </c>
      <c r="N144" s="7">
        <f>+RENDERING!F142</f>
        <v>0</v>
      </c>
      <c r="O144" s="7">
        <f>+RENDERING!J142</f>
        <v>0</v>
      </c>
      <c r="P144" s="7">
        <f>+CUEROS!N145</f>
        <v>0</v>
      </c>
      <c r="Q144" s="7">
        <f>+'GRASA DREASING'!G142</f>
        <v>0</v>
      </c>
    </row>
    <row r="145" spans="2:17" x14ac:dyDescent="0.2">
      <c r="B145" s="5">
        <f>+'SERVICIO FAENA'!A144</f>
        <v>0</v>
      </c>
      <c r="C145" s="5">
        <f>+'SERVICIO FAENA'!B144</f>
        <v>0</v>
      </c>
      <c r="D145" s="5">
        <f>+'SERVICIO FAENA'!C144</f>
        <v>0</v>
      </c>
      <c r="E145" s="7">
        <f>+'SERVICIO FAENA'!H144</f>
        <v>0</v>
      </c>
      <c r="F145" s="6">
        <f>+'SERVICIO FAENA'!F144</f>
        <v>0</v>
      </c>
      <c r="G145" s="7">
        <f>+'SERVICIO FAENA'!J144</f>
        <v>0</v>
      </c>
      <c r="H145" s="7">
        <f>+'SERVICIO DESPOSTE'!W144</f>
        <v>0</v>
      </c>
      <c r="I145" s="36">
        <f t="shared" si="2"/>
        <v>0</v>
      </c>
      <c r="J145" s="8">
        <f>+MENUDENCIAS!I144</f>
        <v>0</v>
      </c>
      <c r="K145" s="8">
        <f>+MENUDENCIAS!O144</f>
        <v>0</v>
      </c>
      <c r="L145" s="8">
        <f>+MENUDENCIAS!P144</f>
        <v>0</v>
      </c>
      <c r="M145" s="7">
        <f>+RENDERING!H143</f>
        <v>0</v>
      </c>
      <c r="N145" s="7">
        <f>+RENDERING!F143</f>
        <v>0</v>
      </c>
      <c r="O145" s="7">
        <f>+RENDERING!J143</f>
        <v>0</v>
      </c>
      <c r="P145" s="7">
        <f>+CUEROS!N146</f>
        <v>0</v>
      </c>
      <c r="Q145" s="7">
        <f>+'GRASA DREASING'!G143</f>
        <v>0</v>
      </c>
    </row>
    <row r="146" spans="2:17" x14ac:dyDescent="0.2">
      <c r="B146" s="5">
        <f>+'SERVICIO FAENA'!A145</f>
        <v>0</v>
      </c>
      <c r="C146" s="5">
        <f>+'SERVICIO FAENA'!B145</f>
        <v>0</v>
      </c>
      <c r="D146" s="5">
        <f>+'SERVICIO FAENA'!C145</f>
        <v>0</v>
      </c>
      <c r="E146" s="7">
        <f>+'SERVICIO FAENA'!H145</f>
        <v>0</v>
      </c>
      <c r="F146" s="6">
        <f>+'SERVICIO FAENA'!F145</f>
        <v>0</v>
      </c>
      <c r="G146" s="7">
        <f>+'SERVICIO FAENA'!J145</f>
        <v>0</v>
      </c>
      <c r="H146" s="7">
        <f>+'SERVICIO DESPOSTE'!W145</f>
        <v>0</v>
      </c>
      <c r="I146" s="36">
        <f t="shared" si="2"/>
        <v>0</v>
      </c>
      <c r="J146" s="8">
        <f>+MENUDENCIAS!I145</f>
        <v>0</v>
      </c>
      <c r="K146" s="8">
        <f>+MENUDENCIAS!O145</f>
        <v>0</v>
      </c>
      <c r="L146" s="8">
        <f>+MENUDENCIAS!P145</f>
        <v>0</v>
      </c>
      <c r="M146" s="7">
        <f>+RENDERING!H144</f>
        <v>0</v>
      </c>
      <c r="N146" s="7">
        <f>+RENDERING!F144</f>
        <v>0</v>
      </c>
      <c r="O146" s="7">
        <f>+RENDERING!J144</f>
        <v>0</v>
      </c>
      <c r="P146" s="7">
        <f>+CUEROS!N147</f>
        <v>0</v>
      </c>
      <c r="Q146" s="7">
        <f>+'GRASA DREASING'!G144</f>
        <v>0</v>
      </c>
    </row>
    <row r="147" spans="2:17" x14ac:dyDescent="0.2">
      <c r="B147" s="5">
        <f>+'SERVICIO FAENA'!A146</f>
        <v>0</v>
      </c>
      <c r="C147" s="5">
        <f>+'SERVICIO FAENA'!B146</f>
        <v>0</v>
      </c>
      <c r="D147" s="5">
        <f>+'SERVICIO FAENA'!C146</f>
        <v>0</v>
      </c>
      <c r="E147" s="7">
        <f>+'SERVICIO FAENA'!H146</f>
        <v>0</v>
      </c>
      <c r="F147" s="6">
        <f>+'SERVICIO FAENA'!F146</f>
        <v>0</v>
      </c>
      <c r="G147" s="7">
        <f>+'SERVICIO FAENA'!J146</f>
        <v>0</v>
      </c>
      <c r="H147" s="7">
        <f>+'SERVICIO DESPOSTE'!W146</f>
        <v>0</v>
      </c>
      <c r="I147" s="36">
        <f t="shared" si="2"/>
        <v>0</v>
      </c>
      <c r="J147" s="8">
        <f>+MENUDENCIAS!I146</f>
        <v>0</v>
      </c>
      <c r="K147" s="8">
        <f>+MENUDENCIAS!O146</f>
        <v>0</v>
      </c>
      <c r="L147" s="8">
        <f>+MENUDENCIAS!P146</f>
        <v>0</v>
      </c>
      <c r="M147" s="7">
        <f>+RENDERING!H145</f>
        <v>0</v>
      </c>
      <c r="N147" s="7">
        <f>+RENDERING!F145</f>
        <v>0</v>
      </c>
      <c r="O147" s="7">
        <f>+RENDERING!J145</f>
        <v>0</v>
      </c>
      <c r="P147" s="7">
        <f>+CUEROS!N148</f>
        <v>0</v>
      </c>
      <c r="Q147" s="7">
        <f>+'GRASA DREASING'!G145</f>
        <v>0</v>
      </c>
    </row>
    <row r="148" spans="2:17" x14ac:dyDescent="0.2">
      <c r="B148" s="5">
        <f>+'SERVICIO FAENA'!A147</f>
        <v>0</v>
      </c>
      <c r="C148" s="5">
        <f>+'SERVICIO FAENA'!B147</f>
        <v>0</v>
      </c>
      <c r="D148" s="5">
        <f>+'SERVICIO FAENA'!C147</f>
        <v>0</v>
      </c>
      <c r="E148" s="7">
        <f>+'SERVICIO FAENA'!H147</f>
        <v>0</v>
      </c>
      <c r="F148" s="6">
        <f>+'SERVICIO FAENA'!F147</f>
        <v>0</v>
      </c>
      <c r="G148" s="7">
        <f>+'SERVICIO FAENA'!J147</f>
        <v>0</v>
      </c>
      <c r="H148" s="7">
        <f>+'SERVICIO DESPOSTE'!W147</f>
        <v>0</v>
      </c>
      <c r="I148" s="36">
        <f t="shared" si="2"/>
        <v>0</v>
      </c>
      <c r="J148" s="8">
        <f>+MENUDENCIAS!I147</f>
        <v>0</v>
      </c>
      <c r="K148" s="8">
        <f>+MENUDENCIAS!O147</f>
        <v>0</v>
      </c>
      <c r="L148" s="8">
        <f>+MENUDENCIAS!P147</f>
        <v>0</v>
      </c>
      <c r="M148" s="7">
        <f>+RENDERING!H146</f>
        <v>0</v>
      </c>
      <c r="N148" s="7">
        <f>+RENDERING!F146</f>
        <v>0</v>
      </c>
      <c r="O148" s="7">
        <f>+RENDERING!J146</f>
        <v>0</v>
      </c>
      <c r="P148" s="7">
        <f>+CUEROS!N149</f>
        <v>0</v>
      </c>
      <c r="Q148" s="7">
        <f>+'GRASA DREASING'!G146</f>
        <v>0</v>
      </c>
    </row>
    <row r="149" spans="2:17" x14ac:dyDescent="0.2">
      <c r="B149" s="5">
        <f>+'SERVICIO FAENA'!A148</f>
        <v>0</v>
      </c>
      <c r="C149" s="5">
        <f>+'SERVICIO FAENA'!B148</f>
        <v>0</v>
      </c>
      <c r="D149" s="5">
        <f>+'SERVICIO FAENA'!C148</f>
        <v>0</v>
      </c>
      <c r="E149" s="7">
        <f>+'SERVICIO FAENA'!H148</f>
        <v>0</v>
      </c>
      <c r="F149" s="6">
        <f>+'SERVICIO FAENA'!F148</f>
        <v>0</v>
      </c>
      <c r="G149" s="7">
        <f>+'SERVICIO FAENA'!J148</f>
        <v>0</v>
      </c>
      <c r="H149" s="7">
        <f>+'SERVICIO DESPOSTE'!W148</f>
        <v>0</v>
      </c>
      <c r="I149" s="36">
        <f t="shared" si="2"/>
        <v>0</v>
      </c>
      <c r="J149" s="8">
        <f>+MENUDENCIAS!I148</f>
        <v>0</v>
      </c>
      <c r="K149" s="8">
        <f>+MENUDENCIAS!O148</f>
        <v>0</v>
      </c>
      <c r="L149" s="8">
        <f>+MENUDENCIAS!P148</f>
        <v>0</v>
      </c>
      <c r="M149" s="7">
        <f>+RENDERING!H147</f>
        <v>0</v>
      </c>
      <c r="N149" s="7">
        <f>+RENDERING!F147</f>
        <v>0</v>
      </c>
      <c r="O149" s="7">
        <f>+RENDERING!J147</f>
        <v>0</v>
      </c>
      <c r="P149" s="7">
        <f>+CUEROS!N150</f>
        <v>0</v>
      </c>
      <c r="Q149" s="7">
        <f>+'GRASA DREASING'!G147</f>
        <v>0</v>
      </c>
    </row>
    <row r="150" spans="2:17" x14ac:dyDescent="0.2">
      <c r="B150" s="5">
        <f>+'SERVICIO FAENA'!A149</f>
        <v>0</v>
      </c>
      <c r="C150" s="5">
        <f>+'SERVICIO FAENA'!B149</f>
        <v>0</v>
      </c>
      <c r="D150" s="5">
        <f>+'SERVICIO FAENA'!C149</f>
        <v>0</v>
      </c>
      <c r="E150" s="7">
        <f>+'SERVICIO FAENA'!H149</f>
        <v>0</v>
      </c>
      <c r="F150" s="6">
        <f>+'SERVICIO FAENA'!F149</f>
        <v>0</v>
      </c>
      <c r="G150" s="7">
        <f>+'SERVICIO FAENA'!J149</f>
        <v>0</v>
      </c>
      <c r="H150" s="7">
        <f>+'SERVICIO DESPOSTE'!W149</f>
        <v>0</v>
      </c>
      <c r="I150" s="36">
        <f t="shared" si="2"/>
        <v>0</v>
      </c>
      <c r="J150" s="8">
        <f>+MENUDENCIAS!I149</f>
        <v>0</v>
      </c>
      <c r="K150" s="8">
        <f>+MENUDENCIAS!O149</f>
        <v>0</v>
      </c>
      <c r="L150" s="8">
        <f>+MENUDENCIAS!P149</f>
        <v>0</v>
      </c>
      <c r="M150" s="7">
        <f>+RENDERING!H148</f>
        <v>0</v>
      </c>
      <c r="N150" s="7">
        <f>+RENDERING!F148</f>
        <v>0</v>
      </c>
      <c r="O150" s="7">
        <f>+RENDERING!J148</f>
        <v>0</v>
      </c>
      <c r="P150" s="7">
        <f>+CUEROS!N151</f>
        <v>0</v>
      </c>
      <c r="Q150" s="7">
        <f>+'GRASA DREASING'!G148</f>
        <v>0</v>
      </c>
    </row>
    <row r="151" spans="2:17" x14ac:dyDescent="0.2">
      <c r="B151" s="5">
        <f>+'SERVICIO FAENA'!A150</f>
        <v>0</v>
      </c>
      <c r="C151" s="5">
        <f>+'SERVICIO FAENA'!B150</f>
        <v>0</v>
      </c>
      <c r="D151" s="5">
        <f>+'SERVICIO FAENA'!C150</f>
        <v>0</v>
      </c>
      <c r="E151" s="7">
        <f>+'SERVICIO FAENA'!H150</f>
        <v>0</v>
      </c>
      <c r="F151" s="6">
        <f>+'SERVICIO FAENA'!F150</f>
        <v>0</v>
      </c>
      <c r="G151" s="7">
        <f>+'SERVICIO FAENA'!J150</f>
        <v>0</v>
      </c>
      <c r="H151" s="7">
        <f>+'SERVICIO DESPOSTE'!W150</f>
        <v>0</v>
      </c>
      <c r="I151" s="36">
        <f t="shared" si="2"/>
        <v>0</v>
      </c>
      <c r="J151" s="8">
        <f>+MENUDENCIAS!I150</f>
        <v>0</v>
      </c>
      <c r="K151" s="8">
        <f>+MENUDENCIAS!O150</f>
        <v>0</v>
      </c>
      <c r="L151" s="8">
        <f>+MENUDENCIAS!P150</f>
        <v>0</v>
      </c>
      <c r="M151" s="7">
        <f>+RENDERING!H149</f>
        <v>0</v>
      </c>
      <c r="N151" s="7">
        <f>+RENDERING!F149</f>
        <v>0</v>
      </c>
      <c r="O151" s="7">
        <f>+RENDERING!J149</f>
        <v>0</v>
      </c>
      <c r="P151" s="7">
        <f>+CUEROS!N152</f>
        <v>0</v>
      </c>
      <c r="Q151" s="7">
        <f>+'GRASA DREASING'!G149</f>
        <v>0</v>
      </c>
    </row>
    <row r="152" spans="2:17" x14ac:dyDescent="0.2">
      <c r="B152" s="5">
        <f>+'SERVICIO FAENA'!A151</f>
        <v>0</v>
      </c>
      <c r="C152" s="5">
        <f>+'SERVICIO FAENA'!B151</f>
        <v>0</v>
      </c>
      <c r="D152" s="5">
        <f>+'SERVICIO FAENA'!C151</f>
        <v>0</v>
      </c>
      <c r="E152" s="7">
        <f>+'SERVICIO FAENA'!H151</f>
        <v>0</v>
      </c>
      <c r="F152" s="6">
        <f>+'SERVICIO FAENA'!F151</f>
        <v>0</v>
      </c>
      <c r="G152" s="7">
        <f>+'SERVICIO FAENA'!J151</f>
        <v>0</v>
      </c>
      <c r="H152" s="7">
        <f>+'SERVICIO DESPOSTE'!W151</f>
        <v>0</v>
      </c>
      <c r="I152" s="36">
        <f t="shared" si="2"/>
        <v>0</v>
      </c>
      <c r="J152" s="8">
        <f>+MENUDENCIAS!I151</f>
        <v>0</v>
      </c>
      <c r="K152" s="8">
        <f>+MENUDENCIAS!O151</f>
        <v>0</v>
      </c>
      <c r="L152" s="8">
        <f>+MENUDENCIAS!P151</f>
        <v>0</v>
      </c>
      <c r="M152" s="7">
        <f>+RENDERING!H150</f>
        <v>0</v>
      </c>
      <c r="N152" s="7">
        <f>+RENDERING!F150</f>
        <v>0</v>
      </c>
      <c r="O152" s="7">
        <f>+RENDERING!J150</f>
        <v>0</v>
      </c>
      <c r="P152" s="7">
        <f>+CUEROS!N153</f>
        <v>0</v>
      </c>
      <c r="Q152" s="7">
        <f>+'GRASA DREASING'!G150</f>
        <v>0</v>
      </c>
    </row>
    <row r="153" spans="2:17" x14ac:dyDescent="0.2">
      <c r="B153" s="5">
        <f>+'SERVICIO FAENA'!A152</f>
        <v>0</v>
      </c>
      <c r="C153" s="5">
        <f>+'SERVICIO FAENA'!B152</f>
        <v>0</v>
      </c>
      <c r="D153" s="5">
        <f>+'SERVICIO FAENA'!C152</f>
        <v>0</v>
      </c>
      <c r="E153" s="7">
        <f>+'SERVICIO FAENA'!H152</f>
        <v>0</v>
      </c>
      <c r="F153" s="6">
        <f>+'SERVICIO FAENA'!F152</f>
        <v>0</v>
      </c>
      <c r="G153" s="7">
        <f>+'SERVICIO FAENA'!J152</f>
        <v>0</v>
      </c>
      <c r="H153" s="7">
        <f>+'SERVICIO DESPOSTE'!W152</f>
        <v>0</v>
      </c>
      <c r="I153" s="36">
        <f t="shared" si="2"/>
        <v>0</v>
      </c>
      <c r="J153" s="8">
        <f>+MENUDENCIAS!I152</f>
        <v>0</v>
      </c>
      <c r="K153" s="8">
        <f>+MENUDENCIAS!O152</f>
        <v>0</v>
      </c>
      <c r="L153" s="8">
        <f>+MENUDENCIAS!P152</f>
        <v>0</v>
      </c>
      <c r="M153" s="7">
        <f>+RENDERING!H151</f>
        <v>0</v>
      </c>
      <c r="N153" s="7">
        <f>+RENDERING!F151</f>
        <v>0</v>
      </c>
      <c r="O153" s="7">
        <f>+RENDERING!J151</f>
        <v>0</v>
      </c>
      <c r="P153" s="7">
        <f>+CUEROS!N154</f>
        <v>0</v>
      </c>
      <c r="Q153" s="7">
        <f>+'GRASA DREASING'!G151</f>
        <v>0</v>
      </c>
    </row>
    <row r="154" spans="2:17" x14ac:dyDescent="0.2">
      <c r="B154" s="5">
        <f>+'SERVICIO FAENA'!A153</f>
        <v>0</v>
      </c>
      <c r="C154" s="5">
        <f>+'SERVICIO FAENA'!B153</f>
        <v>0</v>
      </c>
      <c r="D154" s="5">
        <f>+'SERVICIO FAENA'!C153</f>
        <v>0</v>
      </c>
      <c r="E154" s="7">
        <f>+'SERVICIO FAENA'!H153</f>
        <v>0</v>
      </c>
      <c r="F154" s="6">
        <f>+'SERVICIO FAENA'!F153</f>
        <v>0</v>
      </c>
      <c r="G154" s="7">
        <f>+'SERVICIO FAENA'!J153</f>
        <v>0</v>
      </c>
      <c r="H154" s="7">
        <f>+'SERVICIO DESPOSTE'!W153</f>
        <v>0</v>
      </c>
      <c r="I154" s="36">
        <f t="shared" si="2"/>
        <v>0</v>
      </c>
      <c r="J154" s="8">
        <f>+MENUDENCIAS!I153</f>
        <v>0</v>
      </c>
      <c r="K154" s="8">
        <f>+MENUDENCIAS!O153</f>
        <v>0</v>
      </c>
      <c r="L154" s="8">
        <f>+MENUDENCIAS!P153</f>
        <v>0</v>
      </c>
      <c r="M154" s="7">
        <f>+RENDERING!H152</f>
        <v>0</v>
      </c>
      <c r="N154" s="7">
        <f>+RENDERING!F152</f>
        <v>0</v>
      </c>
      <c r="O154" s="7">
        <f>+RENDERING!J152</f>
        <v>0</v>
      </c>
      <c r="P154" s="7">
        <f>+CUEROS!N155</f>
        <v>0</v>
      </c>
      <c r="Q154" s="7">
        <f>+'GRASA DREASING'!G152</f>
        <v>0</v>
      </c>
    </row>
    <row r="155" spans="2:17" x14ac:dyDescent="0.2">
      <c r="B155" s="5">
        <f>+'SERVICIO FAENA'!A154</f>
        <v>0</v>
      </c>
      <c r="C155" s="5">
        <f>+'SERVICIO FAENA'!B154</f>
        <v>0</v>
      </c>
      <c r="D155" s="5">
        <f>+'SERVICIO FAENA'!C154</f>
        <v>0</v>
      </c>
      <c r="E155" s="7">
        <f>+'SERVICIO FAENA'!H154</f>
        <v>0</v>
      </c>
      <c r="F155" s="6">
        <f>+'SERVICIO FAENA'!F154</f>
        <v>0</v>
      </c>
      <c r="G155" s="7">
        <f>+'SERVICIO FAENA'!J154</f>
        <v>0</v>
      </c>
      <c r="H155" s="7">
        <f>+'SERVICIO DESPOSTE'!W154</f>
        <v>0</v>
      </c>
      <c r="I155" s="36">
        <f t="shared" si="2"/>
        <v>0</v>
      </c>
      <c r="J155" s="8">
        <f>+MENUDENCIAS!I154</f>
        <v>0</v>
      </c>
      <c r="K155" s="8">
        <f>+MENUDENCIAS!O154</f>
        <v>0</v>
      </c>
      <c r="L155" s="8">
        <f>+MENUDENCIAS!P154</f>
        <v>0</v>
      </c>
      <c r="M155" s="7">
        <f>+RENDERING!H153</f>
        <v>0</v>
      </c>
      <c r="N155" s="7">
        <f>+RENDERING!F153</f>
        <v>0</v>
      </c>
      <c r="O155" s="7">
        <f>+RENDERING!J153</f>
        <v>0</v>
      </c>
      <c r="P155" s="7">
        <f>+CUEROS!N156</f>
        <v>0</v>
      </c>
      <c r="Q155" s="7">
        <f>+'GRASA DREASING'!G153</f>
        <v>0</v>
      </c>
    </row>
    <row r="156" spans="2:17" x14ac:dyDescent="0.2">
      <c r="B156" s="5">
        <f>+'SERVICIO FAENA'!A155</f>
        <v>0</v>
      </c>
      <c r="C156" s="5">
        <f>+'SERVICIO FAENA'!B155</f>
        <v>0</v>
      </c>
      <c r="D156" s="5">
        <f>+'SERVICIO FAENA'!C155</f>
        <v>0</v>
      </c>
      <c r="E156" s="7">
        <f>+'SERVICIO FAENA'!H155</f>
        <v>0</v>
      </c>
      <c r="F156" s="6">
        <f>+'SERVICIO FAENA'!F155</f>
        <v>0</v>
      </c>
      <c r="G156" s="7">
        <f>+'SERVICIO FAENA'!J155</f>
        <v>0</v>
      </c>
      <c r="H156" s="7">
        <f>+'SERVICIO DESPOSTE'!W155</f>
        <v>0</v>
      </c>
      <c r="I156" s="36">
        <f t="shared" si="2"/>
        <v>0</v>
      </c>
      <c r="J156" s="8">
        <f>+MENUDENCIAS!I155</f>
        <v>0</v>
      </c>
      <c r="K156" s="8">
        <f>+MENUDENCIAS!O155</f>
        <v>0</v>
      </c>
      <c r="L156" s="8">
        <f>+MENUDENCIAS!P155</f>
        <v>0</v>
      </c>
      <c r="M156" s="7">
        <f>+RENDERING!H154</f>
        <v>0</v>
      </c>
      <c r="N156" s="7">
        <f>+RENDERING!F154</f>
        <v>0</v>
      </c>
      <c r="O156" s="7">
        <f>+RENDERING!J154</f>
        <v>0</v>
      </c>
      <c r="P156" s="7">
        <f>+CUEROS!N157</f>
        <v>0</v>
      </c>
      <c r="Q156" s="7">
        <f>+'GRASA DREASING'!G154</f>
        <v>0</v>
      </c>
    </row>
    <row r="157" spans="2:17" x14ac:dyDescent="0.2">
      <c r="B157" s="5">
        <f>+'SERVICIO FAENA'!A156</f>
        <v>0</v>
      </c>
      <c r="C157" s="5">
        <f>+'SERVICIO FAENA'!B156</f>
        <v>0</v>
      </c>
      <c r="D157" s="5">
        <f>+'SERVICIO FAENA'!C156</f>
        <v>0</v>
      </c>
      <c r="E157" s="7">
        <f>+'SERVICIO FAENA'!H156</f>
        <v>0</v>
      </c>
      <c r="F157" s="6">
        <f>+'SERVICIO FAENA'!F156</f>
        <v>0</v>
      </c>
      <c r="G157" s="7">
        <f>+'SERVICIO FAENA'!J156</f>
        <v>0</v>
      </c>
      <c r="H157" s="7">
        <f>+'SERVICIO DESPOSTE'!W156</f>
        <v>0</v>
      </c>
      <c r="I157" s="36">
        <f t="shared" si="2"/>
        <v>0</v>
      </c>
      <c r="J157" s="8">
        <f>+MENUDENCIAS!I156</f>
        <v>0</v>
      </c>
      <c r="K157" s="8">
        <f>+MENUDENCIAS!O156</f>
        <v>0</v>
      </c>
      <c r="L157" s="8">
        <f>+MENUDENCIAS!P156</f>
        <v>0</v>
      </c>
      <c r="M157" s="7">
        <f>+RENDERING!H155</f>
        <v>0</v>
      </c>
      <c r="N157" s="7">
        <f>+RENDERING!F155</f>
        <v>0</v>
      </c>
      <c r="O157" s="7">
        <f>+RENDERING!J155</f>
        <v>0</v>
      </c>
      <c r="P157" s="7">
        <f>+CUEROS!N158</f>
        <v>0</v>
      </c>
      <c r="Q157" s="7">
        <f>+'GRASA DREASING'!G155</f>
        <v>0</v>
      </c>
    </row>
    <row r="158" spans="2:17" x14ac:dyDescent="0.2">
      <c r="B158" s="5">
        <f>+'SERVICIO FAENA'!A157</f>
        <v>0</v>
      </c>
      <c r="C158" s="5">
        <f>+'SERVICIO FAENA'!B157</f>
        <v>0</v>
      </c>
      <c r="D158" s="5">
        <f>+'SERVICIO FAENA'!C157</f>
        <v>0</v>
      </c>
      <c r="E158" s="7">
        <f>+'SERVICIO FAENA'!H157</f>
        <v>0</v>
      </c>
      <c r="F158" s="6">
        <f>+'SERVICIO FAENA'!F157</f>
        <v>0</v>
      </c>
      <c r="G158" s="7">
        <f>+'SERVICIO FAENA'!J157</f>
        <v>0</v>
      </c>
      <c r="H158" s="7">
        <f>+'SERVICIO DESPOSTE'!W157</f>
        <v>0</v>
      </c>
      <c r="I158" s="36">
        <f t="shared" si="2"/>
        <v>0</v>
      </c>
      <c r="J158" s="8">
        <f>+MENUDENCIAS!I157</f>
        <v>0</v>
      </c>
      <c r="K158" s="8">
        <f>+MENUDENCIAS!O157</f>
        <v>0</v>
      </c>
      <c r="L158" s="8">
        <f>+MENUDENCIAS!P157</f>
        <v>0</v>
      </c>
      <c r="M158" s="7">
        <f>+RENDERING!H156</f>
        <v>0</v>
      </c>
      <c r="N158" s="7">
        <f>+RENDERING!F156</f>
        <v>0</v>
      </c>
      <c r="O158" s="7">
        <f>+RENDERING!J156</f>
        <v>0</v>
      </c>
      <c r="P158" s="7">
        <f>+CUEROS!N159</f>
        <v>0</v>
      </c>
      <c r="Q158" s="7">
        <f>+'GRASA DREASING'!G156</f>
        <v>0</v>
      </c>
    </row>
    <row r="159" spans="2:17" x14ac:dyDescent="0.2">
      <c r="B159" s="5">
        <f>+'SERVICIO FAENA'!A158</f>
        <v>0</v>
      </c>
      <c r="C159" s="5">
        <f>+'SERVICIO FAENA'!B158</f>
        <v>0</v>
      </c>
      <c r="D159" s="5">
        <f>+'SERVICIO FAENA'!C158</f>
        <v>0</v>
      </c>
      <c r="E159" s="7">
        <f>+'SERVICIO FAENA'!H158</f>
        <v>0</v>
      </c>
      <c r="F159" s="6">
        <f>+'SERVICIO FAENA'!F158</f>
        <v>0</v>
      </c>
      <c r="G159" s="7">
        <f>+'SERVICIO FAENA'!J158</f>
        <v>0</v>
      </c>
      <c r="H159" s="7">
        <f>+'SERVICIO DESPOSTE'!W158</f>
        <v>0</v>
      </c>
      <c r="I159" s="36">
        <f t="shared" si="2"/>
        <v>0</v>
      </c>
      <c r="J159" s="8">
        <f>+MENUDENCIAS!I158</f>
        <v>0</v>
      </c>
      <c r="K159" s="8">
        <f>+MENUDENCIAS!O158</f>
        <v>0</v>
      </c>
      <c r="L159" s="8">
        <f>+MENUDENCIAS!P158</f>
        <v>0</v>
      </c>
      <c r="M159" s="7">
        <f>+RENDERING!H157</f>
        <v>0</v>
      </c>
      <c r="N159" s="7">
        <f>+RENDERING!F157</f>
        <v>0</v>
      </c>
      <c r="O159" s="7">
        <f>+RENDERING!J157</f>
        <v>0</v>
      </c>
      <c r="P159" s="7">
        <f>+CUEROS!N160</f>
        <v>0</v>
      </c>
      <c r="Q159" s="7">
        <f>+'GRASA DREASING'!G157</f>
        <v>0</v>
      </c>
    </row>
    <row r="160" spans="2:17" x14ac:dyDescent="0.2">
      <c r="B160" s="5">
        <f>+'SERVICIO FAENA'!A159</f>
        <v>0</v>
      </c>
      <c r="C160" s="5">
        <f>+'SERVICIO FAENA'!B159</f>
        <v>0</v>
      </c>
      <c r="D160" s="5">
        <f>+'SERVICIO FAENA'!C159</f>
        <v>0</v>
      </c>
      <c r="E160" s="7">
        <f>+'SERVICIO FAENA'!H159</f>
        <v>0</v>
      </c>
      <c r="F160" s="6">
        <f>+'SERVICIO FAENA'!F159</f>
        <v>0</v>
      </c>
      <c r="G160" s="7">
        <f>+'SERVICIO FAENA'!J159</f>
        <v>0</v>
      </c>
      <c r="H160" s="7">
        <f>+'SERVICIO DESPOSTE'!W159</f>
        <v>0</v>
      </c>
      <c r="I160" s="36">
        <f t="shared" si="2"/>
        <v>0</v>
      </c>
      <c r="J160" s="8">
        <f>+MENUDENCIAS!I159</f>
        <v>0</v>
      </c>
      <c r="K160" s="8">
        <f>+MENUDENCIAS!O159</f>
        <v>0</v>
      </c>
      <c r="L160" s="8">
        <f>+MENUDENCIAS!P159</f>
        <v>0</v>
      </c>
      <c r="M160" s="7">
        <f>+RENDERING!H158</f>
        <v>0</v>
      </c>
      <c r="N160" s="7">
        <f>+RENDERING!F158</f>
        <v>0</v>
      </c>
      <c r="O160" s="7">
        <f>+RENDERING!J158</f>
        <v>0</v>
      </c>
      <c r="P160" s="7">
        <f>+CUEROS!N161</f>
        <v>0</v>
      </c>
      <c r="Q160" s="7">
        <f>+'GRASA DREASING'!G158</f>
        <v>0</v>
      </c>
    </row>
    <row r="161" spans="2:17" x14ac:dyDescent="0.2">
      <c r="B161" s="5">
        <f>+'SERVICIO FAENA'!A160</f>
        <v>0</v>
      </c>
      <c r="C161" s="5">
        <f>+'SERVICIO FAENA'!B160</f>
        <v>0</v>
      </c>
      <c r="D161" s="5">
        <f>+'SERVICIO FAENA'!C160</f>
        <v>0</v>
      </c>
      <c r="E161" s="7">
        <f>+'SERVICIO FAENA'!H160</f>
        <v>0</v>
      </c>
      <c r="F161" s="6">
        <f>+'SERVICIO FAENA'!F160</f>
        <v>0</v>
      </c>
      <c r="G161" s="7">
        <f>+'SERVICIO FAENA'!J160</f>
        <v>0</v>
      </c>
      <c r="H161" s="7">
        <f>+'SERVICIO DESPOSTE'!W160</f>
        <v>0</v>
      </c>
      <c r="I161" s="36">
        <f t="shared" si="2"/>
        <v>0</v>
      </c>
      <c r="J161" s="8">
        <f>+MENUDENCIAS!I160</f>
        <v>0</v>
      </c>
      <c r="K161" s="8">
        <f>+MENUDENCIAS!O160</f>
        <v>0</v>
      </c>
      <c r="L161" s="8">
        <f>+MENUDENCIAS!P160</f>
        <v>0</v>
      </c>
      <c r="M161" s="7">
        <f>+RENDERING!H159</f>
        <v>0</v>
      </c>
      <c r="N161" s="7">
        <f>+RENDERING!F159</f>
        <v>0</v>
      </c>
      <c r="O161" s="7">
        <f>+RENDERING!J159</f>
        <v>0</v>
      </c>
      <c r="P161" s="7">
        <f>+CUEROS!N162</f>
        <v>0</v>
      </c>
      <c r="Q161" s="7">
        <f>+'GRASA DREASING'!G159</f>
        <v>0</v>
      </c>
    </row>
    <row r="162" spans="2:17" x14ac:dyDescent="0.2">
      <c r="B162" s="5">
        <f>+'SERVICIO FAENA'!A161</f>
        <v>0</v>
      </c>
      <c r="C162" s="5">
        <f>+'SERVICIO FAENA'!B161</f>
        <v>0</v>
      </c>
      <c r="D162" s="5">
        <f>+'SERVICIO FAENA'!C161</f>
        <v>0</v>
      </c>
      <c r="E162" s="7">
        <f>+'SERVICIO FAENA'!H161</f>
        <v>0</v>
      </c>
      <c r="F162" s="6">
        <f>+'SERVICIO FAENA'!F161</f>
        <v>0</v>
      </c>
      <c r="G162" s="7">
        <f>+'SERVICIO FAENA'!J161</f>
        <v>0</v>
      </c>
      <c r="H162" s="7">
        <f>+'SERVICIO DESPOSTE'!W161</f>
        <v>0</v>
      </c>
      <c r="I162" s="36">
        <f t="shared" si="2"/>
        <v>0</v>
      </c>
      <c r="J162" s="8">
        <f>+MENUDENCIAS!I161</f>
        <v>0</v>
      </c>
      <c r="K162" s="8">
        <f>+MENUDENCIAS!O161</f>
        <v>0</v>
      </c>
      <c r="L162" s="8">
        <f>+MENUDENCIAS!P161</f>
        <v>0</v>
      </c>
      <c r="M162" s="7">
        <f>+RENDERING!H160</f>
        <v>0</v>
      </c>
      <c r="N162" s="7">
        <f>+RENDERING!F160</f>
        <v>0</v>
      </c>
      <c r="O162" s="7">
        <f>+RENDERING!J160</f>
        <v>0</v>
      </c>
      <c r="P162" s="7">
        <f>+CUEROS!N163</f>
        <v>0</v>
      </c>
      <c r="Q162" s="7">
        <f>+'GRASA DREASING'!G160</f>
        <v>0</v>
      </c>
    </row>
    <row r="163" spans="2:17" x14ac:dyDescent="0.2">
      <c r="B163" s="5">
        <f>+'SERVICIO FAENA'!A162</f>
        <v>0</v>
      </c>
      <c r="C163" s="5">
        <f>+'SERVICIO FAENA'!B162</f>
        <v>0</v>
      </c>
      <c r="D163" s="5">
        <f>+'SERVICIO FAENA'!C162</f>
        <v>0</v>
      </c>
      <c r="E163" s="7">
        <f>+'SERVICIO FAENA'!H162</f>
        <v>0</v>
      </c>
      <c r="F163" s="6">
        <f>+'SERVICIO FAENA'!F162</f>
        <v>0</v>
      </c>
      <c r="G163" s="7">
        <f>+'SERVICIO FAENA'!J162</f>
        <v>0</v>
      </c>
      <c r="H163" s="7">
        <f>+'SERVICIO DESPOSTE'!W162</f>
        <v>0</v>
      </c>
      <c r="I163" s="36">
        <f t="shared" si="2"/>
        <v>0</v>
      </c>
      <c r="J163" s="8">
        <f>+MENUDENCIAS!I162</f>
        <v>0</v>
      </c>
      <c r="K163" s="8">
        <f>+MENUDENCIAS!O162</f>
        <v>0</v>
      </c>
      <c r="L163" s="8">
        <f>+MENUDENCIAS!P162</f>
        <v>0</v>
      </c>
      <c r="M163" s="7">
        <f>+RENDERING!H161</f>
        <v>0</v>
      </c>
      <c r="N163" s="7">
        <f>+RENDERING!F161</f>
        <v>0</v>
      </c>
      <c r="O163" s="7">
        <f>+RENDERING!J161</f>
        <v>0</v>
      </c>
      <c r="P163" s="7">
        <f>+CUEROS!N164</f>
        <v>0</v>
      </c>
      <c r="Q163" s="7">
        <f>+'GRASA DREASING'!G161</f>
        <v>0</v>
      </c>
    </row>
    <row r="164" spans="2:17" x14ac:dyDescent="0.2">
      <c r="B164" s="5">
        <f>+'SERVICIO FAENA'!A163</f>
        <v>0</v>
      </c>
      <c r="C164" s="5">
        <f>+'SERVICIO FAENA'!B163</f>
        <v>0</v>
      </c>
      <c r="D164" s="5">
        <f>+'SERVICIO FAENA'!C163</f>
        <v>0</v>
      </c>
      <c r="E164" s="7">
        <f>+'SERVICIO FAENA'!H163</f>
        <v>0</v>
      </c>
      <c r="F164" s="6">
        <f>+'SERVICIO FAENA'!F163</f>
        <v>0</v>
      </c>
      <c r="G164" s="7">
        <f>+'SERVICIO FAENA'!J163</f>
        <v>0</v>
      </c>
      <c r="H164" s="7">
        <f>+'SERVICIO DESPOSTE'!W163</f>
        <v>0</v>
      </c>
      <c r="I164" s="36">
        <f t="shared" si="2"/>
        <v>0</v>
      </c>
      <c r="J164" s="8">
        <f>+MENUDENCIAS!I163</f>
        <v>0</v>
      </c>
      <c r="K164" s="8">
        <f>+MENUDENCIAS!O163</f>
        <v>0</v>
      </c>
      <c r="L164" s="8">
        <f>+MENUDENCIAS!P163</f>
        <v>0</v>
      </c>
      <c r="M164" s="7">
        <f>+RENDERING!H162</f>
        <v>0</v>
      </c>
      <c r="N164" s="7">
        <f>+RENDERING!F162</f>
        <v>0</v>
      </c>
      <c r="O164" s="7">
        <f>+RENDERING!J162</f>
        <v>0</v>
      </c>
      <c r="P164" s="7">
        <f>+CUEROS!N165</f>
        <v>0</v>
      </c>
      <c r="Q164" s="7">
        <f>+'GRASA DREASING'!G162</f>
        <v>0</v>
      </c>
    </row>
    <row r="165" spans="2:17" x14ac:dyDescent="0.2">
      <c r="B165" s="5">
        <f>+'SERVICIO FAENA'!A164</f>
        <v>0</v>
      </c>
      <c r="C165" s="5">
        <f>+'SERVICIO FAENA'!B164</f>
        <v>0</v>
      </c>
      <c r="D165" s="5">
        <f>+'SERVICIO FAENA'!C164</f>
        <v>0</v>
      </c>
      <c r="E165" s="7">
        <f>+'SERVICIO FAENA'!H164</f>
        <v>0</v>
      </c>
      <c r="F165" s="6">
        <f>+'SERVICIO FAENA'!F164</f>
        <v>0</v>
      </c>
      <c r="G165" s="7">
        <f>+'SERVICIO FAENA'!J164</f>
        <v>0</v>
      </c>
      <c r="H165" s="7">
        <f>+'SERVICIO DESPOSTE'!W164</f>
        <v>0</v>
      </c>
      <c r="I165" s="36">
        <f t="shared" si="2"/>
        <v>0</v>
      </c>
      <c r="J165" s="8">
        <f>+MENUDENCIAS!I164</f>
        <v>0</v>
      </c>
      <c r="K165" s="8">
        <f>+MENUDENCIAS!O164</f>
        <v>0</v>
      </c>
      <c r="L165" s="8">
        <f>+MENUDENCIAS!P164</f>
        <v>0</v>
      </c>
      <c r="M165" s="7">
        <f>+RENDERING!H163</f>
        <v>0</v>
      </c>
      <c r="N165" s="7">
        <f>+RENDERING!F163</f>
        <v>0</v>
      </c>
      <c r="O165" s="7">
        <f>+RENDERING!J163</f>
        <v>0</v>
      </c>
      <c r="P165" s="7">
        <f>+CUEROS!N166</f>
        <v>0</v>
      </c>
      <c r="Q165" s="7">
        <f>+'GRASA DREASING'!G163</f>
        <v>0</v>
      </c>
    </row>
    <row r="166" spans="2:17" x14ac:dyDescent="0.2">
      <c r="B166" s="5">
        <f>+'SERVICIO FAENA'!A165</f>
        <v>0</v>
      </c>
      <c r="C166" s="5">
        <f>+'SERVICIO FAENA'!B165</f>
        <v>0</v>
      </c>
      <c r="D166" s="5">
        <f>+'SERVICIO FAENA'!C165</f>
        <v>0</v>
      </c>
      <c r="E166" s="7">
        <f>+'SERVICIO FAENA'!H165</f>
        <v>0</v>
      </c>
      <c r="F166" s="6">
        <f>+'SERVICIO FAENA'!F165</f>
        <v>0</v>
      </c>
      <c r="G166" s="7">
        <f>+'SERVICIO FAENA'!J165</f>
        <v>0</v>
      </c>
      <c r="H166" s="7">
        <f>+'SERVICIO DESPOSTE'!W165</f>
        <v>0</v>
      </c>
      <c r="I166" s="36">
        <f t="shared" si="2"/>
        <v>0</v>
      </c>
      <c r="J166" s="8">
        <f>+MENUDENCIAS!I165</f>
        <v>0</v>
      </c>
      <c r="K166" s="8">
        <f>+MENUDENCIAS!O165</f>
        <v>0</v>
      </c>
      <c r="L166" s="8">
        <f>+MENUDENCIAS!P165</f>
        <v>0</v>
      </c>
      <c r="M166" s="7">
        <f>+RENDERING!H164</f>
        <v>0</v>
      </c>
      <c r="N166" s="7">
        <f>+RENDERING!F164</f>
        <v>0</v>
      </c>
      <c r="O166" s="7">
        <f>+RENDERING!J164</f>
        <v>0</v>
      </c>
      <c r="P166" s="7">
        <f>+CUEROS!N167</f>
        <v>0</v>
      </c>
      <c r="Q166" s="7">
        <f>+'GRASA DREASING'!G164</f>
        <v>0</v>
      </c>
    </row>
    <row r="167" spans="2:17" x14ac:dyDescent="0.2">
      <c r="B167" s="5">
        <f>+'SERVICIO FAENA'!A166</f>
        <v>0</v>
      </c>
      <c r="C167" s="5">
        <f>+'SERVICIO FAENA'!B166</f>
        <v>0</v>
      </c>
      <c r="D167" s="5">
        <f>+'SERVICIO FAENA'!C166</f>
        <v>0</v>
      </c>
      <c r="E167" s="7">
        <f>+'SERVICIO FAENA'!H166</f>
        <v>0</v>
      </c>
      <c r="F167" s="6">
        <f>+'SERVICIO FAENA'!F166</f>
        <v>0</v>
      </c>
      <c r="G167" s="7">
        <f>+'SERVICIO FAENA'!J166</f>
        <v>0</v>
      </c>
      <c r="H167" s="7">
        <f>+'SERVICIO DESPOSTE'!W166</f>
        <v>0</v>
      </c>
      <c r="I167" s="36">
        <f t="shared" si="2"/>
        <v>0</v>
      </c>
      <c r="J167" s="8">
        <f>+MENUDENCIAS!I166</f>
        <v>0</v>
      </c>
      <c r="K167" s="8">
        <f>+MENUDENCIAS!O166</f>
        <v>0</v>
      </c>
      <c r="L167" s="8">
        <f>+MENUDENCIAS!P166</f>
        <v>0</v>
      </c>
      <c r="M167" s="7">
        <f>+RENDERING!H165</f>
        <v>0</v>
      </c>
      <c r="N167" s="7">
        <f>+RENDERING!F165</f>
        <v>0</v>
      </c>
      <c r="O167" s="7">
        <f>+RENDERING!J165</f>
        <v>0</v>
      </c>
      <c r="P167" s="7">
        <f>+CUEROS!N168</f>
        <v>0</v>
      </c>
      <c r="Q167" s="7">
        <f>+'GRASA DREASING'!G165</f>
        <v>0</v>
      </c>
    </row>
    <row r="168" spans="2:17" x14ac:dyDescent="0.2">
      <c r="B168" s="5">
        <f>+'SERVICIO FAENA'!A167</f>
        <v>0</v>
      </c>
      <c r="C168" s="5">
        <f>+'SERVICIO FAENA'!B167</f>
        <v>0</v>
      </c>
      <c r="D168" s="5">
        <f>+'SERVICIO FAENA'!C167</f>
        <v>0</v>
      </c>
      <c r="E168" s="7">
        <f>+'SERVICIO FAENA'!H167</f>
        <v>0</v>
      </c>
      <c r="F168" s="6">
        <f>+'SERVICIO FAENA'!F167</f>
        <v>0</v>
      </c>
      <c r="G168" s="7">
        <f>+'SERVICIO FAENA'!J167</f>
        <v>0</v>
      </c>
      <c r="H168" s="7">
        <f>+'SERVICIO DESPOSTE'!W167</f>
        <v>0</v>
      </c>
      <c r="I168" s="36">
        <f t="shared" si="2"/>
        <v>0</v>
      </c>
      <c r="J168" s="8">
        <f>+MENUDENCIAS!I167</f>
        <v>0</v>
      </c>
      <c r="K168" s="8">
        <f>+MENUDENCIAS!O167</f>
        <v>0</v>
      </c>
      <c r="L168" s="8">
        <f>+MENUDENCIAS!P167</f>
        <v>0</v>
      </c>
      <c r="M168" s="7">
        <f>+RENDERING!H166</f>
        <v>0</v>
      </c>
      <c r="N168" s="7">
        <f>+RENDERING!F166</f>
        <v>0</v>
      </c>
      <c r="O168" s="7">
        <f>+RENDERING!J166</f>
        <v>0</v>
      </c>
      <c r="P168" s="7">
        <f>+CUEROS!N169</f>
        <v>0</v>
      </c>
      <c r="Q168" s="7">
        <f>+'GRASA DREASING'!G166</f>
        <v>0</v>
      </c>
    </row>
    <row r="169" spans="2:17" x14ac:dyDescent="0.2">
      <c r="B169" s="5">
        <f>+'SERVICIO FAENA'!A168</f>
        <v>0</v>
      </c>
      <c r="C169" s="5">
        <f>+'SERVICIO FAENA'!B168</f>
        <v>0</v>
      </c>
      <c r="D169" s="5">
        <f>+'SERVICIO FAENA'!C168</f>
        <v>0</v>
      </c>
      <c r="E169" s="7">
        <f>+'SERVICIO FAENA'!H168</f>
        <v>0</v>
      </c>
      <c r="F169" s="6">
        <f>+'SERVICIO FAENA'!F168</f>
        <v>0</v>
      </c>
      <c r="G169" s="7">
        <f>+'SERVICIO FAENA'!J168</f>
        <v>0</v>
      </c>
      <c r="H169" s="7">
        <f>+'SERVICIO DESPOSTE'!W168</f>
        <v>0</v>
      </c>
      <c r="I169" s="36">
        <f t="shared" si="2"/>
        <v>0</v>
      </c>
      <c r="J169" s="8">
        <f>+MENUDENCIAS!I168</f>
        <v>0</v>
      </c>
      <c r="K169" s="8">
        <f>+MENUDENCIAS!O168</f>
        <v>0</v>
      </c>
      <c r="L169" s="8">
        <f>+MENUDENCIAS!P168</f>
        <v>0</v>
      </c>
      <c r="M169" s="7">
        <f>+RENDERING!H167</f>
        <v>0</v>
      </c>
      <c r="N169" s="7">
        <f>+RENDERING!F167</f>
        <v>0</v>
      </c>
      <c r="O169" s="7">
        <f>+RENDERING!J167</f>
        <v>0</v>
      </c>
      <c r="P169" s="7">
        <f>+CUEROS!N170</f>
        <v>0</v>
      </c>
      <c r="Q169" s="7">
        <f>+'GRASA DREASING'!G167</f>
        <v>0</v>
      </c>
    </row>
    <row r="170" spans="2:17" x14ac:dyDescent="0.2">
      <c r="B170" s="5">
        <f>+'SERVICIO FAENA'!A169</f>
        <v>0</v>
      </c>
      <c r="C170" s="5">
        <f>+'SERVICIO FAENA'!B169</f>
        <v>0</v>
      </c>
      <c r="D170" s="5">
        <f>+'SERVICIO FAENA'!C169</f>
        <v>0</v>
      </c>
      <c r="E170" s="7">
        <f>+'SERVICIO FAENA'!H169</f>
        <v>0</v>
      </c>
      <c r="F170" s="6">
        <f>+'SERVICIO FAENA'!F169</f>
        <v>0</v>
      </c>
      <c r="G170" s="7">
        <f>+'SERVICIO FAENA'!J169</f>
        <v>0</v>
      </c>
      <c r="H170" s="7">
        <f>+'SERVICIO DESPOSTE'!W169</f>
        <v>0</v>
      </c>
      <c r="I170" s="36">
        <f t="shared" si="2"/>
        <v>0</v>
      </c>
      <c r="J170" s="8">
        <f>+MENUDENCIAS!I169</f>
        <v>0</v>
      </c>
      <c r="K170" s="8">
        <f>+MENUDENCIAS!O169</f>
        <v>0</v>
      </c>
      <c r="L170" s="8">
        <f>+MENUDENCIAS!P169</f>
        <v>0</v>
      </c>
      <c r="M170" s="7">
        <f>+RENDERING!H168</f>
        <v>0</v>
      </c>
      <c r="N170" s="7">
        <f>+RENDERING!F168</f>
        <v>0</v>
      </c>
      <c r="O170" s="7">
        <f>+RENDERING!J168</f>
        <v>0</v>
      </c>
      <c r="P170" s="7">
        <f>+CUEROS!N171</f>
        <v>0</v>
      </c>
      <c r="Q170" s="7">
        <f>+'GRASA DREASING'!G168</f>
        <v>0</v>
      </c>
    </row>
    <row r="171" spans="2:17" x14ac:dyDescent="0.2">
      <c r="B171" s="5">
        <f>+'SERVICIO FAENA'!A170</f>
        <v>0</v>
      </c>
      <c r="C171" s="5">
        <f>+'SERVICIO FAENA'!B170</f>
        <v>0</v>
      </c>
      <c r="D171" s="5">
        <f>+'SERVICIO FAENA'!C170</f>
        <v>0</v>
      </c>
      <c r="E171" s="7">
        <f>+'SERVICIO FAENA'!H170</f>
        <v>0</v>
      </c>
      <c r="F171" s="6">
        <f>+'SERVICIO FAENA'!F170</f>
        <v>0</v>
      </c>
      <c r="G171" s="7">
        <f>+'SERVICIO FAENA'!J170</f>
        <v>0</v>
      </c>
      <c r="H171" s="7">
        <f>+'SERVICIO DESPOSTE'!W170</f>
        <v>0</v>
      </c>
      <c r="I171" s="36">
        <f t="shared" si="2"/>
        <v>0</v>
      </c>
      <c r="J171" s="8">
        <f>+MENUDENCIAS!I170</f>
        <v>0</v>
      </c>
      <c r="K171" s="8">
        <f>+MENUDENCIAS!O170</f>
        <v>0</v>
      </c>
      <c r="L171" s="8">
        <f>+MENUDENCIAS!P170</f>
        <v>0</v>
      </c>
      <c r="M171" s="7">
        <f>+RENDERING!H169</f>
        <v>0</v>
      </c>
      <c r="N171" s="7">
        <f>+RENDERING!F169</f>
        <v>0</v>
      </c>
      <c r="O171" s="7">
        <f>+RENDERING!J169</f>
        <v>0</v>
      </c>
      <c r="P171" s="7">
        <f>+CUEROS!N172</f>
        <v>0</v>
      </c>
      <c r="Q171" s="7">
        <f>+'GRASA DREASING'!G169</f>
        <v>0</v>
      </c>
    </row>
    <row r="172" spans="2:17" x14ac:dyDescent="0.2">
      <c r="B172" s="5">
        <f>+'SERVICIO FAENA'!A171</f>
        <v>0</v>
      </c>
      <c r="C172" s="5">
        <f>+'SERVICIO FAENA'!B171</f>
        <v>0</v>
      </c>
      <c r="D172" s="5">
        <f>+'SERVICIO FAENA'!C171</f>
        <v>0</v>
      </c>
      <c r="E172" s="7">
        <f>+'SERVICIO FAENA'!H171</f>
        <v>0</v>
      </c>
      <c r="F172" s="6">
        <f>+'SERVICIO FAENA'!F171</f>
        <v>0</v>
      </c>
      <c r="G172" s="7">
        <f>+'SERVICIO FAENA'!J171</f>
        <v>0</v>
      </c>
      <c r="H172" s="7">
        <f>+'SERVICIO DESPOSTE'!W171</f>
        <v>0</v>
      </c>
      <c r="I172" s="36">
        <f t="shared" si="2"/>
        <v>0</v>
      </c>
      <c r="J172" s="8">
        <f>+MENUDENCIAS!I171</f>
        <v>0</v>
      </c>
      <c r="K172" s="8">
        <f>+MENUDENCIAS!O171</f>
        <v>0</v>
      </c>
      <c r="L172" s="8">
        <f>+MENUDENCIAS!P171</f>
        <v>0</v>
      </c>
      <c r="M172" s="7">
        <f>+RENDERING!H170</f>
        <v>0</v>
      </c>
      <c r="N172" s="7">
        <f>+RENDERING!F170</f>
        <v>0</v>
      </c>
      <c r="O172" s="7">
        <f>+RENDERING!J170</f>
        <v>0</v>
      </c>
      <c r="P172" s="7">
        <f>+CUEROS!N173</f>
        <v>0</v>
      </c>
      <c r="Q172" s="7">
        <f>+'GRASA DREASING'!G170</f>
        <v>0</v>
      </c>
    </row>
    <row r="173" spans="2:17" x14ac:dyDescent="0.2">
      <c r="B173" s="5">
        <f>+'SERVICIO FAENA'!A172</f>
        <v>0</v>
      </c>
      <c r="C173" s="5">
        <f>+'SERVICIO FAENA'!B172</f>
        <v>0</v>
      </c>
      <c r="D173" s="5">
        <f>+'SERVICIO FAENA'!C172</f>
        <v>0</v>
      </c>
      <c r="E173" s="7">
        <f>+'SERVICIO FAENA'!H172</f>
        <v>0</v>
      </c>
      <c r="F173" s="6">
        <f>+'SERVICIO FAENA'!F172</f>
        <v>0</v>
      </c>
      <c r="G173" s="7">
        <f>+'SERVICIO FAENA'!J172</f>
        <v>0</v>
      </c>
      <c r="H173" s="7">
        <f>+'SERVICIO DESPOSTE'!W172</f>
        <v>0</v>
      </c>
      <c r="I173" s="36">
        <f t="shared" si="2"/>
        <v>0</v>
      </c>
      <c r="J173" s="8">
        <f>+MENUDENCIAS!I172</f>
        <v>0</v>
      </c>
      <c r="K173" s="8">
        <f>+MENUDENCIAS!O172</f>
        <v>0</v>
      </c>
      <c r="L173" s="8">
        <f>+MENUDENCIAS!P172</f>
        <v>0</v>
      </c>
      <c r="M173" s="7">
        <f>+RENDERING!H171</f>
        <v>0</v>
      </c>
      <c r="N173" s="7">
        <f>+RENDERING!F171</f>
        <v>0</v>
      </c>
      <c r="O173" s="7">
        <f>+RENDERING!J171</f>
        <v>0</v>
      </c>
      <c r="P173" s="7">
        <f>+CUEROS!N174</f>
        <v>0</v>
      </c>
      <c r="Q173" s="7">
        <f>+'GRASA DREASING'!G171</f>
        <v>0</v>
      </c>
    </row>
    <row r="174" spans="2:17" x14ac:dyDescent="0.2">
      <c r="B174" s="5">
        <f>+'SERVICIO FAENA'!A173</f>
        <v>0</v>
      </c>
      <c r="C174" s="5">
        <f>+'SERVICIO FAENA'!B173</f>
        <v>0</v>
      </c>
      <c r="D174" s="5">
        <f>+'SERVICIO FAENA'!C173</f>
        <v>0</v>
      </c>
      <c r="E174" s="7">
        <f>+'SERVICIO FAENA'!H173</f>
        <v>0</v>
      </c>
      <c r="F174" s="6">
        <f>+'SERVICIO FAENA'!F173</f>
        <v>0</v>
      </c>
      <c r="G174" s="7">
        <f>+'SERVICIO FAENA'!J173</f>
        <v>0</v>
      </c>
      <c r="H174" s="7">
        <f>+'SERVICIO DESPOSTE'!W173</f>
        <v>0</v>
      </c>
      <c r="I174" s="36">
        <f t="shared" si="2"/>
        <v>0</v>
      </c>
      <c r="J174" s="8">
        <f>+MENUDENCIAS!I173</f>
        <v>0</v>
      </c>
      <c r="K174" s="8">
        <f>+MENUDENCIAS!O173</f>
        <v>0</v>
      </c>
      <c r="L174" s="8">
        <f>+MENUDENCIAS!P173</f>
        <v>0</v>
      </c>
      <c r="M174" s="7">
        <f>+RENDERING!H172</f>
        <v>0</v>
      </c>
      <c r="N174" s="7">
        <f>+RENDERING!F172</f>
        <v>0</v>
      </c>
      <c r="O174" s="7">
        <f>+RENDERING!J172</f>
        <v>0</v>
      </c>
      <c r="P174" s="7">
        <f>+CUEROS!N175</f>
        <v>0</v>
      </c>
      <c r="Q174" s="7">
        <f>+'GRASA DREASING'!G172</f>
        <v>0</v>
      </c>
    </row>
    <row r="175" spans="2:17" x14ac:dyDescent="0.2">
      <c r="B175" s="5">
        <f>+'SERVICIO FAENA'!A174</f>
        <v>0</v>
      </c>
      <c r="C175" s="5">
        <f>+'SERVICIO FAENA'!B174</f>
        <v>0</v>
      </c>
      <c r="D175" s="5">
        <f>+'SERVICIO FAENA'!C174</f>
        <v>0</v>
      </c>
      <c r="E175" s="7">
        <f>+'SERVICIO FAENA'!H174</f>
        <v>0</v>
      </c>
      <c r="F175" s="6">
        <f>+'SERVICIO FAENA'!F174</f>
        <v>0</v>
      </c>
      <c r="G175" s="7">
        <f>+'SERVICIO FAENA'!J174</f>
        <v>0</v>
      </c>
      <c r="H175" s="7">
        <f>+'SERVICIO DESPOSTE'!W174</f>
        <v>0</v>
      </c>
      <c r="I175" s="36">
        <f t="shared" si="2"/>
        <v>0</v>
      </c>
      <c r="J175" s="8">
        <f>+MENUDENCIAS!I174</f>
        <v>0</v>
      </c>
      <c r="K175" s="8">
        <f>+MENUDENCIAS!O174</f>
        <v>0</v>
      </c>
      <c r="L175" s="8">
        <f>+MENUDENCIAS!P174</f>
        <v>0</v>
      </c>
      <c r="M175" s="7">
        <f>+RENDERING!H173</f>
        <v>0</v>
      </c>
      <c r="N175" s="7">
        <f>+RENDERING!F173</f>
        <v>0</v>
      </c>
      <c r="O175" s="7">
        <f>+RENDERING!J173</f>
        <v>0</v>
      </c>
      <c r="P175" s="7">
        <f>+CUEROS!N176</f>
        <v>0</v>
      </c>
      <c r="Q175" s="7">
        <f>+'GRASA DREASING'!G173</f>
        <v>0</v>
      </c>
    </row>
    <row r="176" spans="2:17" x14ac:dyDescent="0.2">
      <c r="B176" s="5">
        <f>+'SERVICIO FAENA'!A175</f>
        <v>0</v>
      </c>
      <c r="C176" s="5">
        <f>+'SERVICIO FAENA'!B175</f>
        <v>0</v>
      </c>
      <c r="D176" s="5">
        <f>+'SERVICIO FAENA'!C175</f>
        <v>0</v>
      </c>
      <c r="E176" s="7">
        <f>+'SERVICIO FAENA'!H175</f>
        <v>0</v>
      </c>
      <c r="F176" s="6">
        <f>+'SERVICIO FAENA'!F175</f>
        <v>0</v>
      </c>
      <c r="G176" s="7">
        <f>+'SERVICIO FAENA'!J175</f>
        <v>0</v>
      </c>
      <c r="H176" s="7">
        <f>+'SERVICIO DESPOSTE'!W175</f>
        <v>0</v>
      </c>
      <c r="I176" s="36">
        <f t="shared" si="2"/>
        <v>0</v>
      </c>
      <c r="J176" s="8">
        <f>+MENUDENCIAS!I175</f>
        <v>0</v>
      </c>
      <c r="K176" s="8">
        <f>+MENUDENCIAS!O175</f>
        <v>0</v>
      </c>
      <c r="L176" s="8">
        <f>+MENUDENCIAS!P175</f>
        <v>0</v>
      </c>
      <c r="M176" s="7">
        <f>+RENDERING!H174</f>
        <v>0</v>
      </c>
      <c r="N176" s="7">
        <f>+RENDERING!F174</f>
        <v>0</v>
      </c>
      <c r="O176" s="7">
        <f>+RENDERING!J174</f>
        <v>0</v>
      </c>
      <c r="P176" s="7">
        <f>+CUEROS!N177</f>
        <v>0</v>
      </c>
      <c r="Q176" s="7">
        <f>+'GRASA DREASING'!G174</f>
        <v>0</v>
      </c>
    </row>
    <row r="177" spans="2:17" x14ac:dyDescent="0.2">
      <c r="B177" s="5">
        <f>+'SERVICIO FAENA'!A176</f>
        <v>0</v>
      </c>
      <c r="C177" s="5">
        <f>+'SERVICIO FAENA'!B176</f>
        <v>0</v>
      </c>
      <c r="D177" s="5">
        <f>+'SERVICIO FAENA'!C176</f>
        <v>0</v>
      </c>
      <c r="E177" s="7">
        <f>+'SERVICIO FAENA'!H176</f>
        <v>0</v>
      </c>
      <c r="F177" s="6">
        <f>+'SERVICIO FAENA'!F176</f>
        <v>0</v>
      </c>
      <c r="G177" s="7">
        <f>+'SERVICIO FAENA'!J176</f>
        <v>0</v>
      </c>
      <c r="H177" s="7">
        <f>+'SERVICIO DESPOSTE'!W176</f>
        <v>0</v>
      </c>
      <c r="I177" s="36">
        <f t="shared" si="2"/>
        <v>0</v>
      </c>
      <c r="J177" s="8">
        <f>+MENUDENCIAS!I176</f>
        <v>0</v>
      </c>
      <c r="K177" s="8">
        <f>+MENUDENCIAS!O176</f>
        <v>0</v>
      </c>
      <c r="L177" s="8">
        <f>+MENUDENCIAS!P176</f>
        <v>0</v>
      </c>
      <c r="M177" s="7">
        <f>+RENDERING!H175</f>
        <v>0</v>
      </c>
      <c r="N177" s="7">
        <f>+RENDERING!F175</f>
        <v>0</v>
      </c>
      <c r="O177" s="7">
        <f>+RENDERING!J175</f>
        <v>0</v>
      </c>
      <c r="P177" s="7">
        <f>+CUEROS!N178</f>
        <v>0</v>
      </c>
      <c r="Q177" s="7">
        <f>+'GRASA DREASING'!G175</f>
        <v>0</v>
      </c>
    </row>
    <row r="178" spans="2:17" x14ac:dyDescent="0.2">
      <c r="B178" s="5">
        <f>+'SERVICIO FAENA'!A177</f>
        <v>0</v>
      </c>
      <c r="C178" s="5">
        <f>+'SERVICIO FAENA'!B177</f>
        <v>0</v>
      </c>
      <c r="D178" s="5">
        <f>+'SERVICIO FAENA'!C177</f>
        <v>0</v>
      </c>
      <c r="E178" s="7">
        <f>+'SERVICIO FAENA'!H177</f>
        <v>0</v>
      </c>
      <c r="F178" s="6">
        <f>+'SERVICIO FAENA'!F177</f>
        <v>0</v>
      </c>
      <c r="G178" s="7">
        <f>+'SERVICIO FAENA'!J177</f>
        <v>0</v>
      </c>
      <c r="H178" s="7">
        <f>+'SERVICIO DESPOSTE'!W177</f>
        <v>0</v>
      </c>
      <c r="I178" s="36">
        <f t="shared" si="2"/>
        <v>0</v>
      </c>
      <c r="J178" s="8">
        <f>+MENUDENCIAS!I177</f>
        <v>0</v>
      </c>
      <c r="K178" s="8">
        <f>+MENUDENCIAS!O177</f>
        <v>0</v>
      </c>
      <c r="L178" s="8">
        <f>+MENUDENCIAS!P177</f>
        <v>0</v>
      </c>
      <c r="M178" s="7">
        <f>+RENDERING!H176</f>
        <v>0</v>
      </c>
      <c r="N178" s="7">
        <f>+RENDERING!F176</f>
        <v>0</v>
      </c>
      <c r="O178" s="7">
        <f>+RENDERING!J176</f>
        <v>0</v>
      </c>
      <c r="P178" s="7">
        <f>+CUEROS!N179</f>
        <v>0</v>
      </c>
      <c r="Q178" s="7">
        <f>+'GRASA DREASING'!G176</f>
        <v>0</v>
      </c>
    </row>
    <row r="179" spans="2:17" x14ac:dyDescent="0.2">
      <c r="B179" s="5">
        <f>+'SERVICIO FAENA'!A178</f>
        <v>0</v>
      </c>
      <c r="C179" s="5">
        <f>+'SERVICIO FAENA'!B178</f>
        <v>0</v>
      </c>
      <c r="D179" s="5">
        <f>+'SERVICIO FAENA'!C178</f>
        <v>0</v>
      </c>
      <c r="E179" s="7">
        <f>+'SERVICIO FAENA'!H178</f>
        <v>0</v>
      </c>
      <c r="F179" s="6">
        <f>+'SERVICIO FAENA'!F178</f>
        <v>0</v>
      </c>
      <c r="G179" s="7">
        <f>+'SERVICIO FAENA'!J178</f>
        <v>0</v>
      </c>
      <c r="H179" s="7">
        <f>+'SERVICIO DESPOSTE'!W178</f>
        <v>0</v>
      </c>
      <c r="I179" s="36">
        <f t="shared" si="2"/>
        <v>0</v>
      </c>
      <c r="J179" s="8">
        <f>+MENUDENCIAS!I178</f>
        <v>0</v>
      </c>
      <c r="K179" s="8">
        <f>+MENUDENCIAS!O178</f>
        <v>0</v>
      </c>
      <c r="L179" s="8">
        <f>+MENUDENCIAS!P178</f>
        <v>0</v>
      </c>
      <c r="M179" s="7">
        <f>+RENDERING!H177</f>
        <v>0</v>
      </c>
      <c r="N179" s="7">
        <f>+RENDERING!F177</f>
        <v>0</v>
      </c>
      <c r="O179" s="7">
        <f>+RENDERING!J177</f>
        <v>0</v>
      </c>
      <c r="P179" s="7">
        <f>+CUEROS!N180</f>
        <v>0</v>
      </c>
      <c r="Q179" s="7">
        <f>+'GRASA DREASING'!G177</f>
        <v>0</v>
      </c>
    </row>
    <row r="180" spans="2:17" x14ac:dyDescent="0.2">
      <c r="B180" s="5">
        <f>+'SERVICIO FAENA'!A179</f>
        <v>0</v>
      </c>
      <c r="C180" s="5">
        <f>+'SERVICIO FAENA'!B179</f>
        <v>0</v>
      </c>
      <c r="D180" s="5">
        <f>+'SERVICIO FAENA'!C179</f>
        <v>0</v>
      </c>
      <c r="E180" s="7">
        <f>+'SERVICIO FAENA'!H179</f>
        <v>0</v>
      </c>
      <c r="F180" s="6">
        <f>+'SERVICIO FAENA'!F179</f>
        <v>0</v>
      </c>
      <c r="G180" s="7">
        <f>+'SERVICIO FAENA'!J179</f>
        <v>0</v>
      </c>
      <c r="H180" s="7">
        <f>+'SERVICIO DESPOSTE'!W179</f>
        <v>0</v>
      </c>
      <c r="I180" s="36">
        <f t="shared" si="2"/>
        <v>0</v>
      </c>
      <c r="J180" s="8">
        <f>+MENUDENCIAS!I179</f>
        <v>0</v>
      </c>
      <c r="K180" s="8">
        <f>+MENUDENCIAS!O179</f>
        <v>0</v>
      </c>
      <c r="L180" s="8">
        <f>+MENUDENCIAS!P179</f>
        <v>0</v>
      </c>
      <c r="M180" s="7">
        <f>+RENDERING!H178</f>
        <v>0</v>
      </c>
      <c r="N180" s="7">
        <f>+RENDERING!F178</f>
        <v>0</v>
      </c>
      <c r="O180" s="7">
        <f>+RENDERING!J178</f>
        <v>0</v>
      </c>
      <c r="P180" s="7">
        <f>+CUEROS!N181</f>
        <v>0</v>
      </c>
      <c r="Q180" s="7">
        <f>+'GRASA DREASING'!G178</f>
        <v>0</v>
      </c>
    </row>
    <row r="181" spans="2:17" x14ac:dyDescent="0.2">
      <c r="B181" s="5">
        <f>+'SERVICIO FAENA'!A180</f>
        <v>0</v>
      </c>
      <c r="C181" s="5">
        <f>+'SERVICIO FAENA'!B180</f>
        <v>0</v>
      </c>
      <c r="D181" s="5">
        <f>+'SERVICIO FAENA'!C180</f>
        <v>0</v>
      </c>
      <c r="E181" s="7">
        <f>+'SERVICIO FAENA'!H180</f>
        <v>0</v>
      </c>
      <c r="F181" s="6">
        <f>+'SERVICIO FAENA'!F180</f>
        <v>0</v>
      </c>
      <c r="G181" s="7">
        <f>+'SERVICIO FAENA'!J180</f>
        <v>0</v>
      </c>
      <c r="H181" s="7">
        <f>+'SERVICIO DESPOSTE'!W180</f>
        <v>0</v>
      </c>
      <c r="I181" s="36">
        <f t="shared" si="2"/>
        <v>0</v>
      </c>
      <c r="J181" s="8">
        <f>+MENUDENCIAS!I180</f>
        <v>0</v>
      </c>
      <c r="K181" s="8">
        <f>+MENUDENCIAS!O180</f>
        <v>0</v>
      </c>
      <c r="L181" s="8">
        <f>+MENUDENCIAS!P180</f>
        <v>0</v>
      </c>
      <c r="M181" s="7">
        <f>+RENDERING!H179</f>
        <v>0</v>
      </c>
      <c r="N181" s="7">
        <f>+RENDERING!F179</f>
        <v>0</v>
      </c>
      <c r="O181" s="7">
        <f>+RENDERING!J179</f>
        <v>0</v>
      </c>
      <c r="P181" s="7">
        <f>+CUEROS!N182</f>
        <v>0</v>
      </c>
      <c r="Q181" s="7">
        <f>+'GRASA DREASING'!G179</f>
        <v>0</v>
      </c>
    </row>
    <row r="182" spans="2:17" x14ac:dyDescent="0.2">
      <c r="B182" s="5">
        <f>+'SERVICIO FAENA'!A181</f>
        <v>0</v>
      </c>
      <c r="C182" s="5">
        <f>+'SERVICIO FAENA'!B181</f>
        <v>0</v>
      </c>
      <c r="D182" s="5">
        <f>+'SERVICIO FAENA'!C181</f>
        <v>0</v>
      </c>
      <c r="E182" s="7">
        <f>+'SERVICIO FAENA'!H181</f>
        <v>0</v>
      </c>
      <c r="F182" s="6">
        <f>+'SERVICIO FAENA'!F181</f>
        <v>0</v>
      </c>
      <c r="G182" s="7">
        <f>+'SERVICIO FAENA'!J181</f>
        <v>0</v>
      </c>
      <c r="H182" s="7">
        <f>+'SERVICIO DESPOSTE'!W181</f>
        <v>0</v>
      </c>
      <c r="I182" s="36">
        <f t="shared" si="2"/>
        <v>0</v>
      </c>
      <c r="J182" s="8">
        <f>+MENUDENCIAS!I181</f>
        <v>0</v>
      </c>
      <c r="K182" s="8">
        <f>+MENUDENCIAS!O181</f>
        <v>0</v>
      </c>
      <c r="L182" s="8">
        <f>+MENUDENCIAS!P181</f>
        <v>0</v>
      </c>
      <c r="M182" s="7">
        <f>+RENDERING!H180</f>
        <v>0</v>
      </c>
      <c r="N182" s="7">
        <f>+RENDERING!F180</f>
        <v>0</v>
      </c>
      <c r="O182" s="7">
        <f>+RENDERING!J180</f>
        <v>0</v>
      </c>
      <c r="P182" s="7">
        <f>+CUEROS!N183</f>
        <v>0</v>
      </c>
      <c r="Q182" s="7">
        <f>+'GRASA DREASING'!G180</f>
        <v>0</v>
      </c>
    </row>
    <row r="183" spans="2:17" x14ac:dyDescent="0.2">
      <c r="B183" s="5">
        <f>+'SERVICIO FAENA'!A182</f>
        <v>0</v>
      </c>
      <c r="C183" s="5">
        <f>+'SERVICIO FAENA'!B182</f>
        <v>0</v>
      </c>
      <c r="D183" s="5">
        <f>+'SERVICIO FAENA'!C182</f>
        <v>0</v>
      </c>
      <c r="E183" s="7">
        <f>+'SERVICIO FAENA'!H182</f>
        <v>0</v>
      </c>
      <c r="F183" s="6">
        <f>+'SERVICIO FAENA'!F182</f>
        <v>0</v>
      </c>
      <c r="G183" s="7">
        <f>+'SERVICIO FAENA'!J182</f>
        <v>0</v>
      </c>
      <c r="H183" s="7">
        <f>+'SERVICIO DESPOSTE'!W182</f>
        <v>0</v>
      </c>
      <c r="I183" s="36">
        <f t="shared" ref="I183:I246" si="3">+(G183-J183)+K183+M183+N183+O183+P183+Q183+L183+H183</f>
        <v>0</v>
      </c>
      <c r="J183" s="8">
        <f>+MENUDENCIAS!I182</f>
        <v>0</v>
      </c>
      <c r="K183" s="8">
        <f>+MENUDENCIAS!O182</f>
        <v>0</v>
      </c>
      <c r="L183" s="8">
        <f>+MENUDENCIAS!P182</f>
        <v>0</v>
      </c>
      <c r="M183" s="7">
        <f>+RENDERING!H181</f>
        <v>0</v>
      </c>
      <c r="N183" s="7">
        <f>+RENDERING!F181</f>
        <v>0</v>
      </c>
      <c r="O183" s="7">
        <f>+RENDERING!J181</f>
        <v>0</v>
      </c>
      <c r="P183" s="7">
        <f>+CUEROS!N184</f>
        <v>0</v>
      </c>
      <c r="Q183" s="7">
        <f>+'GRASA DREASING'!G181</f>
        <v>0</v>
      </c>
    </row>
    <row r="184" spans="2:17" x14ac:dyDescent="0.2">
      <c r="B184" s="5">
        <f>+'SERVICIO FAENA'!A183</f>
        <v>0</v>
      </c>
      <c r="C184" s="5">
        <f>+'SERVICIO FAENA'!B183</f>
        <v>0</v>
      </c>
      <c r="D184" s="5">
        <f>+'SERVICIO FAENA'!C183</f>
        <v>0</v>
      </c>
      <c r="E184" s="7">
        <f>+'SERVICIO FAENA'!H183</f>
        <v>0</v>
      </c>
      <c r="F184" s="6">
        <f>+'SERVICIO FAENA'!F183</f>
        <v>0</v>
      </c>
      <c r="G184" s="7">
        <f>+'SERVICIO FAENA'!J183</f>
        <v>0</v>
      </c>
      <c r="H184" s="7">
        <f>+'SERVICIO DESPOSTE'!W183</f>
        <v>0</v>
      </c>
      <c r="I184" s="36">
        <f t="shared" si="3"/>
        <v>0</v>
      </c>
      <c r="J184" s="8">
        <f>+MENUDENCIAS!I183</f>
        <v>0</v>
      </c>
      <c r="K184" s="8">
        <f>+MENUDENCIAS!O183</f>
        <v>0</v>
      </c>
      <c r="L184" s="8">
        <f>+MENUDENCIAS!P183</f>
        <v>0</v>
      </c>
      <c r="M184" s="7">
        <f>+RENDERING!H182</f>
        <v>0</v>
      </c>
      <c r="N184" s="7">
        <f>+RENDERING!F182</f>
        <v>0</v>
      </c>
      <c r="O184" s="7">
        <f>+RENDERING!J182</f>
        <v>0</v>
      </c>
      <c r="P184" s="7">
        <f>+CUEROS!N185</f>
        <v>0</v>
      </c>
      <c r="Q184" s="7">
        <f>+'GRASA DREASING'!G182</f>
        <v>0</v>
      </c>
    </row>
    <row r="185" spans="2:17" x14ac:dyDescent="0.2">
      <c r="B185" s="5">
        <f>+'SERVICIO FAENA'!A184</f>
        <v>0</v>
      </c>
      <c r="C185" s="5">
        <f>+'SERVICIO FAENA'!B184</f>
        <v>0</v>
      </c>
      <c r="D185" s="5">
        <f>+'SERVICIO FAENA'!C184</f>
        <v>0</v>
      </c>
      <c r="E185" s="7">
        <f>+'SERVICIO FAENA'!H184</f>
        <v>0</v>
      </c>
      <c r="F185" s="6">
        <f>+'SERVICIO FAENA'!F184</f>
        <v>0</v>
      </c>
      <c r="G185" s="7">
        <f>+'SERVICIO FAENA'!J184</f>
        <v>0</v>
      </c>
      <c r="H185" s="7">
        <f>+'SERVICIO DESPOSTE'!W184</f>
        <v>0</v>
      </c>
      <c r="I185" s="36">
        <f t="shared" si="3"/>
        <v>0</v>
      </c>
      <c r="J185" s="8">
        <f>+MENUDENCIAS!I184</f>
        <v>0</v>
      </c>
      <c r="K185" s="8">
        <f>+MENUDENCIAS!O184</f>
        <v>0</v>
      </c>
      <c r="L185" s="8">
        <f>+MENUDENCIAS!P184</f>
        <v>0</v>
      </c>
      <c r="M185" s="7">
        <f>+RENDERING!H183</f>
        <v>0</v>
      </c>
      <c r="N185" s="7">
        <f>+RENDERING!F183</f>
        <v>0</v>
      </c>
      <c r="O185" s="7">
        <f>+RENDERING!J183</f>
        <v>0</v>
      </c>
      <c r="P185" s="7">
        <f>+CUEROS!N186</f>
        <v>0</v>
      </c>
      <c r="Q185" s="7">
        <f>+'GRASA DREASING'!G183</f>
        <v>0</v>
      </c>
    </row>
    <row r="186" spans="2:17" x14ac:dyDescent="0.2">
      <c r="B186" s="5">
        <f>+'SERVICIO FAENA'!A185</f>
        <v>0</v>
      </c>
      <c r="C186" s="5">
        <f>+'SERVICIO FAENA'!B185</f>
        <v>0</v>
      </c>
      <c r="D186" s="5">
        <f>+'SERVICIO FAENA'!C185</f>
        <v>0</v>
      </c>
      <c r="E186" s="7">
        <f>+'SERVICIO FAENA'!H185</f>
        <v>0</v>
      </c>
      <c r="F186" s="6">
        <f>+'SERVICIO FAENA'!F185</f>
        <v>0</v>
      </c>
      <c r="G186" s="7">
        <f>+'SERVICIO FAENA'!J185</f>
        <v>0</v>
      </c>
      <c r="H186" s="7">
        <f>+'SERVICIO DESPOSTE'!W185</f>
        <v>0</v>
      </c>
      <c r="I186" s="36">
        <f t="shared" si="3"/>
        <v>0</v>
      </c>
      <c r="J186" s="8">
        <f>+MENUDENCIAS!I185</f>
        <v>0</v>
      </c>
      <c r="K186" s="8">
        <f>+MENUDENCIAS!O185</f>
        <v>0</v>
      </c>
      <c r="L186" s="8">
        <f>+MENUDENCIAS!P185</f>
        <v>0</v>
      </c>
      <c r="M186" s="7">
        <f>+RENDERING!H184</f>
        <v>0</v>
      </c>
      <c r="N186" s="7">
        <f>+RENDERING!F184</f>
        <v>0</v>
      </c>
      <c r="O186" s="7">
        <f>+RENDERING!J184</f>
        <v>0</v>
      </c>
      <c r="P186" s="7">
        <f>+CUEROS!N187</f>
        <v>0</v>
      </c>
      <c r="Q186" s="7">
        <f>+'GRASA DREASING'!G184</f>
        <v>0</v>
      </c>
    </row>
    <row r="187" spans="2:17" x14ac:dyDescent="0.2">
      <c r="B187" s="5">
        <f>+'SERVICIO FAENA'!A186</f>
        <v>0</v>
      </c>
      <c r="C187" s="5">
        <f>+'SERVICIO FAENA'!B186</f>
        <v>0</v>
      </c>
      <c r="D187" s="5">
        <f>+'SERVICIO FAENA'!C186</f>
        <v>0</v>
      </c>
      <c r="E187" s="7">
        <f>+'SERVICIO FAENA'!H186</f>
        <v>0</v>
      </c>
      <c r="F187" s="6">
        <f>+'SERVICIO FAENA'!F186</f>
        <v>0</v>
      </c>
      <c r="G187" s="7">
        <f>+'SERVICIO FAENA'!J186</f>
        <v>0</v>
      </c>
      <c r="H187" s="7">
        <f>+'SERVICIO DESPOSTE'!W186</f>
        <v>0</v>
      </c>
      <c r="I187" s="36">
        <f t="shared" si="3"/>
        <v>0</v>
      </c>
      <c r="J187" s="8">
        <f>+MENUDENCIAS!I186</f>
        <v>0</v>
      </c>
      <c r="K187" s="8">
        <f>+MENUDENCIAS!O186</f>
        <v>0</v>
      </c>
      <c r="L187" s="8">
        <f>+MENUDENCIAS!P186</f>
        <v>0</v>
      </c>
      <c r="M187" s="7">
        <f>+RENDERING!H185</f>
        <v>0</v>
      </c>
      <c r="N187" s="7">
        <f>+RENDERING!F185</f>
        <v>0</v>
      </c>
      <c r="O187" s="7">
        <f>+RENDERING!J185</f>
        <v>0</v>
      </c>
      <c r="P187" s="7">
        <f>+CUEROS!N188</f>
        <v>0</v>
      </c>
      <c r="Q187" s="7">
        <f>+'GRASA DREASING'!G185</f>
        <v>0</v>
      </c>
    </row>
    <row r="188" spans="2:17" x14ac:dyDescent="0.2">
      <c r="B188" s="5">
        <f>+'SERVICIO FAENA'!A187</f>
        <v>0</v>
      </c>
      <c r="C188" s="5">
        <f>+'SERVICIO FAENA'!B187</f>
        <v>0</v>
      </c>
      <c r="D188" s="5">
        <f>+'SERVICIO FAENA'!C187</f>
        <v>0</v>
      </c>
      <c r="E188" s="7">
        <f>+'SERVICIO FAENA'!H187</f>
        <v>0</v>
      </c>
      <c r="F188" s="6">
        <f>+'SERVICIO FAENA'!F187</f>
        <v>0</v>
      </c>
      <c r="G188" s="7">
        <f>+'SERVICIO FAENA'!J187</f>
        <v>0</v>
      </c>
      <c r="H188" s="7">
        <f>+'SERVICIO DESPOSTE'!W187</f>
        <v>0</v>
      </c>
      <c r="I188" s="36">
        <f t="shared" si="3"/>
        <v>0</v>
      </c>
      <c r="J188" s="8">
        <f>+MENUDENCIAS!I187</f>
        <v>0</v>
      </c>
      <c r="K188" s="8">
        <f>+MENUDENCIAS!O187</f>
        <v>0</v>
      </c>
      <c r="L188" s="8">
        <f>+MENUDENCIAS!P187</f>
        <v>0</v>
      </c>
      <c r="M188" s="7">
        <f>+RENDERING!H186</f>
        <v>0</v>
      </c>
      <c r="N188" s="7">
        <f>+RENDERING!F186</f>
        <v>0</v>
      </c>
      <c r="O188" s="7">
        <f>+RENDERING!J186</f>
        <v>0</v>
      </c>
      <c r="P188" s="7">
        <f>+CUEROS!N189</f>
        <v>0</v>
      </c>
      <c r="Q188" s="7">
        <f>+'GRASA DREASING'!G186</f>
        <v>0</v>
      </c>
    </row>
    <row r="189" spans="2:17" x14ac:dyDescent="0.2">
      <c r="B189" s="5">
        <f>+'SERVICIO FAENA'!A188</f>
        <v>0</v>
      </c>
      <c r="C189" s="5">
        <f>+'SERVICIO FAENA'!B188</f>
        <v>0</v>
      </c>
      <c r="D189" s="5">
        <f>+'SERVICIO FAENA'!C188</f>
        <v>0</v>
      </c>
      <c r="E189" s="7">
        <f>+'SERVICIO FAENA'!H188</f>
        <v>0</v>
      </c>
      <c r="F189" s="6">
        <f>+'SERVICIO FAENA'!F188</f>
        <v>0</v>
      </c>
      <c r="G189" s="7">
        <f>+'SERVICIO FAENA'!J188</f>
        <v>0</v>
      </c>
      <c r="H189" s="7">
        <f>+'SERVICIO DESPOSTE'!W188</f>
        <v>0</v>
      </c>
      <c r="I189" s="36">
        <f t="shared" si="3"/>
        <v>0</v>
      </c>
      <c r="J189" s="8">
        <f>+MENUDENCIAS!I188</f>
        <v>0</v>
      </c>
      <c r="K189" s="8">
        <f>+MENUDENCIAS!O188</f>
        <v>0</v>
      </c>
      <c r="L189" s="8">
        <f>+MENUDENCIAS!P188</f>
        <v>0</v>
      </c>
      <c r="M189" s="7">
        <f>+RENDERING!H187</f>
        <v>0</v>
      </c>
      <c r="N189" s="7">
        <f>+RENDERING!F187</f>
        <v>0</v>
      </c>
      <c r="O189" s="7">
        <f>+RENDERING!J187</f>
        <v>0</v>
      </c>
      <c r="P189" s="7">
        <f>+CUEROS!N190</f>
        <v>0</v>
      </c>
      <c r="Q189" s="7">
        <f>+'GRASA DREASING'!G187</f>
        <v>0</v>
      </c>
    </row>
    <row r="190" spans="2:17" x14ac:dyDescent="0.2">
      <c r="B190" s="5">
        <f>+'SERVICIO FAENA'!A189</f>
        <v>0</v>
      </c>
      <c r="C190" s="5">
        <f>+'SERVICIO FAENA'!B189</f>
        <v>0</v>
      </c>
      <c r="D190" s="5">
        <f>+'SERVICIO FAENA'!C189</f>
        <v>0</v>
      </c>
      <c r="E190" s="7">
        <f>+'SERVICIO FAENA'!H189</f>
        <v>0</v>
      </c>
      <c r="F190" s="6">
        <f>+'SERVICIO FAENA'!F189</f>
        <v>0</v>
      </c>
      <c r="G190" s="7">
        <f>+'SERVICIO FAENA'!J189</f>
        <v>0</v>
      </c>
      <c r="H190" s="7">
        <f>+'SERVICIO DESPOSTE'!W189</f>
        <v>0</v>
      </c>
      <c r="I190" s="36">
        <f t="shared" si="3"/>
        <v>0</v>
      </c>
      <c r="J190" s="8">
        <f>+MENUDENCIAS!I189</f>
        <v>0</v>
      </c>
      <c r="K190" s="8">
        <f>+MENUDENCIAS!O189</f>
        <v>0</v>
      </c>
      <c r="L190" s="8">
        <f>+MENUDENCIAS!P189</f>
        <v>0</v>
      </c>
      <c r="M190" s="7">
        <f>+RENDERING!H188</f>
        <v>0</v>
      </c>
      <c r="N190" s="7">
        <f>+RENDERING!F188</f>
        <v>0</v>
      </c>
      <c r="O190" s="7">
        <f>+RENDERING!J188</f>
        <v>0</v>
      </c>
      <c r="P190" s="7">
        <f>+CUEROS!N191</f>
        <v>0</v>
      </c>
      <c r="Q190" s="7">
        <f>+'GRASA DREASING'!G188</f>
        <v>0</v>
      </c>
    </row>
    <row r="191" spans="2:17" x14ac:dyDescent="0.2">
      <c r="B191" s="5">
        <f>+'SERVICIO FAENA'!A190</f>
        <v>0</v>
      </c>
      <c r="C191" s="5">
        <f>+'SERVICIO FAENA'!B190</f>
        <v>0</v>
      </c>
      <c r="D191" s="5">
        <f>+'SERVICIO FAENA'!C190</f>
        <v>0</v>
      </c>
      <c r="E191" s="7">
        <f>+'SERVICIO FAENA'!H190</f>
        <v>0</v>
      </c>
      <c r="F191" s="6">
        <f>+'SERVICIO FAENA'!F190</f>
        <v>0</v>
      </c>
      <c r="G191" s="7">
        <f>+'SERVICIO FAENA'!J190</f>
        <v>0</v>
      </c>
      <c r="H191" s="7">
        <f>+'SERVICIO DESPOSTE'!W190</f>
        <v>0</v>
      </c>
      <c r="I191" s="36">
        <f t="shared" si="3"/>
        <v>0</v>
      </c>
      <c r="J191" s="8">
        <f>+MENUDENCIAS!I190</f>
        <v>0</v>
      </c>
      <c r="K191" s="8">
        <f>+MENUDENCIAS!O190</f>
        <v>0</v>
      </c>
      <c r="L191" s="8">
        <f>+MENUDENCIAS!P190</f>
        <v>0</v>
      </c>
      <c r="M191" s="7">
        <f>+RENDERING!H189</f>
        <v>0</v>
      </c>
      <c r="N191" s="7">
        <f>+RENDERING!F189</f>
        <v>0</v>
      </c>
      <c r="O191" s="7">
        <f>+RENDERING!J189</f>
        <v>0</v>
      </c>
      <c r="P191" s="7">
        <f>+CUEROS!N192</f>
        <v>0</v>
      </c>
      <c r="Q191" s="7">
        <f>+'GRASA DREASING'!G189</f>
        <v>0</v>
      </c>
    </row>
    <row r="192" spans="2:17" x14ac:dyDescent="0.2">
      <c r="B192" s="5">
        <f>+'SERVICIO FAENA'!A191</f>
        <v>0</v>
      </c>
      <c r="C192" s="5">
        <f>+'SERVICIO FAENA'!B191</f>
        <v>0</v>
      </c>
      <c r="D192" s="5">
        <f>+'SERVICIO FAENA'!C191</f>
        <v>0</v>
      </c>
      <c r="E192" s="7">
        <f>+'SERVICIO FAENA'!H191</f>
        <v>0</v>
      </c>
      <c r="F192" s="6">
        <f>+'SERVICIO FAENA'!F191</f>
        <v>0</v>
      </c>
      <c r="G192" s="7">
        <f>+'SERVICIO FAENA'!J191</f>
        <v>0</v>
      </c>
      <c r="H192" s="7">
        <f>+'SERVICIO DESPOSTE'!W191</f>
        <v>0</v>
      </c>
      <c r="I192" s="36">
        <f t="shared" si="3"/>
        <v>0</v>
      </c>
      <c r="J192" s="8">
        <f>+MENUDENCIAS!I191</f>
        <v>0</v>
      </c>
      <c r="K192" s="8">
        <f>+MENUDENCIAS!O191</f>
        <v>0</v>
      </c>
      <c r="L192" s="8">
        <f>+MENUDENCIAS!P191</f>
        <v>0</v>
      </c>
      <c r="M192" s="7">
        <f>+RENDERING!H190</f>
        <v>0</v>
      </c>
      <c r="N192" s="7">
        <f>+RENDERING!F190</f>
        <v>0</v>
      </c>
      <c r="O192" s="7">
        <f>+RENDERING!J190</f>
        <v>0</v>
      </c>
      <c r="P192" s="7">
        <f>+CUEROS!N193</f>
        <v>0</v>
      </c>
      <c r="Q192" s="7">
        <f>+'GRASA DREASING'!G190</f>
        <v>0</v>
      </c>
    </row>
    <row r="193" spans="2:17" x14ac:dyDescent="0.2">
      <c r="B193" s="5">
        <f>+'SERVICIO FAENA'!A192</f>
        <v>0</v>
      </c>
      <c r="C193" s="5">
        <f>+'SERVICIO FAENA'!B192</f>
        <v>0</v>
      </c>
      <c r="D193" s="5">
        <f>+'SERVICIO FAENA'!C192</f>
        <v>0</v>
      </c>
      <c r="E193" s="7">
        <f>+'SERVICIO FAENA'!H192</f>
        <v>0</v>
      </c>
      <c r="F193" s="6">
        <f>+'SERVICIO FAENA'!F192</f>
        <v>0</v>
      </c>
      <c r="G193" s="7">
        <f>+'SERVICIO FAENA'!J192</f>
        <v>0</v>
      </c>
      <c r="H193" s="7">
        <f>+'SERVICIO DESPOSTE'!W192</f>
        <v>0</v>
      </c>
      <c r="I193" s="36">
        <f t="shared" si="3"/>
        <v>0</v>
      </c>
      <c r="J193" s="8">
        <f>+MENUDENCIAS!I192</f>
        <v>0</v>
      </c>
      <c r="K193" s="8">
        <f>+MENUDENCIAS!O192</f>
        <v>0</v>
      </c>
      <c r="L193" s="8">
        <f>+MENUDENCIAS!P192</f>
        <v>0</v>
      </c>
      <c r="M193" s="7">
        <f>+RENDERING!H191</f>
        <v>0</v>
      </c>
      <c r="N193" s="7">
        <f>+RENDERING!F191</f>
        <v>0</v>
      </c>
      <c r="O193" s="7">
        <f>+RENDERING!J191</f>
        <v>0</v>
      </c>
      <c r="P193" s="7">
        <f>+CUEROS!N194</f>
        <v>0</v>
      </c>
      <c r="Q193" s="7">
        <f>+'GRASA DREASING'!G191</f>
        <v>0</v>
      </c>
    </row>
    <row r="194" spans="2:17" x14ac:dyDescent="0.2">
      <c r="B194" s="5">
        <f>+'SERVICIO FAENA'!A193</f>
        <v>0</v>
      </c>
      <c r="C194" s="5">
        <f>+'SERVICIO FAENA'!B193</f>
        <v>0</v>
      </c>
      <c r="D194" s="5">
        <f>+'SERVICIO FAENA'!C193</f>
        <v>0</v>
      </c>
      <c r="E194" s="7">
        <f>+'SERVICIO FAENA'!H193</f>
        <v>0</v>
      </c>
      <c r="F194" s="6">
        <f>+'SERVICIO FAENA'!F193</f>
        <v>0</v>
      </c>
      <c r="G194" s="7">
        <f>+'SERVICIO FAENA'!J193</f>
        <v>0</v>
      </c>
      <c r="H194" s="7">
        <f>+'SERVICIO DESPOSTE'!W193</f>
        <v>0</v>
      </c>
      <c r="I194" s="36">
        <f t="shared" si="3"/>
        <v>0</v>
      </c>
      <c r="J194" s="8">
        <f>+MENUDENCIAS!I193</f>
        <v>0</v>
      </c>
      <c r="K194" s="8">
        <f>+MENUDENCIAS!O193</f>
        <v>0</v>
      </c>
      <c r="L194" s="8">
        <f>+MENUDENCIAS!P193</f>
        <v>0</v>
      </c>
      <c r="M194" s="7">
        <f>+RENDERING!H192</f>
        <v>0</v>
      </c>
      <c r="N194" s="7">
        <f>+RENDERING!F192</f>
        <v>0</v>
      </c>
      <c r="O194" s="7">
        <f>+RENDERING!J192</f>
        <v>0</v>
      </c>
      <c r="P194" s="7">
        <f>+CUEROS!N195</f>
        <v>0</v>
      </c>
      <c r="Q194" s="7">
        <f>+'GRASA DREASING'!G192</f>
        <v>0</v>
      </c>
    </row>
    <row r="195" spans="2:17" x14ac:dyDescent="0.2">
      <c r="B195" s="5">
        <f>+'SERVICIO FAENA'!A194</f>
        <v>0</v>
      </c>
      <c r="C195" s="5">
        <f>+'SERVICIO FAENA'!B194</f>
        <v>0</v>
      </c>
      <c r="D195" s="5">
        <f>+'SERVICIO FAENA'!C194</f>
        <v>0</v>
      </c>
      <c r="E195" s="7">
        <f>+'SERVICIO FAENA'!H194</f>
        <v>0</v>
      </c>
      <c r="F195" s="6">
        <f>+'SERVICIO FAENA'!F194</f>
        <v>0</v>
      </c>
      <c r="G195" s="7">
        <f>+'SERVICIO FAENA'!J194</f>
        <v>0</v>
      </c>
      <c r="H195" s="7">
        <f>+'SERVICIO DESPOSTE'!W194</f>
        <v>0</v>
      </c>
      <c r="I195" s="36">
        <f t="shared" si="3"/>
        <v>0</v>
      </c>
      <c r="J195" s="8">
        <f>+MENUDENCIAS!I194</f>
        <v>0</v>
      </c>
      <c r="K195" s="8">
        <f>+MENUDENCIAS!O194</f>
        <v>0</v>
      </c>
      <c r="L195" s="8">
        <f>+MENUDENCIAS!P194</f>
        <v>0</v>
      </c>
      <c r="M195" s="7">
        <f>+RENDERING!H193</f>
        <v>0</v>
      </c>
      <c r="N195" s="7">
        <f>+RENDERING!F193</f>
        <v>0</v>
      </c>
      <c r="O195" s="7">
        <f>+RENDERING!J193</f>
        <v>0</v>
      </c>
      <c r="P195" s="7">
        <f>+CUEROS!N196</f>
        <v>0</v>
      </c>
      <c r="Q195" s="7">
        <f>+'GRASA DREASING'!G193</f>
        <v>0</v>
      </c>
    </row>
    <row r="196" spans="2:17" x14ac:dyDescent="0.2">
      <c r="B196" s="5">
        <f>+'SERVICIO FAENA'!A195</f>
        <v>0</v>
      </c>
      <c r="C196" s="5">
        <f>+'SERVICIO FAENA'!B195</f>
        <v>0</v>
      </c>
      <c r="D196" s="5">
        <f>+'SERVICIO FAENA'!C195</f>
        <v>0</v>
      </c>
      <c r="E196" s="7">
        <f>+'SERVICIO FAENA'!H195</f>
        <v>0</v>
      </c>
      <c r="F196" s="6">
        <f>+'SERVICIO FAENA'!F195</f>
        <v>0</v>
      </c>
      <c r="G196" s="7">
        <f>+'SERVICIO FAENA'!J195</f>
        <v>0</v>
      </c>
      <c r="H196" s="7">
        <f>+'SERVICIO DESPOSTE'!W195</f>
        <v>0</v>
      </c>
      <c r="I196" s="36">
        <f t="shared" si="3"/>
        <v>0</v>
      </c>
      <c r="J196" s="8">
        <f>+MENUDENCIAS!I195</f>
        <v>0</v>
      </c>
      <c r="K196" s="8">
        <f>+MENUDENCIAS!O195</f>
        <v>0</v>
      </c>
      <c r="L196" s="8">
        <f>+MENUDENCIAS!P195</f>
        <v>0</v>
      </c>
      <c r="M196" s="7">
        <f>+RENDERING!H194</f>
        <v>0</v>
      </c>
      <c r="N196" s="7">
        <f>+RENDERING!F194</f>
        <v>0</v>
      </c>
      <c r="O196" s="7">
        <f>+RENDERING!J194</f>
        <v>0</v>
      </c>
      <c r="P196" s="7">
        <f>+CUEROS!N197</f>
        <v>0</v>
      </c>
      <c r="Q196" s="7">
        <f>+'GRASA DREASING'!G194</f>
        <v>0</v>
      </c>
    </row>
    <row r="197" spans="2:17" x14ac:dyDescent="0.2">
      <c r="B197" s="5">
        <f>+'SERVICIO FAENA'!A196</f>
        <v>0</v>
      </c>
      <c r="C197" s="5">
        <f>+'SERVICIO FAENA'!B196</f>
        <v>0</v>
      </c>
      <c r="D197" s="5">
        <f>+'SERVICIO FAENA'!C196</f>
        <v>0</v>
      </c>
      <c r="E197" s="7">
        <f>+'SERVICIO FAENA'!H196</f>
        <v>0</v>
      </c>
      <c r="F197" s="6">
        <f>+'SERVICIO FAENA'!F196</f>
        <v>0</v>
      </c>
      <c r="G197" s="7">
        <f>+'SERVICIO FAENA'!J196</f>
        <v>0</v>
      </c>
      <c r="H197" s="7">
        <f>+'SERVICIO DESPOSTE'!W196</f>
        <v>0</v>
      </c>
      <c r="I197" s="36">
        <f t="shared" si="3"/>
        <v>0</v>
      </c>
      <c r="J197" s="8">
        <f>+MENUDENCIAS!I196</f>
        <v>0</v>
      </c>
      <c r="K197" s="8">
        <f>+MENUDENCIAS!O196</f>
        <v>0</v>
      </c>
      <c r="L197" s="8">
        <f>+MENUDENCIAS!P196</f>
        <v>0</v>
      </c>
      <c r="M197" s="7">
        <f>+RENDERING!H195</f>
        <v>0</v>
      </c>
      <c r="N197" s="7">
        <f>+RENDERING!F195</f>
        <v>0</v>
      </c>
      <c r="O197" s="7">
        <f>+RENDERING!J195</f>
        <v>0</v>
      </c>
      <c r="P197" s="7">
        <f>+CUEROS!N198</f>
        <v>0</v>
      </c>
      <c r="Q197" s="7">
        <f>+'GRASA DREASING'!G195</f>
        <v>0</v>
      </c>
    </row>
    <row r="198" spans="2:17" x14ac:dyDescent="0.2">
      <c r="B198" s="5">
        <f>+'SERVICIO FAENA'!A197</f>
        <v>0</v>
      </c>
      <c r="C198" s="5">
        <f>+'SERVICIO FAENA'!B197</f>
        <v>0</v>
      </c>
      <c r="D198" s="5">
        <f>+'SERVICIO FAENA'!C197</f>
        <v>0</v>
      </c>
      <c r="E198" s="7">
        <f>+'SERVICIO FAENA'!H197</f>
        <v>0</v>
      </c>
      <c r="F198" s="6">
        <f>+'SERVICIO FAENA'!F197</f>
        <v>0</v>
      </c>
      <c r="G198" s="7">
        <f>+'SERVICIO FAENA'!J197</f>
        <v>0</v>
      </c>
      <c r="H198" s="7">
        <f>+'SERVICIO DESPOSTE'!W197</f>
        <v>0</v>
      </c>
      <c r="I198" s="36">
        <f t="shared" si="3"/>
        <v>0</v>
      </c>
      <c r="J198" s="8">
        <f>+MENUDENCIAS!I197</f>
        <v>0</v>
      </c>
      <c r="K198" s="8">
        <f>+MENUDENCIAS!O197</f>
        <v>0</v>
      </c>
      <c r="L198" s="8">
        <f>+MENUDENCIAS!P197</f>
        <v>0</v>
      </c>
      <c r="M198" s="7">
        <f>+RENDERING!H196</f>
        <v>0</v>
      </c>
      <c r="N198" s="7">
        <f>+RENDERING!F196</f>
        <v>0</v>
      </c>
      <c r="O198" s="7">
        <f>+RENDERING!J196</f>
        <v>0</v>
      </c>
      <c r="P198" s="7">
        <f>+CUEROS!N199</f>
        <v>0</v>
      </c>
      <c r="Q198" s="7">
        <f>+'GRASA DREASING'!G196</f>
        <v>0</v>
      </c>
    </row>
    <row r="199" spans="2:17" x14ac:dyDescent="0.2">
      <c r="B199" s="5">
        <f>+'SERVICIO FAENA'!A198</f>
        <v>0</v>
      </c>
      <c r="C199" s="5">
        <f>+'SERVICIO FAENA'!B198</f>
        <v>0</v>
      </c>
      <c r="D199" s="5">
        <f>+'SERVICIO FAENA'!C198</f>
        <v>0</v>
      </c>
      <c r="E199" s="7">
        <f>+'SERVICIO FAENA'!H198</f>
        <v>0</v>
      </c>
      <c r="F199" s="6">
        <f>+'SERVICIO FAENA'!F198</f>
        <v>0</v>
      </c>
      <c r="G199" s="7">
        <f>+'SERVICIO FAENA'!J198</f>
        <v>0</v>
      </c>
      <c r="H199" s="7">
        <f>+'SERVICIO DESPOSTE'!W198</f>
        <v>0</v>
      </c>
      <c r="I199" s="36">
        <f t="shared" si="3"/>
        <v>0</v>
      </c>
      <c r="J199" s="8">
        <f>+MENUDENCIAS!I198</f>
        <v>0</v>
      </c>
      <c r="K199" s="8">
        <f>+MENUDENCIAS!O198</f>
        <v>0</v>
      </c>
      <c r="L199" s="8">
        <f>+MENUDENCIAS!P198</f>
        <v>0</v>
      </c>
      <c r="M199" s="7">
        <f>+RENDERING!H197</f>
        <v>0</v>
      </c>
      <c r="N199" s="7">
        <f>+RENDERING!F197</f>
        <v>0</v>
      </c>
      <c r="O199" s="7">
        <f>+RENDERING!J197</f>
        <v>0</v>
      </c>
      <c r="P199" s="7">
        <f>+CUEROS!N200</f>
        <v>0</v>
      </c>
      <c r="Q199" s="7">
        <f>+'GRASA DREASING'!G197</f>
        <v>0</v>
      </c>
    </row>
    <row r="200" spans="2:17" x14ac:dyDescent="0.2">
      <c r="B200" s="5">
        <f>+'SERVICIO FAENA'!A199</f>
        <v>0</v>
      </c>
      <c r="C200" s="5">
        <f>+'SERVICIO FAENA'!B199</f>
        <v>0</v>
      </c>
      <c r="D200" s="5">
        <f>+'SERVICIO FAENA'!C199</f>
        <v>0</v>
      </c>
      <c r="E200" s="7">
        <f>+'SERVICIO FAENA'!H199</f>
        <v>0</v>
      </c>
      <c r="F200" s="6">
        <f>+'SERVICIO FAENA'!F199</f>
        <v>0</v>
      </c>
      <c r="G200" s="7">
        <f>+'SERVICIO FAENA'!J199</f>
        <v>0</v>
      </c>
      <c r="H200" s="7">
        <f>+'SERVICIO DESPOSTE'!W199</f>
        <v>0</v>
      </c>
      <c r="I200" s="36">
        <f t="shared" si="3"/>
        <v>0</v>
      </c>
      <c r="J200" s="8">
        <f>+MENUDENCIAS!I199</f>
        <v>0</v>
      </c>
      <c r="K200" s="8">
        <f>+MENUDENCIAS!O199</f>
        <v>0</v>
      </c>
      <c r="L200" s="8">
        <f>+MENUDENCIAS!P199</f>
        <v>0</v>
      </c>
      <c r="M200" s="7">
        <f>+RENDERING!H198</f>
        <v>0</v>
      </c>
      <c r="N200" s="7">
        <f>+RENDERING!F198</f>
        <v>0</v>
      </c>
      <c r="O200" s="7">
        <f>+RENDERING!J198</f>
        <v>0</v>
      </c>
      <c r="P200" s="7">
        <f>+CUEROS!N201</f>
        <v>0</v>
      </c>
      <c r="Q200" s="7">
        <f>+'GRASA DREASING'!G198</f>
        <v>0</v>
      </c>
    </row>
    <row r="201" spans="2:17" x14ac:dyDescent="0.2">
      <c r="B201" s="5">
        <f>+'SERVICIO FAENA'!A200</f>
        <v>0</v>
      </c>
      <c r="C201" s="5">
        <f>+'SERVICIO FAENA'!B200</f>
        <v>0</v>
      </c>
      <c r="D201" s="5">
        <f>+'SERVICIO FAENA'!C200</f>
        <v>0</v>
      </c>
      <c r="E201" s="7">
        <f>+'SERVICIO FAENA'!H200</f>
        <v>0</v>
      </c>
      <c r="F201" s="6">
        <f>+'SERVICIO FAENA'!F200</f>
        <v>0</v>
      </c>
      <c r="G201" s="7">
        <f>+'SERVICIO FAENA'!J200</f>
        <v>0</v>
      </c>
      <c r="H201" s="7">
        <f>+'SERVICIO DESPOSTE'!W200</f>
        <v>0</v>
      </c>
      <c r="I201" s="36">
        <f t="shared" si="3"/>
        <v>0</v>
      </c>
      <c r="J201" s="8">
        <f>+MENUDENCIAS!I200</f>
        <v>0</v>
      </c>
      <c r="K201" s="8">
        <f>+MENUDENCIAS!O200</f>
        <v>0</v>
      </c>
      <c r="L201" s="8">
        <f>+MENUDENCIAS!P200</f>
        <v>0</v>
      </c>
      <c r="M201" s="7">
        <f>+RENDERING!H199</f>
        <v>0</v>
      </c>
      <c r="N201" s="7">
        <f>+RENDERING!F199</f>
        <v>0</v>
      </c>
      <c r="O201" s="7">
        <f>+RENDERING!J199</f>
        <v>0</v>
      </c>
      <c r="P201" s="7">
        <f>+CUEROS!N202</f>
        <v>0</v>
      </c>
      <c r="Q201" s="7">
        <f>+'GRASA DREASING'!G199</f>
        <v>0</v>
      </c>
    </row>
    <row r="202" spans="2:17" x14ac:dyDescent="0.2">
      <c r="B202" s="5">
        <f>+'SERVICIO FAENA'!A201</f>
        <v>0</v>
      </c>
      <c r="C202" s="5">
        <f>+'SERVICIO FAENA'!B201</f>
        <v>0</v>
      </c>
      <c r="D202" s="5">
        <f>+'SERVICIO FAENA'!C201</f>
        <v>0</v>
      </c>
      <c r="E202" s="7">
        <f>+'SERVICIO FAENA'!H201</f>
        <v>0</v>
      </c>
      <c r="F202" s="6">
        <f>+'SERVICIO FAENA'!F201</f>
        <v>0</v>
      </c>
      <c r="G202" s="7">
        <f>+'SERVICIO FAENA'!J201</f>
        <v>0</v>
      </c>
      <c r="H202" s="7">
        <f>+'SERVICIO DESPOSTE'!W201</f>
        <v>0</v>
      </c>
      <c r="I202" s="36">
        <f t="shared" si="3"/>
        <v>0</v>
      </c>
      <c r="J202" s="8">
        <f>+MENUDENCIAS!I201</f>
        <v>0</v>
      </c>
      <c r="K202" s="8">
        <f>+MENUDENCIAS!O201</f>
        <v>0</v>
      </c>
      <c r="L202" s="8">
        <f>+MENUDENCIAS!P201</f>
        <v>0</v>
      </c>
      <c r="M202" s="7">
        <f>+RENDERING!H200</f>
        <v>0</v>
      </c>
      <c r="N202" s="7">
        <f>+RENDERING!F200</f>
        <v>0</v>
      </c>
      <c r="O202" s="7">
        <f>+RENDERING!J200</f>
        <v>0</v>
      </c>
      <c r="P202" s="7">
        <f>+CUEROS!N203</f>
        <v>0</v>
      </c>
      <c r="Q202" s="7">
        <f>+'GRASA DREASING'!G200</f>
        <v>0</v>
      </c>
    </row>
    <row r="203" spans="2:17" x14ac:dyDescent="0.2">
      <c r="B203" s="5">
        <f>+'SERVICIO FAENA'!A202</f>
        <v>0</v>
      </c>
      <c r="C203" s="5">
        <f>+'SERVICIO FAENA'!B202</f>
        <v>0</v>
      </c>
      <c r="D203" s="5">
        <f>+'SERVICIO FAENA'!C202</f>
        <v>0</v>
      </c>
      <c r="E203" s="7">
        <f>+'SERVICIO FAENA'!H202</f>
        <v>0</v>
      </c>
      <c r="F203" s="6">
        <f>+'SERVICIO FAENA'!F202</f>
        <v>0</v>
      </c>
      <c r="G203" s="7">
        <f>+'SERVICIO FAENA'!J202</f>
        <v>0</v>
      </c>
      <c r="H203" s="7">
        <f>+'SERVICIO DESPOSTE'!W202</f>
        <v>0</v>
      </c>
      <c r="I203" s="36">
        <f t="shared" si="3"/>
        <v>0</v>
      </c>
      <c r="J203" s="8">
        <f>+MENUDENCIAS!I202</f>
        <v>0</v>
      </c>
      <c r="K203" s="8">
        <f>+MENUDENCIAS!O202</f>
        <v>0</v>
      </c>
      <c r="L203" s="8">
        <f>+MENUDENCIAS!P202</f>
        <v>0</v>
      </c>
      <c r="M203" s="7">
        <f>+RENDERING!H201</f>
        <v>0</v>
      </c>
      <c r="N203" s="7">
        <f>+RENDERING!F201</f>
        <v>0</v>
      </c>
      <c r="O203" s="7">
        <f>+RENDERING!J201</f>
        <v>0</v>
      </c>
      <c r="P203" s="7">
        <f>+CUEROS!N204</f>
        <v>0</v>
      </c>
      <c r="Q203" s="7">
        <f>+'GRASA DREASING'!G201</f>
        <v>0</v>
      </c>
    </row>
    <row r="204" spans="2:17" x14ac:dyDescent="0.2">
      <c r="B204" s="5">
        <f>+'SERVICIO FAENA'!A203</f>
        <v>0</v>
      </c>
      <c r="C204" s="5">
        <f>+'SERVICIO FAENA'!B203</f>
        <v>0</v>
      </c>
      <c r="D204" s="5">
        <f>+'SERVICIO FAENA'!C203</f>
        <v>0</v>
      </c>
      <c r="E204" s="7">
        <f>+'SERVICIO FAENA'!H203</f>
        <v>0</v>
      </c>
      <c r="F204" s="6">
        <f>+'SERVICIO FAENA'!F203</f>
        <v>0</v>
      </c>
      <c r="G204" s="7">
        <f>+'SERVICIO FAENA'!J203</f>
        <v>0</v>
      </c>
      <c r="H204" s="7">
        <f>+'SERVICIO DESPOSTE'!W203</f>
        <v>0</v>
      </c>
      <c r="I204" s="36">
        <f t="shared" si="3"/>
        <v>0</v>
      </c>
      <c r="J204" s="8">
        <f>+MENUDENCIAS!I203</f>
        <v>0</v>
      </c>
      <c r="K204" s="8">
        <f>+MENUDENCIAS!O203</f>
        <v>0</v>
      </c>
      <c r="L204" s="8">
        <f>+MENUDENCIAS!P203</f>
        <v>0</v>
      </c>
      <c r="M204" s="7">
        <f>+RENDERING!H202</f>
        <v>0</v>
      </c>
      <c r="N204" s="7">
        <f>+RENDERING!F202</f>
        <v>0</v>
      </c>
      <c r="O204" s="7">
        <f>+RENDERING!J202</f>
        <v>0</v>
      </c>
      <c r="P204" s="7">
        <f>+CUEROS!N205</f>
        <v>0</v>
      </c>
      <c r="Q204" s="7">
        <f>+'GRASA DREASING'!G202</f>
        <v>0</v>
      </c>
    </row>
    <row r="205" spans="2:17" x14ac:dyDescent="0.2">
      <c r="B205" s="5">
        <f>+'SERVICIO FAENA'!A204</f>
        <v>0</v>
      </c>
      <c r="C205" s="5">
        <f>+'SERVICIO FAENA'!B204</f>
        <v>0</v>
      </c>
      <c r="D205" s="5">
        <f>+'SERVICIO FAENA'!C204</f>
        <v>0</v>
      </c>
      <c r="E205" s="7">
        <f>+'SERVICIO FAENA'!H204</f>
        <v>0</v>
      </c>
      <c r="F205" s="6">
        <f>+'SERVICIO FAENA'!F204</f>
        <v>0</v>
      </c>
      <c r="G205" s="7">
        <f>+'SERVICIO FAENA'!J204</f>
        <v>0</v>
      </c>
      <c r="H205" s="7">
        <f>+'SERVICIO DESPOSTE'!W204</f>
        <v>0</v>
      </c>
      <c r="I205" s="36">
        <f t="shared" si="3"/>
        <v>0</v>
      </c>
      <c r="J205" s="8">
        <f>+MENUDENCIAS!I204</f>
        <v>0</v>
      </c>
      <c r="K205" s="8">
        <f>+MENUDENCIAS!O204</f>
        <v>0</v>
      </c>
      <c r="L205" s="8">
        <f>+MENUDENCIAS!P204</f>
        <v>0</v>
      </c>
      <c r="M205" s="7">
        <f>+RENDERING!H203</f>
        <v>0</v>
      </c>
      <c r="N205" s="7">
        <f>+RENDERING!F203</f>
        <v>0</v>
      </c>
      <c r="O205" s="7">
        <f>+RENDERING!J203</f>
        <v>0</v>
      </c>
      <c r="P205" s="7">
        <f>+CUEROS!N206</f>
        <v>0</v>
      </c>
      <c r="Q205" s="7">
        <f>+'GRASA DREASING'!G203</f>
        <v>0</v>
      </c>
    </row>
    <row r="206" spans="2:17" x14ac:dyDescent="0.2">
      <c r="B206" s="5">
        <f>+'SERVICIO FAENA'!A205</f>
        <v>0</v>
      </c>
      <c r="C206" s="5">
        <f>+'SERVICIO FAENA'!B205</f>
        <v>0</v>
      </c>
      <c r="D206" s="5">
        <f>+'SERVICIO FAENA'!C205</f>
        <v>0</v>
      </c>
      <c r="E206" s="7">
        <f>+'SERVICIO FAENA'!H205</f>
        <v>0</v>
      </c>
      <c r="F206" s="6">
        <f>+'SERVICIO FAENA'!F205</f>
        <v>0</v>
      </c>
      <c r="G206" s="7">
        <f>+'SERVICIO FAENA'!J205</f>
        <v>0</v>
      </c>
      <c r="H206" s="7">
        <f>+'SERVICIO DESPOSTE'!W205</f>
        <v>0</v>
      </c>
      <c r="I206" s="36">
        <f t="shared" si="3"/>
        <v>0</v>
      </c>
      <c r="J206" s="8">
        <f>+MENUDENCIAS!I205</f>
        <v>0</v>
      </c>
      <c r="K206" s="8">
        <f>+MENUDENCIAS!O205</f>
        <v>0</v>
      </c>
      <c r="L206" s="8">
        <f>+MENUDENCIAS!P205</f>
        <v>0</v>
      </c>
      <c r="M206" s="7">
        <f>+RENDERING!H204</f>
        <v>0</v>
      </c>
      <c r="N206" s="7">
        <f>+RENDERING!F204</f>
        <v>0</v>
      </c>
      <c r="O206" s="7">
        <f>+RENDERING!J204</f>
        <v>0</v>
      </c>
      <c r="P206" s="7">
        <f>+CUEROS!N207</f>
        <v>0</v>
      </c>
      <c r="Q206" s="7">
        <f>+'GRASA DREASING'!G204</f>
        <v>0</v>
      </c>
    </row>
    <row r="207" spans="2:17" x14ac:dyDescent="0.2">
      <c r="B207" s="5">
        <f>+'SERVICIO FAENA'!A206</f>
        <v>0</v>
      </c>
      <c r="C207" s="5">
        <f>+'SERVICIO FAENA'!B206</f>
        <v>0</v>
      </c>
      <c r="D207" s="5">
        <f>+'SERVICIO FAENA'!C206</f>
        <v>0</v>
      </c>
      <c r="E207" s="7">
        <f>+'SERVICIO FAENA'!H206</f>
        <v>0</v>
      </c>
      <c r="F207" s="6">
        <f>+'SERVICIO FAENA'!F206</f>
        <v>0</v>
      </c>
      <c r="G207" s="7">
        <f>+'SERVICIO FAENA'!J206</f>
        <v>0</v>
      </c>
      <c r="H207" s="7">
        <f>+'SERVICIO DESPOSTE'!W206</f>
        <v>0</v>
      </c>
      <c r="I207" s="36">
        <f t="shared" si="3"/>
        <v>0</v>
      </c>
      <c r="J207" s="8">
        <f>+MENUDENCIAS!I206</f>
        <v>0</v>
      </c>
      <c r="K207" s="8">
        <f>+MENUDENCIAS!O206</f>
        <v>0</v>
      </c>
      <c r="L207" s="8">
        <f>+MENUDENCIAS!P206</f>
        <v>0</v>
      </c>
      <c r="M207" s="7">
        <f>+RENDERING!H205</f>
        <v>0</v>
      </c>
      <c r="N207" s="7">
        <f>+RENDERING!F205</f>
        <v>0</v>
      </c>
      <c r="O207" s="7">
        <f>+RENDERING!J205</f>
        <v>0</v>
      </c>
      <c r="P207" s="7">
        <f>+CUEROS!N208</f>
        <v>0</v>
      </c>
      <c r="Q207" s="7">
        <f>+'GRASA DREASING'!G205</f>
        <v>0</v>
      </c>
    </row>
    <row r="208" spans="2:17" x14ac:dyDescent="0.2">
      <c r="B208" s="5">
        <f>+'SERVICIO FAENA'!A207</f>
        <v>0</v>
      </c>
      <c r="C208" s="5">
        <f>+'SERVICIO FAENA'!B207</f>
        <v>0</v>
      </c>
      <c r="D208" s="5">
        <f>+'SERVICIO FAENA'!C207</f>
        <v>0</v>
      </c>
      <c r="E208" s="7">
        <f>+'SERVICIO FAENA'!H207</f>
        <v>0</v>
      </c>
      <c r="F208" s="6">
        <f>+'SERVICIO FAENA'!F207</f>
        <v>0</v>
      </c>
      <c r="G208" s="7">
        <f>+'SERVICIO FAENA'!J207</f>
        <v>0</v>
      </c>
      <c r="H208" s="7">
        <f>+'SERVICIO DESPOSTE'!W207</f>
        <v>0</v>
      </c>
      <c r="I208" s="36">
        <f t="shared" si="3"/>
        <v>0</v>
      </c>
      <c r="J208" s="8">
        <f>+MENUDENCIAS!I207</f>
        <v>0</v>
      </c>
      <c r="K208" s="8">
        <f>+MENUDENCIAS!O207</f>
        <v>0</v>
      </c>
      <c r="L208" s="8">
        <f>+MENUDENCIAS!P207</f>
        <v>0</v>
      </c>
      <c r="M208" s="7">
        <f>+RENDERING!H206</f>
        <v>0</v>
      </c>
      <c r="N208" s="7">
        <f>+RENDERING!F206</f>
        <v>0</v>
      </c>
      <c r="O208" s="7">
        <f>+RENDERING!J206</f>
        <v>0</v>
      </c>
      <c r="P208" s="7">
        <f>+CUEROS!N209</f>
        <v>0</v>
      </c>
      <c r="Q208" s="7">
        <f>+'GRASA DREASING'!G206</f>
        <v>0</v>
      </c>
    </row>
    <row r="209" spans="2:17" x14ac:dyDescent="0.2">
      <c r="B209" s="5">
        <f>+'SERVICIO FAENA'!A208</f>
        <v>0</v>
      </c>
      <c r="C209" s="5">
        <f>+'SERVICIO FAENA'!B208</f>
        <v>0</v>
      </c>
      <c r="D209" s="5">
        <f>+'SERVICIO FAENA'!C208</f>
        <v>0</v>
      </c>
      <c r="E209" s="7">
        <f>+'SERVICIO FAENA'!H208</f>
        <v>0</v>
      </c>
      <c r="F209" s="6">
        <f>+'SERVICIO FAENA'!F208</f>
        <v>0</v>
      </c>
      <c r="G209" s="7">
        <f>+'SERVICIO FAENA'!J208</f>
        <v>0</v>
      </c>
      <c r="H209" s="7">
        <f>+'SERVICIO DESPOSTE'!W208</f>
        <v>0</v>
      </c>
      <c r="I209" s="36">
        <f t="shared" si="3"/>
        <v>0</v>
      </c>
      <c r="J209" s="8">
        <f>+MENUDENCIAS!I208</f>
        <v>0</v>
      </c>
      <c r="K209" s="8">
        <f>+MENUDENCIAS!O208</f>
        <v>0</v>
      </c>
      <c r="L209" s="8">
        <f>+MENUDENCIAS!P208</f>
        <v>0</v>
      </c>
      <c r="M209" s="7">
        <f>+RENDERING!H207</f>
        <v>0</v>
      </c>
      <c r="N209" s="7">
        <f>+RENDERING!F207</f>
        <v>0</v>
      </c>
      <c r="O209" s="7">
        <f>+RENDERING!J207</f>
        <v>0</v>
      </c>
      <c r="P209" s="7">
        <f>+CUEROS!N210</f>
        <v>0</v>
      </c>
      <c r="Q209" s="7">
        <f>+'GRASA DREASING'!G207</f>
        <v>0</v>
      </c>
    </row>
    <row r="210" spans="2:17" x14ac:dyDescent="0.2">
      <c r="B210" s="5">
        <f>+'SERVICIO FAENA'!A209</f>
        <v>0</v>
      </c>
      <c r="C210" s="5">
        <f>+'SERVICIO FAENA'!B209</f>
        <v>0</v>
      </c>
      <c r="D210" s="5">
        <f>+'SERVICIO FAENA'!C209</f>
        <v>0</v>
      </c>
      <c r="E210" s="7">
        <f>+'SERVICIO FAENA'!H209</f>
        <v>0</v>
      </c>
      <c r="F210" s="6">
        <f>+'SERVICIO FAENA'!F209</f>
        <v>0</v>
      </c>
      <c r="G210" s="7">
        <f>+'SERVICIO FAENA'!J209</f>
        <v>0</v>
      </c>
      <c r="H210" s="7">
        <f>+'SERVICIO DESPOSTE'!W209</f>
        <v>0</v>
      </c>
      <c r="I210" s="36">
        <f t="shared" si="3"/>
        <v>0</v>
      </c>
      <c r="J210" s="8">
        <f>+MENUDENCIAS!I209</f>
        <v>0</v>
      </c>
      <c r="K210" s="8">
        <f>+MENUDENCIAS!O209</f>
        <v>0</v>
      </c>
      <c r="L210" s="8">
        <f>+MENUDENCIAS!P209</f>
        <v>0</v>
      </c>
      <c r="M210" s="7">
        <f>+RENDERING!H208</f>
        <v>0</v>
      </c>
      <c r="N210" s="7">
        <f>+RENDERING!F208</f>
        <v>0</v>
      </c>
      <c r="O210" s="7">
        <f>+RENDERING!J208</f>
        <v>0</v>
      </c>
      <c r="P210" s="7">
        <f>+CUEROS!N211</f>
        <v>0</v>
      </c>
      <c r="Q210" s="7">
        <f>+'GRASA DREASING'!G208</f>
        <v>0</v>
      </c>
    </row>
    <row r="211" spans="2:17" x14ac:dyDescent="0.2">
      <c r="B211" s="5">
        <f>+'SERVICIO FAENA'!A210</f>
        <v>0</v>
      </c>
      <c r="C211" s="5">
        <f>+'SERVICIO FAENA'!B210</f>
        <v>0</v>
      </c>
      <c r="D211" s="5">
        <f>+'SERVICIO FAENA'!C210</f>
        <v>0</v>
      </c>
      <c r="E211" s="7">
        <f>+'SERVICIO FAENA'!H210</f>
        <v>0</v>
      </c>
      <c r="F211" s="6">
        <f>+'SERVICIO FAENA'!F210</f>
        <v>0</v>
      </c>
      <c r="G211" s="7">
        <f>+'SERVICIO FAENA'!J210</f>
        <v>0</v>
      </c>
      <c r="H211" s="7">
        <f>+'SERVICIO DESPOSTE'!W210</f>
        <v>0</v>
      </c>
      <c r="I211" s="36">
        <f t="shared" si="3"/>
        <v>0</v>
      </c>
      <c r="J211" s="8">
        <f>+MENUDENCIAS!I210</f>
        <v>0</v>
      </c>
      <c r="K211" s="8">
        <f>+MENUDENCIAS!O210</f>
        <v>0</v>
      </c>
      <c r="L211" s="8">
        <f>+MENUDENCIAS!P210</f>
        <v>0</v>
      </c>
      <c r="M211" s="7">
        <f>+RENDERING!H209</f>
        <v>0</v>
      </c>
      <c r="N211" s="7">
        <f>+RENDERING!F209</f>
        <v>0</v>
      </c>
      <c r="O211" s="7">
        <f>+RENDERING!J209</f>
        <v>0</v>
      </c>
      <c r="P211" s="7">
        <f>+CUEROS!N212</f>
        <v>0</v>
      </c>
      <c r="Q211" s="7">
        <f>+'GRASA DREASING'!G209</f>
        <v>0</v>
      </c>
    </row>
    <row r="212" spans="2:17" x14ac:dyDescent="0.2">
      <c r="B212" s="5">
        <f>+'SERVICIO FAENA'!A211</f>
        <v>0</v>
      </c>
      <c r="C212" s="5">
        <f>+'SERVICIO FAENA'!B211</f>
        <v>0</v>
      </c>
      <c r="D212" s="5">
        <f>+'SERVICIO FAENA'!C211</f>
        <v>0</v>
      </c>
      <c r="E212" s="7">
        <f>+'SERVICIO FAENA'!H211</f>
        <v>0</v>
      </c>
      <c r="F212" s="6">
        <f>+'SERVICIO FAENA'!F211</f>
        <v>0</v>
      </c>
      <c r="G212" s="7">
        <f>+'SERVICIO FAENA'!J211</f>
        <v>0</v>
      </c>
      <c r="H212" s="7">
        <f>+'SERVICIO DESPOSTE'!W211</f>
        <v>0</v>
      </c>
      <c r="I212" s="36">
        <f t="shared" si="3"/>
        <v>0</v>
      </c>
      <c r="J212" s="8">
        <f>+MENUDENCIAS!I211</f>
        <v>0</v>
      </c>
      <c r="K212" s="8">
        <f>+MENUDENCIAS!O211</f>
        <v>0</v>
      </c>
      <c r="L212" s="8">
        <f>+MENUDENCIAS!P211</f>
        <v>0</v>
      </c>
      <c r="M212" s="7">
        <f>+RENDERING!H210</f>
        <v>0</v>
      </c>
      <c r="N212" s="7">
        <f>+RENDERING!F210</f>
        <v>0</v>
      </c>
      <c r="O212" s="7">
        <f>+RENDERING!J210</f>
        <v>0</v>
      </c>
      <c r="P212" s="7">
        <f>+CUEROS!N213</f>
        <v>0</v>
      </c>
      <c r="Q212" s="7">
        <f>+'GRASA DREASING'!G210</f>
        <v>0</v>
      </c>
    </row>
    <row r="213" spans="2:17" x14ac:dyDescent="0.2">
      <c r="B213" s="5">
        <f>+'SERVICIO FAENA'!A212</f>
        <v>0</v>
      </c>
      <c r="C213" s="5">
        <f>+'SERVICIO FAENA'!B212</f>
        <v>0</v>
      </c>
      <c r="D213" s="5">
        <f>+'SERVICIO FAENA'!C212</f>
        <v>0</v>
      </c>
      <c r="E213" s="7">
        <f>+'SERVICIO FAENA'!H212</f>
        <v>0</v>
      </c>
      <c r="F213" s="6">
        <f>+'SERVICIO FAENA'!F212</f>
        <v>0</v>
      </c>
      <c r="G213" s="7">
        <f>+'SERVICIO FAENA'!J212</f>
        <v>0</v>
      </c>
      <c r="H213" s="7">
        <f>+'SERVICIO DESPOSTE'!W212</f>
        <v>0</v>
      </c>
      <c r="I213" s="36">
        <f t="shared" si="3"/>
        <v>0</v>
      </c>
      <c r="J213" s="8">
        <f>+MENUDENCIAS!I212</f>
        <v>0</v>
      </c>
      <c r="K213" s="8">
        <f>+MENUDENCIAS!O212</f>
        <v>0</v>
      </c>
      <c r="L213" s="8">
        <f>+MENUDENCIAS!P212</f>
        <v>0</v>
      </c>
      <c r="M213" s="7">
        <f>+RENDERING!H211</f>
        <v>0</v>
      </c>
      <c r="N213" s="7">
        <f>+RENDERING!F211</f>
        <v>0</v>
      </c>
      <c r="O213" s="7">
        <f>+RENDERING!J211</f>
        <v>0</v>
      </c>
      <c r="P213" s="7">
        <f>+CUEROS!N214</f>
        <v>0</v>
      </c>
      <c r="Q213" s="7">
        <f>+'GRASA DREASING'!G211</f>
        <v>0</v>
      </c>
    </row>
    <row r="214" spans="2:17" x14ac:dyDescent="0.2">
      <c r="B214" s="5">
        <f>+'SERVICIO FAENA'!A213</f>
        <v>0</v>
      </c>
      <c r="C214" s="5">
        <f>+'SERVICIO FAENA'!B213</f>
        <v>0</v>
      </c>
      <c r="D214" s="5">
        <f>+'SERVICIO FAENA'!C213</f>
        <v>0</v>
      </c>
      <c r="E214" s="7">
        <f>+'SERVICIO FAENA'!H213</f>
        <v>0</v>
      </c>
      <c r="F214" s="6">
        <f>+'SERVICIO FAENA'!F213</f>
        <v>0</v>
      </c>
      <c r="G214" s="7">
        <f>+'SERVICIO FAENA'!J213</f>
        <v>0</v>
      </c>
      <c r="H214" s="7">
        <f>+'SERVICIO DESPOSTE'!W213</f>
        <v>0</v>
      </c>
      <c r="I214" s="36">
        <f t="shared" si="3"/>
        <v>0</v>
      </c>
      <c r="J214" s="8">
        <f>+MENUDENCIAS!I213</f>
        <v>0</v>
      </c>
      <c r="K214" s="8">
        <f>+MENUDENCIAS!O213</f>
        <v>0</v>
      </c>
      <c r="L214" s="8">
        <f>+MENUDENCIAS!P213</f>
        <v>0</v>
      </c>
      <c r="M214" s="7">
        <f>+RENDERING!H212</f>
        <v>0</v>
      </c>
      <c r="N214" s="7">
        <f>+RENDERING!F212</f>
        <v>0</v>
      </c>
      <c r="O214" s="7">
        <f>+RENDERING!J212</f>
        <v>0</v>
      </c>
      <c r="P214" s="7">
        <f>+CUEROS!N215</f>
        <v>0</v>
      </c>
      <c r="Q214" s="7">
        <f>+'GRASA DREASING'!G212</f>
        <v>0</v>
      </c>
    </row>
    <row r="215" spans="2:17" x14ac:dyDescent="0.2">
      <c r="B215" s="5">
        <f>+'SERVICIO FAENA'!A214</f>
        <v>0</v>
      </c>
      <c r="C215" s="5">
        <f>+'SERVICIO FAENA'!B214</f>
        <v>0</v>
      </c>
      <c r="D215" s="5">
        <f>+'SERVICIO FAENA'!C214</f>
        <v>0</v>
      </c>
      <c r="E215" s="7">
        <f>+'SERVICIO FAENA'!H214</f>
        <v>0</v>
      </c>
      <c r="F215" s="6">
        <f>+'SERVICIO FAENA'!F214</f>
        <v>0</v>
      </c>
      <c r="G215" s="7">
        <f>+'SERVICIO FAENA'!J214</f>
        <v>0</v>
      </c>
      <c r="H215" s="7">
        <f>+'SERVICIO DESPOSTE'!W214</f>
        <v>0</v>
      </c>
      <c r="I215" s="36">
        <f t="shared" si="3"/>
        <v>0</v>
      </c>
      <c r="J215" s="8">
        <f>+MENUDENCIAS!I214</f>
        <v>0</v>
      </c>
      <c r="K215" s="8">
        <f>+MENUDENCIAS!O214</f>
        <v>0</v>
      </c>
      <c r="L215" s="8">
        <f>+MENUDENCIAS!P214</f>
        <v>0</v>
      </c>
      <c r="M215" s="7">
        <f>+RENDERING!H213</f>
        <v>0</v>
      </c>
      <c r="N215" s="7">
        <f>+RENDERING!F213</f>
        <v>0</v>
      </c>
      <c r="O215" s="7">
        <f>+RENDERING!J213</f>
        <v>0</v>
      </c>
      <c r="P215" s="7">
        <f>+CUEROS!N216</f>
        <v>0</v>
      </c>
      <c r="Q215" s="7">
        <f>+'GRASA DREASING'!G213</f>
        <v>0</v>
      </c>
    </row>
    <row r="216" spans="2:17" x14ac:dyDescent="0.2">
      <c r="B216" s="5">
        <f>+'SERVICIO FAENA'!A215</f>
        <v>0</v>
      </c>
      <c r="C216" s="5">
        <f>+'SERVICIO FAENA'!B215</f>
        <v>0</v>
      </c>
      <c r="D216" s="5">
        <f>+'SERVICIO FAENA'!C215</f>
        <v>0</v>
      </c>
      <c r="E216" s="7">
        <f>+'SERVICIO FAENA'!H215</f>
        <v>0</v>
      </c>
      <c r="F216" s="6">
        <f>+'SERVICIO FAENA'!F215</f>
        <v>0</v>
      </c>
      <c r="G216" s="7">
        <f>+'SERVICIO FAENA'!J215</f>
        <v>0</v>
      </c>
      <c r="H216" s="7">
        <f>+'SERVICIO DESPOSTE'!W215</f>
        <v>0</v>
      </c>
      <c r="I216" s="36">
        <f t="shared" si="3"/>
        <v>0</v>
      </c>
      <c r="J216" s="8">
        <f>+MENUDENCIAS!I215</f>
        <v>0</v>
      </c>
      <c r="K216" s="8">
        <f>+MENUDENCIAS!O215</f>
        <v>0</v>
      </c>
      <c r="L216" s="8">
        <f>+MENUDENCIAS!P215</f>
        <v>0</v>
      </c>
      <c r="M216" s="7">
        <f>+RENDERING!H214</f>
        <v>0</v>
      </c>
      <c r="N216" s="7">
        <f>+RENDERING!F214</f>
        <v>0</v>
      </c>
      <c r="O216" s="7">
        <f>+RENDERING!J214</f>
        <v>0</v>
      </c>
      <c r="P216" s="7">
        <f>+CUEROS!N217</f>
        <v>0</v>
      </c>
      <c r="Q216" s="7">
        <f>+'GRASA DREASING'!G214</f>
        <v>0</v>
      </c>
    </row>
    <row r="217" spans="2:17" x14ac:dyDescent="0.2">
      <c r="B217" s="5">
        <f>+'SERVICIO FAENA'!A216</f>
        <v>0</v>
      </c>
      <c r="C217" s="5">
        <f>+'SERVICIO FAENA'!B216</f>
        <v>0</v>
      </c>
      <c r="D217" s="5">
        <f>+'SERVICIO FAENA'!C216</f>
        <v>0</v>
      </c>
      <c r="E217" s="7">
        <f>+'SERVICIO FAENA'!H216</f>
        <v>0</v>
      </c>
      <c r="F217" s="6">
        <f>+'SERVICIO FAENA'!F216</f>
        <v>0</v>
      </c>
      <c r="G217" s="7">
        <f>+'SERVICIO FAENA'!J216</f>
        <v>0</v>
      </c>
      <c r="H217" s="7">
        <f>+'SERVICIO DESPOSTE'!W216</f>
        <v>0</v>
      </c>
      <c r="I217" s="36">
        <f t="shared" si="3"/>
        <v>0</v>
      </c>
      <c r="J217" s="8">
        <f>+MENUDENCIAS!I216</f>
        <v>0</v>
      </c>
      <c r="K217" s="8">
        <f>+MENUDENCIAS!O216</f>
        <v>0</v>
      </c>
      <c r="L217" s="8">
        <f>+MENUDENCIAS!P216</f>
        <v>0</v>
      </c>
      <c r="M217" s="7">
        <f>+RENDERING!H215</f>
        <v>0</v>
      </c>
      <c r="N217" s="7">
        <f>+RENDERING!F215</f>
        <v>0</v>
      </c>
      <c r="O217" s="7">
        <f>+RENDERING!J215</f>
        <v>0</v>
      </c>
      <c r="P217" s="7">
        <f>+CUEROS!N218</f>
        <v>0</v>
      </c>
      <c r="Q217" s="7">
        <f>+'GRASA DREASING'!G215</f>
        <v>0</v>
      </c>
    </row>
    <row r="218" spans="2:17" x14ac:dyDescent="0.2">
      <c r="B218" s="5">
        <f>+'SERVICIO FAENA'!A217</f>
        <v>0</v>
      </c>
      <c r="C218" s="5">
        <f>+'SERVICIO FAENA'!B217</f>
        <v>0</v>
      </c>
      <c r="D218" s="5">
        <f>+'SERVICIO FAENA'!C217</f>
        <v>0</v>
      </c>
      <c r="E218" s="7">
        <f>+'SERVICIO FAENA'!H217</f>
        <v>0</v>
      </c>
      <c r="F218" s="6">
        <f>+'SERVICIO FAENA'!F217</f>
        <v>0</v>
      </c>
      <c r="G218" s="7">
        <f>+'SERVICIO FAENA'!J217</f>
        <v>0</v>
      </c>
      <c r="H218" s="7">
        <f>+'SERVICIO DESPOSTE'!W217</f>
        <v>0</v>
      </c>
      <c r="I218" s="36">
        <f t="shared" si="3"/>
        <v>0</v>
      </c>
      <c r="J218" s="8">
        <f>+MENUDENCIAS!I217</f>
        <v>0</v>
      </c>
      <c r="K218" s="8">
        <f>+MENUDENCIAS!O217</f>
        <v>0</v>
      </c>
      <c r="L218" s="8">
        <f>+MENUDENCIAS!P217</f>
        <v>0</v>
      </c>
      <c r="M218" s="7">
        <f>+RENDERING!H216</f>
        <v>0</v>
      </c>
      <c r="N218" s="7">
        <f>+RENDERING!F216</f>
        <v>0</v>
      </c>
      <c r="O218" s="7">
        <f>+RENDERING!J216</f>
        <v>0</v>
      </c>
      <c r="P218" s="7">
        <f>+CUEROS!N219</f>
        <v>0</v>
      </c>
      <c r="Q218" s="7">
        <f>+'GRASA DREASING'!G216</f>
        <v>0</v>
      </c>
    </row>
    <row r="219" spans="2:17" x14ac:dyDescent="0.2">
      <c r="B219" s="5">
        <f>+'SERVICIO FAENA'!A218</f>
        <v>0</v>
      </c>
      <c r="C219" s="5">
        <f>+'SERVICIO FAENA'!B218</f>
        <v>0</v>
      </c>
      <c r="D219" s="5">
        <f>+'SERVICIO FAENA'!C218</f>
        <v>0</v>
      </c>
      <c r="E219" s="7">
        <f>+'SERVICIO FAENA'!H218</f>
        <v>0</v>
      </c>
      <c r="F219" s="6">
        <f>+'SERVICIO FAENA'!F218</f>
        <v>0</v>
      </c>
      <c r="G219" s="7">
        <f>+'SERVICIO FAENA'!J218</f>
        <v>0</v>
      </c>
      <c r="H219" s="7">
        <f>+'SERVICIO DESPOSTE'!W218</f>
        <v>0</v>
      </c>
      <c r="I219" s="36">
        <f t="shared" si="3"/>
        <v>0</v>
      </c>
      <c r="J219" s="8">
        <f>+MENUDENCIAS!I218</f>
        <v>0</v>
      </c>
      <c r="K219" s="8">
        <f>+MENUDENCIAS!O218</f>
        <v>0</v>
      </c>
      <c r="L219" s="8">
        <f>+MENUDENCIAS!P218</f>
        <v>0</v>
      </c>
      <c r="M219" s="7">
        <f>+RENDERING!H217</f>
        <v>0</v>
      </c>
      <c r="N219" s="7">
        <f>+RENDERING!F217</f>
        <v>0</v>
      </c>
      <c r="O219" s="7">
        <f>+RENDERING!J217</f>
        <v>0</v>
      </c>
      <c r="P219" s="7">
        <f>+CUEROS!N220</f>
        <v>0</v>
      </c>
      <c r="Q219" s="7">
        <f>+'GRASA DREASING'!G217</f>
        <v>0</v>
      </c>
    </row>
    <row r="220" spans="2:17" x14ac:dyDescent="0.2">
      <c r="B220" s="5">
        <f>+'SERVICIO FAENA'!A219</f>
        <v>0</v>
      </c>
      <c r="C220" s="5">
        <f>+'SERVICIO FAENA'!B219</f>
        <v>0</v>
      </c>
      <c r="D220" s="5">
        <f>+'SERVICIO FAENA'!C219</f>
        <v>0</v>
      </c>
      <c r="E220" s="7">
        <f>+'SERVICIO FAENA'!H219</f>
        <v>0</v>
      </c>
      <c r="F220" s="6">
        <f>+'SERVICIO FAENA'!F219</f>
        <v>0</v>
      </c>
      <c r="G220" s="7">
        <f>+'SERVICIO FAENA'!J219</f>
        <v>0</v>
      </c>
      <c r="H220" s="7">
        <f>+'SERVICIO DESPOSTE'!W219</f>
        <v>0</v>
      </c>
      <c r="I220" s="36">
        <f t="shared" si="3"/>
        <v>0</v>
      </c>
      <c r="J220" s="8">
        <f>+MENUDENCIAS!I219</f>
        <v>0</v>
      </c>
      <c r="K220" s="8">
        <f>+MENUDENCIAS!O219</f>
        <v>0</v>
      </c>
      <c r="L220" s="8">
        <f>+MENUDENCIAS!P219</f>
        <v>0</v>
      </c>
      <c r="M220" s="7">
        <f>+RENDERING!H218</f>
        <v>0</v>
      </c>
      <c r="N220" s="7">
        <f>+RENDERING!F218</f>
        <v>0</v>
      </c>
      <c r="O220" s="7">
        <f>+RENDERING!J218</f>
        <v>0</v>
      </c>
      <c r="P220" s="7">
        <f>+CUEROS!N221</f>
        <v>0</v>
      </c>
      <c r="Q220" s="7">
        <f>+'GRASA DREASING'!G218</f>
        <v>0</v>
      </c>
    </row>
    <row r="221" spans="2:17" x14ac:dyDescent="0.2">
      <c r="B221" s="5">
        <f>+'SERVICIO FAENA'!A220</f>
        <v>0</v>
      </c>
      <c r="C221" s="5">
        <f>+'SERVICIO FAENA'!B220</f>
        <v>0</v>
      </c>
      <c r="D221" s="5">
        <f>+'SERVICIO FAENA'!C220</f>
        <v>0</v>
      </c>
      <c r="E221" s="7">
        <f>+'SERVICIO FAENA'!H220</f>
        <v>0</v>
      </c>
      <c r="F221" s="6">
        <f>+'SERVICIO FAENA'!F220</f>
        <v>0</v>
      </c>
      <c r="G221" s="7">
        <f>+'SERVICIO FAENA'!J220</f>
        <v>0</v>
      </c>
      <c r="H221" s="7">
        <f>+'SERVICIO DESPOSTE'!W220</f>
        <v>0</v>
      </c>
      <c r="I221" s="36">
        <f t="shared" si="3"/>
        <v>0</v>
      </c>
      <c r="J221" s="8">
        <f>+MENUDENCIAS!I220</f>
        <v>0</v>
      </c>
      <c r="K221" s="8">
        <f>+MENUDENCIAS!O220</f>
        <v>0</v>
      </c>
      <c r="L221" s="8">
        <f>+MENUDENCIAS!P220</f>
        <v>0</v>
      </c>
      <c r="M221" s="7">
        <f>+RENDERING!H219</f>
        <v>0</v>
      </c>
      <c r="N221" s="7">
        <f>+RENDERING!F219</f>
        <v>0</v>
      </c>
      <c r="O221" s="7">
        <f>+RENDERING!J219</f>
        <v>0</v>
      </c>
      <c r="P221" s="7">
        <f>+CUEROS!N222</f>
        <v>0</v>
      </c>
      <c r="Q221" s="7">
        <f>+'GRASA DREASING'!G219</f>
        <v>0</v>
      </c>
    </row>
    <row r="222" spans="2:17" x14ac:dyDescent="0.2">
      <c r="B222" s="5">
        <f>+'SERVICIO FAENA'!A221</f>
        <v>0</v>
      </c>
      <c r="C222" s="5">
        <f>+'SERVICIO FAENA'!B221</f>
        <v>0</v>
      </c>
      <c r="D222" s="5">
        <f>+'SERVICIO FAENA'!C221</f>
        <v>0</v>
      </c>
      <c r="E222" s="7">
        <f>+'SERVICIO FAENA'!H221</f>
        <v>0</v>
      </c>
      <c r="F222" s="6">
        <f>+'SERVICIO FAENA'!F221</f>
        <v>0</v>
      </c>
      <c r="G222" s="7">
        <f>+'SERVICIO FAENA'!J221</f>
        <v>0</v>
      </c>
      <c r="H222" s="7">
        <f>+'SERVICIO DESPOSTE'!W221</f>
        <v>0</v>
      </c>
      <c r="I222" s="36">
        <f t="shared" si="3"/>
        <v>0</v>
      </c>
      <c r="J222" s="8">
        <f>+MENUDENCIAS!I221</f>
        <v>0</v>
      </c>
      <c r="K222" s="8">
        <f>+MENUDENCIAS!O221</f>
        <v>0</v>
      </c>
      <c r="L222" s="8">
        <f>+MENUDENCIAS!P221</f>
        <v>0</v>
      </c>
      <c r="M222" s="7">
        <f>+RENDERING!H220</f>
        <v>0</v>
      </c>
      <c r="N222" s="7">
        <f>+RENDERING!F220</f>
        <v>0</v>
      </c>
      <c r="O222" s="7">
        <f>+RENDERING!J220</f>
        <v>0</v>
      </c>
      <c r="P222" s="7">
        <f>+CUEROS!N223</f>
        <v>0</v>
      </c>
      <c r="Q222" s="7">
        <f>+'GRASA DREASING'!G220</f>
        <v>0</v>
      </c>
    </row>
    <row r="223" spans="2:17" x14ac:dyDescent="0.2">
      <c r="B223" s="5">
        <f>+'SERVICIO FAENA'!A222</f>
        <v>0</v>
      </c>
      <c r="C223" s="5">
        <f>+'SERVICIO FAENA'!B222</f>
        <v>0</v>
      </c>
      <c r="D223" s="5">
        <f>+'SERVICIO FAENA'!C222</f>
        <v>0</v>
      </c>
      <c r="E223" s="7">
        <f>+'SERVICIO FAENA'!H222</f>
        <v>0</v>
      </c>
      <c r="F223" s="6">
        <f>+'SERVICIO FAENA'!F222</f>
        <v>0</v>
      </c>
      <c r="G223" s="7">
        <f>+'SERVICIO FAENA'!J222</f>
        <v>0</v>
      </c>
      <c r="H223" s="7">
        <f>+'SERVICIO DESPOSTE'!W222</f>
        <v>0</v>
      </c>
      <c r="I223" s="36">
        <f t="shared" si="3"/>
        <v>0</v>
      </c>
      <c r="J223" s="8">
        <f>+MENUDENCIAS!I222</f>
        <v>0</v>
      </c>
      <c r="K223" s="8">
        <f>+MENUDENCIAS!O222</f>
        <v>0</v>
      </c>
      <c r="L223" s="8">
        <f>+MENUDENCIAS!P222</f>
        <v>0</v>
      </c>
      <c r="M223" s="7">
        <f>+RENDERING!H221</f>
        <v>0</v>
      </c>
      <c r="N223" s="7">
        <f>+RENDERING!F221</f>
        <v>0</v>
      </c>
      <c r="O223" s="7">
        <f>+RENDERING!J221</f>
        <v>0</v>
      </c>
      <c r="P223" s="7">
        <f>+CUEROS!N224</f>
        <v>0</v>
      </c>
      <c r="Q223" s="7">
        <f>+'GRASA DREASING'!G221</f>
        <v>0</v>
      </c>
    </row>
    <row r="224" spans="2:17" x14ac:dyDescent="0.2">
      <c r="B224" s="5">
        <f>+'SERVICIO FAENA'!A223</f>
        <v>0</v>
      </c>
      <c r="C224" s="5">
        <f>+'SERVICIO FAENA'!B223</f>
        <v>0</v>
      </c>
      <c r="D224" s="5">
        <f>+'SERVICIO FAENA'!C223</f>
        <v>0</v>
      </c>
      <c r="E224" s="7">
        <f>+'SERVICIO FAENA'!H223</f>
        <v>0</v>
      </c>
      <c r="F224" s="6">
        <f>+'SERVICIO FAENA'!F223</f>
        <v>0</v>
      </c>
      <c r="G224" s="7">
        <f>+'SERVICIO FAENA'!J223</f>
        <v>0</v>
      </c>
      <c r="H224" s="7">
        <f>+'SERVICIO DESPOSTE'!W223</f>
        <v>0</v>
      </c>
      <c r="I224" s="36">
        <f t="shared" si="3"/>
        <v>0</v>
      </c>
      <c r="J224" s="8">
        <f>+MENUDENCIAS!I223</f>
        <v>0</v>
      </c>
      <c r="K224" s="8">
        <f>+MENUDENCIAS!O223</f>
        <v>0</v>
      </c>
      <c r="L224" s="8">
        <f>+MENUDENCIAS!P223</f>
        <v>0</v>
      </c>
      <c r="M224" s="7">
        <f>+RENDERING!H222</f>
        <v>0</v>
      </c>
      <c r="N224" s="7">
        <f>+RENDERING!F222</f>
        <v>0</v>
      </c>
      <c r="O224" s="7">
        <f>+RENDERING!J222</f>
        <v>0</v>
      </c>
      <c r="P224" s="7">
        <f>+CUEROS!N225</f>
        <v>0</v>
      </c>
      <c r="Q224" s="7">
        <f>+'GRASA DREASING'!G222</f>
        <v>0</v>
      </c>
    </row>
    <row r="225" spans="2:17" x14ac:dyDescent="0.2">
      <c r="B225" s="5">
        <f>+'SERVICIO FAENA'!A224</f>
        <v>0</v>
      </c>
      <c r="C225" s="5">
        <f>+'SERVICIO FAENA'!B224</f>
        <v>0</v>
      </c>
      <c r="D225" s="5">
        <f>+'SERVICIO FAENA'!C224</f>
        <v>0</v>
      </c>
      <c r="E225" s="7">
        <f>+'SERVICIO FAENA'!H224</f>
        <v>0</v>
      </c>
      <c r="F225" s="6">
        <f>+'SERVICIO FAENA'!F224</f>
        <v>0</v>
      </c>
      <c r="G225" s="7">
        <f>+'SERVICIO FAENA'!J224</f>
        <v>0</v>
      </c>
      <c r="H225" s="7">
        <f>+'SERVICIO DESPOSTE'!W224</f>
        <v>0</v>
      </c>
      <c r="I225" s="36">
        <f t="shared" si="3"/>
        <v>0</v>
      </c>
      <c r="J225" s="8">
        <f>+MENUDENCIAS!I224</f>
        <v>0</v>
      </c>
      <c r="K225" s="8">
        <f>+MENUDENCIAS!O224</f>
        <v>0</v>
      </c>
      <c r="L225" s="8">
        <f>+MENUDENCIAS!P224</f>
        <v>0</v>
      </c>
      <c r="M225" s="7">
        <f>+RENDERING!H223</f>
        <v>0</v>
      </c>
      <c r="N225" s="7">
        <f>+RENDERING!F223</f>
        <v>0</v>
      </c>
      <c r="O225" s="7">
        <f>+RENDERING!J223</f>
        <v>0</v>
      </c>
      <c r="P225" s="7">
        <f>+CUEROS!N226</f>
        <v>0</v>
      </c>
      <c r="Q225" s="7">
        <f>+'GRASA DREASING'!G223</f>
        <v>0</v>
      </c>
    </row>
    <row r="226" spans="2:17" x14ac:dyDescent="0.2">
      <c r="B226" s="5">
        <f>+'SERVICIO FAENA'!A225</f>
        <v>0</v>
      </c>
      <c r="C226" s="5">
        <f>+'SERVICIO FAENA'!B225</f>
        <v>0</v>
      </c>
      <c r="D226" s="5">
        <f>+'SERVICIO FAENA'!C225</f>
        <v>0</v>
      </c>
      <c r="E226" s="7">
        <f>+'SERVICIO FAENA'!H225</f>
        <v>0</v>
      </c>
      <c r="F226" s="6">
        <f>+'SERVICIO FAENA'!F225</f>
        <v>0</v>
      </c>
      <c r="G226" s="7">
        <f>+'SERVICIO FAENA'!J225</f>
        <v>0</v>
      </c>
      <c r="H226" s="7">
        <f>+'SERVICIO DESPOSTE'!W225</f>
        <v>0</v>
      </c>
      <c r="I226" s="36">
        <f t="shared" si="3"/>
        <v>0</v>
      </c>
      <c r="J226" s="8">
        <f>+MENUDENCIAS!I225</f>
        <v>0</v>
      </c>
      <c r="K226" s="8">
        <f>+MENUDENCIAS!O225</f>
        <v>0</v>
      </c>
      <c r="L226" s="8">
        <f>+MENUDENCIAS!P225</f>
        <v>0</v>
      </c>
      <c r="M226" s="7">
        <f>+RENDERING!H224</f>
        <v>0</v>
      </c>
      <c r="N226" s="7">
        <f>+RENDERING!F224</f>
        <v>0</v>
      </c>
      <c r="O226" s="7">
        <f>+RENDERING!J224</f>
        <v>0</v>
      </c>
      <c r="P226" s="7">
        <f>+CUEROS!N227</f>
        <v>0</v>
      </c>
      <c r="Q226" s="7">
        <f>+'GRASA DREASING'!G224</f>
        <v>0</v>
      </c>
    </row>
    <row r="227" spans="2:17" x14ac:dyDescent="0.2">
      <c r="B227" s="5">
        <f>+'SERVICIO FAENA'!A226</f>
        <v>0</v>
      </c>
      <c r="C227" s="5">
        <f>+'SERVICIO FAENA'!B226</f>
        <v>0</v>
      </c>
      <c r="D227" s="5">
        <f>+'SERVICIO FAENA'!C226</f>
        <v>0</v>
      </c>
      <c r="E227" s="7">
        <f>+'SERVICIO FAENA'!H226</f>
        <v>0</v>
      </c>
      <c r="F227" s="6">
        <f>+'SERVICIO FAENA'!F226</f>
        <v>0</v>
      </c>
      <c r="G227" s="7">
        <f>+'SERVICIO FAENA'!J226</f>
        <v>0</v>
      </c>
      <c r="H227" s="7">
        <f>+'SERVICIO DESPOSTE'!W226</f>
        <v>0</v>
      </c>
      <c r="I227" s="36">
        <f t="shared" si="3"/>
        <v>0</v>
      </c>
      <c r="J227" s="8">
        <f>+MENUDENCIAS!I226</f>
        <v>0</v>
      </c>
      <c r="K227" s="8">
        <f>+MENUDENCIAS!O226</f>
        <v>0</v>
      </c>
      <c r="L227" s="8">
        <f>+MENUDENCIAS!P226</f>
        <v>0</v>
      </c>
      <c r="M227" s="7">
        <f>+RENDERING!H225</f>
        <v>0</v>
      </c>
      <c r="N227" s="7">
        <f>+RENDERING!F225</f>
        <v>0</v>
      </c>
      <c r="O227" s="7">
        <f>+RENDERING!J225</f>
        <v>0</v>
      </c>
      <c r="P227" s="7">
        <f>+CUEROS!N228</f>
        <v>0</v>
      </c>
      <c r="Q227" s="7">
        <f>+'GRASA DREASING'!G225</f>
        <v>0</v>
      </c>
    </row>
    <row r="228" spans="2:17" x14ac:dyDescent="0.2">
      <c r="B228" s="5">
        <f>+'SERVICIO FAENA'!A227</f>
        <v>0</v>
      </c>
      <c r="C228" s="5">
        <f>+'SERVICIO FAENA'!B227</f>
        <v>0</v>
      </c>
      <c r="D228" s="5">
        <f>+'SERVICIO FAENA'!C227</f>
        <v>0</v>
      </c>
      <c r="E228" s="7">
        <f>+'SERVICIO FAENA'!H227</f>
        <v>0</v>
      </c>
      <c r="F228" s="6">
        <f>+'SERVICIO FAENA'!F227</f>
        <v>0</v>
      </c>
      <c r="G228" s="7">
        <f>+'SERVICIO FAENA'!J227</f>
        <v>0</v>
      </c>
      <c r="H228" s="7">
        <f>+'SERVICIO DESPOSTE'!W227</f>
        <v>0</v>
      </c>
      <c r="I228" s="36">
        <f t="shared" si="3"/>
        <v>0</v>
      </c>
      <c r="J228" s="8">
        <f>+MENUDENCIAS!I227</f>
        <v>0</v>
      </c>
      <c r="K228" s="8">
        <f>+MENUDENCIAS!O227</f>
        <v>0</v>
      </c>
      <c r="L228" s="8">
        <f>+MENUDENCIAS!P227</f>
        <v>0</v>
      </c>
      <c r="M228" s="7">
        <f>+RENDERING!H226</f>
        <v>0</v>
      </c>
      <c r="N228" s="7">
        <f>+RENDERING!F226</f>
        <v>0</v>
      </c>
      <c r="O228" s="7">
        <f>+RENDERING!J226</f>
        <v>0</v>
      </c>
      <c r="P228" s="7">
        <f>+CUEROS!N229</f>
        <v>0</v>
      </c>
      <c r="Q228" s="7">
        <f>+'GRASA DREASING'!G226</f>
        <v>0</v>
      </c>
    </row>
    <row r="229" spans="2:17" x14ac:dyDescent="0.2">
      <c r="B229" s="5">
        <f>+'SERVICIO FAENA'!A228</f>
        <v>0</v>
      </c>
      <c r="C229" s="5">
        <f>+'SERVICIO FAENA'!B228</f>
        <v>0</v>
      </c>
      <c r="D229" s="5">
        <f>+'SERVICIO FAENA'!C228</f>
        <v>0</v>
      </c>
      <c r="E229" s="7">
        <f>+'SERVICIO FAENA'!H228</f>
        <v>0</v>
      </c>
      <c r="F229" s="6">
        <f>+'SERVICIO FAENA'!F228</f>
        <v>0</v>
      </c>
      <c r="G229" s="7">
        <f>+'SERVICIO FAENA'!J228</f>
        <v>0</v>
      </c>
      <c r="H229" s="7">
        <f>+'SERVICIO DESPOSTE'!W228</f>
        <v>0</v>
      </c>
      <c r="I229" s="36">
        <f t="shared" si="3"/>
        <v>0</v>
      </c>
      <c r="J229" s="8">
        <f>+MENUDENCIAS!I228</f>
        <v>0</v>
      </c>
      <c r="K229" s="8">
        <f>+MENUDENCIAS!O228</f>
        <v>0</v>
      </c>
      <c r="L229" s="8">
        <f>+MENUDENCIAS!P228</f>
        <v>0</v>
      </c>
      <c r="M229" s="7">
        <f>+RENDERING!H227</f>
        <v>0</v>
      </c>
      <c r="N229" s="7">
        <f>+RENDERING!F227</f>
        <v>0</v>
      </c>
      <c r="O229" s="7">
        <f>+RENDERING!J227</f>
        <v>0</v>
      </c>
      <c r="P229" s="7">
        <f>+CUEROS!N230</f>
        <v>0</v>
      </c>
      <c r="Q229" s="7">
        <f>+'GRASA DREASING'!G227</f>
        <v>0</v>
      </c>
    </row>
    <row r="230" spans="2:17" x14ac:dyDescent="0.2">
      <c r="B230" s="5">
        <f>+'SERVICIO FAENA'!A229</f>
        <v>0</v>
      </c>
      <c r="C230" s="5">
        <f>+'SERVICIO FAENA'!B229</f>
        <v>0</v>
      </c>
      <c r="D230" s="5">
        <f>+'SERVICIO FAENA'!C229</f>
        <v>0</v>
      </c>
      <c r="E230" s="7">
        <f>+'SERVICIO FAENA'!H229</f>
        <v>0</v>
      </c>
      <c r="F230" s="6">
        <f>+'SERVICIO FAENA'!F229</f>
        <v>0</v>
      </c>
      <c r="G230" s="7">
        <f>+'SERVICIO FAENA'!J229</f>
        <v>0</v>
      </c>
      <c r="H230" s="7">
        <f>+'SERVICIO DESPOSTE'!W229</f>
        <v>0</v>
      </c>
      <c r="I230" s="36">
        <f t="shared" si="3"/>
        <v>0</v>
      </c>
      <c r="J230" s="8">
        <f>+MENUDENCIAS!I229</f>
        <v>0</v>
      </c>
      <c r="K230" s="8">
        <f>+MENUDENCIAS!O229</f>
        <v>0</v>
      </c>
      <c r="L230" s="8">
        <f>+MENUDENCIAS!P229</f>
        <v>0</v>
      </c>
      <c r="M230" s="7">
        <f>+RENDERING!H228</f>
        <v>0</v>
      </c>
      <c r="N230" s="7">
        <f>+RENDERING!F228</f>
        <v>0</v>
      </c>
      <c r="O230" s="7">
        <f>+RENDERING!J228</f>
        <v>0</v>
      </c>
      <c r="P230" s="7">
        <f>+CUEROS!N231</f>
        <v>0</v>
      </c>
      <c r="Q230" s="7">
        <f>+'GRASA DREASING'!G228</f>
        <v>0</v>
      </c>
    </row>
    <row r="231" spans="2:17" x14ac:dyDescent="0.2">
      <c r="B231" s="5">
        <f>+'SERVICIO FAENA'!A230</f>
        <v>0</v>
      </c>
      <c r="C231" s="5">
        <f>+'SERVICIO FAENA'!B230</f>
        <v>0</v>
      </c>
      <c r="D231" s="5">
        <f>+'SERVICIO FAENA'!C230</f>
        <v>0</v>
      </c>
      <c r="E231" s="7">
        <f>+'SERVICIO FAENA'!H230</f>
        <v>0</v>
      </c>
      <c r="F231" s="6">
        <f>+'SERVICIO FAENA'!F230</f>
        <v>0</v>
      </c>
      <c r="G231" s="7">
        <f>+'SERVICIO FAENA'!J230</f>
        <v>0</v>
      </c>
      <c r="H231" s="7">
        <f>+'SERVICIO DESPOSTE'!W230</f>
        <v>0</v>
      </c>
      <c r="I231" s="36">
        <f t="shared" si="3"/>
        <v>0</v>
      </c>
      <c r="J231" s="8">
        <f>+MENUDENCIAS!I230</f>
        <v>0</v>
      </c>
      <c r="K231" s="8">
        <f>+MENUDENCIAS!O230</f>
        <v>0</v>
      </c>
      <c r="L231" s="8">
        <f>+MENUDENCIAS!P230</f>
        <v>0</v>
      </c>
      <c r="M231" s="7">
        <f>+RENDERING!H229</f>
        <v>0</v>
      </c>
      <c r="N231" s="7">
        <f>+RENDERING!F229</f>
        <v>0</v>
      </c>
      <c r="O231" s="7">
        <f>+RENDERING!J229</f>
        <v>0</v>
      </c>
      <c r="P231" s="7">
        <f>+CUEROS!N232</f>
        <v>0</v>
      </c>
      <c r="Q231" s="7">
        <f>+'GRASA DREASING'!G229</f>
        <v>0</v>
      </c>
    </row>
    <row r="232" spans="2:17" x14ac:dyDescent="0.2">
      <c r="B232" s="5">
        <f>+'SERVICIO FAENA'!A231</f>
        <v>0</v>
      </c>
      <c r="C232" s="5">
        <f>+'SERVICIO FAENA'!B231</f>
        <v>0</v>
      </c>
      <c r="D232" s="5">
        <f>+'SERVICIO FAENA'!C231</f>
        <v>0</v>
      </c>
      <c r="E232" s="7">
        <f>+'SERVICIO FAENA'!H231</f>
        <v>0</v>
      </c>
      <c r="F232" s="6">
        <f>+'SERVICIO FAENA'!F231</f>
        <v>0</v>
      </c>
      <c r="G232" s="7">
        <f>+'SERVICIO FAENA'!J231</f>
        <v>0</v>
      </c>
      <c r="H232" s="7">
        <f>+'SERVICIO DESPOSTE'!W231</f>
        <v>0</v>
      </c>
      <c r="I232" s="36">
        <f t="shared" si="3"/>
        <v>0</v>
      </c>
      <c r="J232" s="8">
        <f>+MENUDENCIAS!I231</f>
        <v>0</v>
      </c>
      <c r="K232" s="8">
        <f>+MENUDENCIAS!O231</f>
        <v>0</v>
      </c>
      <c r="L232" s="8">
        <f>+MENUDENCIAS!P231</f>
        <v>0</v>
      </c>
      <c r="M232" s="7">
        <f>+RENDERING!H230</f>
        <v>0</v>
      </c>
      <c r="N232" s="7">
        <f>+RENDERING!F230</f>
        <v>0</v>
      </c>
      <c r="O232" s="7">
        <f>+RENDERING!J230</f>
        <v>0</v>
      </c>
      <c r="P232" s="7">
        <f>+CUEROS!N233</f>
        <v>0</v>
      </c>
      <c r="Q232" s="7">
        <f>+'GRASA DREASING'!G230</f>
        <v>0</v>
      </c>
    </row>
    <row r="233" spans="2:17" x14ac:dyDescent="0.2">
      <c r="B233" s="5">
        <f>+'SERVICIO FAENA'!A232</f>
        <v>0</v>
      </c>
      <c r="C233" s="5">
        <f>+'SERVICIO FAENA'!B232</f>
        <v>0</v>
      </c>
      <c r="D233" s="5">
        <f>+'SERVICIO FAENA'!C232</f>
        <v>0</v>
      </c>
      <c r="E233" s="7">
        <f>+'SERVICIO FAENA'!H232</f>
        <v>0</v>
      </c>
      <c r="F233" s="6">
        <f>+'SERVICIO FAENA'!F232</f>
        <v>0</v>
      </c>
      <c r="G233" s="7">
        <f>+'SERVICIO FAENA'!J232</f>
        <v>0</v>
      </c>
      <c r="H233" s="7">
        <f>+'SERVICIO DESPOSTE'!W232</f>
        <v>0</v>
      </c>
      <c r="I233" s="36">
        <f t="shared" si="3"/>
        <v>0</v>
      </c>
      <c r="J233" s="8">
        <f>+MENUDENCIAS!I232</f>
        <v>0</v>
      </c>
      <c r="K233" s="8">
        <f>+MENUDENCIAS!O232</f>
        <v>0</v>
      </c>
      <c r="L233" s="8">
        <f>+MENUDENCIAS!P232</f>
        <v>0</v>
      </c>
      <c r="M233" s="7">
        <f>+RENDERING!H231</f>
        <v>0</v>
      </c>
      <c r="N233" s="7">
        <f>+RENDERING!F231</f>
        <v>0</v>
      </c>
      <c r="O233" s="7">
        <f>+RENDERING!J231</f>
        <v>0</v>
      </c>
      <c r="P233" s="7">
        <f>+CUEROS!N234</f>
        <v>0</v>
      </c>
      <c r="Q233" s="7">
        <f>+'GRASA DREASING'!G231</f>
        <v>0</v>
      </c>
    </row>
    <row r="234" spans="2:17" x14ac:dyDescent="0.2">
      <c r="B234" s="5">
        <f>+'SERVICIO FAENA'!A233</f>
        <v>0</v>
      </c>
      <c r="C234" s="5">
        <f>+'SERVICIO FAENA'!B233</f>
        <v>0</v>
      </c>
      <c r="D234" s="5">
        <f>+'SERVICIO FAENA'!C233</f>
        <v>0</v>
      </c>
      <c r="E234" s="7">
        <f>+'SERVICIO FAENA'!H233</f>
        <v>0</v>
      </c>
      <c r="F234" s="6">
        <f>+'SERVICIO FAENA'!F233</f>
        <v>0</v>
      </c>
      <c r="G234" s="7">
        <f>+'SERVICIO FAENA'!J233</f>
        <v>0</v>
      </c>
      <c r="H234" s="7">
        <f>+'SERVICIO DESPOSTE'!W233</f>
        <v>0</v>
      </c>
      <c r="I234" s="36">
        <f t="shared" si="3"/>
        <v>0</v>
      </c>
      <c r="J234" s="8">
        <f>+MENUDENCIAS!I233</f>
        <v>0</v>
      </c>
      <c r="K234" s="8">
        <f>+MENUDENCIAS!O233</f>
        <v>0</v>
      </c>
      <c r="L234" s="8">
        <f>+MENUDENCIAS!P233</f>
        <v>0</v>
      </c>
      <c r="M234" s="7">
        <f>+RENDERING!H232</f>
        <v>0</v>
      </c>
      <c r="N234" s="7">
        <f>+RENDERING!F232</f>
        <v>0</v>
      </c>
      <c r="O234" s="7">
        <f>+RENDERING!J232</f>
        <v>0</v>
      </c>
      <c r="P234" s="7">
        <f>+CUEROS!N235</f>
        <v>0</v>
      </c>
      <c r="Q234" s="7">
        <f>+'GRASA DREASING'!G232</f>
        <v>0</v>
      </c>
    </row>
    <row r="235" spans="2:17" x14ac:dyDescent="0.2">
      <c r="B235" s="5">
        <f>+'SERVICIO FAENA'!A234</f>
        <v>0</v>
      </c>
      <c r="C235" s="5">
        <f>+'SERVICIO FAENA'!B234</f>
        <v>0</v>
      </c>
      <c r="D235" s="5">
        <f>+'SERVICIO FAENA'!C234</f>
        <v>0</v>
      </c>
      <c r="E235" s="7">
        <f>+'SERVICIO FAENA'!H234</f>
        <v>0</v>
      </c>
      <c r="F235" s="6">
        <f>+'SERVICIO FAENA'!F234</f>
        <v>0</v>
      </c>
      <c r="G235" s="7">
        <f>+'SERVICIO FAENA'!J234</f>
        <v>0</v>
      </c>
      <c r="H235" s="7">
        <f>+'SERVICIO DESPOSTE'!W234</f>
        <v>0</v>
      </c>
      <c r="I235" s="36">
        <f t="shared" si="3"/>
        <v>0</v>
      </c>
      <c r="J235" s="8">
        <f>+MENUDENCIAS!I234</f>
        <v>0</v>
      </c>
      <c r="K235" s="8">
        <f>+MENUDENCIAS!O234</f>
        <v>0</v>
      </c>
      <c r="L235" s="8">
        <f>+MENUDENCIAS!P234</f>
        <v>0</v>
      </c>
      <c r="M235" s="7">
        <f>+RENDERING!H233</f>
        <v>0</v>
      </c>
      <c r="N235" s="7">
        <f>+RENDERING!F233</f>
        <v>0</v>
      </c>
      <c r="O235" s="7">
        <f>+RENDERING!J233</f>
        <v>0</v>
      </c>
      <c r="P235" s="7">
        <f>+CUEROS!N236</f>
        <v>0</v>
      </c>
      <c r="Q235" s="7">
        <f>+'GRASA DREASING'!G233</f>
        <v>0</v>
      </c>
    </row>
    <row r="236" spans="2:17" x14ac:dyDescent="0.2">
      <c r="B236" s="5">
        <f>+'SERVICIO FAENA'!A235</f>
        <v>0</v>
      </c>
      <c r="C236" s="5">
        <f>+'SERVICIO FAENA'!B235</f>
        <v>0</v>
      </c>
      <c r="D236" s="5">
        <f>+'SERVICIO FAENA'!C235</f>
        <v>0</v>
      </c>
      <c r="E236" s="7">
        <f>+'SERVICIO FAENA'!H235</f>
        <v>0</v>
      </c>
      <c r="F236" s="6">
        <f>+'SERVICIO FAENA'!F235</f>
        <v>0</v>
      </c>
      <c r="G236" s="7">
        <f>+'SERVICIO FAENA'!J235</f>
        <v>0</v>
      </c>
      <c r="H236" s="7">
        <f>+'SERVICIO DESPOSTE'!W235</f>
        <v>0</v>
      </c>
      <c r="I236" s="36">
        <f t="shared" si="3"/>
        <v>0</v>
      </c>
      <c r="J236" s="8">
        <f>+MENUDENCIAS!I235</f>
        <v>0</v>
      </c>
      <c r="K236" s="8">
        <f>+MENUDENCIAS!O235</f>
        <v>0</v>
      </c>
      <c r="L236" s="8">
        <f>+MENUDENCIAS!P235</f>
        <v>0</v>
      </c>
      <c r="M236" s="7">
        <f>+RENDERING!H234</f>
        <v>0</v>
      </c>
      <c r="N236" s="7">
        <f>+RENDERING!F234</f>
        <v>0</v>
      </c>
      <c r="O236" s="7">
        <f>+RENDERING!J234</f>
        <v>0</v>
      </c>
      <c r="P236" s="7">
        <f>+CUEROS!N237</f>
        <v>0</v>
      </c>
      <c r="Q236" s="7">
        <f>+'GRASA DREASING'!G234</f>
        <v>0</v>
      </c>
    </row>
    <row r="237" spans="2:17" x14ac:dyDescent="0.2">
      <c r="B237" s="5">
        <f>+'SERVICIO FAENA'!A236</f>
        <v>0</v>
      </c>
      <c r="C237" s="5">
        <f>+'SERVICIO FAENA'!B236</f>
        <v>0</v>
      </c>
      <c r="D237" s="5">
        <f>+'SERVICIO FAENA'!C236</f>
        <v>0</v>
      </c>
      <c r="E237" s="7">
        <f>+'SERVICIO FAENA'!H236</f>
        <v>0</v>
      </c>
      <c r="F237" s="6">
        <f>+'SERVICIO FAENA'!F236</f>
        <v>0</v>
      </c>
      <c r="G237" s="7">
        <f>+'SERVICIO FAENA'!J236</f>
        <v>0</v>
      </c>
      <c r="H237" s="7">
        <f>+'SERVICIO DESPOSTE'!W236</f>
        <v>0</v>
      </c>
      <c r="I237" s="36">
        <f t="shared" si="3"/>
        <v>0</v>
      </c>
      <c r="J237" s="8">
        <f>+MENUDENCIAS!I236</f>
        <v>0</v>
      </c>
      <c r="K237" s="8">
        <f>+MENUDENCIAS!O236</f>
        <v>0</v>
      </c>
      <c r="L237" s="8">
        <f>+MENUDENCIAS!P236</f>
        <v>0</v>
      </c>
      <c r="M237" s="7">
        <f>+RENDERING!H235</f>
        <v>0</v>
      </c>
      <c r="N237" s="7">
        <f>+RENDERING!F235</f>
        <v>0</v>
      </c>
      <c r="O237" s="7">
        <f>+RENDERING!J235</f>
        <v>0</v>
      </c>
      <c r="P237" s="7">
        <f>+CUEROS!N238</f>
        <v>0</v>
      </c>
      <c r="Q237" s="7">
        <f>+'GRASA DREASING'!G235</f>
        <v>0</v>
      </c>
    </row>
    <row r="238" spans="2:17" x14ac:dyDescent="0.2">
      <c r="B238" s="5">
        <f>+'SERVICIO FAENA'!A237</f>
        <v>0</v>
      </c>
      <c r="C238" s="5">
        <f>+'SERVICIO FAENA'!B237</f>
        <v>0</v>
      </c>
      <c r="D238" s="5">
        <f>+'SERVICIO FAENA'!C237</f>
        <v>0</v>
      </c>
      <c r="E238" s="7">
        <f>+'SERVICIO FAENA'!H237</f>
        <v>0</v>
      </c>
      <c r="F238" s="6">
        <f>+'SERVICIO FAENA'!F237</f>
        <v>0</v>
      </c>
      <c r="G238" s="7">
        <f>+'SERVICIO FAENA'!J237</f>
        <v>0</v>
      </c>
      <c r="H238" s="7">
        <f>+'SERVICIO DESPOSTE'!W237</f>
        <v>0</v>
      </c>
      <c r="I238" s="36">
        <f t="shared" si="3"/>
        <v>0</v>
      </c>
      <c r="J238" s="8">
        <f>+MENUDENCIAS!I237</f>
        <v>0</v>
      </c>
      <c r="K238" s="8">
        <f>+MENUDENCIAS!O237</f>
        <v>0</v>
      </c>
      <c r="L238" s="8">
        <f>+MENUDENCIAS!P237</f>
        <v>0</v>
      </c>
      <c r="M238" s="7">
        <f>+RENDERING!H236</f>
        <v>0</v>
      </c>
      <c r="N238" s="7">
        <f>+RENDERING!F236</f>
        <v>0</v>
      </c>
      <c r="O238" s="7">
        <f>+RENDERING!J236</f>
        <v>0</v>
      </c>
      <c r="P238" s="7">
        <f>+CUEROS!N239</f>
        <v>0</v>
      </c>
      <c r="Q238" s="7">
        <f>+'GRASA DREASING'!G236</f>
        <v>0</v>
      </c>
    </row>
    <row r="239" spans="2:17" x14ac:dyDescent="0.2">
      <c r="B239" s="5">
        <f>+'SERVICIO FAENA'!A238</f>
        <v>0</v>
      </c>
      <c r="C239" s="5">
        <f>+'SERVICIO FAENA'!B238</f>
        <v>0</v>
      </c>
      <c r="D239" s="5">
        <f>+'SERVICIO FAENA'!C238</f>
        <v>0</v>
      </c>
      <c r="E239" s="7">
        <f>+'SERVICIO FAENA'!H238</f>
        <v>0</v>
      </c>
      <c r="F239" s="6">
        <f>+'SERVICIO FAENA'!F238</f>
        <v>0</v>
      </c>
      <c r="G239" s="7">
        <f>+'SERVICIO FAENA'!J238</f>
        <v>0</v>
      </c>
      <c r="H239" s="7">
        <f>+'SERVICIO DESPOSTE'!W238</f>
        <v>0</v>
      </c>
      <c r="I239" s="36">
        <f t="shared" si="3"/>
        <v>0</v>
      </c>
      <c r="J239" s="8">
        <f>+MENUDENCIAS!I238</f>
        <v>0</v>
      </c>
      <c r="K239" s="8">
        <f>+MENUDENCIAS!O238</f>
        <v>0</v>
      </c>
      <c r="L239" s="8">
        <f>+MENUDENCIAS!P238</f>
        <v>0</v>
      </c>
      <c r="M239" s="7">
        <f>+RENDERING!H237</f>
        <v>0</v>
      </c>
      <c r="N239" s="7">
        <f>+RENDERING!F237</f>
        <v>0</v>
      </c>
      <c r="O239" s="7">
        <f>+RENDERING!J237</f>
        <v>0</v>
      </c>
      <c r="P239" s="7">
        <f>+CUEROS!N240</f>
        <v>0</v>
      </c>
      <c r="Q239" s="7">
        <f>+'GRASA DREASING'!G237</f>
        <v>0</v>
      </c>
    </row>
    <row r="240" spans="2:17" x14ac:dyDescent="0.2">
      <c r="B240" s="5">
        <f>+'SERVICIO FAENA'!A239</f>
        <v>0</v>
      </c>
      <c r="C240" s="5">
        <f>+'SERVICIO FAENA'!B239</f>
        <v>0</v>
      </c>
      <c r="D240" s="5">
        <f>+'SERVICIO FAENA'!C239</f>
        <v>0</v>
      </c>
      <c r="E240" s="7">
        <f>+'SERVICIO FAENA'!H239</f>
        <v>0</v>
      </c>
      <c r="F240" s="6">
        <f>+'SERVICIO FAENA'!F239</f>
        <v>0</v>
      </c>
      <c r="G240" s="7">
        <f>+'SERVICIO FAENA'!J239</f>
        <v>0</v>
      </c>
      <c r="H240" s="7">
        <f>+'SERVICIO DESPOSTE'!W239</f>
        <v>0</v>
      </c>
      <c r="I240" s="36">
        <f t="shared" si="3"/>
        <v>0</v>
      </c>
      <c r="J240" s="8">
        <f>+MENUDENCIAS!I239</f>
        <v>0</v>
      </c>
      <c r="K240" s="8">
        <f>+MENUDENCIAS!O239</f>
        <v>0</v>
      </c>
      <c r="L240" s="8">
        <f>+MENUDENCIAS!P239</f>
        <v>0</v>
      </c>
      <c r="M240" s="7">
        <f>+RENDERING!H238</f>
        <v>0</v>
      </c>
      <c r="N240" s="7">
        <f>+RENDERING!F238</f>
        <v>0</v>
      </c>
      <c r="O240" s="7">
        <f>+RENDERING!J238</f>
        <v>0</v>
      </c>
      <c r="P240" s="7">
        <f>+CUEROS!N241</f>
        <v>0</v>
      </c>
      <c r="Q240" s="7">
        <f>+'GRASA DREASING'!G238</f>
        <v>0</v>
      </c>
    </row>
    <row r="241" spans="2:17" x14ac:dyDescent="0.2">
      <c r="B241" s="5">
        <f>+'SERVICIO FAENA'!A240</f>
        <v>0</v>
      </c>
      <c r="C241" s="5">
        <f>+'SERVICIO FAENA'!B240</f>
        <v>0</v>
      </c>
      <c r="D241" s="5">
        <f>+'SERVICIO FAENA'!C240</f>
        <v>0</v>
      </c>
      <c r="E241" s="7">
        <f>+'SERVICIO FAENA'!H240</f>
        <v>0</v>
      </c>
      <c r="F241" s="6">
        <f>+'SERVICIO FAENA'!F240</f>
        <v>0</v>
      </c>
      <c r="G241" s="7">
        <f>+'SERVICIO FAENA'!J240</f>
        <v>0</v>
      </c>
      <c r="H241" s="7">
        <f>+'SERVICIO DESPOSTE'!W240</f>
        <v>0</v>
      </c>
      <c r="I241" s="36">
        <f t="shared" si="3"/>
        <v>0</v>
      </c>
      <c r="J241" s="8">
        <f>+MENUDENCIAS!I240</f>
        <v>0</v>
      </c>
      <c r="K241" s="8">
        <f>+MENUDENCIAS!O240</f>
        <v>0</v>
      </c>
      <c r="L241" s="8">
        <f>+MENUDENCIAS!P240</f>
        <v>0</v>
      </c>
      <c r="M241" s="7">
        <f>+RENDERING!H239</f>
        <v>0</v>
      </c>
      <c r="N241" s="7">
        <f>+RENDERING!F239</f>
        <v>0</v>
      </c>
      <c r="O241" s="7">
        <f>+RENDERING!J239</f>
        <v>0</v>
      </c>
      <c r="P241" s="7">
        <f>+CUEROS!N242</f>
        <v>0</v>
      </c>
      <c r="Q241" s="7">
        <f>+'GRASA DREASING'!G239</f>
        <v>0</v>
      </c>
    </row>
    <row r="242" spans="2:17" x14ac:dyDescent="0.2">
      <c r="B242" s="5">
        <f>+'SERVICIO FAENA'!A241</f>
        <v>0</v>
      </c>
      <c r="C242" s="5">
        <f>+'SERVICIO FAENA'!B241</f>
        <v>0</v>
      </c>
      <c r="D242" s="5">
        <f>+'SERVICIO FAENA'!C241</f>
        <v>0</v>
      </c>
      <c r="E242" s="7">
        <f>+'SERVICIO FAENA'!H241</f>
        <v>0</v>
      </c>
      <c r="F242" s="6">
        <f>+'SERVICIO FAENA'!F241</f>
        <v>0</v>
      </c>
      <c r="G242" s="7">
        <f>+'SERVICIO FAENA'!J241</f>
        <v>0</v>
      </c>
      <c r="H242" s="7">
        <f>+'SERVICIO DESPOSTE'!W241</f>
        <v>0</v>
      </c>
      <c r="I242" s="36">
        <f t="shared" si="3"/>
        <v>0</v>
      </c>
      <c r="J242" s="8">
        <f>+MENUDENCIAS!I241</f>
        <v>0</v>
      </c>
      <c r="K242" s="8">
        <f>+MENUDENCIAS!O241</f>
        <v>0</v>
      </c>
      <c r="L242" s="8">
        <f>+MENUDENCIAS!P241</f>
        <v>0</v>
      </c>
      <c r="M242" s="7">
        <f>+RENDERING!H240</f>
        <v>0</v>
      </c>
      <c r="N242" s="7">
        <f>+RENDERING!F240</f>
        <v>0</v>
      </c>
      <c r="O242" s="7">
        <f>+RENDERING!J240</f>
        <v>0</v>
      </c>
      <c r="P242" s="7">
        <f>+CUEROS!N243</f>
        <v>0</v>
      </c>
      <c r="Q242" s="7">
        <f>+'GRASA DREASING'!G240</f>
        <v>0</v>
      </c>
    </row>
    <row r="243" spans="2:17" x14ac:dyDescent="0.2">
      <c r="B243" s="5">
        <f>+'SERVICIO FAENA'!A242</f>
        <v>0</v>
      </c>
      <c r="C243" s="5">
        <f>+'SERVICIO FAENA'!B242</f>
        <v>0</v>
      </c>
      <c r="D243" s="5">
        <f>+'SERVICIO FAENA'!C242</f>
        <v>0</v>
      </c>
      <c r="E243" s="7">
        <f>+'SERVICIO FAENA'!H242</f>
        <v>0</v>
      </c>
      <c r="F243" s="6">
        <f>+'SERVICIO FAENA'!F242</f>
        <v>0</v>
      </c>
      <c r="G243" s="7">
        <f>+'SERVICIO FAENA'!J242</f>
        <v>0</v>
      </c>
      <c r="H243" s="7">
        <f>+'SERVICIO DESPOSTE'!W242</f>
        <v>0</v>
      </c>
      <c r="I243" s="36">
        <f t="shared" si="3"/>
        <v>0</v>
      </c>
      <c r="J243" s="8">
        <f>+MENUDENCIAS!I242</f>
        <v>0</v>
      </c>
      <c r="K243" s="8">
        <f>+MENUDENCIAS!O242</f>
        <v>0</v>
      </c>
      <c r="L243" s="8">
        <f>+MENUDENCIAS!P242</f>
        <v>0</v>
      </c>
      <c r="M243" s="7">
        <f>+RENDERING!H241</f>
        <v>0</v>
      </c>
      <c r="N243" s="7">
        <f>+RENDERING!F241</f>
        <v>0</v>
      </c>
      <c r="O243" s="7">
        <f>+RENDERING!J241</f>
        <v>0</v>
      </c>
      <c r="P243" s="7">
        <f>+CUEROS!N244</f>
        <v>0</v>
      </c>
      <c r="Q243" s="7">
        <f>+'GRASA DREASING'!G241</f>
        <v>0</v>
      </c>
    </row>
    <row r="244" spans="2:17" x14ac:dyDescent="0.2">
      <c r="B244" s="5">
        <f>+'SERVICIO FAENA'!A243</f>
        <v>0</v>
      </c>
      <c r="C244" s="5">
        <f>+'SERVICIO FAENA'!B243</f>
        <v>0</v>
      </c>
      <c r="D244" s="5">
        <f>+'SERVICIO FAENA'!C243</f>
        <v>0</v>
      </c>
      <c r="E244" s="7">
        <f>+'SERVICIO FAENA'!H243</f>
        <v>0</v>
      </c>
      <c r="F244" s="6">
        <f>+'SERVICIO FAENA'!F243</f>
        <v>0</v>
      </c>
      <c r="G244" s="7">
        <f>+'SERVICIO FAENA'!J243</f>
        <v>0</v>
      </c>
      <c r="H244" s="7">
        <f>+'SERVICIO DESPOSTE'!W243</f>
        <v>0</v>
      </c>
      <c r="I244" s="36">
        <f t="shared" si="3"/>
        <v>0</v>
      </c>
      <c r="J244" s="8">
        <f>+MENUDENCIAS!I243</f>
        <v>0</v>
      </c>
      <c r="K244" s="8">
        <f>+MENUDENCIAS!O243</f>
        <v>0</v>
      </c>
      <c r="L244" s="8">
        <f>+MENUDENCIAS!P243</f>
        <v>0</v>
      </c>
      <c r="M244" s="7">
        <f>+RENDERING!H242</f>
        <v>0</v>
      </c>
      <c r="N244" s="7">
        <f>+RENDERING!F242</f>
        <v>0</v>
      </c>
      <c r="O244" s="7">
        <f>+RENDERING!J242</f>
        <v>0</v>
      </c>
      <c r="P244" s="7">
        <f>+CUEROS!N245</f>
        <v>0</v>
      </c>
      <c r="Q244" s="7">
        <f>+'GRASA DREASING'!G242</f>
        <v>0</v>
      </c>
    </row>
    <row r="245" spans="2:17" x14ac:dyDescent="0.2">
      <c r="B245" s="5">
        <f>+'SERVICIO FAENA'!A244</f>
        <v>0</v>
      </c>
      <c r="C245" s="5">
        <f>+'SERVICIO FAENA'!B244</f>
        <v>0</v>
      </c>
      <c r="D245" s="5">
        <f>+'SERVICIO FAENA'!C244</f>
        <v>0</v>
      </c>
      <c r="E245" s="7">
        <f>+'SERVICIO FAENA'!H244</f>
        <v>0</v>
      </c>
      <c r="F245" s="6">
        <f>+'SERVICIO FAENA'!F244</f>
        <v>0</v>
      </c>
      <c r="G245" s="7">
        <f>+'SERVICIO FAENA'!J244</f>
        <v>0</v>
      </c>
      <c r="H245" s="7">
        <f>+'SERVICIO DESPOSTE'!W244</f>
        <v>0</v>
      </c>
      <c r="I245" s="36">
        <f t="shared" si="3"/>
        <v>0</v>
      </c>
      <c r="J245" s="8">
        <f>+MENUDENCIAS!I244</f>
        <v>0</v>
      </c>
      <c r="K245" s="8">
        <f>+MENUDENCIAS!O244</f>
        <v>0</v>
      </c>
      <c r="L245" s="8">
        <f>+MENUDENCIAS!P244</f>
        <v>0</v>
      </c>
      <c r="M245" s="7">
        <f>+RENDERING!H243</f>
        <v>0</v>
      </c>
      <c r="N245" s="7">
        <f>+RENDERING!F243</f>
        <v>0</v>
      </c>
      <c r="O245" s="7">
        <f>+RENDERING!J243</f>
        <v>0</v>
      </c>
      <c r="P245" s="7">
        <f>+CUEROS!N246</f>
        <v>0</v>
      </c>
      <c r="Q245" s="7">
        <f>+'GRASA DREASING'!G243</f>
        <v>0</v>
      </c>
    </row>
    <row r="246" spans="2:17" x14ac:dyDescent="0.2">
      <c r="B246" s="5">
        <f>+'SERVICIO FAENA'!A245</f>
        <v>0</v>
      </c>
      <c r="C246" s="5">
        <f>+'SERVICIO FAENA'!B245</f>
        <v>0</v>
      </c>
      <c r="D246" s="5">
        <f>+'SERVICIO FAENA'!C245</f>
        <v>0</v>
      </c>
      <c r="E246" s="7">
        <f>+'SERVICIO FAENA'!H245</f>
        <v>0</v>
      </c>
      <c r="F246" s="6">
        <f>+'SERVICIO FAENA'!F245</f>
        <v>0</v>
      </c>
      <c r="G246" s="7">
        <f>+'SERVICIO FAENA'!J245</f>
        <v>0</v>
      </c>
      <c r="H246" s="7">
        <f>+'SERVICIO DESPOSTE'!W245</f>
        <v>0</v>
      </c>
      <c r="I246" s="36">
        <f t="shared" si="3"/>
        <v>0</v>
      </c>
      <c r="J246" s="8">
        <f>+MENUDENCIAS!I245</f>
        <v>0</v>
      </c>
      <c r="K246" s="8">
        <f>+MENUDENCIAS!O245</f>
        <v>0</v>
      </c>
      <c r="L246" s="8">
        <f>+MENUDENCIAS!P245</f>
        <v>0</v>
      </c>
      <c r="M246" s="7">
        <f>+RENDERING!H244</f>
        <v>0</v>
      </c>
      <c r="N246" s="7">
        <f>+RENDERING!F244</f>
        <v>0</v>
      </c>
      <c r="O246" s="7">
        <f>+RENDERING!J244</f>
        <v>0</v>
      </c>
      <c r="P246" s="7">
        <f>+CUEROS!N247</f>
        <v>0</v>
      </c>
      <c r="Q246" s="7">
        <f>+'GRASA DREASING'!G244</f>
        <v>0</v>
      </c>
    </row>
    <row r="247" spans="2:17" x14ac:dyDescent="0.2">
      <c r="B247" s="5">
        <f>+'SERVICIO FAENA'!A246</f>
        <v>0</v>
      </c>
      <c r="C247" s="5">
        <f>+'SERVICIO FAENA'!B246</f>
        <v>0</v>
      </c>
      <c r="D247" s="5">
        <f>+'SERVICIO FAENA'!C246</f>
        <v>0</v>
      </c>
      <c r="E247" s="7">
        <f>+'SERVICIO FAENA'!H246</f>
        <v>0</v>
      </c>
      <c r="F247" s="6">
        <f>+'SERVICIO FAENA'!F246</f>
        <v>0</v>
      </c>
      <c r="G247" s="7">
        <f>+'SERVICIO FAENA'!J246</f>
        <v>0</v>
      </c>
      <c r="H247" s="7">
        <f>+'SERVICIO DESPOSTE'!W246</f>
        <v>0</v>
      </c>
      <c r="I247" s="36">
        <f t="shared" ref="I247:I310" si="4">+(G247-J247)+K247+M247+N247+O247+P247+Q247+L247+H247</f>
        <v>0</v>
      </c>
      <c r="J247" s="8">
        <f>+MENUDENCIAS!I246</f>
        <v>0</v>
      </c>
      <c r="K247" s="8">
        <f>+MENUDENCIAS!O246</f>
        <v>0</v>
      </c>
      <c r="L247" s="8">
        <f>+MENUDENCIAS!P246</f>
        <v>0</v>
      </c>
      <c r="M247" s="7">
        <f>+RENDERING!H245</f>
        <v>0</v>
      </c>
      <c r="N247" s="7">
        <f>+RENDERING!F245</f>
        <v>0</v>
      </c>
      <c r="O247" s="7">
        <f>+RENDERING!J245</f>
        <v>0</v>
      </c>
      <c r="P247" s="7">
        <f>+CUEROS!N248</f>
        <v>0</v>
      </c>
      <c r="Q247" s="7">
        <f>+'GRASA DREASING'!G245</f>
        <v>0</v>
      </c>
    </row>
    <row r="248" spans="2:17" x14ac:dyDescent="0.2">
      <c r="B248" s="5">
        <f>+'SERVICIO FAENA'!A247</f>
        <v>0</v>
      </c>
      <c r="C248" s="5">
        <f>+'SERVICIO FAENA'!B247</f>
        <v>0</v>
      </c>
      <c r="D248" s="5">
        <f>+'SERVICIO FAENA'!C247</f>
        <v>0</v>
      </c>
      <c r="E248" s="7">
        <f>+'SERVICIO FAENA'!H247</f>
        <v>0</v>
      </c>
      <c r="F248" s="6">
        <f>+'SERVICIO FAENA'!F247</f>
        <v>0</v>
      </c>
      <c r="G248" s="7">
        <f>+'SERVICIO FAENA'!J247</f>
        <v>0</v>
      </c>
      <c r="H248" s="7">
        <f>+'SERVICIO DESPOSTE'!W247</f>
        <v>0</v>
      </c>
      <c r="I248" s="36">
        <f t="shared" si="4"/>
        <v>0</v>
      </c>
      <c r="J248" s="8">
        <f>+MENUDENCIAS!I247</f>
        <v>0</v>
      </c>
      <c r="K248" s="8">
        <f>+MENUDENCIAS!O247</f>
        <v>0</v>
      </c>
      <c r="L248" s="8">
        <f>+MENUDENCIAS!P247</f>
        <v>0</v>
      </c>
      <c r="M248" s="7">
        <f>+RENDERING!H246</f>
        <v>0</v>
      </c>
      <c r="N248" s="7">
        <f>+RENDERING!F246</f>
        <v>0</v>
      </c>
      <c r="O248" s="7">
        <f>+RENDERING!J246</f>
        <v>0</v>
      </c>
      <c r="P248" s="7">
        <f>+CUEROS!N249</f>
        <v>0</v>
      </c>
      <c r="Q248" s="7">
        <f>+'GRASA DREASING'!G246</f>
        <v>0</v>
      </c>
    </row>
    <row r="249" spans="2:17" x14ac:dyDescent="0.2">
      <c r="B249" s="5">
        <f>+'SERVICIO FAENA'!A248</f>
        <v>0</v>
      </c>
      <c r="C249" s="5">
        <f>+'SERVICIO FAENA'!B248</f>
        <v>0</v>
      </c>
      <c r="D249" s="5">
        <f>+'SERVICIO FAENA'!C248</f>
        <v>0</v>
      </c>
      <c r="E249" s="7">
        <f>+'SERVICIO FAENA'!H248</f>
        <v>0</v>
      </c>
      <c r="F249" s="6">
        <f>+'SERVICIO FAENA'!F248</f>
        <v>0</v>
      </c>
      <c r="G249" s="7">
        <f>+'SERVICIO FAENA'!J248</f>
        <v>0</v>
      </c>
      <c r="H249" s="7">
        <f>+'SERVICIO DESPOSTE'!W248</f>
        <v>0</v>
      </c>
      <c r="I249" s="36">
        <f t="shared" si="4"/>
        <v>0</v>
      </c>
      <c r="J249" s="8">
        <f>+MENUDENCIAS!I248</f>
        <v>0</v>
      </c>
      <c r="K249" s="8">
        <f>+MENUDENCIAS!O248</f>
        <v>0</v>
      </c>
      <c r="L249" s="8">
        <f>+MENUDENCIAS!P248</f>
        <v>0</v>
      </c>
      <c r="M249" s="7">
        <f>+RENDERING!H247</f>
        <v>0</v>
      </c>
      <c r="N249" s="7">
        <f>+RENDERING!F247</f>
        <v>0</v>
      </c>
      <c r="O249" s="7">
        <f>+RENDERING!J247</f>
        <v>0</v>
      </c>
      <c r="P249" s="7">
        <f>+CUEROS!N250</f>
        <v>0</v>
      </c>
      <c r="Q249" s="7">
        <f>+'GRASA DREASING'!G247</f>
        <v>0</v>
      </c>
    </row>
    <row r="250" spans="2:17" x14ac:dyDescent="0.2">
      <c r="B250" s="5">
        <f>+'SERVICIO FAENA'!A249</f>
        <v>0</v>
      </c>
      <c r="C250" s="5">
        <f>+'SERVICIO FAENA'!B249</f>
        <v>0</v>
      </c>
      <c r="D250" s="5">
        <f>+'SERVICIO FAENA'!C249</f>
        <v>0</v>
      </c>
      <c r="E250" s="7">
        <f>+'SERVICIO FAENA'!H249</f>
        <v>0</v>
      </c>
      <c r="F250" s="6">
        <f>+'SERVICIO FAENA'!F249</f>
        <v>0</v>
      </c>
      <c r="G250" s="7">
        <f>+'SERVICIO FAENA'!J249</f>
        <v>0</v>
      </c>
      <c r="H250" s="7">
        <f>+'SERVICIO DESPOSTE'!W249</f>
        <v>0</v>
      </c>
      <c r="I250" s="36">
        <f t="shared" si="4"/>
        <v>0</v>
      </c>
      <c r="J250" s="8">
        <f>+MENUDENCIAS!I249</f>
        <v>0</v>
      </c>
      <c r="K250" s="8">
        <f>+MENUDENCIAS!O249</f>
        <v>0</v>
      </c>
      <c r="L250" s="8">
        <f>+MENUDENCIAS!P249</f>
        <v>0</v>
      </c>
      <c r="M250" s="7">
        <f>+RENDERING!H248</f>
        <v>0</v>
      </c>
      <c r="N250" s="7">
        <f>+RENDERING!F248</f>
        <v>0</v>
      </c>
      <c r="O250" s="7">
        <f>+RENDERING!J248</f>
        <v>0</v>
      </c>
      <c r="P250" s="7">
        <f>+CUEROS!N251</f>
        <v>0</v>
      </c>
      <c r="Q250" s="7">
        <f>+'GRASA DREASING'!G248</f>
        <v>0</v>
      </c>
    </row>
    <row r="251" spans="2:17" x14ac:dyDescent="0.2">
      <c r="B251" s="5">
        <f>+'SERVICIO FAENA'!A250</f>
        <v>0</v>
      </c>
      <c r="C251" s="5">
        <f>+'SERVICIO FAENA'!B250</f>
        <v>0</v>
      </c>
      <c r="D251" s="5">
        <f>+'SERVICIO FAENA'!C250</f>
        <v>0</v>
      </c>
      <c r="E251" s="7">
        <f>+'SERVICIO FAENA'!H250</f>
        <v>0</v>
      </c>
      <c r="F251" s="6">
        <f>+'SERVICIO FAENA'!F250</f>
        <v>0</v>
      </c>
      <c r="G251" s="7">
        <f>+'SERVICIO FAENA'!J250</f>
        <v>0</v>
      </c>
      <c r="H251" s="7">
        <f>+'SERVICIO DESPOSTE'!W250</f>
        <v>0</v>
      </c>
      <c r="I251" s="36">
        <f t="shared" si="4"/>
        <v>0</v>
      </c>
      <c r="J251" s="8">
        <f>+MENUDENCIAS!I250</f>
        <v>0</v>
      </c>
      <c r="K251" s="8">
        <f>+MENUDENCIAS!O250</f>
        <v>0</v>
      </c>
      <c r="L251" s="8">
        <f>+MENUDENCIAS!P250</f>
        <v>0</v>
      </c>
      <c r="M251" s="7">
        <f>+RENDERING!H249</f>
        <v>0</v>
      </c>
      <c r="N251" s="7">
        <f>+RENDERING!F249</f>
        <v>0</v>
      </c>
      <c r="O251" s="7">
        <f>+RENDERING!J249</f>
        <v>0</v>
      </c>
      <c r="P251" s="7">
        <f>+CUEROS!N252</f>
        <v>0</v>
      </c>
      <c r="Q251" s="7">
        <f>+'GRASA DREASING'!G249</f>
        <v>0</v>
      </c>
    </row>
    <row r="252" spans="2:17" x14ac:dyDescent="0.2">
      <c r="B252" s="5">
        <f>+'SERVICIO FAENA'!A251</f>
        <v>0</v>
      </c>
      <c r="C252" s="5">
        <f>+'SERVICIO FAENA'!B251</f>
        <v>0</v>
      </c>
      <c r="D252" s="5">
        <f>+'SERVICIO FAENA'!C251</f>
        <v>0</v>
      </c>
      <c r="E252" s="7">
        <f>+'SERVICIO FAENA'!H251</f>
        <v>0</v>
      </c>
      <c r="F252" s="6">
        <f>+'SERVICIO FAENA'!F251</f>
        <v>0</v>
      </c>
      <c r="G252" s="7">
        <f>+'SERVICIO FAENA'!J251</f>
        <v>0</v>
      </c>
      <c r="H252" s="7">
        <f>+'SERVICIO DESPOSTE'!W251</f>
        <v>0</v>
      </c>
      <c r="I252" s="36">
        <f t="shared" si="4"/>
        <v>0</v>
      </c>
      <c r="J252" s="8">
        <f>+MENUDENCIAS!I251</f>
        <v>0</v>
      </c>
      <c r="K252" s="8">
        <f>+MENUDENCIAS!O251</f>
        <v>0</v>
      </c>
      <c r="L252" s="8">
        <f>+MENUDENCIAS!P251</f>
        <v>0</v>
      </c>
      <c r="M252" s="7">
        <f>+RENDERING!H250</f>
        <v>0</v>
      </c>
      <c r="N252" s="7">
        <f>+RENDERING!F250</f>
        <v>0</v>
      </c>
      <c r="O252" s="7">
        <f>+RENDERING!J250</f>
        <v>0</v>
      </c>
      <c r="P252" s="7">
        <f>+CUEROS!N253</f>
        <v>0</v>
      </c>
      <c r="Q252" s="7">
        <f>+'GRASA DREASING'!G250</f>
        <v>0</v>
      </c>
    </row>
    <row r="253" spans="2:17" x14ac:dyDescent="0.2">
      <c r="B253" s="5">
        <f>+'SERVICIO FAENA'!A252</f>
        <v>0</v>
      </c>
      <c r="C253" s="5">
        <f>+'SERVICIO FAENA'!B252</f>
        <v>0</v>
      </c>
      <c r="D253" s="5">
        <f>+'SERVICIO FAENA'!C252</f>
        <v>0</v>
      </c>
      <c r="E253" s="7">
        <f>+'SERVICIO FAENA'!H252</f>
        <v>0</v>
      </c>
      <c r="F253" s="6">
        <f>+'SERVICIO FAENA'!F252</f>
        <v>0</v>
      </c>
      <c r="G253" s="7">
        <f>+'SERVICIO FAENA'!J252</f>
        <v>0</v>
      </c>
      <c r="H253" s="7">
        <f>+'SERVICIO DESPOSTE'!W252</f>
        <v>0</v>
      </c>
      <c r="I253" s="36">
        <f t="shared" si="4"/>
        <v>0</v>
      </c>
      <c r="J253" s="8">
        <f>+MENUDENCIAS!I252</f>
        <v>0</v>
      </c>
      <c r="K253" s="8">
        <f>+MENUDENCIAS!O252</f>
        <v>0</v>
      </c>
      <c r="L253" s="8">
        <f>+MENUDENCIAS!P252</f>
        <v>0</v>
      </c>
      <c r="M253" s="7">
        <f>+RENDERING!H251</f>
        <v>0</v>
      </c>
      <c r="N253" s="7">
        <f>+RENDERING!F251</f>
        <v>0</v>
      </c>
      <c r="O253" s="7">
        <f>+RENDERING!J251</f>
        <v>0</v>
      </c>
      <c r="P253" s="7">
        <f>+CUEROS!N254</f>
        <v>0</v>
      </c>
      <c r="Q253" s="7">
        <f>+'GRASA DREASING'!G251</f>
        <v>0</v>
      </c>
    </row>
    <row r="254" spans="2:17" x14ac:dyDescent="0.2">
      <c r="B254" s="5">
        <f>+'SERVICIO FAENA'!A253</f>
        <v>0</v>
      </c>
      <c r="C254" s="5">
        <f>+'SERVICIO FAENA'!B253</f>
        <v>0</v>
      </c>
      <c r="D254" s="5">
        <f>+'SERVICIO FAENA'!C253</f>
        <v>0</v>
      </c>
      <c r="E254" s="7">
        <f>+'SERVICIO FAENA'!H253</f>
        <v>0</v>
      </c>
      <c r="F254" s="6">
        <f>+'SERVICIO FAENA'!F253</f>
        <v>0</v>
      </c>
      <c r="G254" s="7">
        <f>+'SERVICIO FAENA'!J253</f>
        <v>0</v>
      </c>
      <c r="H254" s="7">
        <f>+'SERVICIO DESPOSTE'!W253</f>
        <v>0</v>
      </c>
      <c r="I254" s="36">
        <f t="shared" si="4"/>
        <v>0</v>
      </c>
      <c r="J254" s="8">
        <f>+MENUDENCIAS!I253</f>
        <v>0</v>
      </c>
      <c r="K254" s="8">
        <f>+MENUDENCIAS!O253</f>
        <v>0</v>
      </c>
      <c r="L254" s="8">
        <f>+MENUDENCIAS!P253</f>
        <v>0</v>
      </c>
      <c r="M254" s="7">
        <f>+RENDERING!H252</f>
        <v>0</v>
      </c>
      <c r="N254" s="7">
        <f>+RENDERING!F252</f>
        <v>0</v>
      </c>
      <c r="O254" s="7">
        <f>+RENDERING!J252</f>
        <v>0</v>
      </c>
      <c r="P254" s="7">
        <f>+CUEROS!N255</f>
        <v>0</v>
      </c>
      <c r="Q254" s="7">
        <f>+'GRASA DREASING'!G252</f>
        <v>0</v>
      </c>
    </row>
    <row r="255" spans="2:17" x14ac:dyDescent="0.2">
      <c r="B255" s="5">
        <f>+'SERVICIO FAENA'!A254</f>
        <v>0</v>
      </c>
      <c r="C255" s="5">
        <f>+'SERVICIO FAENA'!B254</f>
        <v>0</v>
      </c>
      <c r="D255" s="5">
        <f>+'SERVICIO FAENA'!C254</f>
        <v>0</v>
      </c>
      <c r="E255" s="7">
        <f>+'SERVICIO FAENA'!H254</f>
        <v>0</v>
      </c>
      <c r="F255" s="6">
        <f>+'SERVICIO FAENA'!F254</f>
        <v>0</v>
      </c>
      <c r="G255" s="7">
        <f>+'SERVICIO FAENA'!J254</f>
        <v>0</v>
      </c>
      <c r="H255" s="7">
        <f>+'SERVICIO DESPOSTE'!W254</f>
        <v>0</v>
      </c>
      <c r="I255" s="36">
        <f t="shared" si="4"/>
        <v>0</v>
      </c>
      <c r="J255" s="8">
        <f>+MENUDENCIAS!I254</f>
        <v>0</v>
      </c>
      <c r="K255" s="8">
        <f>+MENUDENCIAS!O254</f>
        <v>0</v>
      </c>
      <c r="L255" s="8">
        <f>+MENUDENCIAS!P254</f>
        <v>0</v>
      </c>
      <c r="M255" s="7">
        <f>+RENDERING!H253</f>
        <v>0</v>
      </c>
      <c r="N255" s="7">
        <f>+RENDERING!F253</f>
        <v>0</v>
      </c>
      <c r="O255" s="7">
        <f>+RENDERING!J253</f>
        <v>0</v>
      </c>
      <c r="P255" s="7">
        <f>+CUEROS!N256</f>
        <v>0</v>
      </c>
      <c r="Q255" s="7">
        <f>+'GRASA DREASING'!G253</f>
        <v>0</v>
      </c>
    </row>
    <row r="256" spans="2:17" x14ac:dyDescent="0.2">
      <c r="B256" s="5">
        <f>+'SERVICIO FAENA'!A255</f>
        <v>0</v>
      </c>
      <c r="C256" s="5">
        <f>+'SERVICIO FAENA'!B255</f>
        <v>0</v>
      </c>
      <c r="D256" s="5">
        <f>+'SERVICIO FAENA'!C255</f>
        <v>0</v>
      </c>
      <c r="E256" s="7">
        <f>+'SERVICIO FAENA'!H255</f>
        <v>0</v>
      </c>
      <c r="F256" s="6">
        <f>+'SERVICIO FAENA'!F255</f>
        <v>0</v>
      </c>
      <c r="G256" s="7">
        <f>+'SERVICIO FAENA'!J255</f>
        <v>0</v>
      </c>
      <c r="H256" s="7">
        <f>+'SERVICIO DESPOSTE'!W255</f>
        <v>0</v>
      </c>
      <c r="I256" s="36">
        <f t="shared" si="4"/>
        <v>0</v>
      </c>
      <c r="J256" s="8">
        <f>+MENUDENCIAS!I255</f>
        <v>0</v>
      </c>
      <c r="K256" s="8">
        <f>+MENUDENCIAS!O255</f>
        <v>0</v>
      </c>
      <c r="L256" s="8">
        <f>+MENUDENCIAS!P255</f>
        <v>0</v>
      </c>
      <c r="M256" s="7">
        <f>+RENDERING!H254</f>
        <v>0</v>
      </c>
      <c r="N256" s="7">
        <f>+RENDERING!F254</f>
        <v>0</v>
      </c>
      <c r="O256" s="7">
        <f>+RENDERING!J254</f>
        <v>0</v>
      </c>
      <c r="P256" s="7">
        <f>+CUEROS!N257</f>
        <v>0</v>
      </c>
      <c r="Q256" s="7">
        <f>+'GRASA DREASING'!G254</f>
        <v>0</v>
      </c>
    </row>
    <row r="257" spans="2:17" x14ac:dyDescent="0.2">
      <c r="B257" s="5">
        <f>+'SERVICIO FAENA'!A256</f>
        <v>0</v>
      </c>
      <c r="C257" s="5">
        <f>+'SERVICIO FAENA'!B256</f>
        <v>0</v>
      </c>
      <c r="D257" s="5">
        <f>+'SERVICIO FAENA'!C256</f>
        <v>0</v>
      </c>
      <c r="E257" s="7">
        <f>+'SERVICIO FAENA'!H256</f>
        <v>0</v>
      </c>
      <c r="F257" s="6">
        <f>+'SERVICIO FAENA'!F256</f>
        <v>0</v>
      </c>
      <c r="G257" s="7">
        <f>+'SERVICIO FAENA'!J256</f>
        <v>0</v>
      </c>
      <c r="H257" s="7">
        <f>+'SERVICIO DESPOSTE'!W256</f>
        <v>0</v>
      </c>
      <c r="I257" s="36">
        <f t="shared" si="4"/>
        <v>0</v>
      </c>
      <c r="J257" s="8">
        <f>+MENUDENCIAS!I256</f>
        <v>0</v>
      </c>
      <c r="K257" s="8">
        <f>+MENUDENCIAS!O256</f>
        <v>0</v>
      </c>
      <c r="L257" s="8">
        <f>+MENUDENCIAS!P256</f>
        <v>0</v>
      </c>
      <c r="M257" s="7">
        <f>+RENDERING!H255</f>
        <v>0</v>
      </c>
      <c r="N257" s="7">
        <f>+RENDERING!F255</f>
        <v>0</v>
      </c>
      <c r="O257" s="7">
        <f>+RENDERING!J255</f>
        <v>0</v>
      </c>
      <c r="P257" s="7">
        <f>+CUEROS!N258</f>
        <v>0</v>
      </c>
      <c r="Q257" s="7">
        <f>+'GRASA DREASING'!G255</f>
        <v>0</v>
      </c>
    </row>
    <row r="258" spans="2:17" x14ac:dyDescent="0.2">
      <c r="B258" s="5">
        <f>+'SERVICIO FAENA'!A257</f>
        <v>0</v>
      </c>
      <c r="C258" s="5">
        <f>+'SERVICIO FAENA'!B257</f>
        <v>0</v>
      </c>
      <c r="D258" s="5">
        <f>+'SERVICIO FAENA'!C257</f>
        <v>0</v>
      </c>
      <c r="E258" s="7">
        <f>+'SERVICIO FAENA'!H257</f>
        <v>0</v>
      </c>
      <c r="F258" s="6">
        <f>+'SERVICIO FAENA'!F257</f>
        <v>0</v>
      </c>
      <c r="G258" s="7">
        <f>+'SERVICIO FAENA'!J257</f>
        <v>0</v>
      </c>
      <c r="H258" s="7">
        <f>+'SERVICIO DESPOSTE'!W257</f>
        <v>0</v>
      </c>
      <c r="I258" s="36">
        <f t="shared" si="4"/>
        <v>0</v>
      </c>
      <c r="J258" s="8">
        <f>+MENUDENCIAS!I257</f>
        <v>0</v>
      </c>
      <c r="K258" s="8">
        <f>+MENUDENCIAS!O257</f>
        <v>0</v>
      </c>
      <c r="L258" s="8">
        <f>+MENUDENCIAS!P257</f>
        <v>0</v>
      </c>
      <c r="M258" s="7">
        <f>+RENDERING!H256</f>
        <v>0</v>
      </c>
      <c r="N258" s="7">
        <f>+RENDERING!F256</f>
        <v>0</v>
      </c>
      <c r="O258" s="7">
        <f>+RENDERING!J256</f>
        <v>0</v>
      </c>
      <c r="P258" s="7">
        <f>+CUEROS!N259</f>
        <v>0</v>
      </c>
      <c r="Q258" s="7">
        <f>+'GRASA DREASING'!G256</f>
        <v>0</v>
      </c>
    </row>
    <row r="259" spans="2:17" x14ac:dyDescent="0.2">
      <c r="B259" s="5">
        <f>+'SERVICIO FAENA'!A258</f>
        <v>0</v>
      </c>
      <c r="C259" s="5">
        <f>+'SERVICIO FAENA'!B258</f>
        <v>0</v>
      </c>
      <c r="D259" s="5">
        <f>+'SERVICIO FAENA'!C258</f>
        <v>0</v>
      </c>
      <c r="E259" s="7">
        <f>+'SERVICIO FAENA'!H258</f>
        <v>0</v>
      </c>
      <c r="F259" s="6">
        <f>+'SERVICIO FAENA'!F258</f>
        <v>0</v>
      </c>
      <c r="G259" s="7">
        <f>+'SERVICIO FAENA'!J258</f>
        <v>0</v>
      </c>
      <c r="H259" s="7">
        <f>+'SERVICIO DESPOSTE'!W258</f>
        <v>0</v>
      </c>
      <c r="I259" s="36">
        <f t="shared" si="4"/>
        <v>0</v>
      </c>
      <c r="J259" s="8">
        <f>+MENUDENCIAS!I258</f>
        <v>0</v>
      </c>
      <c r="K259" s="8">
        <f>+MENUDENCIAS!O258</f>
        <v>0</v>
      </c>
      <c r="L259" s="8">
        <f>+MENUDENCIAS!P258</f>
        <v>0</v>
      </c>
      <c r="M259" s="7">
        <f>+RENDERING!H257</f>
        <v>0</v>
      </c>
      <c r="N259" s="7">
        <f>+RENDERING!F257</f>
        <v>0</v>
      </c>
      <c r="O259" s="7">
        <f>+RENDERING!J257</f>
        <v>0</v>
      </c>
      <c r="P259" s="7">
        <f>+CUEROS!N260</f>
        <v>0</v>
      </c>
      <c r="Q259" s="7">
        <f>+'GRASA DREASING'!G257</f>
        <v>0</v>
      </c>
    </row>
    <row r="260" spans="2:17" x14ac:dyDescent="0.2">
      <c r="B260" s="5">
        <f>+'SERVICIO FAENA'!A259</f>
        <v>0</v>
      </c>
      <c r="C260" s="5">
        <f>+'SERVICIO FAENA'!B259</f>
        <v>0</v>
      </c>
      <c r="D260" s="5">
        <f>+'SERVICIO FAENA'!C259</f>
        <v>0</v>
      </c>
      <c r="E260" s="7">
        <f>+'SERVICIO FAENA'!H259</f>
        <v>0</v>
      </c>
      <c r="F260" s="6">
        <f>+'SERVICIO FAENA'!F259</f>
        <v>0</v>
      </c>
      <c r="G260" s="7">
        <f>+'SERVICIO FAENA'!J259</f>
        <v>0</v>
      </c>
      <c r="H260" s="7">
        <f>+'SERVICIO DESPOSTE'!W259</f>
        <v>0</v>
      </c>
      <c r="I260" s="36">
        <f t="shared" si="4"/>
        <v>0</v>
      </c>
      <c r="J260" s="8">
        <f>+MENUDENCIAS!I259</f>
        <v>0</v>
      </c>
      <c r="K260" s="8">
        <f>+MENUDENCIAS!O259</f>
        <v>0</v>
      </c>
      <c r="L260" s="8">
        <f>+MENUDENCIAS!P259</f>
        <v>0</v>
      </c>
      <c r="M260" s="7">
        <f>+RENDERING!H258</f>
        <v>0</v>
      </c>
      <c r="N260" s="7">
        <f>+RENDERING!F258</f>
        <v>0</v>
      </c>
      <c r="O260" s="7">
        <f>+RENDERING!J258</f>
        <v>0</v>
      </c>
      <c r="P260" s="7">
        <f>+CUEROS!N261</f>
        <v>0</v>
      </c>
      <c r="Q260" s="7">
        <f>+'GRASA DREASING'!G258</f>
        <v>0</v>
      </c>
    </row>
    <row r="261" spans="2:17" x14ac:dyDescent="0.2">
      <c r="B261" s="5">
        <f>+'SERVICIO FAENA'!A260</f>
        <v>0</v>
      </c>
      <c r="C261" s="5">
        <f>+'SERVICIO FAENA'!B260</f>
        <v>0</v>
      </c>
      <c r="D261" s="5">
        <f>+'SERVICIO FAENA'!C260</f>
        <v>0</v>
      </c>
      <c r="E261" s="7">
        <f>+'SERVICIO FAENA'!H260</f>
        <v>0</v>
      </c>
      <c r="F261" s="6">
        <f>+'SERVICIO FAENA'!F260</f>
        <v>0</v>
      </c>
      <c r="G261" s="7">
        <f>+'SERVICIO FAENA'!J260</f>
        <v>0</v>
      </c>
      <c r="H261" s="7">
        <f>+'SERVICIO DESPOSTE'!W260</f>
        <v>0</v>
      </c>
      <c r="I261" s="36">
        <f t="shared" si="4"/>
        <v>0</v>
      </c>
      <c r="J261" s="8">
        <f>+MENUDENCIAS!I260</f>
        <v>0</v>
      </c>
      <c r="K261" s="8">
        <f>+MENUDENCIAS!O260</f>
        <v>0</v>
      </c>
      <c r="L261" s="8">
        <f>+MENUDENCIAS!P260</f>
        <v>0</v>
      </c>
      <c r="M261" s="7">
        <f>+RENDERING!H259</f>
        <v>0</v>
      </c>
      <c r="N261" s="7">
        <f>+RENDERING!F259</f>
        <v>0</v>
      </c>
      <c r="O261" s="7">
        <f>+RENDERING!J259</f>
        <v>0</v>
      </c>
      <c r="P261" s="7">
        <f>+CUEROS!N262</f>
        <v>0</v>
      </c>
      <c r="Q261" s="7">
        <f>+'GRASA DREASING'!G259</f>
        <v>0</v>
      </c>
    </row>
    <row r="262" spans="2:17" x14ac:dyDescent="0.2">
      <c r="B262" s="5">
        <f>+'SERVICIO FAENA'!A261</f>
        <v>0</v>
      </c>
      <c r="C262" s="5">
        <f>+'SERVICIO FAENA'!B261</f>
        <v>0</v>
      </c>
      <c r="D262" s="5">
        <f>+'SERVICIO FAENA'!C261</f>
        <v>0</v>
      </c>
      <c r="E262" s="7">
        <f>+'SERVICIO FAENA'!H261</f>
        <v>0</v>
      </c>
      <c r="F262" s="6">
        <f>+'SERVICIO FAENA'!F261</f>
        <v>0</v>
      </c>
      <c r="G262" s="7">
        <f>+'SERVICIO FAENA'!J261</f>
        <v>0</v>
      </c>
      <c r="H262" s="7">
        <f>+'SERVICIO DESPOSTE'!W261</f>
        <v>0</v>
      </c>
      <c r="I262" s="36">
        <f t="shared" si="4"/>
        <v>0</v>
      </c>
      <c r="J262" s="8">
        <f>+MENUDENCIAS!I261</f>
        <v>0</v>
      </c>
      <c r="K262" s="8">
        <f>+MENUDENCIAS!O261</f>
        <v>0</v>
      </c>
      <c r="L262" s="8">
        <f>+MENUDENCIAS!P261</f>
        <v>0</v>
      </c>
      <c r="M262" s="7">
        <f>+RENDERING!H260</f>
        <v>0</v>
      </c>
      <c r="N262" s="7">
        <f>+RENDERING!F260</f>
        <v>0</v>
      </c>
      <c r="O262" s="7">
        <f>+RENDERING!J260</f>
        <v>0</v>
      </c>
      <c r="P262" s="7">
        <f>+CUEROS!N263</f>
        <v>0</v>
      </c>
      <c r="Q262" s="7">
        <f>+'GRASA DREASING'!G260</f>
        <v>0</v>
      </c>
    </row>
    <row r="263" spans="2:17" x14ac:dyDescent="0.2">
      <c r="B263" s="5">
        <f>+'SERVICIO FAENA'!A262</f>
        <v>0</v>
      </c>
      <c r="C263" s="5">
        <f>+'SERVICIO FAENA'!B262</f>
        <v>0</v>
      </c>
      <c r="D263" s="5">
        <f>+'SERVICIO FAENA'!C262</f>
        <v>0</v>
      </c>
      <c r="E263" s="7">
        <f>+'SERVICIO FAENA'!H262</f>
        <v>0</v>
      </c>
      <c r="F263" s="6">
        <f>+'SERVICIO FAENA'!F262</f>
        <v>0</v>
      </c>
      <c r="G263" s="7">
        <f>+'SERVICIO FAENA'!J262</f>
        <v>0</v>
      </c>
      <c r="H263" s="7">
        <f>+'SERVICIO DESPOSTE'!W262</f>
        <v>0</v>
      </c>
      <c r="I263" s="36">
        <f t="shared" si="4"/>
        <v>0</v>
      </c>
      <c r="J263" s="8">
        <f>+MENUDENCIAS!I262</f>
        <v>0</v>
      </c>
      <c r="K263" s="8">
        <f>+MENUDENCIAS!O262</f>
        <v>0</v>
      </c>
      <c r="L263" s="8">
        <f>+MENUDENCIAS!P262</f>
        <v>0</v>
      </c>
      <c r="M263" s="7">
        <f>+RENDERING!H261</f>
        <v>0</v>
      </c>
      <c r="N263" s="7">
        <f>+RENDERING!F261</f>
        <v>0</v>
      </c>
      <c r="O263" s="7">
        <f>+RENDERING!J261</f>
        <v>0</v>
      </c>
      <c r="P263" s="7">
        <f>+CUEROS!N264</f>
        <v>0</v>
      </c>
      <c r="Q263" s="7">
        <f>+'GRASA DREASING'!G261</f>
        <v>0</v>
      </c>
    </row>
    <row r="264" spans="2:17" x14ac:dyDescent="0.2">
      <c r="B264" s="5">
        <f>+'SERVICIO FAENA'!A263</f>
        <v>0</v>
      </c>
      <c r="C264" s="5">
        <f>+'SERVICIO FAENA'!B263</f>
        <v>0</v>
      </c>
      <c r="D264" s="5">
        <f>+'SERVICIO FAENA'!C263</f>
        <v>0</v>
      </c>
      <c r="E264" s="7">
        <f>+'SERVICIO FAENA'!H263</f>
        <v>0</v>
      </c>
      <c r="F264" s="6">
        <f>+'SERVICIO FAENA'!F263</f>
        <v>0</v>
      </c>
      <c r="G264" s="7">
        <f>+'SERVICIO FAENA'!J263</f>
        <v>0</v>
      </c>
      <c r="H264" s="7">
        <f>+'SERVICIO DESPOSTE'!W263</f>
        <v>0</v>
      </c>
      <c r="I264" s="36">
        <f t="shared" si="4"/>
        <v>0</v>
      </c>
      <c r="J264" s="8">
        <f>+MENUDENCIAS!I263</f>
        <v>0</v>
      </c>
      <c r="K264" s="8">
        <f>+MENUDENCIAS!O263</f>
        <v>0</v>
      </c>
      <c r="L264" s="8">
        <f>+MENUDENCIAS!P263</f>
        <v>0</v>
      </c>
      <c r="M264" s="7">
        <f>+RENDERING!H262</f>
        <v>0</v>
      </c>
      <c r="N264" s="7">
        <f>+RENDERING!F262</f>
        <v>0</v>
      </c>
      <c r="O264" s="7">
        <f>+RENDERING!J262</f>
        <v>0</v>
      </c>
      <c r="P264" s="7">
        <f>+CUEROS!N265</f>
        <v>0</v>
      </c>
      <c r="Q264" s="7">
        <f>+'GRASA DREASING'!G262</f>
        <v>0</v>
      </c>
    </row>
    <row r="265" spans="2:17" x14ac:dyDescent="0.2">
      <c r="B265" s="5">
        <f>+'SERVICIO FAENA'!A264</f>
        <v>0</v>
      </c>
      <c r="C265" s="5">
        <f>+'SERVICIO FAENA'!B264</f>
        <v>0</v>
      </c>
      <c r="D265" s="5">
        <f>+'SERVICIO FAENA'!C264</f>
        <v>0</v>
      </c>
      <c r="E265" s="7">
        <f>+'SERVICIO FAENA'!H264</f>
        <v>0</v>
      </c>
      <c r="F265" s="6">
        <f>+'SERVICIO FAENA'!F264</f>
        <v>0</v>
      </c>
      <c r="G265" s="7">
        <f>+'SERVICIO FAENA'!J264</f>
        <v>0</v>
      </c>
      <c r="H265" s="7">
        <f>+'SERVICIO DESPOSTE'!W264</f>
        <v>0</v>
      </c>
      <c r="I265" s="36">
        <f t="shared" si="4"/>
        <v>0</v>
      </c>
      <c r="J265" s="8">
        <f>+MENUDENCIAS!I264</f>
        <v>0</v>
      </c>
      <c r="K265" s="8">
        <f>+MENUDENCIAS!O264</f>
        <v>0</v>
      </c>
      <c r="L265" s="8">
        <f>+MENUDENCIAS!P264</f>
        <v>0</v>
      </c>
      <c r="M265" s="7">
        <f>+RENDERING!H263</f>
        <v>0</v>
      </c>
      <c r="N265" s="7">
        <f>+RENDERING!F263</f>
        <v>0</v>
      </c>
      <c r="O265" s="7">
        <f>+RENDERING!J263</f>
        <v>0</v>
      </c>
      <c r="P265" s="7">
        <f>+CUEROS!N266</f>
        <v>0</v>
      </c>
      <c r="Q265" s="7">
        <f>+'GRASA DREASING'!G263</f>
        <v>0</v>
      </c>
    </row>
    <row r="266" spans="2:17" x14ac:dyDescent="0.2">
      <c r="B266" s="5">
        <f>+'SERVICIO FAENA'!A265</f>
        <v>0</v>
      </c>
      <c r="C266" s="5">
        <f>+'SERVICIO FAENA'!B265</f>
        <v>0</v>
      </c>
      <c r="D266" s="5">
        <f>+'SERVICIO FAENA'!C265</f>
        <v>0</v>
      </c>
      <c r="E266" s="7">
        <f>+'SERVICIO FAENA'!H265</f>
        <v>0</v>
      </c>
      <c r="F266" s="6">
        <f>+'SERVICIO FAENA'!F265</f>
        <v>0</v>
      </c>
      <c r="G266" s="7">
        <f>+'SERVICIO FAENA'!J265</f>
        <v>0</v>
      </c>
      <c r="H266" s="7">
        <f>+'SERVICIO DESPOSTE'!W265</f>
        <v>0</v>
      </c>
      <c r="I266" s="36">
        <f t="shared" si="4"/>
        <v>0</v>
      </c>
      <c r="J266" s="8">
        <f>+MENUDENCIAS!I265</f>
        <v>0</v>
      </c>
      <c r="K266" s="8">
        <f>+MENUDENCIAS!O265</f>
        <v>0</v>
      </c>
      <c r="L266" s="8">
        <f>+MENUDENCIAS!P265</f>
        <v>0</v>
      </c>
      <c r="M266" s="7">
        <f>+RENDERING!H264</f>
        <v>0</v>
      </c>
      <c r="N266" s="7">
        <f>+RENDERING!F264</f>
        <v>0</v>
      </c>
      <c r="O266" s="7">
        <f>+RENDERING!J264</f>
        <v>0</v>
      </c>
      <c r="P266" s="7">
        <f>+CUEROS!N267</f>
        <v>0</v>
      </c>
      <c r="Q266" s="7">
        <f>+'GRASA DREASING'!G264</f>
        <v>0</v>
      </c>
    </row>
    <row r="267" spans="2:17" x14ac:dyDescent="0.2">
      <c r="B267" s="5">
        <f>+'SERVICIO FAENA'!A266</f>
        <v>0</v>
      </c>
      <c r="C267" s="5">
        <f>+'SERVICIO FAENA'!B266</f>
        <v>0</v>
      </c>
      <c r="D267" s="5">
        <f>+'SERVICIO FAENA'!C266</f>
        <v>0</v>
      </c>
      <c r="E267" s="7">
        <f>+'SERVICIO FAENA'!H266</f>
        <v>0</v>
      </c>
      <c r="F267" s="6">
        <f>+'SERVICIO FAENA'!F266</f>
        <v>0</v>
      </c>
      <c r="G267" s="7">
        <f>+'SERVICIO FAENA'!J266</f>
        <v>0</v>
      </c>
      <c r="H267" s="7">
        <f>+'SERVICIO DESPOSTE'!W266</f>
        <v>0</v>
      </c>
      <c r="I267" s="36">
        <f t="shared" si="4"/>
        <v>0</v>
      </c>
      <c r="J267" s="8">
        <f>+MENUDENCIAS!I266</f>
        <v>0</v>
      </c>
      <c r="K267" s="8">
        <f>+MENUDENCIAS!O266</f>
        <v>0</v>
      </c>
      <c r="L267" s="8">
        <f>+MENUDENCIAS!P266</f>
        <v>0</v>
      </c>
      <c r="M267" s="7">
        <f>+RENDERING!H265</f>
        <v>0</v>
      </c>
      <c r="N267" s="7">
        <f>+RENDERING!F265</f>
        <v>0</v>
      </c>
      <c r="O267" s="7">
        <f>+RENDERING!J265</f>
        <v>0</v>
      </c>
      <c r="P267" s="7">
        <f>+CUEROS!N268</f>
        <v>0</v>
      </c>
      <c r="Q267" s="7">
        <f>+'GRASA DREASING'!G265</f>
        <v>0</v>
      </c>
    </row>
    <row r="268" spans="2:17" x14ac:dyDescent="0.2">
      <c r="B268" s="5">
        <f>+'SERVICIO FAENA'!A267</f>
        <v>0</v>
      </c>
      <c r="C268" s="5">
        <f>+'SERVICIO FAENA'!B267</f>
        <v>0</v>
      </c>
      <c r="D268" s="5">
        <f>+'SERVICIO FAENA'!C267</f>
        <v>0</v>
      </c>
      <c r="E268" s="7">
        <f>+'SERVICIO FAENA'!H267</f>
        <v>0</v>
      </c>
      <c r="F268" s="6">
        <f>+'SERVICIO FAENA'!F267</f>
        <v>0</v>
      </c>
      <c r="G268" s="7">
        <f>+'SERVICIO FAENA'!J267</f>
        <v>0</v>
      </c>
      <c r="H268" s="7">
        <f>+'SERVICIO DESPOSTE'!W267</f>
        <v>0</v>
      </c>
      <c r="I268" s="36">
        <f t="shared" si="4"/>
        <v>0</v>
      </c>
      <c r="J268" s="8">
        <f>+MENUDENCIAS!I267</f>
        <v>0</v>
      </c>
      <c r="K268" s="8">
        <f>+MENUDENCIAS!O267</f>
        <v>0</v>
      </c>
      <c r="L268" s="8">
        <f>+MENUDENCIAS!P267</f>
        <v>0</v>
      </c>
      <c r="M268" s="7">
        <f>+RENDERING!H266</f>
        <v>0</v>
      </c>
      <c r="N268" s="7">
        <f>+RENDERING!F266</f>
        <v>0</v>
      </c>
      <c r="O268" s="7">
        <f>+RENDERING!J266</f>
        <v>0</v>
      </c>
      <c r="P268" s="7">
        <f>+CUEROS!N269</f>
        <v>0</v>
      </c>
      <c r="Q268" s="7">
        <f>+'GRASA DREASING'!G266</f>
        <v>0</v>
      </c>
    </row>
    <row r="269" spans="2:17" x14ac:dyDescent="0.2">
      <c r="B269" s="5">
        <f>+'SERVICIO FAENA'!A268</f>
        <v>0</v>
      </c>
      <c r="C269" s="5">
        <f>+'SERVICIO FAENA'!B268</f>
        <v>0</v>
      </c>
      <c r="D269" s="5">
        <f>+'SERVICIO FAENA'!C268</f>
        <v>0</v>
      </c>
      <c r="E269" s="7">
        <f>+'SERVICIO FAENA'!H268</f>
        <v>0</v>
      </c>
      <c r="F269" s="6">
        <f>+'SERVICIO FAENA'!F268</f>
        <v>0</v>
      </c>
      <c r="G269" s="7">
        <f>+'SERVICIO FAENA'!J268</f>
        <v>0</v>
      </c>
      <c r="H269" s="7">
        <f>+'SERVICIO DESPOSTE'!W268</f>
        <v>0</v>
      </c>
      <c r="I269" s="36">
        <f t="shared" si="4"/>
        <v>0</v>
      </c>
      <c r="J269" s="8">
        <f>+MENUDENCIAS!I268</f>
        <v>0</v>
      </c>
      <c r="K269" s="8">
        <f>+MENUDENCIAS!O268</f>
        <v>0</v>
      </c>
      <c r="L269" s="8">
        <f>+MENUDENCIAS!P268</f>
        <v>0</v>
      </c>
      <c r="M269" s="7">
        <f>+RENDERING!H267</f>
        <v>0</v>
      </c>
      <c r="N269" s="7">
        <f>+RENDERING!F267</f>
        <v>0</v>
      </c>
      <c r="O269" s="7">
        <f>+RENDERING!J267</f>
        <v>0</v>
      </c>
      <c r="P269" s="7">
        <f>+CUEROS!N270</f>
        <v>0</v>
      </c>
      <c r="Q269" s="7">
        <f>+'GRASA DREASING'!G267</f>
        <v>0</v>
      </c>
    </row>
    <row r="270" spans="2:17" x14ac:dyDescent="0.2">
      <c r="B270" s="5">
        <f>+'SERVICIO FAENA'!A269</f>
        <v>0</v>
      </c>
      <c r="C270" s="5">
        <f>+'SERVICIO FAENA'!B269</f>
        <v>0</v>
      </c>
      <c r="D270" s="5">
        <f>+'SERVICIO FAENA'!C269</f>
        <v>0</v>
      </c>
      <c r="E270" s="7">
        <f>+'SERVICIO FAENA'!H269</f>
        <v>0</v>
      </c>
      <c r="F270" s="6">
        <f>+'SERVICIO FAENA'!F269</f>
        <v>0</v>
      </c>
      <c r="G270" s="7">
        <f>+'SERVICIO FAENA'!J269</f>
        <v>0</v>
      </c>
      <c r="H270" s="7">
        <f>+'SERVICIO DESPOSTE'!W269</f>
        <v>0</v>
      </c>
      <c r="I270" s="36">
        <f t="shared" si="4"/>
        <v>0</v>
      </c>
      <c r="J270" s="8">
        <f>+MENUDENCIAS!I269</f>
        <v>0</v>
      </c>
      <c r="K270" s="8">
        <f>+MENUDENCIAS!O269</f>
        <v>0</v>
      </c>
      <c r="L270" s="8">
        <f>+MENUDENCIAS!P269</f>
        <v>0</v>
      </c>
      <c r="M270" s="7">
        <f>+RENDERING!H268</f>
        <v>0</v>
      </c>
      <c r="N270" s="7">
        <f>+RENDERING!F268</f>
        <v>0</v>
      </c>
      <c r="O270" s="7">
        <f>+RENDERING!J268</f>
        <v>0</v>
      </c>
      <c r="P270" s="7">
        <f>+CUEROS!N271</f>
        <v>0</v>
      </c>
      <c r="Q270" s="7">
        <f>+'GRASA DREASING'!G268</f>
        <v>0</v>
      </c>
    </row>
    <row r="271" spans="2:17" x14ac:dyDescent="0.2">
      <c r="B271" s="5">
        <f>+'SERVICIO FAENA'!A270</f>
        <v>0</v>
      </c>
      <c r="C271" s="5">
        <f>+'SERVICIO FAENA'!B270</f>
        <v>0</v>
      </c>
      <c r="D271" s="5">
        <f>+'SERVICIO FAENA'!C270</f>
        <v>0</v>
      </c>
      <c r="E271" s="7">
        <f>+'SERVICIO FAENA'!H270</f>
        <v>0</v>
      </c>
      <c r="F271" s="6">
        <f>+'SERVICIO FAENA'!F270</f>
        <v>0</v>
      </c>
      <c r="G271" s="7">
        <f>+'SERVICIO FAENA'!J270</f>
        <v>0</v>
      </c>
      <c r="H271" s="7">
        <f>+'SERVICIO DESPOSTE'!W270</f>
        <v>0</v>
      </c>
      <c r="I271" s="36">
        <f t="shared" si="4"/>
        <v>0</v>
      </c>
      <c r="J271" s="8">
        <f>+MENUDENCIAS!I270</f>
        <v>0</v>
      </c>
      <c r="K271" s="8">
        <f>+MENUDENCIAS!O270</f>
        <v>0</v>
      </c>
      <c r="L271" s="8">
        <f>+MENUDENCIAS!P270</f>
        <v>0</v>
      </c>
      <c r="M271" s="7">
        <f>+RENDERING!H269</f>
        <v>0</v>
      </c>
      <c r="N271" s="7">
        <f>+RENDERING!F269</f>
        <v>0</v>
      </c>
      <c r="O271" s="7">
        <f>+RENDERING!J269</f>
        <v>0</v>
      </c>
      <c r="P271" s="7">
        <f>+CUEROS!N272</f>
        <v>0</v>
      </c>
      <c r="Q271" s="7">
        <f>+'GRASA DREASING'!G269</f>
        <v>0</v>
      </c>
    </row>
    <row r="272" spans="2:17" x14ac:dyDescent="0.2">
      <c r="B272" s="5">
        <f>+'SERVICIO FAENA'!A271</f>
        <v>0</v>
      </c>
      <c r="C272" s="5">
        <f>+'SERVICIO FAENA'!B271</f>
        <v>0</v>
      </c>
      <c r="D272" s="5">
        <f>+'SERVICIO FAENA'!C271</f>
        <v>0</v>
      </c>
      <c r="E272" s="7">
        <f>+'SERVICIO FAENA'!H271</f>
        <v>0</v>
      </c>
      <c r="F272" s="6">
        <f>+'SERVICIO FAENA'!F271</f>
        <v>0</v>
      </c>
      <c r="G272" s="7">
        <f>+'SERVICIO FAENA'!J271</f>
        <v>0</v>
      </c>
      <c r="H272" s="7">
        <f>+'SERVICIO DESPOSTE'!W271</f>
        <v>0</v>
      </c>
      <c r="I272" s="36">
        <f t="shared" si="4"/>
        <v>0</v>
      </c>
      <c r="J272" s="8">
        <f>+MENUDENCIAS!I271</f>
        <v>0</v>
      </c>
      <c r="K272" s="8">
        <f>+MENUDENCIAS!O271</f>
        <v>0</v>
      </c>
      <c r="L272" s="8">
        <f>+MENUDENCIAS!P271</f>
        <v>0</v>
      </c>
      <c r="M272" s="7">
        <f>+RENDERING!H270</f>
        <v>0</v>
      </c>
      <c r="N272" s="7">
        <f>+RENDERING!F270</f>
        <v>0</v>
      </c>
      <c r="O272" s="7">
        <f>+RENDERING!J270</f>
        <v>0</v>
      </c>
      <c r="P272" s="7">
        <f>+CUEROS!N273</f>
        <v>0</v>
      </c>
      <c r="Q272" s="7">
        <f>+'GRASA DREASING'!G270</f>
        <v>0</v>
      </c>
    </row>
    <row r="273" spans="2:17" x14ac:dyDescent="0.2">
      <c r="B273" s="5">
        <f>+'SERVICIO FAENA'!A272</f>
        <v>0</v>
      </c>
      <c r="C273" s="5">
        <f>+'SERVICIO FAENA'!B272</f>
        <v>0</v>
      </c>
      <c r="D273" s="5">
        <f>+'SERVICIO FAENA'!C272</f>
        <v>0</v>
      </c>
      <c r="E273" s="7">
        <f>+'SERVICIO FAENA'!H272</f>
        <v>0</v>
      </c>
      <c r="F273" s="6">
        <f>+'SERVICIO FAENA'!F272</f>
        <v>0</v>
      </c>
      <c r="G273" s="7">
        <f>+'SERVICIO FAENA'!J272</f>
        <v>0</v>
      </c>
      <c r="H273" s="7">
        <f>+'SERVICIO DESPOSTE'!W272</f>
        <v>0</v>
      </c>
      <c r="I273" s="36">
        <f t="shared" si="4"/>
        <v>0</v>
      </c>
      <c r="J273" s="8">
        <f>+MENUDENCIAS!I272</f>
        <v>0</v>
      </c>
      <c r="K273" s="8">
        <f>+MENUDENCIAS!O272</f>
        <v>0</v>
      </c>
      <c r="L273" s="8">
        <f>+MENUDENCIAS!P272</f>
        <v>0</v>
      </c>
      <c r="M273" s="7">
        <f>+RENDERING!H271</f>
        <v>0</v>
      </c>
      <c r="N273" s="7">
        <f>+RENDERING!F271</f>
        <v>0</v>
      </c>
      <c r="O273" s="7">
        <f>+RENDERING!J271</f>
        <v>0</v>
      </c>
      <c r="P273" s="7">
        <f>+CUEROS!N274</f>
        <v>0</v>
      </c>
      <c r="Q273" s="7">
        <f>+'GRASA DREASING'!G271</f>
        <v>0</v>
      </c>
    </row>
    <row r="274" spans="2:17" x14ac:dyDescent="0.2">
      <c r="B274" s="5">
        <f>+'SERVICIO FAENA'!A273</f>
        <v>0</v>
      </c>
      <c r="C274" s="5">
        <f>+'SERVICIO FAENA'!B273</f>
        <v>0</v>
      </c>
      <c r="D274" s="5">
        <f>+'SERVICIO FAENA'!C273</f>
        <v>0</v>
      </c>
      <c r="E274" s="7">
        <f>+'SERVICIO FAENA'!H273</f>
        <v>0</v>
      </c>
      <c r="F274" s="6">
        <f>+'SERVICIO FAENA'!F273</f>
        <v>0</v>
      </c>
      <c r="G274" s="7">
        <f>+'SERVICIO FAENA'!J273</f>
        <v>0</v>
      </c>
      <c r="H274" s="7">
        <f>+'SERVICIO DESPOSTE'!W273</f>
        <v>0</v>
      </c>
      <c r="I274" s="36">
        <f t="shared" si="4"/>
        <v>0</v>
      </c>
      <c r="J274" s="8">
        <f>+MENUDENCIAS!I273</f>
        <v>0</v>
      </c>
      <c r="K274" s="8">
        <f>+MENUDENCIAS!O273</f>
        <v>0</v>
      </c>
      <c r="L274" s="8">
        <f>+MENUDENCIAS!P273</f>
        <v>0</v>
      </c>
      <c r="M274" s="7">
        <f>+RENDERING!H272</f>
        <v>0</v>
      </c>
      <c r="N274" s="7">
        <f>+RENDERING!F272</f>
        <v>0</v>
      </c>
      <c r="O274" s="7">
        <f>+RENDERING!J272</f>
        <v>0</v>
      </c>
      <c r="P274" s="7">
        <f>+CUEROS!N275</f>
        <v>0</v>
      </c>
      <c r="Q274" s="7">
        <f>+'GRASA DREASING'!G272</f>
        <v>0</v>
      </c>
    </row>
    <row r="275" spans="2:17" x14ac:dyDescent="0.2">
      <c r="B275" s="5">
        <f>+'SERVICIO FAENA'!A274</f>
        <v>0</v>
      </c>
      <c r="C275" s="5">
        <f>+'SERVICIO FAENA'!B274</f>
        <v>0</v>
      </c>
      <c r="D275" s="5">
        <f>+'SERVICIO FAENA'!C274</f>
        <v>0</v>
      </c>
      <c r="E275" s="7">
        <f>+'SERVICIO FAENA'!H274</f>
        <v>0</v>
      </c>
      <c r="F275" s="6">
        <f>+'SERVICIO FAENA'!F274</f>
        <v>0</v>
      </c>
      <c r="G275" s="7">
        <f>+'SERVICIO FAENA'!J274</f>
        <v>0</v>
      </c>
      <c r="H275" s="7">
        <f>+'SERVICIO DESPOSTE'!W274</f>
        <v>0</v>
      </c>
      <c r="I275" s="36">
        <f t="shared" si="4"/>
        <v>0</v>
      </c>
      <c r="J275" s="8">
        <f>+MENUDENCIAS!I274</f>
        <v>0</v>
      </c>
      <c r="K275" s="8">
        <f>+MENUDENCIAS!O274</f>
        <v>0</v>
      </c>
      <c r="L275" s="8">
        <f>+MENUDENCIAS!P274</f>
        <v>0</v>
      </c>
      <c r="M275" s="7">
        <f>+RENDERING!H273</f>
        <v>0</v>
      </c>
      <c r="N275" s="7">
        <f>+RENDERING!F273</f>
        <v>0</v>
      </c>
      <c r="O275" s="7">
        <f>+RENDERING!J273</f>
        <v>0</v>
      </c>
      <c r="P275" s="7">
        <f>+CUEROS!N276</f>
        <v>0</v>
      </c>
      <c r="Q275" s="7">
        <f>+'GRASA DREASING'!G273</f>
        <v>0</v>
      </c>
    </row>
    <row r="276" spans="2:17" x14ac:dyDescent="0.2">
      <c r="B276" s="5">
        <f>+'SERVICIO FAENA'!A275</f>
        <v>0</v>
      </c>
      <c r="C276" s="5">
        <f>+'SERVICIO FAENA'!B275</f>
        <v>0</v>
      </c>
      <c r="D276" s="5">
        <f>+'SERVICIO FAENA'!C275</f>
        <v>0</v>
      </c>
      <c r="E276" s="7">
        <f>+'SERVICIO FAENA'!H275</f>
        <v>0</v>
      </c>
      <c r="F276" s="6">
        <f>+'SERVICIO FAENA'!F275</f>
        <v>0</v>
      </c>
      <c r="G276" s="7">
        <f>+'SERVICIO FAENA'!J275</f>
        <v>0</v>
      </c>
      <c r="H276" s="7">
        <f>+'SERVICIO DESPOSTE'!W275</f>
        <v>0</v>
      </c>
      <c r="I276" s="36">
        <f t="shared" si="4"/>
        <v>0</v>
      </c>
      <c r="J276" s="8">
        <f>+MENUDENCIAS!I275</f>
        <v>0</v>
      </c>
      <c r="K276" s="8">
        <f>+MENUDENCIAS!O275</f>
        <v>0</v>
      </c>
      <c r="L276" s="8">
        <f>+MENUDENCIAS!P275</f>
        <v>0</v>
      </c>
      <c r="M276" s="7">
        <f>+RENDERING!H274</f>
        <v>0</v>
      </c>
      <c r="N276" s="7">
        <f>+RENDERING!F274</f>
        <v>0</v>
      </c>
      <c r="O276" s="7">
        <f>+RENDERING!J274</f>
        <v>0</v>
      </c>
      <c r="P276" s="7">
        <f>+CUEROS!N277</f>
        <v>0</v>
      </c>
      <c r="Q276" s="7">
        <f>+'GRASA DREASING'!G274</f>
        <v>0</v>
      </c>
    </row>
    <row r="277" spans="2:17" x14ac:dyDescent="0.2">
      <c r="B277" s="5">
        <f>+'SERVICIO FAENA'!A276</f>
        <v>0</v>
      </c>
      <c r="C277" s="5">
        <f>+'SERVICIO FAENA'!B276</f>
        <v>0</v>
      </c>
      <c r="D277" s="5">
        <f>+'SERVICIO FAENA'!C276</f>
        <v>0</v>
      </c>
      <c r="E277" s="7">
        <f>+'SERVICIO FAENA'!H276</f>
        <v>0</v>
      </c>
      <c r="F277" s="6">
        <f>+'SERVICIO FAENA'!F276</f>
        <v>0</v>
      </c>
      <c r="G277" s="7">
        <f>+'SERVICIO FAENA'!J276</f>
        <v>0</v>
      </c>
      <c r="H277" s="7">
        <f>+'SERVICIO DESPOSTE'!W276</f>
        <v>0</v>
      </c>
      <c r="I277" s="36">
        <f t="shared" si="4"/>
        <v>0</v>
      </c>
      <c r="J277" s="8">
        <f>+MENUDENCIAS!I276</f>
        <v>0</v>
      </c>
      <c r="K277" s="8">
        <f>+MENUDENCIAS!O276</f>
        <v>0</v>
      </c>
      <c r="L277" s="8">
        <f>+MENUDENCIAS!P276</f>
        <v>0</v>
      </c>
      <c r="M277" s="7">
        <f>+RENDERING!H275</f>
        <v>0</v>
      </c>
      <c r="N277" s="7">
        <f>+RENDERING!F275</f>
        <v>0</v>
      </c>
      <c r="O277" s="7">
        <f>+RENDERING!J275</f>
        <v>0</v>
      </c>
      <c r="P277" s="7">
        <f>+CUEROS!N278</f>
        <v>0</v>
      </c>
      <c r="Q277" s="7">
        <f>+'GRASA DREASING'!G275</f>
        <v>0</v>
      </c>
    </row>
    <row r="278" spans="2:17" x14ac:dyDescent="0.2">
      <c r="B278" s="5">
        <f>+'SERVICIO FAENA'!A277</f>
        <v>0</v>
      </c>
      <c r="C278" s="5">
        <f>+'SERVICIO FAENA'!B277</f>
        <v>0</v>
      </c>
      <c r="D278" s="5">
        <f>+'SERVICIO FAENA'!C277</f>
        <v>0</v>
      </c>
      <c r="E278" s="7">
        <f>+'SERVICIO FAENA'!H277</f>
        <v>0</v>
      </c>
      <c r="F278" s="6">
        <f>+'SERVICIO FAENA'!F277</f>
        <v>0</v>
      </c>
      <c r="G278" s="7">
        <f>+'SERVICIO FAENA'!J277</f>
        <v>0</v>
      </c>
      <c r="H278" s="7">
        <f>+'SERVICIO DESPOSTE'!W277</f>
        <v>0</v>
      </c>
      <c r="I278" s="36">
        <f t="shared" si="4"/>
        <v>0</v>
      </c>
      <c r="J278" s="8">
        <f>+MENUDENCIAS!I277</f>
        <v>0</v>
      </c>
      <c r="K278" s="8">
        <f>+MENUDENCIAS!O277</f>
        <v>0</v>
      </c>
      <c r="L278" s="8">
        <f>+MENUDENCIAS!P277</f>
        <v>0</v>
      </c>
      <c r="M278" s="7">
        <f>+RENDERING!H276</f>
        <v>0</v>
      </c>
      <c r="N278" s="7">
        <f>+RENDERING!F276</f>
        <v>0</v>
      </c>
      <c r="O278" s="7">
        <f>+RENDERING!J276</f>
        <v>0</v>
      </c>
      <c r="P278" s="7">
        <f>+CUEROS!N279</f>
        <v>0</v>
      </c>
      <c r="Q278" s="7">
        <f>+'GRASA DREASING'!G276</f>
        <v>0</v>
      </c>
    </row>
    <row r="279" spans="2:17" x14ac:dyDescent="0.2">
      <c r="B279" s="5">
        <f>+'SERVICIO FAENA'!A278</f>
        <v>0</v>
      </c>
      <c r="C279" s="5">
        <f>+'SERVICIO FAENA'!B278</f>
        <v>0</v>
      </c>
      <c r="D279" s="5">
        <f>+'SERVICIO FAENA'!C278</f>
        <v>0</v>
      </c>
      <c r="E279" s="7">
        <f>+'SERVICIO FAENA'!H278</f>
        <v>0</v>
      </c>
      <c r="F279" s="6">
        <f>+'SERVICIO FAENA'!F278</f>
        <v>0</v>
      </c>
      <c r="G279" s="7">
        <f>+'SERVICIO FAENA'!J278</f>
        <v>0</v>
      </c>
      <c r="H279" s="7">
        <f>+'SERVICIO DESPOSTE'!W278</f>
        <v>0</v>
      </c>
      <c r="I279" s="36">
        <f t="shared" si="4"/>
        <v>0</v>
      </c>
      <c r="J279" s="8">
        <f>+MENUDENCIAS!I278</f>
        <v>0</v>
      </c>
      <c r="K279" s="8">
        <f>+MENUDENCIAS!O278</f>
        <v>0</v>
      </c>
      <c r="L279" s="8">
        <f>+MENUDENCIAS!P278</f>
        <v>0</v>
      </c>
      <c r="M279" s="7">
        <f>+RENDERING!H277</f>
        <v>0</v>
      </c>
      <c r="N279" s="7">
        <f>+RENDERING!F277</f>
        <v>0</v>
      </c>
      <c r="O279" s="7">
        <f>+RENDERING!J277</f>
        <v>0</v>
      </c>
      <c r="P279" s="7">
        <f>+CUEROS!N280</f>
        <v>0</v>
      </c>
      <c r="Q279" s="7">
        <f>+'GRASA DREASING'!G277</f>
        <v>0</v>
      </c>
    </row>
    <row r="280" spans="2:17" x14ac:dyDescent="0.2">
      <c r="B280" s="5">
        <f>+'SERVICIO FAENA'!A279</f>
        <v>0</v>
      </c>
      <c r="C280" s="5">
        <f>+'SERVICIO FAENA'!B279</f>
        <v>0</v>
      </c>
      <c r="D280" s="5">
        <f>+'SERVICIO FAENA'!C279</f>
        <v>0</v>
      </c>
      <c r="E280" s="7">
        <f>+'SERVICIO FAENA'!H279</f>
        <v>0</v>
      </c>
      <c r="F280" s="6">
        <f>+'SERVICIO FAENA'!F279</f>
        <v>0</v>
      </c>
      <c r="G280" s="7">
        <f>+'SERVICIO FAENA'!J279</f>
        <v>0</v>
      </c>
      <c r="H280" s="7">
        <f>+'SERVICIO DESPOSTE'!W279</f>
        <v>0</v>
      </c>
      <c r="I280" s="36">
        <f t="shared" si="4"/>
        <v>0</v>
      </c>
      <c r="J280" s="8">
        <f>+MENUDENCIAS!I279</f>
        <v>0</v>
      </c>
      <c r="K280" s="8">
        <f>+MENUDENCIAS!O279</f>
        <v>0</v>
      </c>
      <c r="L280" s="8">
        <f>+MENUDENCIAS!P279</f>
        <v>0</v>
      </c>
      <c r="M280" s="7">
        <f>+RENDERING!H278</f>
        <v>0</v>
      </c>
      <c r="N280" s="7">
        <f>+RENDERING!F278</f>
        <v>0</v>
      </c>
      <c r="O280" s="7">
        <f>+RENDERING!J278</f>
        <v>0</v>
      </c>
      <c r="P280" s="7">
        <f>+CUEROS!N281</f>
        <v>0</v>
      </c>
      <c r="Q280" s="7">
        <f>+'GRASA DREASING'!G278</f>
        <v>0</v>
      </c>
    </row>
    <row r="281" spans="2:17" x14ac:dyDescent="0.2">
      <c r="B281" s="5">
        <f>+'SERVICIO FAENA'!A280</f>
        <v>0</v>
      </c>
      <c r="C281" s="5">
        <f>+'SERVICIO FAENA'!B280</f>
        <v>0</v>
      </c>
      <c r="D281" s="5">
        <f>+'SERVICIO FAENA'!C280</f>
        <v>0</v>
      </c>
      <c r="E281" s="7">
        <f>+'SERVICIO FAENA'!H280</f>
        <v>0</v>
      </c>
      <c r="F281" s="6">
        <f>+'SERVICIO FAENA'!F280</f>
        <v>0</v>
      </c>
      <c r="G281" s="7">
        <f>+'SERVICIO FAENA'!J280</f>
        <v>0</v>
      </c>
      <c r="H281" s="7">
        <f>+'SERVICIO DESPOSTE'!W280</f>
        <v>0</v>
      </c>
      <c r="I281" s="36">
        <f t="shared" si="4"/>
        <v>0</v>
      </c>
      <c r="J281" s="8">
        <f>+MENUDENCIAS!I280</f>
        <v>0</v>
      </c>
      <c r="K281" s="8">
        <f>+MENUDENCIAS!O280</f>
        <v>0</v>
      </c>
      <c r="L281" s="8">
        <f>+MENUDENCIAS!P280</f>
        <v>0</v>
      </c>
      <c r="M281" s="7">
        <f>+RENDERING!H279</f>
        <v>0</v>
      </c>
      <c r="N281" s="7">
        <f>+RENDERING!F279</f>
        <v>0</v>
      </c>
      <c r="O281" s="7">
        <f>+RENDERING!J279</f>
        <v>0</v>
      </c>
      <c r="P281" s="7">
        <f>+CUEROS!N282</f>
        <v>0</v>
      </c>
      <c r="Q281" s="7">
        <f>+'GRASA DREASING'!G279</f>
        <v>0</v>
      </c>
    </row>
    <row r="282" spans="2:17" x14ac:dyDescent="0.2">
      <c r="B282" s="5">
        <f>+'SERVICIO FAENA'!A281</f>
        <v>0</v>
      </c>
      <c r="C282" s="5">
        <f>+'SERVICIO FAENA'!B281</f>
        <v>0</v>
      </c>
      <c r="D282" s="5">
        <f>+'SERVICIO FAENA'!C281</f>
        <v>0</v>
      </c>
      <c r="E282" s="7">
        <f>+'SERVICIO FAENA'!H281</f>
        <v>0</v>
      </c>
      <c r="F282" s="6">
        <f>+'SERVICIO FAENA'!F281</f>
        <v>0</v>
      </c>
      <c r="G282" s="7">
        <f>+'SERVICIO FAENA'!J281</f>
        <v>0</v>
      </c>
      <c r="H282" s="7">
        <f>+'SERVICIO DESPOSTE'!W281</f>
        <v>0</v>
      </c>
      <c r="I282" s="36">
        <f t="shared" si="4"/>
        <v>0</v>
      </c>
      <c r="J282" s="8">
        <f>+MENUDENCIAS!I281</f>
        <v>0</v>
      </c>
      <c r="K282" s="8">
        <f>+MENUDENCIAS!O281</f>
        <v>0</v>
      </c>
      <c r="L282" s="8">
        <f>+MENUDENCIAS!P281</f>
        <v>0</v>
      </c>
      <c r="M282" s="7">
        <f>+RENDERING!H280</f>
        <v>0</v>
      </c>
      <c r="N282" s="7">
        <f>+RENDERING!F280</f>
        <v>0</v>
      </c>
      <c r="O282" s="7">
        <f>+RENDERING!J280</f>
        <v>0</v>
      </c>
      <c r="P282" s="7">
        <f>+CUEROS!N283</f>
        <v>0</v>
      </c>
      <c r="Q282" s="7">
        <f>+'GRASA DREASING'!G280</f>
        <v>0</v>
      </c>
    </row>
    <row r="283" spans="2:17" x14ac:dyDescent="0.2">
      <c r="B283" s="5">
        <f>+'SERVICIO FAENA'!A282</f>
        <v>0</v>
      </c>
      <c r="C283" s="5">
        <f>+'SERVICIO FAENA'!B282</f>
        <v>0</v>
      </c>
      <c r="D283" s="5">
        <f>+'SERVICIO FAENA'!C282</f>
        <v>0</v>
      </c>
      <c r="E283" s="7">
        <f>+'SERVICIO FAENA'!H282</f>
        <v>0</v>
      </c>
      <c r="F283" s="6">
        <f>+'SERVICIO FAENA'!F282</f>
        <v>0</v>
      </c>
      <c r="G283" s="7">
        <f>+'SERVICIO FAENA'!J282</f>
        <v>0</v>
      </c>
      <c r="H283" s="7">
        <f>+'SERVICIO DESPOSTE'!W282</f>
        <v>0</v>
      </c>
      <c r="I283" s="36">
        <f t="shared" si="4"/>
        <v>0</v>
      </c>
      <c r="J283" s="8">
        <f>+MENUDENCIAS!I282</f>
        <v>0</v>
      </c>
      <c r="K283" s="8">
        <f>+MENUDENCIAS!O282</f>
        <v>0</v>
      </c>
      <c r="L283" s="8">
        <f>+MENUDENCIAS!P282</f>
        <v>0</v>
      </c>
      <c r="M283" s="7">
        <f>+RENDERING!H281</f>
        <v>0</v>
      </c>
      <c r="N283" s="7">
        <f>+RENDERING!F281</f>
        <v>0</v>
      </c>
      <c r="O283" s="7">
        <f>+RENDERING!J281</f>
        <v>0</v>
      </c>
      <c r="P283" s="7">
        <f>+CUEROS!N284</f>
        <v>0</v>
      </c>
      <c r="Q283" s="7">
        <f>+'GRASA DREASING'!G281</f>
        <v>0</v>
      </c>
    </row>
    <row r="284" spans="2:17" x14ac:dyDescent="0.2">
      <c r="B284" s="5">
        <f>+'SERVICIO FAENA'!A283</f>
        <v>0</v>
      </c>
      <c r="C284" s="5">
        <f>+'SERVICIO FAENA'!B283</f>
        <v>0</v>
      </c>
      <c r="D284" s="5">
        <f>+'SERVICIO FAENA'!C283</f>
        <v>0</v>
      </c>
      <c r="E284" s="7">
        <f>+'SERVICIO FAENA'!H283</f>
        <v>0</v>
      </c>
      <c r="F284" s="6">
        <f>+'SERVICIO FAENA'!F283</f>
        <v>0</v>
      </c>
      <c r="G284" s="7">
        <f>+'SERVICIO FAENA'!J283</f>
        <v>0</v>
      </c>
      <c r="H284" s="7">
        <f>+'SERVICIO DESPOSTE'!W283</f>
        <v>0</v>
      </c>
      <c r="I284" s="36">
        <f t="shared" si="4"/>
        <v>0</v>
      </c>
      <c r="J284" s="8">
        <f>+MENUDENCIAS!I283</f>
        <v>0</v>
      </c>
      <c r="K284" s="8">
        <f>+MENUDENCIAS!O283</f>
        <v>0</v>
      </c>
      <c r="L284" s="8">
        <f>+MENUDENCIAS!P283</f>
        <v>0</v>
      </c>
      <c r="M284" s="7">
        <f>+RENDERING!H282</f>
        <v>0</v>
      </c>
      <c r="N284" s="7">
        <f>+RENDERING!F282</f>
        <v>0</v>
      </c>
      <c r="O284" s="7">
        <f>+RENDERING!J282</f>
        <v>0</v>
      </c>
      <c r="P284" s="7">
        <f>+CUEROS!N285</f>
        <v>0</v>
      </c>
      <c r="Q284" s="7">
        <f>+'GRASA DREASING'!G282</f>
        <v>0</v>
      </c>
    </row>
    <row r="285" spans="2:17" x14ac:dyDescent="0.2">
      <c r="B285" s="5">
        <f>+'SERVICIO FAENA'!A284</f>
        <v>0</v>
      </c>
      <c r="C285" s="5">
        <f>+'SERVICIO FAENA'!B284</f>
        <v>0</v>
      </c>
      <c r="D285" s="5">
        <f>+'SERVICIO FAENA'!C284</f>
        <v>0</v>
      </c>
      <c r="E285" s="7">
        <f>+'SERVICIO FAENA'!H284</f>
        <v>0</v>
      </c>
      <c r="F285" s="6">
        <f>+'SERVICIO FAENA'!F284</f>
        <v>0</v>
      </c>
      <c r="G285" s="7">
        <f>+'SERVICIO FAENA'!J284</f>
        <v>0</v>
      </c>
      <c r="H285" s="7">
        <f>+'SERVICIO DESPOSTE'!W284</f>
        <v>0</v>
      </c>
      <c r="I285" s="36">
        <f t="shared" si="4"/>
        <v>0</v>
      </c>
      <c r="J285" s="8">
        <f>+MENUDENCIAS!I284</f>
        <v>0</v>
      </c>
      <c r="K285" s="8">
        <f>+MENUDENCIAS!O284</f>
        <v>0</v>
      </c>
      <c r="L285" s="8">
        <f>+MENUDENCIAS!P284</f>
        <v>0</v>
      </c>
      <c r="M285" s="7">
        <f>+RENDERING!H283</f>
        <v>0</v>
      </c>
      <c r="N285" s="7">
        <f>+RENDERING!F283</f>
        <v>0</v>
      </c>
      <c r="O285" s="7">
        <f>+RENDERING!J283</f>
        <v>0</v>
      </c>
      <c r="P285" s="7">
        <f>+CUEROS!N286</f>
        <v>0</v>
      </c>
      <c r="Q285" s="7">
        <f>+'GRASA DREASING'!G283</f>
        <v>0</v>
      </c>
    </row>
    <row r="286" spans="2:17" x14ac:dyDescent="0.2">
      <c r="B286" s="5">
        <f>+'SERVICIO FAENA'!A285</f>
        <v>0</v>
      </c>
      <c r="C286" s="5">
        <f>+'SERVICIO FAENA'!B285</f>
        <v>0</v>
      </c>
      <c r="D286" s="5">
        <f>+'SERVICIO FAENA'!C285</f>
        <v>0</v>
      </c>
      <c r="E286" s="7">
        <f>+'SERVICIO FAENA'!H285</f>
        <v>0</v>
      </c>
      <c r="F286" s="6">
        <f>+'SERVICIO FAENA'!F285</f>
        <v>0</v>
      </c>
      <c r="G286" s="7">
        <f>+'SERVICIO FAENA'!J285</f>
        <v>0</v>
      </c>
      <c r="H286" s="7">
        <f>+'SERVICIO DESPOSTE'!W285</f>
        <v>0</v>
      </c>
      <c r="I286" s="36">
        <f t="shared" si="4"/>
        <v>0</v>
      </c>
      <c r="J286" s="8">
        <f>+MENUDENCIAS!I285</f>
        <v>0</v>
      </c>
      <c r="K286" s="8">
        <f>+MENUDENCIAS!O285</f>
        <v>0</v>
      </c>
      <c r="L286" s="8">
        <f>+MENUDENCIAS!P285</f>
        <v>0</v>
      </c>
      <c r="M286" s="7">
        <f>+RENDERING!H284</f>
        <v>0</v>
      </c>
      <c r="N286" s="7">
        <f>+RENDERING!F284</f>
        <v>0</v>
      </c>
      <c r="O286" s="7">
        <f>+RENDERING!J284</f>
        <v>0</v>
      </c>
      <c r="P286" s="7">
        <f>+CUEROS!N287</f>
        <v>0</v>
      </c>
      <c r="Q286" s="7">
        <f>+'GRASA DREASING'!G284</f>
        <v>0</v>
      </c>
    </row>
    <row r="287" spans="2:17" x14ac:dyDescent="0.2">
      <c r="B287" s="5">
        <f>+'SERVICIO FAENA'!A286</f>
        <v>0</v>
      </c>
      <c r="C287" s="5">
        <f>+'SERVICIO FAENA'!B286</f>
        <v>0</v>
      </c>
      <c r="D287" s="5">
        <f>+'SERVICIO FAENA'!C286</f>
        <v>0</v>
      </c>
      <c r="E287" s="7">
        <f>+'SERVICIO FAENA'!H286</f>
        <v>0</v>
      </c>
      <c r="F287" s="6">
        <f>+'SERVICIO FAENA'!F286</f>
        <v>0</v>
      </c>
      <c r="G287" s="7">
        <f>+'SERVICIO FAENA'!J286</f>
        <v>0</v>
      </c>
      <c r="H287" s="7">
        <f>+'SERVICIO DESPOSTE'!W286</f>
        <v>0</v>
      </c>
      <c r="I287" s="36">
        <f t="shared" si="4"/>
        <v>0</v>
      </c>
      <c r="J287" s="8">
        <f>+MENUDENCIAS!I286</f>
        <v>0</v>
      </c>
      <c r="K287" s="8">
        <f>+MENUDENCIAS!O286</f>
        <v>0</v>
      </c>
      <c r="L287" s="8">
        <f>+MENUDENCIAS!P286</f>
        <v>0</v>
      </c>
      <c r="M287" s="7">
        <f>+RENDERING!H285</f>
        <v>0</v>
      </c>
      <c r="N287" s="7">
        <f>+RENDERING!F285</f>
        <v>0</v>
      </c>
      <c r="O287" s="7">
        <f>+RENDERING!J285</f>
        <v>0</v>
      </c>
      <c r="P287" s="7">
        <f>+CUEROS!N288</f>
        <v>0</v>
      </c>
      <c r="Q287" s="7">
        <f>+'GRASA DREASING'!G285</f>
        <v>0</v>
      </c>
    </row>
    <row r="288" spans="2:17" x14ac:dyDescent="0.2">
      <c r="B288" s="5">
        <f>+'SERVICIO FAENA'!A287</f>
        <v>0</v>
      </c>
      <c r="C288" s="5">
        <f>+'SERVICIO FAENA'!B287</f>
        <v>0</v>
      </c>
      <c r="D288" s="5">
        <f>+'SERVICIO FAENA'!C287</f>
        <v>0</v>
      </c>
      <c r="E288" s="7">
        <f>+'SERVICIO FAENA'!H287</f>
        <v>0</v>
      </c>
      <c r="F288" s="6">
        <f>+'SERVICIO FAENA'!F287</f>
        <v>0</v>
      </c>
      <c r="G288" s="7">
        <f>+'SERVICIO FAENA'!J287</f>
        <v>0</v>
      </c>
      <c r="H288" s="7">
        <f>+'SERVICIO DESPOSTE'!W287</f>
        <v>0</v>
      </c>
      <c r="I288" s="36">
        <f t="shared" si="4"/>
        <v>0</v>
      </c>
      <c r="J288" s="8">
        <f>+MENUDENCIAS!I287</f>
        <v>0</v>
      </c>
      <c r="K288" s="8">
        <f>+MENUDENCIAS!O287</f>
        <v>0</v>
      </c>
      <c r="L288" s="8">
        <f>+MENUDENCIAS!P287</f>
        <v>0</v>
      </c>
      <c r="M288" s="7">
        <f>+RENDERING!H286</f>
        <v>0</v>
      </c>
      <c r="N288" s="7">
        <f>+RENDERING!F286</f>
        <v>0</v>
      </c>
      <c r="O288" s="7">
        <f>+RENDERING!J286</f>
        <v>0</v>
      </c>
      <c r="P288" s="7">
        <f>+CUEROS!N289</f>
        <v>0</v>
      </c>
      <c r="Q288" s="7">
        <f>+'GRASA DREASING'!G286</f>
        <v>0</v>
      </c>
    </row>
    <row r="289" spans="2:17" x14ac:dyDescent="0.2">
      <c r="B289" s="5">
        <f>+'SERVICIO FAENA'!A288</f>
        <v>0</v>
      </c>
      <c r="C289" s="5">
        <f>+'SERVICIO FAENA'!B288</f>
        <v>0</v>
      </c>
      <c r="D289" s="5">
        <f>+'SERVICIO FAENA'!C288</f>
        <v>0</v>
      </c>
      <c r="E289" s="7">
        <f>+'SERVICIO FAENA'!H288</f>
        <v>0</v>
      </c>
      <c r="F289" s="6">
        <f>+'SERVICIO FAENA'!F288</f>
        <v>0</v>
      </c>
      <c r="G289" s="7">
        <f>+'SERVICIO FAENA'!J288</f>
        <v>0</v>
      </c>
      <c r="H289" s="7">
        <f>+'SERVICIO DESPOSTE'!W288</f>
        <v>0</v>
      </c>
      <c r="I289" s="36">
        <f t="shared" si="4"/>
        <v>0</v>
      </c>
      <c r="J289" s="8">
        <f>+MENUDENCIAS!I288</f>
        <v>0</v>
      </c>
      <c r="K289" s="8">
        <f>+MENUDENCIAS!O288</f>
        <v>0</v>
      </c>
      <c r="L289" s="8">
        <f>+MENUDENCIAS!P288</f>
        <v>0</v>
      </c>
      <c r="M289" s="7">
        <f>+RENDERING!H287</f>
        <v>0</v>
      </c>
      <c r="N289" s="7">
        <f>+RENDERING!F287</f>
        <v>0</v>
      </c>
      <c r="O289" s="7">
        <f>+RENDERING!J287</f>
        <v>0</v>
      </c>
      <c r="P289" s="7">
        <f>+CUEROS!N290</f>
        <v>0</v>
      </c>
      <c r="Q289" s="7">
        <f>+'GRASA DREASING'!G287</f>
        <v>0</v>
      </c>
    </row>
    <row r="290" spans="2:17" x14ac:dyDescent="0.2">
      <c r="B290" s="5">
        <f>+'SERVICIO FAENA'!A289</f>
        <v>0</v>
      </c>
      <c r="C290" s="5">
        <f>+'SERVICIO FAENA'!B289</f>
        <v>0</v>
      </c>
      <c r="D290" s="5">
        <f>+'SERVICIO FAENA'!C289</f>
        <v>0</v>
      </c>
      <c r="E290" s="7">
        <f>+'SERVICIO FAENA'!H289</f>
        <v>0</v>
      </c>
      <c r="F290" s="6">
        <f>+'SERVICIO FAENA'!F289</f>
        <v>0</v>
      </c>
      <c r="G290" s="7">
        <f>+'SERVICIO FAENA'!J289</f>
        <v>0</v>
      </c>
      <c r="H290" s="7">
        <f>+'SERVICIO DESPOSTE'!W289</f>
        <v>0</v>
      </c>
      <c r="I290" s="36">
        <f t="shared" si="4"/>
        <v>0</v>
      </c>
      <c r="J290" s="8">
        <f>+MENUDENCIAS!I289</f>
        <v>0</v>
      </c>
      <c r="K290" s="8">
        <f>+MENUDENCIAS!O289</f>
        <v>0</v>
      </c>
      <c r="L290" s="8">
        <f>+MENUDENCIAS!P289</f>
        <v>0</v>
      </c>
      <c r="M290" s="7">
        <f>+RENDERING!H288</f>
        <v>0</v>
      </c>
      <c r="N290" s="7">
        <f>+RENDERING!F288</f>
        <v>0</v>
      </c>
      <c r="O290" s="7">
        <f>+RENDERING!J288</f>
        <v>0</v>
      </c>
      <c r="P290" s="7">
        <f>+CUEROS!N291</f>
        <v>0</v>
      </c>
      <c r="Q290" s="7">
        <f>+'GRASA DREASING'!G288</f>
        <v>0</v>
      </c>
    </row>
    <row r="291" spans="2:17" x14ac:dyDescent="0.2">
      <c r="B291" s="5">
        <f>+'SERVICIO FAENA'!A290</f>
        <v>0</v>
      </c>
      <c r="C291" s="5">
        <f>+'SERVICIO FAENA'!B290</f>
        <v>0</v>
      </c>
      <c r="D291" s="5">
        <f>+'SERVICIO FAENA'!C290</f>
        <v>0</v>
      </c>
      <c r="E291" s="7">
        <f>+'SERVICIO FAENA'!H290</f>
        <v>0</v>
      </c>
      <c r="F291" s="6">
        <f>+'SERVICIO FAENA'!F290</f>
        <v>0</v>
      </c>
      <c r="G291" s="7">
        <f>+'SERVICIO FAENA'!J290</f>
        <v>0</v>
      </c>
      <c r="H291" s="7">
        <f>+'SERVICIO DESPOSTE'!W290</f>
        <v>0</v>
      </c>
      <c r="I291" s="36">
        <f t="shared" si="4"/>
        <v>0</v>
      </c>
      <c r="J291" s="8">
        <f>+MENUDENCIAS!I290</f>
        <v>0</v>
      </c>
      <c r="K291" s="8">
        <f>+MENUDENCIAS!O290</f>
        <v>0</v>
      </c>
      <c r="L291" s="8">
        <f>+MENUDENCIAS!P290</f>
        <v>0</v>
      </c>
      <c r="M291" s="7">
        <f>+RENDERING!H289</f>
        <v>0</v>
      </c>
      <c r="N291" s="7">
        <f>+RENDERING!F289</f>
        <v>0</v>
      </c>
      <c r="O291" s="7">
        <f>+RENDERING!J289</f>
        <v>0</v>
      </c>
      <c r="P291" s="7">
        <f>+CUEROS!N292</f>
        <v>0</v>
      </c>
      <c r="Q291" s="7">
        <f>+'GRASA DREASING'!G289</f>
        <v>0</v>
      </c>
    </row>
    <row r="292" spans="2:17" x14ac:dyDescent="0.2">
      <c r="B292" s="5">
        <f>+'SERVICIO FAENA'!A291</f>
        <v>0</v>
      </c>
      <c r="C292" s="5">
        <f>+'SERVICIO FAENA'!B291</f>
        <v>0</v>
      </c>
      <c r="D292" s="5">
        <f>+'SERVICIO FAENA'!C291</f>
        <v>0</v>
      </c>
      <c r="E292" s="7">
        <f>+'SERVICIO FAENA'!H291</f>
        <v>0</v>
      </c>
      <c r="F292" s="6">
        <f>+'SERVICIO FAENA'!F291</f>
        <v>0</v>
      </c>
      <c r="G292" s="7">
        <f>+'SERVICIO FAENA'!J291</f>
        <v>0</v>
      </c>
      <c r="H292" s="7">
        <f>+'SERVICIO DESPOSTE'!W291</f>
        <v>0</v>
      </c>
      <c r="I292" s="36">
        <f t="shared" si="4"/>
        <v>0</v>
      </c>
      <c r="J292" s="8">
        <f>+MENUDENCIAS!I291</f>
        <v>0</v>
      </c>
      <c r="K292" s="8">
        <f>+MENUDENCIAS!O291</f>
        <v>0</v>
      </c>
      <c r="L292" s="8">
        <f>+MENUDENCIAS!P291</f>
        <v>0</v>
      </c>
      <c r="M292" s="7">
        <f>+RENDERING!H290</f>
        <v>0</v>
      </c>
      <c r="N292" s="7">
        <f>+RENDERING!F290</f>
        <v>0</v>
      </c>
      <c r="O292" s="7">
        <f>+RENDERING!J290</f>
        <v>0</v>
      </c>
      <c r="P292" s="7">
        <f>+CUEROS!N293</f>
        <v>0</v>
      </c>
      <c r="Q292" s="7">
        <f>+'GRASA DREASING'!G290</f>
        <v>0</v>
      </c>
    </row>
    <row r="293" spans="2:17" x14ac:dyDescent="0.2">
      <c r="B293" s="5">
        <f>+'SERVICIO FAENA'!A292</f>
        <v>0</v>
      </c>
      <c r="C293" s="5">
        <f>+'SERVICIO FAENA'!B292</f>
        <v>0</v>
      </c>
      <c r="D293" s="5">
        <f>+'SERVICIO FAENA'!C292</f>
        <v>0</v>
      </c>
      <c r="E293" s="7">
        <f>+'SERVICIO FAENA'!H292</f>
        <v>0</v>
      </c>
      <c r="F293" s="6">
        <f>+'SERVICIO FAENA'!F292</f>
        <v>0</v>
      </c>
      <c r="G293" s="7">
        <f>+'SERVICIO FAENA'!J292</f>
        <v>0</v>
      </c>
      <c r="H293" s="7">
        <f>+'SERVICIO DESPOSTE'!W292</f>
        <v>0</v>
      </c>
      <c r="I293" s="36">
        <f t="shared" si="4"/>
        <v>0</v>
      </c>
      <c r="J293" s="8">
        <f>+MENUDENCIAS!I292</f>
        <v>0</v>
      </c>
      <c r="K293" s="8">
        <f>+MENUDENCIAS!O292</f>
        <v>0</v>
      </c>
      <c r="L293" s="8">
        <f>+MENUDENCIAS!P292</f>
        <v>0</v>
      </c>
      <c r="M293" s="7">
        <f>+RENDERING!H291</f>
        <v>0</v>
      </c>
      <c r="N293" s="7">
        <f>+RENDERING!F291</f>
        <v>0</v>
      </c>
      <c r="O293" s="7">
        <f>+RENDERING!J291</f>
        <v>0</v>
      </c>
      <c r="P293" s="7">
        <f>+CUEROS!N294</f>
        <v>0</v>
      </c>
      <c r="Q293" s="7">
        <f>+'GRASA DREASING'!G291</f>
        <v>0</v>
      </c>
    </row>
    <row r="294" spans="2:17" x14ac:dyDescent="0.2">
      <c r="B294" s="5">
        <f>+'SERVICIO FAENA'!A293</f>
        <v>0</v>
      </c>
      <c r="C294" s="5">
        <f>+'SERVICIO FAENA'!B293</f>
        <v>0</v>
      </c>
      <c r="D294" s="5">
        <f>+'SERVICIO FAENA'!C293</f>
        <v>0</v>
      </c>
      <c r="E294" s="7">
        <f>+'SERVICIO FAENA'!H293</f>
        <v>0</v>
      </c>
      <c r="F294" s="6">
        <f>+'SERVICIO FAENA'!F293</f>
        <v>0</v>
      </c>
      <c r="G294" s="7">
        <f>+'SERVICIO FAENA'!J293</f>
        <v>0</v>
      </c>
      <c r="H294" s="7">
        <f>+'SERVICIO DESPOSTE'!W293</f>
        <v>0</v>
      </c>
      <c r="I294" s="36">
        <f t="shared" si="4"/>
        <v>0</v>
      </c>
      <c r="J294" s="8">
        <f>+MENUDENCIAS!I293</f>
        <v>0</v>
      </c>
      <c r="K294" s="8">
        <f>+MENUDENCIAS!O293</f>
        <v>0</v>
      </c>
      <c r="L294" s="8">
        <f>+MENUDENCIAS!P293</f>
        <v>0</v>
      </c>
      <c r="M294" s="7">
        <f>+RENDERING!H292</f>
        <v>0</v>
      </c>
      <c r="N294" s="7">
        <f>+RENDERING!F292</f>
        <v>0</v>
      </c>
      <c r="O294" s="7">
        <f>+RENDERING!J292</f>
        <v>0</v>
      </c>
      <c r="P294" s="7">
        <f>+CUEROS!N295</f>
        <v>0</v>
      </c>
      <c r="Q294" s="7">
        <f>+'GRASA DREASING'!G292</f>
        <v>0</v>
      </c>
    </row>
    <row r="295" spans="2:17" x14ac:dyDescent="0.2">
      <c r="B295" s="5">
        <f>+'SERVICIO FAENA'!A294</f>
        <v>0</v>
      </c>
      <c r="C295" s="5">
        <f>+'SERVICIO FAENA'!B294</f>
        <v>0</v>
      </c>
      <c r="D295" s="5">
        <f>+'SERVICIO FAENA'!C294</f>
        <v>0</v>
      </c>
      <c r="E295" s="7">
        <f>+'SERVICIO FAENA'!H294</f>
        <v>0</v>
      </c>
      <c r="F295" s="6">
        <f>+'SERVICIO FAENA'!F294</f>
        <v>0</v>
      </c>
      <c r="G295" s="7">
        <f>+'SERVICIO FAENA'!J294</f>
        <v>0</v>
      </c>
      <c r="H295" s="7">
        <f>+'SERVICIO DESPOSTE'!W294</f>
        <v>0</v>
      </c>
      <c r="I295" s="36">
        <f t="shared" si="4"/>
        <v>0</v>
      </c>
      <c r="J295" s="8">
        <f>+MENUDENCIAS!I294</f>
        <v>0</v>
      </c>
      <c r="K295" s="8">
        <f>+MENUDENCIAS!O294</f>
        <v>0</v>
      </c>
      <c r="L295" s="8">
        <f>+MENUDENCIAS!P294</f>
        <v>0</v>
      </c>
      <c r="M295" s="7">
        <f>+RENDERING!H293</f>
        <v>0</v>
      </c>
      <c r="N295" s="7">
        <f>+RENDERING!F293</f>
        <v>0</v>
      </c>
      <c r="O295" s="7">
        <f>+RENDERING!J293</f>
        <v>0</v>
      </c>
      <c r="P295" s="7">
        <f>+CUEROS!N296</f>
        <v>0</v>
      </c>
      <c r="Q295" s="7">
        <f>+'GRASA DREASING'!G293</f>
        <v>0</v>
      </c>
    </row>
    <row r="296" spans="2:17" x14ac:dyDescent="0.2">
      <c r="B296" s="5">
        <f>+'SERVICIO FAENA'!A295</f>
        <v>0</v>
      </c>
      <c r="C296" s="5">
        <f>+'SERVICIO FAENA'!B295</f>
        <v>0</v>
      </c>
      <c r="D296" s="5">
        <f>+'SERVICIO FAENA'!C295</f>
        <v>0</v>
      </c>
      <c r="E296" s="7">
        <f>+'SERVICIO FAENA'!H295</f>
        <v>0</v>
      </c>
      <c r="F296" s="6">
        <f>+'SERVICIO FAENA'!F295</f>
        <v>0</v>
      </c>
      <c r="G296" s="7">
        <f>+'SERVICIO FAENA'!J295</f>
        <v>0</v>
      </c>
      <c r="H296" s="7">
        <f>+'SERVICIO DESPOSTE'!W295</f>
        <v>0</v>
      </c>
      <c r="I296" s="36">
        <f t="shared" si="4"/>
        <v>0</v>
      </c>
      <c r="J296" s="8">
        <f>+MENUDENCIAS!I295</f>
        <v>0</v>
      </c>
      <c r="K296" s="8">
        <f>+MENUDENCIAS!O295</f>
        <v>0</v>
      </c>
      <c r="L296" s="8">
        <f>+MENUDENCIAS!P295</f>
        <v>0</v>
      </c>
      <c r="M296" s="7">
        <f>+RENDERING!H294</f>
        <v>0</v>
      </c>
      <c r="N296" s="7">
        <f>+RENDERING!F294</f>
        <v>0</v>
      </c>
      <c r="O296" s="7">
        <f>+RENDERING!J294</f>
        <v>0</v>
      </c>
      <c r="P296" s="7">
        <f>+CUEROS!N297</f>
        <v>0</v>
      </c>
      <c r="Q296" s="7">
        <f>+'GRASA DREASING'!G294</f>
        <v>0</v>
      </c>
    </row>
    <row r="297" spans="2:17" x14ac:dyDescent="0.2">
      <c r="B297" s="5">
        <f>+'SERVICIO FAENA'!A296</f>
        <v>0</v>
      </c>
      <c r="C297" s="5">
        <f>+'SERVICIO FAENA'!B296</f>
        <v>0</v>
      </c>
      <c r="D297" s="5">
        <f>+'SERVICIO FAENA'!C296</f>
        <v>0</v>
      </c>
      <c r="E297" s="7">
        <f>+'SERVICIO FAENA'!H296</f>
        <v>0</v>
      </c>
      <c r="F297" s="6">
        <f>+'SERVICIO FAENA'!F296</f>
        <v>0</v>
      </c>
      <c r="G297" s="7">
        <f>+'SERVICIO FAENA'!J296</f>
        <v>0</v>
      </c>
      <c r="H297" s="7">
        <f>+'SERVICIO DESPOSTE'!W296</f>
        <v>0</v>
      </c>
      <c r="I297" s="36">
        <f t="shared" si="4"/>
        <v>0</v>
      </c>
      <c r="J297" s="8">
        <f>+MENUDENCIAS!I296</f>
        <v>0</v>
      </c>
      <c r="K297" s="8">
        <f>+MENUDENCIAS!O296</f>
        <v>0</v>
      </c>
      <c r="L297" s="8">
        <f>+MENUDENCIAS!P296</f>
        <v>0</v>
      </c>
      <c r="M297" s="7">
        <f>+RENDERING!H295</f>
        <v>0</v>
      </c>
      <c r="N297" s="7">
        <f>+RENDERING!F295</f>
        <v>0</v>
      </c>
      <c r="O297" s="7">
        <f>+RENDERING!J295</f>
        <v>0</v>
      </c>
      <c r="P297" s="7">
        <f>+CUEROS!N298</f>
        <v>0</v>
      </c>
      <c r="Q297" s="7">
        <f>+'GRASA DREASING'!G295</f>
        <v>0</v>
      </c>
    </row>
    <row r="298" spans="2:17" x14ac:dyDescent="0.2">
      <c r="B298" s="5">
        <f>+'SERVICIO FAENA'!A297</f>
        <v>0</v>
      </c>
      <c r="C298" s="5">
        <f>+'SERVICIO FAENA'!B297</f>
        <v>0</v>
      </c>
      <c r="D298" s="5">
        <f>+'SERVICIO FAENA'!C297</f>
        <v>0</v>
      </c>
      <c r="E298" s="7">
        <f>+'SERVICIO FAENA'!H297</f>
        <v>0</v>
      </c>
      <c r="F298" s="6">
        <f>+'SERVICIO FAENA'!F297</f>
        <v>0</v>
      </c>
      <c r="G298" s="7">
        <f>+'SERVICIO FAENA'!J297</f>
        <v>0</v>
      </c>
      <c r="H298" s="7">
        <f>+'SERVICIO DESPOSTE'!W297</f>
        <v>0</v>
      </c>
      <c r="I298" s="36">
        <f t="shared" si="4"/>
        <v>0</v>
      </c>
      <c r="J298" s="8">
        <f>+MENUDENCIAS!I297</f>
        <v>0</v>
      </c>
      <c r="K298" s="8">
        <f>+MENUDENCIAS!O297</f>
        <v>0</v>
      </c>
      <c r="L298" s="8">
        <f>+MENUDENCIAS!P297</f>
        <v>0</v>
      </c>
      <c r="M298" s="7">
        <f>+RENDERING!H296</f>
        <v>0</v>
      </c>
      <c r="N298" s="7">
        <f>+RENDERING!F296</f>
        <v>0</v>
      </c>
      <c r="O298" s="7">
        <f>+RENDERING!J296</f>
        <v>0</v>
      </c>
      <c r="P298" s="7">
        <f>+CUEROS!N299</f>
        <v>0</v>
      </c>
      <c r="Q298" s="7">
        <f>+'GRASA DREASING'!G296</f>
        <v>0</v>
      </c>
    </row>
    <row r="299" spans="2:17" x14ac:dyDescent="0.2">
      <c r="B299" s="5">
        <f>+'SERVICIO FAENA'!A298</f>
        <v>0</v>
      </c>
      <c r="C299" s="5">
        <f>+'SERVICIO FAENA'!B298</f>
        <v>0</v>
      </c>
      <c r="D299" s="5">
        <f>+'SERVICIO FAENA'!C298</f>
        <v>0</v>
      </c>
      <c r="E299" s="7">
        <f>+'SERVICIO FAENA'!H298</f>
        <v>0</v>
      </c>
      <c r="F299" s="6">
        <f>+'SERVICIO FAENA'!F298</f>
        <v>0</v>
      </c>
      <c r="G299" s="7">
        <f>+'SERVICIO FAENA'!J298</f>
        <v>0</v>
      </c>
      <c r="H299" s="7">
        <f>+'SERVICIO DESPOSTE'!W298</f>
        <v>0</v>
      </c>
      <c r="I299" s="36">
        <f t="shared" si="4"/>
        <v>0</v>
      </c>
      <c r="J299" s="8">
        <f>+MENUDENCIAS!I298</f>
        <v>0</v>
      </c>
      <c r="K299" s="8">
        <f>+MENUDENCIAS!O298</f>
        <v>0</v>
      </c>
      <c r="L299" s="8">
        <f>+MENUDENCIAS!P298</f>
        <v>0</v>
      </c>
      <c r="M299" s="7">
        <f>+RENDERING!H297</f>
        <v>0</v>
      </c>
      <c r="N299" s="7">
        <f>+RENDERING!F297</f>
        <v>0</v>
      </c>
      <c r="O299" s="7">
        <f>+RENDERING!J297</f>
        <v>0</v>
      </c>
      <c r="P299" s="7">
        <f>+CUEROS!N300</f>
        <v>0</v>
      </c>
      <c r="Q299" s="7">
        <f>+'GRASA DREASING'!G297</f>
        <v>0</v>
      </c>
    </row>
    <row r="300" spans="2:17" x14ac:dyDescent="0.2">
      <c r="B300" s="5">
        <f>+'SERVICIO FAENA'!A299</f>
        <v>0</v>
      </c>
      <c r="C300" s="5">
        <f>+'SERVICIO FAENA'!B299</f>
        <v>0</v>
      </c>
      <c r="D300" s="5">
        <f>+'SERVICIO FAENA'!C299</f>
        <v>0</v>
      </c>
      <c r="E300" s="7">
        <f>+'SERVICIO FAENA'!H299</f>
        <v>0</v>
      </c>
      <c r="F300" s="6">
        <f>+'SERVICIO FAENA'!F299</f>
        <v>0</v>
      </c>
      <c r="G300" s="7">
        <f>+'SERVICIO FAENA'!J299</f>
        <v>0</v>
      </c>
      <c r="H300" s="7">
        <f>+'SERVICIO DESPOSTE'!W299</f>
        <v>0</v>
      </c>
      <c r="I300" s="36">
        <f t="shared" si="4"/>
        <v>0</v>
      </c>
      <c r="J300" s="8">
        <f>+MENUDENCIAS!I299</f>
        <v>0</v>
      </c>
      <c r="K300" s="8">
        <f>+MENUDENCIAS!O299</f>
        <v>0</v>
      </c>
      <c r="L300" s="8">
        <f>+MENUDENCIAS!P299</f>
        <v>0</v>
      </c>
      <c r="M300" s="7">
        <f>+RENDERING!H298</f>
        <v>0</v>
      </c>
      <c r="N300" s="7">
        <f>+RENDERING!F298</f>
        <v>0</v>
      </c>
      <c r="O300" s="7">
        <f>+RENDERING!J298</f>
        <v>0</v>
      </c>
      <c r="P300" s="7">
        <f>+CUEROS!N301</f>
        <v>0</v>
      </c>
      <c r="Q300" s="7">
        <f>+'GRASA DREASING'!G298</f>
        <v>0</v>
      </c>
    </row>
    <row r="301" spans="2:17" x14ac:dyDescent="0.2">
      <c r="B301" s="5">
        <f>+'SERVICIO FAENA'!A300</f>
        <v>0</v>
      </c>
      <c r="C301" s="5">
        <f>+'SERVICIO FAENA'!B300</f>
        <v>0</v>
      </c>
      <c r="D301" s="5">
        <f>+'SERVICIO FAENA'!C300</f>
        <v>0</v>
      </c>
      <c r="E301" s="7">
        <f>+'SERVICIO FAENA'!H300</f>
        <v>0</v>
      </c>
      <c r="F301" s="6">
        <f>+'SERVICIO FAENA'!F300</f>
        <v>0</v>
      </c>
      <c r="G301" s="7">
        <f>+'SERVICIO FAENA'!J300</f>
        <v>0</v>
      </c>
      <c r="H301" s="7">
        <f>+'SERVICIO DESPOSTE'!W300</f>
        <v>0</v>
      </c>
      <c r="I301" s="36">
        <f t="shared" si="4"/>
        <v>0</v>
      </c>
      <c r="J301" s="8">
        <f>+MENUDENCIAS!I300</f>
        <v>0</v>
      </c>
      <c r="K301" s="8">
        <f>+MENUDENCIAS!O300</f>
        <v>0</v>
      </c>
      <c r="L301" s="8">
        <f>+MENUDENCIAS!P300</f>
        <v>0</v>
      </c>
      <c r="M301" s="7">
        <f>+RENDERING!H299</f>
        <v>0</v>
      </c>
      <c r="N301" s="7">
        <f>+RENDERING!F299</f>
        <v>0</v>
      </c>
      <c r="O301" s="7">
        <f>+RENDERING!J299</f>
        <v>0</v>
      </c>
      <c r="P301" s="7">
        <f>+CUEROS!N302</f>
        <v>0</v>
      </c>
      <c r="Q301" s="7">
        <f>+'GRASA DREASING'!G299</f>
        <v>0</v>
      </c>
    </row>
    <row r="302" spans="2:17" x14ac:dyDescent="0.2">
      <c r="B302" s="5">
        <f>+'SERVICIO FAENA'!A301</f>
        <v>0</v>
      </c>
      <c r="C302" s="5">
        <f>+'SERVICIO FAENA'!B301</f>
        <v>0</v>
      </c>
      <c r="D302" s="5">
        <f>+'SERVICIO FAENA'!C301</f>
        <v>0</v>
      </c>
      <c r="E302" s="7">
        <f>+'SERVICIO FAENA'!H301</f>
        <v>0</v>
      </c>
      <c r="F302" s="6">
        <f>+'SERVICIO FAENA'!F301</f>
        <v>0</v>
      </c>
      <c r="G302" s="7">
        <f>+'SERVICIO FAENA'!J301</f>
        <v>0</v>
      </c>
      <c r="H302" s="7">
        <f>+'SERVICIO DESPOSTE'!W301</f>
        <v>0</v>
      </c>
      <c r="I302" s="36">
        <f t="shared" si="4"/>
        <v>0</v>
      </c>
      <c r="J302" s="8">
        <f>+MENUDENCIAS!I301</f>
        <v>0</v>
      </c>
      <c r="K302" s="8">
        <f>+MENUDENCIAS!O301</f>
        <v>0</v>
      </c>
      <c r="L302" s="8">
        <f>+MENUDENCIAS!P301</f>
        <v>0</v>
      </c>
      <c r="M302" s="7">
        <f>+RENDERING!H300</f>
        <v>0</v>
      </c>
      <c r="N302" s="7">
        <f>+RENDERING!F300</f>
        <v>0</v>
      </c>
      <c r="O302" s="7">
        <f>+RENDERING!J300</f>
        <v>0</v>
      </c>
      <c r="P302" s="7">
        <f>+CUEROS!N303</f>
        <v>0</v>
      </c>
      <c r="Q302" s="7">
        <f>+'GRASA DREASING'!G300</f>
        <v>0</v>
      </c>
    </row>
    <row r="303" spans="2:17" x14ac:dyDescent="0.2">
      <c r="B303" s="5">
        <f>+'SERVICIO FAENA'!A302</f>
        <v>0</v>
      </c>
      <c r="C303" s="5">
        <f>+'SERVICIO FAENA'!B302</f>
        <v>0</v>
      </c>
      <c r="D303" s="5">
        <f>+'SERVICIO FAENA'!C302</f>
        <v>0</v>
      </c>
      <c r="E303" s="7">
        <f>+'SERVICIO FAENA'!H302</f>
        <v>0</v>
      </c>
      <c r="F303" s="6">
        <f>+'SERVICIO FAENA'!F302</f>
        <v>0</v>
      </c>
      <c r="G303" s="7">
        <f>+'SERVICIO FAENA'!J302</f>
        <v>0</v>
      </c>
      <c r="H303" s="7">
        <f>+'SERVICIO DESPOSTE'!W302</f>
        <v>0</v>
      </c>
      <c r="I303" s="36">
        <f t="shared" si="4"/>
        <v>0</v>
      </c>
      <c r="J303" s="8">
        <f>+MENUDENCIAS!I302</f>
        <v>0</v>
      </c>
      <c r="K303" s="8">
        <f>+MENUDENCIAS!O302</f>
        <v>0</v>
      </c>
      <c r="L303" s="8">
        <f>+MENUDENCIAS!P302</f>
        <v>0</v>
      </c>
      <c r="M303" s="7">
        <f>+RENDERING!H301</f>
        <v>0</v>
      </c>
      <c r="N303" s="7">
        <f>+RENDERING!F301</f>
        <v>0</v>
      </c>
      <c r="O303" s="7">
        <f>+RENDERING!J301</f>
        <v>0</v>
      </c>
      <c r="P303" s="7">
        <f>+CUEROS!N304</f>
        <v>0</v>
      </c>
      <c r="Q303" s="7">
        <f>+'GRASA DREASING'!G301</f>
        <v>0</v>
      </c>
    </row>
    <row r="304" spans="2:17" x14ac:dyDescent="0.2">
      <c r="B304" s="5">
        <f>+'SERVICIO FAENA'!A303</f>
        <v>0</v>
      </c>
      <c r="C304" s="5">
        <f>+'SERVICIO FAENA'!B303</f>
        <v>0</v>
      </c>
      <c r="D304" s="5">
        <f>+'SERVICIO FAENA'!C303</f>
        <v>0</v>
      </c>
      <c r="E304" s="7">
        <f>+'SERVICIO FAENA'!H303</f>
        <v>0</v>
      </c>
      <c r="F304" s="6">
        <f>+'SERVICIO FAENA'!F303</f>
        <v>0</v>
      </c>
      <c r="G304" s="7">
        <f>+'SERVICIO FAENA'!J303</f>
        <v>0</v>
      </c>
      <c r="H304" s="7">
        <f>+'SERVICIO DESPOSTE'!W303</f>
        <v>0</v>
      </c>
      <c r="I304" s="36">
        <f t="shared" si="4"/>
        <v>0</v>
      </c>
      <c r="J304" s="8">
        <f>+MENUDENCIAS!I303</f>
        <v>0</v>
      </c>
      <c r="K304" s="8">
        <f>+MENUDENCIAS!O303</f>
        <v>0</v>
      </c>
      <c r="L304" s="8">
        <f>+MENUDENCIAS!P303</f>
        <v>0</v>
      </c>
      <c r="M304" s="7">
        <f>+RENDERING!H302</f>
        <v>0</v>
      </c>
      <c r="N304" s="7">
        <f>+RENDERING!F302</f>
        <v>0</v>
      </c>
      <c r="O304" s="7">
        <f>+RENDERING!J302</f>
        <v>0</v>
      </c>
      <c r="P304" s="7">
        <f>+CUEROS!N305</f>
        <v>0</v>
      </c>
      <c r="Q304" s="7">
        <f>+'GRASA DREASING'!G302</f>
        <v>0</v>
      </c>
    </row>
    <row r="305" spans="2:17" x14ac:dyDescent="0.2">
      <c r="B305" s="5">
        <f>+'SERVICIO FAENA'!A304</f>
        <v>0</v>
      </c>
      <c r="C305" s="5">
        <f>+'SERVICIO FAENA'!B304</f>
        <v>0</v>
      </c>
      <c r="D305" s="5">
        <f>+'SERVICIO FAENA'!C304</f>
        <v>0</v>
      </c>
      <c r="E305" s="7">
        <f>+'SERVICIO FAENA'!H304</f>
        <v>0</v>
      </c>
      <c r="F305" s="6">
        <f>+'SERVICIO FAENA'!F304</f>
        <v>0</v>
      </c>
      <c r="G305" s="7">
        <f>+'SERVICIO FAENA'!J304</f>
        <v>0</v>
      </c>
      <c r="H305" s="7">
        <f>+'SERVICIO DESPOSTE'!W304</f>
        <v>0</v>
      </c>
      <c r="I305" s="36">
        <f t="shared" si="4"/>
        <v>0</v>
      </c>
      <c r="J305" s="8">
        <f>+MENUDENCIAS!I304</f>
        <v>0</v>
      </c>
      <c r="K305" s="8">
        <f>+MENUDENCIAS!O304</f>
        <v>0</v>
      </c>
      <c r="L305" s="8">
        <f>+MENUDENCIAS!P304</f>
        <v>0</v>
      </c>
      <c r="M305" s="7">
        <f>+RENDERING!H303</f>
        <v>0</v>
      </c>
      <c r="N305" s="7">
        <f>+RENDERING!F303</f>
        <v>0</v>
      </c>
      <c r="O305" s="7">
        <f>+RENDERING!J303</f>
        <v>0</v>
      </c>
      <c r="P305" s="7">
        <f>+CUEROS!N306</f>
        <v>0</v>
      </c>
      <c r="Q305" s="7">
        <f>+'GRASA DREASING'!G303</f>
        <v>0</v>
      </c>
    </row>
    <row r="306" spans="2:17" x14ac:dyDescent="0.2">
      <c r="B306" s="5">
        <f>+'SERVICIO FAENA'!A305</f>
        <v>0</v>
      </c>
      <c r="C306" s="5">
        <f>+'SERVICIO FAENA'!B305</f>
        <v>0</v>
      </c>
      <c r="D306" s="5">
        <f>+'SERVICIO FAENA'!C305</f>
        <v>0</v>
      </c>
      <c r="E306" s="7">
        <f>+'SERVICIO FAENA'!H305</f>
        <v>0</v>
      </c>
      <c r="F306" s="6">
        <f>+'SERVICIO FAENA'!F305</f>
        <v>0</v>
      </c>
      <c r="G306" s="7">
        <f>+'SERVICIO FAENA'!J305</f>
        <v>0</v>
      </c>
      <c r="H306" s="7">
        <f>+'SERVICIO DESPOSTE'!W305</f>
        <v>0</v>
      </c>
      <c r="I306" s="36">
        <f t="shared" si="4"/>
        <v>0</v>
      </c>
      <c r="J306" s="8">
        <f>+MENUDENCIAS!I305</f>
        <v>0</v>
      </c>
      <c r="K306" s="8">
        <f>+MENUDENCIAS!O305</f>
        <v>0</v>
      </c>
      <c r="L306" s="8">
        <f>+MENUDENCIAS!P305</f>
        <v>0</v>
      </c>
      <c r="M306" s="7">
        <f>+RENDERING!H304</f>
        <v>0</v>
      </c>
      <c r="N306" s="7">
        <f>+RENDERING!F304</f>
        <v>0</v>
      </c>
      <c r="O306" s="7">
        <f>+RENDERING!J304</f>
        <v>0</v>
      </c>
      <c r="P306" s="7">
        <f>+CUEROS!N307</f>
        <v>0</v>
      </c>
      <c r="Q306" s="7">
        <f>+'GRASA DREASING'!G304</f>
        <v>0</v>
      </c>
    </row>
    <row r="307" spans="2:17" x14ac:dyDescent="0.2">
      <c r="B307" s="5">
        <f>+'SERVICIO FAENA'!A306</f>
        <v>0</v>
      </c>
      <c r="C307" s="5">
        <f>+'SERVICIO FAENA'!B306</f>
        <v>0</v>
      </c>
      <c r="D307" s="5">
        <f>+'SERVICIO FAENA'!C306</f>
        <v>0</v>
      </c>
      <c r="E307" s="7">
        <f>+'SERVICIO FAENA'!H306</f>
        <v>0</v>
      </c>
      <c r="F307" s="6">
        <f>+'SERVICIO FAENA'!F306</f>
        <v>0</v>
      </c>
      <c r="G307" s="7">
        <f>+'SERVICIO FAENA'!J306</f>
        <v>0</v>
      </c>
      <c r="H307" s="7">
        <f>+'SERVICIO DESPOSTE'!W306</f>
        <v>0</v>
      </c>
      <c r="I307" s="36">
        <f t="shared" si="4"/>
        <v>0</v>
      </c>
      <c r="J307" s="8">
        <f>+MENUDENCIAS!I306</f>
        <v>0</v>
      </c>
      <c r="K307" s="8">
        <f>+MENUDENCIAS!O306</f>
        <v>0</v>
      </c>
      <c r="L307" s="8">
        <f>+MENUDENCIAS!P306</f>
        <v>0</v>
      </c>
      <c r="M307" s="7">
        <f>+RENDERING!H305</f>
        <v>0</v>
      </c>
      <c r="N307" s="7">
        <f>+RENDERING!F305</f>
        <v>0</v>
      </c>
      <c r="O307" s="7">
        <f>+RENDERING!J305</f>
        <v>0</v>
      </c>
      <c r="P307" s="7">
        <f>+CUEROS!N308</f>
        <v>0</v>
      </c>
      <c r="Q307" s="7">
        <f>+'GRASA DREASING'!G305</f>
        <v>0</v>
      </c>
    </row>
    <row r="308" spans="2:17" x14ac:dyDescent="0.2">
      <c r="B308" s="5">
        <f>+'SERVICIO FAENA'!A307</f>
        <v>0</v>
      </c>
      <c r="C308" s="5">
        <f>+'SERVICIO FAENA'!B307</f>
        <v>0</v>
      </c>
      <c r="D308" s="5">
        <f>+'SERVICIO FAENA'!C307</f>
        <v>0</v>
      </c>
      <c r="E308" s="7">
        <f>+'SERVICIO FAENA'!H307</f>
        <v>0</v>
      </c>
      <c r="F308" s="6">
        <f>+'SERVICIO FAENA'!F307</f>
        <v>0</v>
      </c>
      <c r="G308" s="7">
        <f>+'SERVICIO FAENA'!J307</f>
        <v>0</v>
      </c>
      <c r="H308" s="7">
        <f>+'SERVICIO DESPOSTE'!W307</f>
        <v>0</v>
      </c>
      <c r="I308" s="36">
        <f t="shared" si="4"/>
        <v>0</v>
      </c>
      <c r="J308" s="8">
        <f>+MENUDENCIAS!I307</f>
        <v>0</v>
      </c>
      <c r="K308" s="8">
        <f>+MENUDENCIAS!O307</f>
        <v>0</v>
      </c>
      <c r="L308" s="8">
        <f>+MENUDENCIAS!P307</f>
        <v>0</v>
      </c>
      <c r="M308" s="7">
        <f>+RENDERING!H306</f>
        <v>0</v>
      </c>
      <c r="N308" s="7">
        <f>+RENDERING!F306</f>
        <v>0</v>
      </c>
      <c r="O308" s="7">
        <f>+RENDERING!J306</f>
        <v>0</v>
      </c>
      <c r="P308" s="7">
        <f>+CUEROS!N309</f>
        <v>0</v>
      </c>
      <c r="Q308" s="7">
        <f>+'GRASA DREASING'!G306</f>
        <v>0</v>
      </c>
    </row>
    <row r="309" spans="2:17" x14ac:dyDescent="0.2">
      <c r="B309" s="5">
        <f>+'SERVICIO FAENA'!A308</f>
        <v>0</v>
      </c>
      <c r="C309" s="5">
        <f>+'SERVICIO FAENA'!B308</f>
        <v>0</v>
      </c>
      <c r="D309" s="5">
        <f>+'SERVICIO FAENA'!C308</f>
        <v>0</v>
      </c>
      <c r="E309" s="7">
        <f>+'SERVICIO FAENA'!H308</f>
        <v>0</v>
      </c>
      <c r="F309" s="6">
        <f>+'SERVICIO FAENA'!F308</f>
        <v>0</v>
      </c>
      <c r="G309" s="7">
        <f>+'SERVICIO FAENA'!J308</f>
        <v>0</v>
      </c>
      <c r="H309" s="7">
        <f>+'SERVICIO DESPOSTE'!W308</f>
        <v>0</v>
      </c>
      <c r="I309" s="36">
        <f t="shared" si="4"/>
        <v>0</v>
      </c>
      <c r="J309" s="8">
        <f>+MENUDENCIAS!I308</f>
        <v>0</v>
      </c>
      <c r="K309" s="8">
        <f>+MENUDENCIAS!O308</f>
        <v>0</v>
      </c>
      <c r="L309" s="8">
        <f>+MENUDENCIAS!P308</f>
        <v>0</v>
      </c>
      <c r="M309" s="7">
        <f>+RENDERING!H307</f>
        <v>0</v>
      </c>
      <c r="N309" s="7">
        <f>+RENDERING!F307</f>
        <v>0</v>
      </c>
      <c r="O309" s="7">
        <f>+RENDERING!J307</f>
        <v>0</v>
      </c>
      <c r="P309" s="7">
        <f>+CUEROS!N310</f>
        <v>0</v>
      </c>
      <c r="Q309" s="7">
        <f>+'GRASA DREASING'!G307</f>
        <v>0</v>
      </c>
    </row>
    <row r="310" spans="2:17" x14ac:dyDescent="0.2">
      <c r="B310" s="5">
        <f>+'SERVICIO FAENA'!A309</f>
        <v>0</v>
      </c>
      <c r="C310" s="5">
        <f>+'SERVICIO FAENA'!B309</f>
        <v>0</v>
      </c>
      <c r="D310" s="5">
        <f>+'SERVICIO FAENA'!C309</f>
        <v>0</v>
      </c>
      <c r="E310" s="7">
        <f>+'SERVICIO FAENA'!H309</f>
        <v>0</v>
      </c>
      <c r="F310" s="6">
        <f>+'SERVICIO FAENA'!F309</f>
        <v>0</v>
      </c>
      <c r="G310" s="7">
        <f>+'SERVICIO FAENA'!J309</f>
        <v>0</v>
      </c>
      <c r="H310" s="7">
        <f>+'SERVICIO DESPOSTE'!W309</f>
        <v>0</v>
      </c>
      <c r="I310" s="36">
        <f t="shared" si="4"/>
        <v>0</v>
      </c>
      <c r="J310" s="8">
        <f>+MENUDENCIAS!I309</f>
        <v>0</v>
      </c>
      <c r="K310" s="8">
        <f>+MENUDENCIAS!O309</f>
        <v>0</v>
      </c>
      <c r="L310" s="8">
        <f>+MENUDENCIAS!P309</f>
        <v>0</v>
      </c>
      <c r="M310" s="7">
        <f>+RENDERING!H308</f>
        <v>0</v>
      </c>
      <c r="N310" s="7">
        <f>+RENDERING!F308</f>
        <v>0</v>
      </c>
      <c r="O310" s="7">
        <f>+RENDERING!J308</f>
        <v>0</v>
      </c>
      <c r="P310" s="7">
        <f>+CUEROS!N311</f>
        <v>0</v>
      </c>
      <c r="Q310" s="7">
        <f>+'GRASA DREASING'!G308</f>
        <v>0</v>
      </c>
    </row>
    <row r="311" spans="2:17" x14ac:dyDescent="0.2">
      <c r="B311" s="5">
        <f>+'SERVICIO FAENA'!A310</f>
        <v>0</v>
      </c>
      <c r="C311" s="5">
        <f>+'SERVICIO FAENA'!B310</f>
        <v>0</v>
      </c>
      <c r="D311" s="5">
        <f>+'SERVICIO FAENA'!C310</f>
        <v>0</v>
      </c>
      <c r="E311" s="7">
        <f>+'SERVICIO FAENA'!H310</f>
        <v>0</v>
      </c>
      <c r="F311" s="6">
        <f>+'SERVICIO FAENA'!F310</f>
        <v>0</v>
      </c>
      <c r="G311" s="7">
        <f>+'SERVICIO FAENA'!J310</f>
        <v>0</v>
      </c>
      <c r="H311" s="7">
        <f>+'SERVICIO DESPOSTE'!W310</f>
        <v>0</v>
      </c>
      <c r="I311" s="36">
        <f t="shared" ref="I311:I374" si="5">+(G311-J311)+K311+M311+N311+O311+P311+Q311+L311+H311</f>
        <v>0</v>
      </c>
      <c r="J311" s="8">
        <f>+MENUDENCIAS!I310</f>
        <v>0</v>
      </c>
      <c r="K311" s="8">
        <f>+MENUDENCIAS!O310</f>
        <v>0</v>
      </c>
      <c r="L311" s="8">
        <f>+MENUDENCIAS!P310</f>
        <v>0</v>
      </c>
      <c r="M311" s="7">
        <f>+RENDERING!H309</f>
        <v>0</v>
      </c>
      <c r="N311" s="7">
        <f>+RENDERING!F309</f>
        <v>0</v>
      </c>
      <c r="O311" s="7">
        <f>+RENDERING!J309</f>
        <v>0</v>
      </c>
      <c r="P311" s="7">
        <f>+CUEROS!N312</f>
        <v>0</v>
      </c>
      <c r="Q311" s="7">
        <f>+'GRASA DREASING'!G309</f>
        <v>0</v>
      </c>
    </row>
    <row r="312" spans="2:17" x14ac:dyDescent="0.2">
      <c r="B312" s="5">
        <f>+'SERVICIO FAENA'!A311</f>
        <v>0</v>
      </c>
      <c r="C312" s="5">
        <f>+'SERVICIO FAENA'!B311</f>
        <v>0</v>
      </c>
      <c r="D312" s="5">
        <f>+'SERVICIO FAENA'!C311</f>
        <v>0</v>
      </c>
      <c r="E312" s="7">
        <f>+'SERVICIO FAENA'!H311</f>
        <v>0</v>
      </c>
      <c r="F312" s="6">
        <f>+'SERVICIO FAENA'!F311</f>
        <v>0</v>
      </c>
      <c r="G312" s="7">
        <f>+'SERVICIO FAENA'!J311</f>
        <v>0</v>
      </c>
      <c r="H312" s="7">
        <f>+'SERVICIO DESPOSTE'!W311</f>
        <v>0</v>
      </c>
      <c r="I312" s="36">
        <f t="shared" si="5"/>
        <v>0</v>
      </c>
      <c r="J312" s="8">
        <f>+MENUDENCIAS!I311</f>
        <v>0</v>
      </c>
      <c r="K312" s="8">
        <f>+MENUDENCIAS!O311</f>
        <v>0</v>
      </c>
      <c r="L312" s="8">
        <f>+MENUDENCIAS!P311</f>
        <v>0</v>
      </c>
      <c r="M312" s="7">
        <f>+RENDERING!H310</f>
        <v>0</v>
      </c>
      <c r="N312" s="7">
        <f>+RENDERING!F310</f>
        <v>0</v>
      </c>
      <c r="O312" s="7">
        <f>+RENDERING!J310</f>
        <v>0</v>
      </c>
      <c r="P312" s="7">
        <f>+CUEROS!N313</f>
        <v>0</v>
      </c>
      <c r="Q312" s="7">
        <f>+'GRASA DREASING'!G310</f>
        <v>0</v>
      </c>
    </row>
    <row r="313" spans="2:17" x14ac:dyDescent="0.2">
      <c r="B313" s="5">
        <f>+'SERVICIO FAENA'!A312</f>
        <v>0</v>
      </c>
      <c r="C313" s="5">
        <f>+'SERVICIO FAENA'!B312</f>
        <v>0</v>
      </c>
      <c r="D313" s="5">
        <f>+'SERVICIO FAENA'!C312</f>
        <v>0</v>
      </c>
      <c r="E313" s="7">
        <f>+'SERVICIO FAENA'!H312</f>
        <v>0</v>
      </c>
      <c r="F313" s="6">
        <f>+'SERVICIO FAENA'!F312</f>
        <v>0</v>
      </c>
      <c r="G313" s="7">
        <f>+'SERVICIO FAENA'!J312</f>
        <v>0</v>
      </c>
      <c r="H313" s="7">
        <f>+'SERVICIO DESPOSTE'!W312</f>
        <v>0</v>
      </c>
      <c r="I313" s="36">
        <f t="shared" si="5"/>
        <v>0</v>
      </c>
      <c r="J313" s="8">
        <f>+MENUDENCIAS!I312</f>
        <v>0</v>
      </c>
      <c r="K313" s="8">
        <f>+MENUDENCIAS!O312</f>
        <v>0</v>
      </c>
      <c r="L313" s="8">
        <f>+MENUDENCIAS!P312</f>
        <v>0</v>
      </c>
      <c r="M313" s="7">
        <f>+RENDERING!H311</f>
        <v>0</v>
      </c>
      <c r="N313" s="7">
        <f>+RENDERING!F311</f>
        <v>0</v>
      </c>
      <c r="O313" s="7">
        <f>+RENDERING!J311</f>
        <v>0</v>
      </c>
      <c r="P313" s="7">
        <f>+CUEROS!N314</f>
        <v>0</v>
      </c>
      <c r="Q313" s="7">
        <f>+'GRASA DREASING'!G311</f>
        <v>0</v>
      </c>
    </row>
    <row r="314" spans="2:17" x14ac:dyDescent="0.2">
      <c r="B314" s="5">
        <f>+'SERVICIO FAENA'!A313</f>
        <v>0</v>
      </c>
      <c r="C314" s="5">
        <f>+'SERVICIO FAENA'!B313</f>
        <v>0</v>
      </c>
      <c r="D314" s="5">
        <f>+'SERVICIO FAENA'!C313</f>
        <v>0</v>
      </c>
      <c r="E314" s="7">
        <f>+'SERVICIO FAENA'!H313</f>
        <v>0</v>
      </c>
      <c r="F314" s="6">
        <f>+'SERVICIO FAENA'!F313</f>
        <v>0</v>
      </c>
      <c r="G314" s="7">
        <f>+'SERVICIO FAENA'!J313</f>
        <v>0</v>
      </c>
      <c r="H314" s="7">
        <f>+'SERVICIO DESPOSTE'!W313</f>
        <v>0</v>
      </c>
      <c r="I314" s="36">
        <f t="shared" si="5"/>
        <v>0</v>
      </c>
      <c r="J314" s="8">
        <f>+MENUDENCIAS!I313</f>
        <v>0</v>
      </c>
      <c r="K314" s="8">
        <f>+MENUDENCIAS!O313</f>
        <v>0</v>
      </c>
      <c r="L314" s="8">
        <f>+MENUDENCIAS!P313</f>
        <v>0</v>
      </c>
      <c r="M314" s="7">
        <f>+RENDERING!H312</f>
        <v>0</v>
      </c>
      <c r="N314" s="7">
        <f>+RENDERING!F312</f>
        <v>0</v>
      </c>
      <c r="O314" s="7">
        <f>+RENDERING!J312</f>
        <v>0</v>
      </c>
      <c r="P314" s="7">
        <f>+CUEROS!N315</f>
        <v>0</v>
      </c>
      <c r="Q314" s="7">
        <f>+'GRASA DREASING'!G312</f>
        <v>0</v>
      </c>
    </row>
    <row r="315" spans="2:17" x14ac:dyDescent="0.2">
      <c r="B315" s="5">
        <f>+'SERVICIO FAENA'!A314</f>
        <v>0</v>
      </c>
      <c r="C315" s="5">
        <f>+'SERVICIO FAENA'!B314</f>
        <v>0</v>
      </c>
      <c r="D315" s="5">
        <f>+'SERVICIO FAENA'!C314</f>
        <v>0</v>
      </c>
      <c r="E315" s="7">
        <f>+'SERVICIO FAENA'!H314</f>
        <v>0</v>
      </c>
      <c r="F315" s="6">
        <f>+'SERVICIO FAENA'!F314</f>
        <v>0</v>
      </c>
      <c r="G315" s="7">
        <f>+'SERVICIO FAENA'!J314</f>
        <v>0</v>
      </c>
      <c r="H315" s="7">
        <f>+'SERVICIO DESPOSTE'!W314</f>
        <v>0</v>
      </c>
      <c r="I315" s="36">
        <f t="shared" si="5"/>
        <v>0</v>
      </c>
      <c r="J315" s="8">
        <f>+MENUDENCIAS!I314</f>
        <v>0</v>
      </c>
      <c r="K315" s="8">
        <f>+MENUDENCIAS!O314</f>
        <v>0</v>
      </c>
      <c r="L315" s="8">
        <f>+MENUDENCIAS!P314</f>
        <v>0</v>
      </c>
      <c r="M315" s="7">
        <f>+RENDERING!H313</f>
        <v>0</v>
      </c>
      <c r="N315" s="7">
        <f>+RENDERING!F313</f>
        <v>0</v>
      </c>
      <c r="O315" s="7">
        <f>+RENDERING!J313</f>
        <v>0</v>
      </c>
      <c r="P315" s="7">
        <f>+CUEROS!N316</f>
        <v>0</v>
      </c>
      <c r="Q315" s="7">
        <f>+'GRASA DREASING'!G313</f>
        <v>0</v>
      </c>
    </row>
    <row r="316" spans="2:17" x14ac:dyDescent="0.2">
      <c r="B316" s="5">
        <f>+'SERVICIO FAENA'!A315</f>
        <v>0</v>
      </c>
      <c r="C316" s="5">
        <f>+'SERVICIO FAENA'!B315</f>
        <v>0</v>
      </c>
      <c r="D316" s="5">
        <f>+'SERVICIO FAENA'!C315</f>
        <v>0</v>
      </c>
      <c r="E316" s="7">
        <f>+'SERVICIO FAENA'!H315</f>
        <v>0</v>
      </c>
      <c r="F316" s="6">
        <f>+'SERVICIO FAENA'!F315</f>
        <v>0</v>
      </c>
      <c r="G316" s="7">
        <f>+'SERVICIO FAENA'!J315</f>
        <v>0</v>
      </c>
      <c r="H316" s="7">
        <f>+'SERVICIO DESPOSTE'!W315</f>
        <v>0</v>
      </c>
      <c r="I316" s="36">
        <f t="shared" si="5"/>
        <v>0</v>
      </c>
      <c r="J316" s="8">
        <f>+MENUDENCIAS!I315</f>
        <v>0</v>
      </c>
      <c r="K316" s="8">
        <f>+MENUDENCIAS!O315</f>
        <v>0</v>
      </c>
      <c r="L316" s="8">
        <f>+MENUDENCIAS!P315</f>
        <v>0</v>
      </c>
      <c r="M316" s="7">
        <f>+RENDERING!H314</f>
        <v>0</v>
      </c>
      <c r="N316" s="7">
        <f>+RENDERING!F314</f>
        <v>0</v>
      </c>
      <c r="O316" s="7">
        <f>+RENDERING!J314</f>
        <v>0</v>
      </c>
      <c r="P316" s="7">
        <f>+CUEROS!N317</f>
        <v>0</v>
      </c>
      <c r="Q316" s="7">
        <f>+'GRASA DREASING'!G314</f>
        <v>0</v>
      </c>
    </row>
    <row r="317" spans="2:17" x14ac:dyDescent="0.2">
      <c r="B317" s="5">
        <f>+'SERVICIO FAENA'!A316</f>
        <v>0</v>
      </c>
      <c r="C317" s="5">
        <f>+'SERVICIO FAENA'!B316</f>
        <v>0</v>
      </c>
      <c r="D317" s="5">
        <f>+'SERVICIO FAENA'!C316</f>
        <v>0</v>
      </c>
      <c r="E317" s="7">
        <f>+'SERVICIO FAENA'!H316</f>
        <v>0</v>
      </c>
      <c r="F317" s="6">
        <f>+'SERVICIO FAENA'!F316</f>
        <v>0</v>
      </c>
      <c r="G317" s="7">
        <f>+'SERVICIO FAENA'!J316</f>
        <v>0</v>
      </c>
      <c r="H317" s="7">
        <f>+'SERVICIO DESPOSTE'!W316</f>
        <v>0</v>
      </c>
      <c r="I317" s="36">
        <f t="shared" si="5"/>
        <v>0</v>
      </c>
      <c r="J317" s="8">
        <f>+MENUDENCIAS!I316</f>
        <v>0</v>
      </c>
      <c r="K317" s="8">
        <f>+MENUDENCIAS!O316</f>
        <v>0</v>
      </c>
      <c r="L317" s="8">
        <f>+MENUDENCIAS!P316</f>
        <v>0</v>
      </c>
      <c r="M317" s="7">
        <f>+RENDERING!H315</f>
        <v>0</v>
      </c>
      <c r="N317" s="7">
        <f>+RENDERING!F315</f>
        <v>0</v>
      </c>
      <c r="O317" s="7">
        <f>+RENDERING!J315</f>
        <v>0</v>
      </c>
      <c r="P317" s="7">
        <f>+CUEROS!N318</f>
        <v>0</v>
      </c>
      <c r="Q317" s="7">
        <f>+'GRASA DREASING'!G315</f>
        <v>0</v>
      </c>
    </row>
    <row r="318" spans="2:17" x14ac:dyDescent="0.2">
      <c r="B318" s="5">
        <f>+'SERVICIO FAENA'!A317</f>
        <v>0</v>
      </c>
      <c r="C318" s="5">
        <f>+'SERVICIO FAENA'!B317</f>
        <v>0</v>
      </c>
      <c r="D318" s="5">
        <f>+'SERVICIO FAENA'!C317</f>
        <v>0</v>
      </c>
      <c r="E318" s="7">
        <f>+'SERVICIO FAENA'!H317</f>
        <v>0</v>
      </c>
      <c r="F318" s="6">
        <f>+'SERVICIO FAENA'!F317</f>
        <v>0</v>
      </c>
      <c r="G318" s="7">
        <f>+'SERVICIO FAENA'!J317</f>
        <v>0</v>
      </c>
      <c r="H318" s="7">
        <f>+'SERVICIO DESPOSTE'!W317</f>
        <v>0</v>
      </c>
      <c r="I318" s="36">
        <f t="shared" si="5"/>
        <v>0</v>
      </c>
      <c r="J318" s="8">
        <f>+MENUDENCIAS!I317</f>
        <v>0</v>
      </c>
      <c r="K318" s="8">
        <f>+MENUDENCIAS!O317</f>
        <v>0</v>
      </c>
      <c r="L318" s="8">
        <f>+MENUDENCIAS!P317</f>
        <v>0</v>
      </c>
      <c r="M318" s="7">
        <f>+RENDERING!H316</f>
        <v>0</v>
      </c>
      <c r="N318" s="7">
        <f>+RENDERING!F316</f>
        <v>0</v>
      </c>
      <c r="O318" s="7">
        <f>+RENDERING!J316</f>
        <v>0</v>
      </c>
      <c r="P318" s="7">
        <f>+CUEROS!N319</f>
        <v>0</v>
      </c>
      <c r="Q318" s="7">
        <f>+'GRASA DREASING'!G316</f>
        <v>0</v>
      </c>
    </row>
    <row r="319" spans="2:17" x14ac:dyDescent="0.2">
      <c r="B319" s="5">
        <f>+'SERVICIO FAENA'!A318</f>
        <v>0</v>
      </c>
      <c r="C319" s="5">
        <f>+'SERVICIO FAENA'!B318</f>
        <v>0</v>
      </c>
      <c r="D319" s="5">
        <f>+'SERVICIO FAENA'!C318</f>
        <v>0</v>
      </c>
      <c r="E319" s="7">
        <f>+'SERVICIO FAENA'!H318</f>
        <v>0</v>
      </c>
      <c r="F319" s="6">
        <f>+'SERVICIO FAENA'!F318</f>
        <v>0</v>
      </c>
      <c r="G319" s="7">
        <f>+'SERVICIO FAENA'!J318</f>
        <v>0</v>
      </c>
      <c r="H319" s="7">
        <f>+'SERVICIO DESPOSTE'!W318</f>
        <v>0</v>
      </c>
      <c r="I319" s="36">
        <f t="shared" si="5"/>
        <v>0</v>
      </c>
      <c r="J319" s="8">
        <f>+MENUDENCIAS!I318</f>
        <v>0</v>
      </c>
      <c r="K319" s="8">
        <f>+MENUDENCIAS!O318</f>
        <v>0</v>
      </c>
      <c r="L319" s="8">
        <f>+MENUDENCIAS!P318</f>
        <v>0</v>
      </c>
      <c r="M319" s="7">
        <f>+RENDERING!H317</f>
        <v>0</v>
      </c>
      <c r="N319" s="7">
        <f>+RENDERING!F317</f>
        <v>0</v>
      </c>
      <c r="O319" s="7">
        <f>+RENDERING!J317</f>
        <v>0</v>
      </c>
      <c r="P319" s="7">
        <f>+CUEROS!N320</f>
        <v>0</v>
      </c>
      <c r="Q319" s="7">
        <f>+'GRASA DREASING'!G317</f>
        <v>0</v>
      </c>
    </row>
    <row r="320" spans="2:17" x14ac:dyDescent="0.2">
      <c r="B320" s="5">
        <f>+'SERVICIO FAENA'!A319</f>
        <v>0</v>
      </c>
      <c r="C320" s="5">
        <f>+'SERVICIO FAENA'!B319</f>
        <v>0</v>
      </c>
      <c r="D320" s="5">
        <f>+'SERVICIO FAENA'!C319</f>
        <v>0</v>
      </c>
      <c r="E320" s="7">
        <f>+'SERVICIO FAENA'!H319</f>
        <v>0</v>
      </c>
      <c r="F320" s="6">
        <f>+'SERVICIO FAENA'!F319</f>
        <v>0</v>
      </c>
      <c r="G320" s="7">
        <f>+'SERVICIO FAENA'!J319</f>
        <v>0</v>
      </c>
      <c r="H320" s="7">
        <f>+'SERVICIO DESPOSTE'!W319</f>
        <v>0</v>
      </c>
      <c r="I320" s="36">
        <f t="shared" si="5"/>
        <v>0</v>
      </c>
      <c r="J320" s="8">
        <f>+MENUDENCIAS!I319</f>
        <v>0</v>
      </c>
      <c r="K320" s="8">
        <f>+MENUDENCIAS!O319</f>
        <v>0</v>
      </c>
      <c r="L320" s="8">
        <f>+MENUDENCIAS!P319</f>
        <v>0</v>
      </c>
      <c r="M320" s="7">
        <f>+RENDERING!H318</f>
        <v>0</v>
      </c>
      <c r="N320" s="7">
        <f>+RENDERING!F318</f>
        <v>0</v>
      </c>
      <c r="O320" s="7">
        <f>+RENDERING!J318</f>
        <v>0</v>
      </c>
      <c r="P320" s="7">
        <f>+CUEROS!N321</f>
        <v>0</v>
      </c>
      <c r="Q320" s="7">
        <f>+'GRASA DREASING'!G318</f>
        <v>0</v>
      </c>
    </row>
    <row r="321" spans="2:17" x14ac:dyDescent="0.2">
      <c r="B321" s="5">
        <f>+'SERVICIO FAENA'!A320</f>
        <v>0</v>
      </c>
      <c r="C321" s="5">
        <f>+'SERVICIO FAENA'!B320</f>
        <v>0</v>
      </c>
      <c r="D321" s="5">
        <f>+'SERVICIO FAENA'!C320</f>
        <v>0</v>
      </c>
      <c r="E321" s="7">
        <f>+'SERVICIO FAENA'!H320</f>
        <v>0</v>
      </c>
      <c r="F321" s="6">
        <f>+'SERVICIO FAENA'!F320</f>
        <v>0</v>
      </c>
      <c r="G321" s="7">
        <f>+'SERVICIO FAENA'!J320</f>
        <v>0</v>
      </c>
      <c r="H321" s="7">
        <f>+'SERVICIO DESPOSTE'!W320</f>
        <v>0</v>
      </c>
      <c r="I321" s="36">
        <f t="shared" si="5"/>
        <v>0</v>
      </c>
      <c r="J321" s="8">
        <f>+MENUDENCIAS!I320</f>
        <v>0</v>
      </c>
      <c r="K321" s="8">
        <f>+MENUDENCIAS!O320</f>
        <v>0</v>
      </c>
      <c r="L321" s="8">
        <f>+MENUDENCIAS!P320</f>
        <v>0</v>
      </c>
      <c r="M321" s="7">
        <f>+RENDERING!H319</f>
        <v>0</v>
      </c>
      <c r="N321" s="7">
        <f>+RENDERING!F319</f>
        <v>0</v>
      </c>
      <c r="O321" s="7">
        <f>+RENDERING!J319</f>
        <v>0</v>
      </c>
      <c r="P321" s="7">
        <f>+CUEROS!N322</f>
        <v>0</v>
      </c>
      <c r="Q321" s="7">
        <f>+'GRASA DREASING'!G319</f>
        <v>0</v>
      </c>
    </row>
    <row r="322" spans="2:17" x14ac:dyDescent="0.2">
      <c r="B322" s="5">
        <f>+'SERVICIO FAENA'!A321</f>
        <v>0</v>
      </c>
      <c r="C322" s="5">
        <f>+'SERVICIO FAENA'!B321</f>
        <v>0</v>
      </c>
      <c r="D322" s="5">
        <f>+'SERVICIO FAENA'!C321</f>
        <v>0</v>
      </c>
      <c r="E322" s="7">
        <f>+'SERVICIO FAENA'!H321</f>
        <v>0</v>
      </c>
      <c r="F322" s="6">
        <f>+'SERVICIO FAENA'!F321</f>
        <v>0</v>
      </c>
      <c r="G322" s="7">
        <f>+'SERVICIO FAENA'!J321</f>
        <v>0</v>
      </c>
      <c r="H322" s="7">
        <f>+'SERVICIO DESPOSTE'!W321</f>
        <v>0</v>
      </c>
      <c r="I322" s="36">
        <f t="shared" si="5"/>
        <v>0</v>
      </c>
      <c r="J322" s="8">
        <f>+MENUDENCIAS!I321</f>
        <v>0</v>
      </c>
      <c r="K322" s="8">
        <f>+MENUDENCIAS!O321</f>
        <v>0</v>
      </c>
      <c r="L322" s="8">
        <f>+MENUDENCIAS!P321</f>
        <v>0</v>
      </c>
      <c r="M322" s="7">
        <f>+RENDERING!H320</f>
        <v>0</v>
      </c>
      <c r="N322" s="7">
        <f>+RENDERING!F320</f>
        <v>0</v>
      </c>
      <c r="O322" s="7">
        <f>+RENDERING!J320</f>
        <v>0</v>
      </c>
      <c r="P322" s="7">
        <f>+CUEROS!N323</f>
        <v>0</v>
      </c>
      <c r="Q322" s="7">
        <f>+'GRASA DREASING'!G320</f>
        <v>0</v>
      </c>
    </row>
    <row r="323" spans="2:17" x14ac:dyDescent="0.2">
      <c r="B323" s="5">
        <f>+'SERVICIO FAENA'!A322</f>
        <v>0</v>
      </c>
      <c r="C323" s="5">
        <f>+'SERVICIO FAENA'!B322</f>
        <v>0</v>
      </c>
      <c r="D323" s="5">
        <f>+'SERVICIO FAENA'!C322</f>
        <v>0</v>
      </c>
      <c r="E323" s="7">
        <f>+'SERVICIO FAENA'!H322</f>
        <v>0</v>
      </c>
      <c r="F323" s="6">
        <f>+'SERVICIO FAENA'!F322</f>
        <v>0</v>
      </c>
      <c r="G323" s="7">
        <f>+'SERVICIO FAENA'!J322</f>
        <v>0</v>
      </c>
      <c r="H323" s="7">
        <f>+'SERVICIO DESPOSTE'!W322</f>
        <v>0</v>
      </c>
      <c r="I323" s="36">
        <f t="shared" si="5"/>
        <v>0</v>
      </c>
      <c r="J323" s="8">
        <f>+MENUDENCIAS!I322</f>
        <v>0</v>
      </c>
      <c r="K323" s="8">
        <f>+MENUDENCIAS!O322</f>
        <v>0</v>
      </c>
      <c r="L323" s="8">
        <f>+MENUDENCIAS!P322</f>
        <v>0</v>
      </c>
      <c r="M323" s="7">
        <f>+RENDERING!H321</f>
        <v>0</v>
      </c>
      <c r="N323" s="7">
        <f>+RENDERING!F321</f>
        <v>0</v>
      </c>
      <c r="O323" s="7">
        <f>+RENDERING!J321</f>
        <v>0</v>
      </c>
      <c r="P323" s="7">
        <f>+CUEROS!N324</f>
        <v>0</v>
      </c>
      <c r="Q323" s="7">
        <f>+'GRASA DREASING'!G321</f>
        <v>0</v>
      </c>
    </row>
    <row r="324" spans="2:17" x14ac:dyDescent="0.2">
      <c r="B324" s="5">
        <f>+'SERVICIO FAENA'!A323</f>
        <v>0</v>
      </c>
      <c r="C324" s="5">
        <f>+'SERVICIO FAENA'!B323</f>
        <v>0</v>
      </c>
      <c r="D324" s="5">
        <f>+'SERVICIO FAENA'!C323</f>
        <v>0</v>
      </c>
      <c r="E324" s="7">
        <f>+'SERVICIO FAENA'!H323</f>
        <v>0</v>
      </c>
      <c r="F324" s="6">
        <f>+'SERVICIO FAENA'!F323</f>
        <v>0</v>
      </c>
      <c r="G324" s="7">
        <f>+'SERVICIO FAENA'!J323</f>
        <v>0</v>
      </c>
      <c r="H324" s="7">
        <f>+'SERVICIO DESPOSTE'!W323</f>
        <v>0</v>
      </c>
      <c r="I324" s="36">
        <f t="shared" si="5"/>
        <v>0</v>
      </c>
      <c r="J324" s="8">
        <f>+MENUDENCIAS!I323</f>
        <v>0</v>
      </c>
      <c r="K324" s="8">
        <f>+MENUDENCIAS!O323</f>
        <v>0</v>
      </c>
      <c r="L324" s="8">
        <f>+MENUDENCIAS!P323</f>
        <v>0</v>
      </c>
      <c r="M324" s="7">
        <f>+RENDERING!H322</f>
        <v>0</v>
      </c>
      <c r="N324" s="7">
        <f>+RENDERING!F322</f>
        <v>0</v>
      </c>
      <c r="O324" s="7">
        <f>+RENDERING!J322</f>
        <v>0</v>
      </c>
      <c r="P324" s="7">
        <f>+CUEROS!N325</f>
        <v>0</v>
      </c>
      <c r="Q324" s="7">
        <f>+'GRASA DREASING'!G322</f>
        <v>0</v>
      </c>
    </row>
    <row r="325" spans="2:17" x14ac:dyDescent="0.2">
      <c r="B325" s="5">
        <f>+'SERVICIO FAENA'!A324</f>
        <v>0</v>
      </c>
      <c r="C325" s="5">
        <f>+'SERVICIO FAENA'!B324</f>
        <v>0</v>
      </c>
      <c r="D325" s="5">
        <f>+'SERVICIO FAENA'!C324</f>
        <v>0</v>
      </c>
      <c r="E325" s="7">
        <f>+'SERVICIO FAENA'!H324</f>
        <v>0</v>
      </c>
      <c r="F325" s="6">
        <f>+'SERVICIO FAENA'!F324</f>
        <v>0</v>
      </c>
      <c r="G325" s="7">
        <f>+'SERVICIO FAENA'!J324</f>
        <v>0</v>
      </c>
      <c r="H325" s="7">
        <f>+'SERVICIO DESPOSTE'!W324</f>
        <v>0</v>
      </c>
      <c r="I325" s="36">
        <f t="shared" si="5"/>
        <v>0</v>
      </c>
      <c r="J325" s="8">
        <f>+MENUDENCIAS!I324</f>
        <v>0</v>
      </c>
      <c r="K325" s="8">
        <f>+MENUDENCIAS!O324</f>
        <v>0</v>
      </c>
      <c r="L325" s="8">
        <f>+MENUDENCIAS!P324</f>
        <v>0</v>
      </c>
      <c r="M325" s="7">
        <f>+RENDERING!H323</f>
        <v>0</v>
      </c>
      <c r="N325" s="7">
        <f>+RENDERING!F323</f>
        <v>0</v>
      </c>
      <c r="O325" s="7">
        <f>+RENDERING!J323</f>
        <v>0</v>
      </c>
      <c r="P325" s="7">
        <f>+CUEROS!N326</f>
        <v>0</v>
      </c>
      <c r="Q325" s="7">
        <f>+'GRASA DREASING'!G323</f>
        <v>0</v>
      </c>
    </row>
    <row r="326" spans="2:17" x14ac:dyDescent="0.2">
      <c r="B326" s="5">
        <f>+'SERVICIO FAENA'!A325</f>
        <v>0</v>
      </c>
      <c r="C326" s="5">
        <f>+'SERVICIO FAENA'!B325</f>
        <v>0</v>
      </c>
      <c r="D326" s="5">
        <f>+'SERVICIO FAENA'!C325</f>
        <v>0</v>
      </c>
      <c r="E326" s="7">
        <f>+'SERVICIO FAENA'!H325</f>
        <v>0</v>
      </c>
      <c r="F326" s="6">
        <f>+'SERVICIO FAENA'!F325</f>
        <v>0</v>
      </c>
      <c r="G326" s="7">
        <f>+'SERVICIO FAENA'!J325</f>
        <v>0</v>
      </c>
      <c r="H326" s="7">
        <f>+'SERVICIO DESPOSTE'!W325</f>
        <v>0</v>
      </c>
      <c r="I326" s="36">
        <f t="shared" si="5"/>
        <v>0</v>
      </c>
      <c r="J326" s="8">
        <f>+MENUDENCIAS!I325</f>
        <v>0</v>
      </c>
      <c r="K326" s="8">
        <f>+MENUDENCIAS!O325</f>
        <v>0</v>
      </c>
      <c r="L326" s="8">
        <f>+MENUDENCIAS!P325</f>
        <v>0</v>
      </c>
      <c r="M326" s="7">
        <f>+RENDERING!H324</f>
        <v>0</v>
      </c>
      <c r="N326" s="7">
        <f>+RENDERING!F324</f>
        <v>0</v>
      </c>
      <c r="O326" s="7">
        <f>+RENDERING!J324</f>
        <v>0</v>
      </c>
      <c r="P326" s="7">
        <f>+CUEROS!N327</f>
        <v>0</v>
      </c>
      <c r="Q326" s="7">
        <f>+'GRASA DREASING'!G324</f>
        <v>0</v>
      </c>
    </row>
    <row r="327" spans="2:17" x14ac:dyDescent="0.2">
      <c r="B327" s="5">
        <f>+'SERVICIO FAENA'!A326</f>
        <v>0</v>
      </c>
      <c r="C327" s="5">
        <f>+'SERVICIO FAENA'!B326</f>
        <v>0</v>
      </c>
      <c r="D327" s="5">
        <f>+'SERVICIO FAENA'!C326</f>
        <v>0</v>
      </c>
      <c r="E327" s="7">
        <f>+'SERVICIO FAENA'!H326</f>
        <v>0</v>
      </c>
      <c r="F327" s="6">
        <f>+'SERVICIO FAENA'!F326</f>
        <v>0</v>
      </c>
      <c r="G327" s="7">
        <f>+'SERVICIO FAENA'!J326</f>
        <v>0</v>
      </c>
      <c r="H327" s="7">
        <f>+'SERVICIO DESPOSTE'!W326</f>
        <v>0</v>
      </c>
      <c r="I327" s="36">
        <f t="shared" si="5"/>
        <v>0</v>
      </c>
      <c r="J327" s="8">
        <f>+MENUDENCIAS!I326</f>
        <v>0</v>
      </c>
      <c r="K327" s="8">
        <f>+MENUDENCIAS!O326</f>
        <v>0</v>
      </c>
      <c r="L327" s="8">
        <f>+MENUDENCIAS!P326</f>
        <v>0</v>
      </c>
      <c r="M327" s="7">
        <f>+RENDERING!H325</f>
        <v>0</v>
      </c>
      <c r="N327" s="7">
        <f>+RENDERING!F325</f>
        <v>0</v>
      </c>
      <c r="O327" s="7">
        <f>+RENDERING!J325</f>
        <v>0</v>
      </c>
      <c r="P327" s="7">
        <f>+CUEROS!N328</f>
        <v>0</v>
      </c>
      <c r="Q327" s="7">
        <f>+'GRASA DREASING'!G325</f>
        <v>0</v>
      </c>
    </row>
    <row r="328" spans="2:17" x14ac:dyDescent="0.2">
      <c r="B328" s="5">
        <f>+'SERVICIO FAENA'!A327</f>
        <v>0</v>
      </c>
      <c r="C328" s="5">
        <f>+'SERVICIO FAENA'!B327</f>
        <v>0</v>
      </c>
      <c r="D328" s="5">
        <f>+'SERVICIO FAENA'!C327</f>
        <v>0</v>
      </c>
      <c r="E328" s="7">
        <f>+'SERVICIO FAENA'!H327</f>
        <v>0</v>
      </c>
      <c r="F328" s="6">
        <f>+'SERVICIO FAENA'!F327</f>
        <v>0</v>
      </c>
      <c r="G328" s="7">
        <f>+'SERVICIO FAENA'!J327</f>
        <v>0</v>
      </c>
      <c r="H328" s="7">
        <f>+'SERVICIO DESPOSTE'!W327</f>
        <v>0</v>
      </c>
      <c r="I328" s="36">
        <f t="shared" si="5"/>
        <v>0</v>
      </c>
      <c r="J328" s="8">
        <f>+MENUDENCIAS!I327</f>
        <v>0</v>
      </c>
      <c r="K328" s="8">
        <f>+MENUDENCIAS!O327</f>
        <v>0</v>
      </c>
      <c r="L328" s="8">
        <f>+MENUDENCIAS!P327</f>
        <v>0</v>
      </c>
      <c r="M328" s="7">
        <f>+RENDERING!H326</f>
        <v>0</v>
      </c>
      <c r="N328" s="7">
        <f>+RENDERING!F326</f>
        <v>0</v>
      </c>
      <c r="O328" s="7">
        <f>+RENDERING!J326</f>
        <v>0</v>
      </c>
      <c r="P328" s="7">
        <f>+CUEROS!N329</f>
        <v>0</v>
      </c>
      <c r="Q328" s="7">
        <f>+'GRASA DREASING'!G326</f>
        <v>0</v>
      </c>
    </row>
    <row r="329" spans="2:17" x14ac:dyDescent="0.2">
      <c r="B329" s="5">
        <f>+'SERVICIO FAENA'!A328</f>
        <v>0</v>
      </c>
      <c r="C329" s="5">
        <f>+'SERVICIO FAENA'!B328</f>
        <v>0</v>
      </c>
      <c r="D329" s="5">
        <f>+'SERVICIO FAENA'!C328</f>
        <v>0</v>
      </c>
      <c r="E329" s="7">
        <f>+'SERVICIO FAENA'!H328</f>
        <v>0</v>
      </c>
      <c r="F329" s="6">
        <f>+'SERVICIO FAENA'!F328</f>
        <v>0</v>
      </c>
      <c r="G329" s="7">
        <f>+'SERVICIO FAENA'!J328</f>
        <v>0</v>
      </c>
      <c r="H329" s="7">
        <f>+'SERVICIO DESPOSTE'!W328</f>
        <v>0</v>
      </c>
      <c r="I329" s="36">
        <f t="shared" si="5"/>
        <v>0</v>
      </c>
      <c r="J329" s="8">
        <f>+MENUDENCIAS!I328</f>
        <v>0</v>
      </c>
      <c r="K329" s="8">
        <f>+MENUDENCIAS!O328</f>
        <v>0</v>
      </c>
      <c r="L329" s="8">
        <f>+MENUDENCIAS!P328</f>
        <v>0</v>
      </c>
      <c r="M329" s="7">
        <f>+RENDERING!H327</f>
        <v>0</v>
      </c>
      <c r="N329" s="7">
        <f>+RENDERING!F327</f>
        <v>0</v>
      </c>
      <c r="O329" s="7">
        <f>+RENDERING!J327</f>
        <v>0</v>
      </c>
      <c r="P329" s="7">
        <f>+CUEROS!N330</f>
        <v>0</v>
      </c>
      <c r="Q329" s="7">
        <f>+'GRASA DREASING'!G327</f>
        <v>0</v>
      </c>
    </row>
    <row r="330" spans="2:17" x14ac:dyDescent="0.2">
      <c r="B330" s="5">
        <f>+'SERVICIO FAENA'!A329</f>
        <v>0</v>
      </c>
      <c r="C330" s="5">
        <f>+'SERVICIO FAENA'!B329</f>
        <v>0</v>
      </c>
      <c r="D330" s="5">
        <f>+'SERVICIO FAENA'!C329</f>
        <v>0</v>
      </c>
      <c r="E330" s="7">
        <f>+'SERVICIO FAENA'!H329</f>
        <v>0</v>
      </c>
      <c r="F330" s="6">
        <f>+'SERVICIO FAENA'!F329</f>
        <v>0</v>
      </c>
      <c r="G330" s="7">
        <f>+'SERVICIO FAENA'!J329</f>
        <v>0</v>
      </c>
      <c r="H330" s="7">
        <f>+'SERVICIO DESPOSTE'!W329</f>
        <v>0</v>
      </c>
      <c r="I330" s="36">
        <f t="shared" si="5"/>
        <v>0</v>
      </c>
      <c r="J330" s="8">
        <f>+MENUDENCIAS!I329</f>
        <v>0</v>
      </c>
      <c r="K330" s="8">
        <f>+MENUDENCIAS!O329</f>
        <v>0</v>
      </c>
      <c r="L330" s="8">
        <f>+MENUDENCIAS!P329</f>
        <v>0</v>
      </c>
      <c r="M330" s="7">
        <f>+RENDERING!H328</f>
        <v>0</v>
      </c>
      <c r="N330" s="7">
        <f>+RENDERING!F328</f>
        <v>0</v>
      </c>
      <c r="O330" s="7">
        <f>+RENDERING!J328</f>
        <v>0</v>
      </c>
      <c r="P330" s="7">
        <f>+CUEROS!N331</f>
        <v>0</v>
      </c>
      <c r="Q330" s="7">
        <f>+'GRASA DREASING'!G328</f>
        <v>0</v>
      </c>
    </row>
    <row r="331" spans="2:17" x14ac:dyDescent="0.2">
      <c r="B331" s="5">
        <f>+'SERVICIO FAENA'!A330</f>
        <v>0</v>
      </c>
      <c r="C331" s="5">
        <f>+'SERVICIO FAENA'!B330</f>
        <v>0</v>
      </c>
      <c r="D331" s="5">
        <f>+'SERVICIO FAENA'!C330</f>
        <v>0</v>
      </c>
      <c r="E331" s="7">
        <f>+'SERVICIO FAENA'!H330</f>
        <v>0</v>
      </c>
      <c r="F331" s="6">
        <f>+'SERVICIO FAENA'!F330</f>
        <v>0</v>
      </c>
      <c r="G331" s="7">
        <f>+'SERVICIO FAENA'!J330</f>
        <v>0</v>
      </c>
      <c r="H331" s="7">
        <f>+'SERVICIO DESPOSTE'!W330</f>
        <v>0</v>
      </c>
      <c r="I331" s="36">
        <f t="shared" si="5"/>
        <v>0</v>
      </c>
      <c r="J331" s="8">
        <f>+MENUDENCIAS!I330</f>
        <v>0</v>
      </c>
      <c r="K331" s="8">
        <f>+MENUDENCIAS!O330</f>
        <v>0</v>
      </c>
      <c r="L331" s="8">
        <f>+MENUDENCIAS!P330</f>
        <v>0</v>
      </c>
      <c r="M331" s="7">
        <f>+RENDERING!H329</f>
        <v>0</v>
      </c>
      <c r="N331" s="7">
        <f>+RENDERING!F329</f>
        <v>0</v>
      </c>
      <c r="O331" s="7">
        <f>+RENDERING!J329</f>
        <v>0</v>
      </c>
      <c r="P331" s="7">
        <f>+CUEROS!N332</f>
        <v>0</v>
      </c>
      <c r="Q331" s="7">
        <f>+'GRASA DREASING'!G329</f>
        <v>0</v>
      </c>
    </row>
    <row r="332" spans="2:17" x14ac:dyDescent="0.2">
      <c r="B332" s="5">
        <f>+'SERVICIO FAENA'!A331</f>
        <v>0</v>
      </c>
      <c r="C332" s="5">
        <f>+'SERVICIO FAENA'!B331</f>
        <v>0</v>
      </c>
      <c r="D332" s="5">
        <f>+'SERVICIO FAENA'!C331</f>
        <v>0</v>
      </c>
      <c r="E332" s="7">
        <f>+'SERVICIO FAENA'!H331</f>
        <v>0</v>
      </c>
      <c r="F332" s="6">
        <f>+'SERVICIO FAENA'!F331</f>
        <v>0</v>
      </c>
      <c r="G332" s="7">
        <f>+'SERVICIO FAENA'!J331</f>
        <v>0</v>
      </c>
      <c r="H332" s="7">
        <f>+'SERVICIO DESPOSTE'!W331</f>
        <v>0</v>
      </c>
      <c r="I332" s="36">
        <f t="shared" si="5"/>
        <v>0</v>
      </c>
      <c r="J332" s="8">
        <f>+MENUDENCIAS!I331</f>
        <v>0</v>
      </c>
      <c r="K332" s="8">
        <f>+MENUDENCIAS!O331</f>
        <v>0</v>
      </c>
      <c r="L332" s="8">
        <f>+MENUDENCIAS!P331</f>
        <v>0</v>
      </c>
      <c r="M332" s="7">
        <f>+RENDERING!H330</f>
        <v>0</v>
      </c>
      <c r="N332" s="7">
        <f>+RENDERING!F330</f>
        <v>0</v>
      </c>
      <c r="O332" s="7">
        <f>+RENDERING!J330</f>
        <v>0</v>
      </c>
      <c r="P332" s="7">
        <f>+CUEROS!N333</f>
        <v>0</v>
      </c>
      <c r="Q332" s="7">
        <f>+'GRASA DREASING'!G330</f>
        <v>0</v>
      </c>
    </row>
    <row r="333" spans="2:17" x14ac:dyDescent="0.2">
      <c r="B333" s="5">
        <f>+'SERVICIO FAENA'!A332</f>
        <v>0</v>
      </c>
      <c r="C333" s="5">
        <f>+'SERVICIO FAENA'!B332</f>
        <v>0</v>
      </c>
      <c r="D333" s="5">
        <f>+'SERVICIO FAENA'!C332</f>
        <v>0</v>
      </c>
      <c r="E333" s="7">
        <f>+'SERVICIO FAENA'!H332</f>
        <v>0</v>
      </c>
      <c r="F333" s="6">
        <f>+'SERVICIO FAENA'!F332</f>
        <v>0</v>
      </c>
      <c r="G333" s="7">
        <f>+'SERVICIO FAENA'!J332</f>
        <v>0</v>
      </c>
      <c r="H333" s="7">
        <f>+'SERVICIO DESPOSTE'!W332</f>
        <v>0</v>
      </c>
      <c r="I333" s="36">
        <f t="shared" si="5"/>
        <v>0</v>
      </c>
      <c r="J333" s="8">
        <f>+MENUDENCIAS!I332</f>
        <v>0</v>
      </c>
      <c r="K333" s="8">
        <f>+MENUDENCIAS!O332</f>
        <v>0</v>
      </c>
      <c r="L333" s="8">
        <f>+MENUDENCIAS!P332</f>
        <v>0</v>
      </c>
      <c r="M333" s="7">
        <f>+RENDERING!H331</f>
        <v>0</v>
      </c>
      <c r="N333" s="7">
        <f>+RENDERING!F331</f>
        <v>0</v>
      </c>
      <c r="O333" s="7">
        <f>+RENDERING!J331</f>
        <v>0</v>
      </c>
      <c r="P333" s="7">
        <f>+CUEROS!N334</f>
        <v>0</v>
      </c>
      <c r="Q333" s="7">
        <f>+'GRASA DREASING'!G331</f>
        <v>0</v>
      </c>
    </row>
    <row r="334" spans="2:17" x14ac:dyDescent="0.2">
      <c r="B334" s="5">
        <f>+'SERVICIO FAENA'!A333</f>
        <v>0</v>
      </c>
      <c r="C334" s="5">
        <f>+'SERVICIO FAENA'!B333</f>
        <v>0</v>
      </c>
      <c r="D334" s="5">
        <f>+'SERVICIO FAENA'!C333</f>
        <v>0</v>
      </c>
      <c r="E334" s="7">
        <f>+'SERVICIO FAENA'!H333</f>
        <v>0</v>
      </c>
      <c r="F334" s="6">
        <f>+'SERVICIO FAENA'!F333</f>
        <v>0</v>
      </c>
      <c r="G334" s="7">
        <f>+'SERVICIO FAENA'!J333</f>
        <v>0</v>
      </c>
      <c r="H334" s="7">
        <f>+'SERVICIO DESPOSTE'!W333</f>
        <v>0</v>
      </c>
      <c r="I334" s="36">
        <f t="shared" si="5"/>
        <v>0</v>
      </c>
      <c r="J334" s="8">
        <f>+MENUDENCIAS!I333</f>
        <v>0</v>
      </c>
      <c r="K334" s="8">
        <f>+MENUDENCIAS!O333</f>
        <v>0</v>
      </c>
      <c r="L334" s="8">
        <f>+MENUDENCIAS!P333</f>
        <v>0</v>
      </c>
      <c r="M334" s="7">
        <f>+RENDERING!H332</f>
        <v>0</v>
      </c>
      <c r="N334" s="7">
        <f>+RENDERING!F332</f>
        <v>0</v>
      </c>
      <c r="O334" s="7">
        <f>+RENDERING!J332</f>
        <v>0</v>
      </c>
      <c r="P334" s="7">
        <f>+CUEROS!N335</f>
        <v>0</v>
      </c>
      <c r="Q334" s="7">
        <f>+'GRASA DREASING'!G332</f>
        <v>0</v>
      </c>
    </row>
    <row r="335" spans="2:17" x14ac:dyDescent="0.2">
      <c r="B335" s="5">
        <f>+'SERVICIO FAENA'!A334</f>
        <v>0</v>
      </c>
      <c r="C335" s="5">
        <f>+'SERVICIO FAENA'!B334</f>
        <v>0</v>
      </c>
      <c r="D335" s="5">
        <f>+'SERVICIO FAENA'!C334</f>
        <v>0</v>
      </c>
      <c r="E335" s="7">
        <f>+'SERVICIO FAENA'!H334</f>
        <v>0</v>
      </c>
      <c r="F335" s="6">
        <f>+'SERVICIO FAENA'!F334</f>
        <v>0</v>
      </c>
      <c r="G335" s="7">
        <f>+'SERVICIO FAENA'!J334</f>
        <v>0</v>
      </c>
      <c r="H335" s="7">
        <f>+'SERVICIO DESPOSTE'!W334</f>
        <v>0</v>
      </c>
      <c r="I335" s="36">
        <f t="shared" si="5"/>
        <v>0</v>
      </c>
      <c r="J335" s="8">
        <f>+MENUDENCIAS!I334</f>
        <v>0</v>
      </c>
      <c r="K335" s="8">
        <f>+MENUDENCIAS!O334</f>
        <v>0</v>
      </c>
      <c r="L335" s="8">
        <f>+MENUDENCIAS!P334</f>
        <v>0</v>
      </c>
      <c r="M335" s="7">
        <f>+RENDERING!H333</f>
        <v>0</v>
      </c>
      <c r="N335" s="7">
        <f>+RENDERING!F333</f>
        <v>0</v>
      </c>
      <c r="O335" s="7">
        <f>+RENDERING!J333</f>
        <v>0</v>
      </c>
      <c r="P335" s="7">
        <f>+CUEROS!N336</f>
        <v>0</v>
      </c>
      <c r="Q335" s="7">
        <f>+'GRASA DREASING'!G333</f>
        <v>0</v>
      </c>
    </row>
    <row r="336" spans="2:17" x14ac:dyDescent="0.2">
      <c r="B336" s="5">
        <f>+'SERVICIO FAENA'!A335</f>
        <v>0</v>
      </c>
      <c r="C336" s="5">
        <f>+'SERVICIO FAENA'!B335</f>
        <v>0</v>
      </c>
      <c r="D336" s="5">
        <f>+'SERVICIO FAENA'!C335</f>
        <v>0</v>
      </c>
      <c r="E336" s="7">
        <f>+'SERVICIO FAENA'!H335</f>
        <v>0</v>
      </c>
      <c r="F336" s="6">
        <f>+'SERVICIO FAENA'!F335</f>
        <v>0</v>
      </c>
      <c r="G336" s="7">
        <f>+'SERVICIO FAENA'!J335</f>
        <v>0</v>
      </c>
      <c r="H336" s="7">
        <f>+'SERVICIO DESPOSTE'!W335</f>
        <v>0</v>
      </c>
      <c r="I336" s="36">
        <f t="shared" si="5"/>
        <v>0</v>
      </c>
      <c r="J336" s="8">
        <f>+MENUDENCIAS!I335</f>
        <v>0</v>
      </c>
      <c r="K336" s="8">
        <f>+MENUDENCIAS!O335</f>
        <v>0</v>
      </c>
      <c r="L336" s="8">
        <f>+MENUDENCIAS!P335</f>
        <v>0</v>
      </c>
      <c r="M336" s="7">
        <f>+RENDERING!H334</f>
        <v>0</v>
      </c>
      <c r="N336" s="7">
        <f>+RENDERING!F334</f>
        <v>0</v>
      </c>
      <c r="O336" s="7">
        <f>+RENDERING!J334</f>
        <v>0</v>
      </c>
      <c r="P336" s="7">
        <f>+CUEROS!N337</f>
        <v>0</v>
      </c>
      <c r="Q336" s="7">
        <f>+'GRASA DREASING'!G334</f>
        <v>0</v>
      </c>
    </row>
    <row r="337" spans="2:17" x14ac:dyDescent="0.2">
      <c r="B337" s="5">
        <f>+'SERVICIO FAENA'!A336</f>
        <v>0</v>
      </c>
      <c r="C337" s="5">
        <f>+'SERVICIO FAENA'!B336</f>
        <v>0</v>
      </c>
      <c r="D337" s="5">
        <f>+'SERVICIO FAENA'!C336</f>
        <v>0</v>
      </c>
      <c r="E337" s="7">
        <f>+'SERVICIO FAENA'!H336</f>
        <v>0</v>
      </c>
      <c r="F337" s="6">
        <f>+'SERVICIO FAENA'!F336</f>
        <v>0</v>
      </c>
      <c r="G337" s="7">
        <f>+'SERVICIO FAENA'!J336</f>
        <v>0</v>
      </c>
      <c r="H337" s="7">
        <f>+'SERVICIO DESPOSTE'!W336</f>
        <v>0</v>
      </c>
      <c r="I337" s="36">
        <f t="shared" si="5"/>
        <v>0</v>
      </c>
      <c r="J337" s="8">
        <f>+MENUDENCIAS!I336</f>
        <v>0</v>
      </c>
      <c r="K337" s="8">
        <f>+MENUDENCIAS!O336</f>
        <v>0</v>
      </c>
      <c r="L337" s="8">
        <f>+MENUDENCIAS!P336</f>
        <v>0</v>
      </c>
      <c r="M337" s="7">
        <f>+RENDERING!H335</f>
        <v>0</v>
      </c>
      <c r="N337" s="7">
        <f>+RENDERING!F335</f>
        <v>0</v>
      </c>
      <c r="O337" s="7">
        <f>+RENDERING!J335</f>
        <v>0</v>
      </c>
      <c r="P337" s="7">
        <f>+CUEROS!N338</f>
        <v>0</v>
      </c>
      <c r="Q337" s="7">
        <f>+'GRASA DREASING'!G335</f>
        <v>0</v>
      </c>
    </row>
    <row r="338" spans="2:17" x14ac:dyDescent="0.2">
      <c r="B338" s="5">
        <f>+'SERVICIO FAENA'!A337</f>
        <v>0</v>
      </c>
      <c r="C338" s="5">
        <f>+'SERVICIO FAENA'!B337</f>
        <v>0</v>
      </c>
      <c r="D338" s="5">
        <f>+'SERVICIO FAENA'!C337</f>
        <v>0</v>
      </c>
      <c r="E338" s="7">
        <f>+'SERVICIO FAENA'!H337</f>
        <v>0</v>
      </c>
      <c r="F338" s="6">
        <f>+'SERVICIO FAENA'!F337</f>
        <v>0</v>
      </c>
      <c r="G338" s="7">
        <f>+'SERVICIO FAENA'!J337</f>
        <v>0</v>
      </c>
      <c r="H338" s="7">
        <f>+'SERVICIO DESPOSTE'!W337</f>
        <v>0</v>
      </c>
      <c r="I338" s="36">
        <f t="shared" si="5"/>
        <v>0</v>
      </c>
      <c r="J338" s="8">
        <f>+MENUDENCIAS!I337</f>
        <v>0</v>
      </c>
      <c r="K338" s="8">
        <f>+MENUDENCIAS!O337</f>
        <v>0</v>
      </c>
      <c r="L338" s="8">
        <f>+MENUDENCIAS!P337</f>
        <v>0</v>
      </c>
      <c r="M338" s="7">
        <f>+RENDERING!H336</f>
        <v>0</v>
      </c>
      <c r="N338" s="7">
        <f>+RENDERING!F336</f>
        <v>0</v>
      </c>
      <c r="O338" s="7">
        <f>+RENDERING!J336</f>
        <v>0</v>
      </c>
      <c r="P338" s="7">
        <f>+CUEROS!N339</f>
        <v>0</v>
      </c>
      <c r="Q338" s="7">
        <f>+'GRASA DREASING'!G336</f>
        <v>0</v>
      </c>
    </row>
    <row r="339" spans="2:17" x14ac:dyDescent="0.2">
      <c r="B339" s="5">
        <f>+'SERVICIO FAENA'!A338</f>
        <v>0</v>
      </c>
      <c r="C339" s="5">
        <f>+'SERVICIO FAENA'!B338</f>
        <v>0</v>
      </c>
      <c r="D339" s="5">
        <f>+'SERVICIO FAENA'!C338</f>
        <v>0</v>
      </c>
      <c r="E339" s="7">
        <f>+'SERVICIO FAENA'!H338</f>
        <v>0</v>
      </c>
      <c r="F339" s="6">
        <f>+'SERVICIO FAENA'!F338</f>
        <v>0</v>
      </c>
      <c r="G339" s="7">
        <f>+'SERVICIO FAENA'!J338</f>
        <v>0</v>
      </c>
      <c r="H339" s="7">
        <f>+'SERVICIO DESPOSTE'!W338</f>
        <v>0</v>
      </c>
      <c r="I339" s="36">
        <f t="shared" si="5"/>
        <v>0</v>
      </c>
      <c r="J339" s="8">
        <f>+MENUDENCIAS!I338</f>
        <v>0</v>
      </c>
      <c r="K339" s="8">
        <f>+MENUDENCIAS!O338</f>
        <v>0</v>
      </c>
      <c r="L339" s="8">
        <f>+MENUDENCIAS!P338</f>
        <v>0</v>
      </c>
      <c r="M339" s="7">
        <f>+RENDERING!H337</f>
        <v>0</v>
      </c>
      <c r="N339" s="7">
        <f>+RENDERING!F337</f>
        <v>0</v>
      </c>
      <c r="O339" s="7">
        <f>+RENDERING!J337</f>
        <v>0</v>
      </c>
      <c r="P339" s="7">
        <f>+CUEROS!N340</f>
        <v>0</v>
      </c>
      <c r="Q339" s="7">
        <f>+'GRASA DREASING'!G337</f>
        <v>0</v>
      </c>
    </row>
    <row r="340" spans="2:17" x14ac:dyDescent="0.2">
      <c r="B340" s="5">
        <f>+'SERVICIO FAENA'!A339</f>
        <v>0</v>
      </c>
      <c r="C340" s="5">
        <f>+'SERVICIO FAENA'!B339</f>
        <v>0</v>
      </c>
      <c r="D340" s="5">
        <f>+'SERVICIO FAENA'!C339</f>
        <v>0</v>
      </c>
      <c r="E340" s="7">
        <f>+'SERVICIO FAENA'!H339</f>
        <v>0</v>
      </c>
      <c r="F340" s="6">
        <f>+'SERVICIO FAENA'!F339</f>
        <v>0</v>
      </c>
      <c r="G340" s="7">
        <f>+'SERVICIO FAENA'!J339</f>
        <v>0</v>
      </c>
      <c r="H340" s="7">
        <f>+'SERVICIO DESPOSTE'!W339</f>
        <v>0</v>
      </c>
      <c r="I340" s="36">
        <f t="shared" si="5"/>
        <v>0</v>
      </c>
      <c r="J340" s="8">
        <f>+MENUDENCIAS!I339</f>
        <v>0</v>
      </c>
      <c r="K340" s="8">
        <f>+MENUDENCIAS!O339</f>
        <v>0</v>
      </c>
      <c r="L340" s="8">
        <f>+MENUDENCIAS!P339</f>
        <v>0</v>
      </c>
      <c r="M340" s="7">
        <f>+RENDERING!H338</f>
        <v>0</v>
      </c>
      <c r="N340" s="7">
        <f>+RENDERING!F338</f>
        <v>0</v>
      </c>
      <c r="O340" s="7">
        <f>+RENDERING!J338</f>
        <v>0</v>
      </c>
      <c r="P340" s="7">
        <f>+CUEROS!N341</f>
        <v>0</v>
      </c>
      <c r="Q340" s="7">
        <f>+'GRASA DREASING'!G338</f>
        <v>0</v>
      </c>
    </row>
    <row r="341" spans="2:17" x14ac:dyDescent="0.2">
      <c r="B341" s="5">
        <f>+'SERVICIO FAENA'!A340</f>
        <v>0</v>
      </c>
      <c r="C341" s="5">
        <f>+'SERVICIO FAENA'!B340</f>
        <v>0</v>
      </c>
      <c r="D341" s="5">
        <f>+'SERVICIO FAENA'!C340</f>
        <v>0</v>
      </c>
      <c r="E341" s="7">
        <f>+'SERVICIO FAENA'!H340</f>
        <v>0</v>
      </c>
      <c r="F341" s="6">
        <f>+'SERVICIO FAENA'!F340</f>
        <v>0</v>
      </c>
      <c r="G341" s="7">
        <f>+'SERVICIO FAENA'!J340</f>
        <v>0</v>
      </c>
      <c r="H341" s="7">
        <f>+'SERVICIO DESPOSTE'!W340</f>
        <v>0</v>
      </c>
      <c r="I341" s="36">
        <f t="shared" si="5"/>
        <v>0</v>
      </c>
      <c r="J341" s="8">
        <f>+MENUDENCIAS!I340</f>
        <v>0</v>
      </c>
      <c r="K341" s="8">
        <f>+MENUDENCIAS!O340</f>
        <v>0</v>
      </c>
      <c r="L341" s="8">
        <f>+MENUDENCIAS!P340</f>
        <v>0</v>
      </c>
      <c r="M341" s="7">
        <f>+RENDERING!H339</f>
        <v>0</v>
      </c>
      <c r="N341" s="7">
        <f>+RENDERING!F339</f>
        <v>0</v>
      </c>
      <c r="O341" s="7">
        <f>+RENDERING!J339</f>
        <v>0</v>
      </c>
      <c r="P341" s="7">
        <f>+CUEROS!N342</f>
        <v>0</v>
      </c>
      <c r="Q341" s="7">
        <f>+'GRASA DREASING'!G339</f>
        <v>0</v>
      </c>
    </row>
    <row r="342" spans="2:17" x14ac:dyDescent="0.2">
      <c r="B342" s="5">
        <f>+'SERVICIO FAENA'!A341</f>
        <v>0</v>
      </c>
      <c r="C342" s="5">
        <f>+'SERVICIO FAENA'!B341</f>
        <v>0</v>
      </c>
      <c r="D342" s="5">
        <f>+'SERVICIO FAENA'!C341</f>
        <v>0</v>
      </c>
      <c r="E342" s="7">
        <f>+'SERVICIO FAENA'!H341</f>
        <v>0</v>
      </c>
      <c r="F342" s="6">
        <f>+'SERVICIO FAENA'!F341</f>
        <v>0</v>
      </c>
      <c r="G342" s="7">
        <f>+'SERVICIO FAENA'!J341</f>
        <v>0</v>
      </c>
      <c r="H342" s="7">
        <f>+'SERVICIO DESPOSTE'!W341</f>
        <v>0</v>
      </c>
      <c r="I342" s="36">
        <f t="shared" si="5"/>
        <v>0</v>
      </c>
      <c r="J342" s="8">
        <f>+MENUDENCIAS!I341</f>
        <v>0</v>
      </c>
      <c r="K342" s="8">
        <f>+MENUDENCIAS!O341</f>
        <v>0</v>
      </c>
      <c r="L342" s="8">
        <f>+MENUDENCIAS!P341</f>
        <v>0</v>
      </c>
      <c r="M342" s="7">
        <f>+RENDERING!H340</f>
        <v>0</v>
      </c>
      <c r="N342" s="7">
        <f>+RENDERING!F340</f>
        <v>0</v>
      </c>
      <c r="O342" s="7">
        <f>+RENDERING!J340</f>
        <v>0</v>
      </c>
      <c r="P342" s="7">
        <f>+CUEROS!N343</f>
        <v>0</v>
      </c>
      <c r="Q342" s="7">
        <f>+'GRASA DREASING'!G340</f>
        <v>0</v>
      </c>
    </row>
    <row r="343" spans="2:17" x14ac:dyDescent="0.2">
      <c r="B343" s="5">
        <f>+'SERVICIO FAENA'!A342</f>
        <v>0</v>
      </c>
      <c r="C343" s="5">
        <f>+'SERVICIO FAENA'!B342</f>
        <v>0</v>
      </c>
      <c r="D343" s="5">
        <f>+'SERVICIO FAENA'!C342</f>
        <v>0</v>
      </c>
      <c r="E343" s="7">
        <f>+'SERVICIO FAENA'!H342</f>
        <v>0</v>
      </c>
      <c r="F343" s="6">
        <f>+'SERVICIO FAENA'!F342</f>
        <v>0</v>
      </c>
      <c r="G343" s="7">
        <f>+'SERVICIO FAENA'!J342</f>
        <v>0</v>
      </c>
      <c r="H343" s="7">
        <f>+'SERVICIO DESPOSTE'!W342</f>
        <v>0</v>
      </c>
      <c r="I343" s="36">
        <f t="shared" si="5"/>
        <v>0</v>
      </c>
      <c r="J343" s="8">
        <f>+MENUDENCIAS!I342</f>
        <v>0</v>
      </c>
      <c r="K343" s="8">
        <f>+MENUDENCIAS!O342</f>
        <v>0</v>
      </c>
      <c r="L343" s="8">
        <f>+MENUDENCIAS!P342</f>
        <v>0</v>
      </c>
      <c r="M343" s="7">
        <f>+RENDERING!H341</f>
        <v>0</v>
      </c>
      <c r="N343" s="7">
        <f>+RENDERING!F341</f>
        <v>0</v>
      </c>
      <c r="O343" s="7">
        <f>+RENDERING!J341</f>
        <v>0</v>
      </c>
      <c r="P343" s="7">
        <f>+CUEROS!N344</f>
        <v>0</v>
      </c>
      <c r="Q343" s="7">
        <f>+'GRASA DREASING'!G341</f>
        <v>0</v>
      </c>
    </row>
    <row r="344" spans="2:17" x14ac:dyDescent="0.2">
      <c r="B344" s="5">
        <f>+'SERVICIO FAENA'!A343</f>
        <v>0</v>
      </c>
      <c r="C344" s="5">
        <f>+'SERVICIO FAENA'!B343</f>
        <v>0</v>
      </c>
      <c r="D344" s="5">
        <f>+'SERVICIO FAENA'!C343</f>
        <v>0</v>
      </c>
      <c r="E344" s="7">
        <f>+'SERVICIO FAENA'!H343</f>
        <v>0</v>
      </c>
      <c r="F344" s="6">
        <f>+'SERVICIO FAENA'!F343</f>
        <v>0</v>
      </c>
      <c r="G344" s="7">
        <f>+'SERVICIO FAENA'!J343</f>
        <v>0</v>
      </c>
      <c r="H344" s="7">
        <f>+'SERVICIO DESPOSTE'!W343</f>
        <v>0</v>
      </c>
      <c r="I344" s="36">
        <f t="shared" si="5"/>
        <v>0</v>
      </c>
      <c r="J344" s="8">
        <f>+MENUDENCIAS!I343</f>
        <v>0</v>
      </c>
      <c r="K344" s="8">
        <f>+MENUDENCIAS!O343</f>
        <v>0</v>
      </c>
      <c r="L344" s="8">
        <f>+MENUDENCIAS!P343</f>
        <v>0</v>
      </c>
      <c r="M344" s="7">
        <f>+RENDERING!H342</f>
        <v>0</v>
      </c>
      <c r="N344" s="7">
        <f>+RENDERING!F342</f>
        <v>0</v>
      </c>
      <c r="O344" s="7">
        <f>+RENDERING!J342</f>
        <v>0</v>
      </c>
      <c r="P344" s="7">
        <f>+CUEROS!N345</f>
        <v>0</v>
      </c>
      <c r="Q344" s="7">
        <f>+'GRASA DREASING'!G342</f>
        <v>0</v>
      </c>
    </row>
    <row r="345" spans="2:17" x14ac:dyDescent="0.2">
      <c r="B345" s="5">
        <f>+'SERVICIO FAENA'!A344</f>
        <v>0</v>
      </c>
      <c r="C345" s="5">
        <f>+'SERVICIO FAENA'!B344</f>
        <v>0</v>
      </c>
      <c r="D345" s="5">
        <f>+'SERVICIO FAENA'!C344</f>
        <v>0</v>
      </c>
      <c r="E345" s="7">
        <f>+'SERVICIO FAENA'!H344</f>
        <v>0</v>
      </c>
      <c r="F345" s="6">
        <f>+'SERVICIO FAENA'!F344</f>
        <v>0</v>
      </c>
      <c r="G345" s="7">
        <f>+'SERVICIO FAENA'!J344</f>
        <v>0</v>
      </c>
      <c r="H345" s="7">
        <f>+'SERVICIO DESPOSTE'!W344</f>
        <v>0</v>
      </c>
      <c r="I345" s="36">
        <f t="shared" si="5"/>
        <v>0</v>
      </c>
      <c r="J345" s="8">
        <f>+MENUDENCIAS!I344</f>
        <v>0</v>
      </c>
      <c r="K345" s="8">
        <f>+MENUDENCIAS!O344</f>
        <v>0</v>
      </c>
      <c r="L345" s="8">
        <f>+MENUDENCIAS!P344</f>
        <v>0</v>
      </c>
      <c r="M345" s="7">
        <f>+RENDERING!H343</f>
        <v>0</v>
      </c>
      <c r="N345" s="7">
        <f>+RENDERING!F343</f>
        <v>0</v>
      </c>
      <c r="O345" s="7">
        <f>+RENDERING!J343</f>
        <v>0</v>
      </c>
      <c r="P345" s="7">
        <f>+CUEROS!N346</f>
        <v>0</v>
      </c>
      <c r="Q345" s="7">
        <f>+'GRASA DREASING'!G343</f>
        <v>0</v>
      </c>
    </row>
    <row r="346" spans="2:17" x14ac:dyDescent="0.2">
      <c r="B346" s="5">
        <f>+'SERVICIO FAENA'!A345</f>
        <v>0</v>
      </c>
      <c r="C346" s="5">
        <f>+'SERVICIO FAENA'!B345</f>
        <v>0</v>
      </c>
      <c r="D346" s="5">
        <f>+'SERVICIO FAENA'!C345</f>
        <v>0</v>
      </c>
      <c r="E346" s="7">
        <f>+'SERVICIO FAENA'!H345</f>
        <v>0</v>
      </c>
      <c r="F346" s="6">
        <f>+'SERVICIO FAENA'!F345</f>
        <v>0</v>
      </c>
      <c r="G346" s="7">
        <f>+'SERVICIO FAENA'!J345</f>
        <v>0</v>
      </c>
      <c r="H346" s="7">
        <f>+'SERVICIO DESPOSTE'!W345</f>
        <v>0</v>
      </c>
      <c r="I346" s="36">
        <f t="shared" si="5"/>
        <v>0</v>
      </c>
      <c r="J346" s="8">
        <f>+MENUDENCIAS!I345</f>
        <v>0</v>
      </c>
      <c r="K346" s="8">
        <f>+MENUDENCIAS!O345</f>
        <v>0</v>
      </c>
      <c r="L346" s="8">
        <f>+MENUDENCIAS!P345</f>
        <v>0</v>
      </c>
      <c r="M346" s="7">
        <f>+RENDERING!H344</f>
        <v>0</v>
      </c>
      <c r="N346" s="7">
        <f>+RENDERING!F344</f>
        <v>0</v>
      </c>
      <c r="O346" s="7">
        <f>+RENDERING!J344</f>
        <v>0</v>
      </c>
      <c r="P346" s="7">
        <f>+CUEROS!N347</f>
        <v>0</v>
      </c>
      <c r="Q346" s="7">
        <f>+'GRASA DREASING'!G344</f>
        <v>0</v>
      </c>
    </row>
    <row r="347" spans="2:17" x14ac:dyDescent="0.2">
      <c r="B347" s="5">
        <f>+'SERVICIO FAENA'!A346</f>
        <v>0</v>
      </c>
      <c r="C347" s="5">
        <f>+'SERVICIO FAENA'!B346</f>
        <v>0</v>
      </c>
      <c r="D347" s="5">
        <f>+'SERVICIO FAENA'!C346</f>
        <v>0</v>
      </c>
      <c r="E347" s="7">
        <f>+'SERVICIO FAENA'!H346</f>
        <v>0</v>
      </c>
      <c r="F347" s="6">
        <f>+'SERVICIO FAENA'!F346</f>
        <v>0</v>
      </c>
      <c r="G347" s="7">
        <f>+'SERVICIO FAENA'!J346</f>
        <v>0</v>
      </c>
      <c r="H347" s="7">
        <f>+'SERVICIO DESPOSTE'!W346</f>
        <v>0</v>
      </c>
      <c r="I347" s="36">
        <f t="shared" si="5"/>
        <v>0</v>
      </c>
      <c r="J347" s="8">
        <f>+MENUDENCIAS!I346</f>
        <v>0</v>
      </c>
      <c r="K347" s="8">
        <f>+MENUDENCIAS!O346</f>
        <v>0</v>
      </c>
      <c r="L347" s="8">
        <f>+MENUDENCIAS!P346</f>
        <v>0</v>
      </c>
      <c r="M347" s="7">
        <f>+RENDERING!H345</f>
        <v>0</v>
      </c>
      <c r="N347" s="7">
        <f>+RENDERING!F345</f>
        <v>0</v>
      </c>
      <c r="O347" s="7">
        <f>+RENDERING!J345</f>
        <v>0</v>
      </c>
      <c r="P347" s="7">
        <f>+CUEROS!N348</f>
        <v>0</v>
      </c>
      <c r="Q347" s="7">
        <f>+'GRASA DREASING'!G345</f>
        <v>0</v>
      </c>
    </row>
    <row r="348" spans="2:17" x14ac:dyDescent="0.2">
      <c r="B348" s="5">
        <f>+'SERVICIO FAENA'!A347</f>
        <v>0</v>
      </c>
      <c r="C348" s="5">
        <f>+'SERVICIO FAENA'!B347</f>
        <v>0</v>
      </c>
      <c r="D348" s="5">
        <f>+'SERVICIO FAENA'!C347</f>
        <v>0</v>
      </c>
      <c r="E348" s="7">
        <f>+'SERVICIO FAENA'!H347</f>
        <v>0</v>
      </c>
      <c r="F348" s="6">
        <f>+'SERVICIO FAENA'!F347</f>
        <v>0</v>
      </c>
      <c r="G348" s="7">
        <f>+'SERVICIO FAENA'!J347</f>
        <v>0</v>
      </c>
      <c r="H348" s="7">
        <f>+'SERVICIO DESPOSTE'!W347</f>
        <v>0</v>
      </c>
      <c r="I348" s="36">
        <f t="shared" si="5"/>
        <v>0</v>
      </c>
      <c r="J348" s="8">
        <f>+MENUDENCIAS!I347</f>
        <v>0</v>
      </c>
      <c r="K348" s="8">
        <f>+MENUDENCIAS!O347</f>
        <v>0</v>
      </c>
      <c r="L348" s="8">
        <f>+MENUDENCIAS!P347</f>
        <v>0</v>
      </c>
      <c r="M348" s="7">
        <f>+RENDERING!H346</f>
        <v>0</v>
      </c>
      <c r="N348" s="7">
        <f>+RENDERING!F346</f>
        <v>0</v>
      </c>
      <c r="O348" s="7">
        <f>+RENDERING!J346</f>
        <v>0</v>
      </c>
      <c r="P348" s="7">
        <f>+CUEROS!N349</f>
        <v>0</v>
      </c>
      <c r="Q348" s="7">
        <f>+'GRASA DREASING'!G346</f>
        <v>0</v>
      </c>
    </row>
    <row r="349" spans="2:17" x14ac:dyDescent="0.2">
      <c r="B349" s="5">
        <f>+'SERVICIO FAENA'!A348</f>
        <v>0</v>
      </c>
      <c r="C349" s="5">
        <f>+'SERVICIO FAENA'!B348</f>
        <v>0</v>
      </c>
      <c r="D349" s="5">
        <f>+'SERVICIO FAENA'!C348</f>
        <v>0</v>
      </c>
      <c r="E349" s="7">
        <f>+'SERVICIO FAENA'!H348</f>
        <v>0</v>
      </c>
      <c r="F349" s="6">
        <f>+'SERVICIO FAENA'!F348</f>
        <v>0</v>
      </c>
      <c r="G349" s="7">
        <f>+'SERVICIO FAENA'!J348</f>
        <v>0</v>
      </c>
      <c r="H349" s="7">
        <f>+'SERVICIO DESPOSTE'!W348</f>
        <v>0</v>
      </c>
      <c r="I349" s="36">
        <f t="shared" si="5"/>
        <v>0</v>
      </c>
      <c r="J349" s="8">
        <f>+MENUDENCIAS!I348</f>
        <v>0</v>
      </c>
      <c r="K349" s="8">
        <f>+MENUDENCIAS!O348</f>
        <v>0</v>
      </c>
      <c r="L349" s="8">
        <f>+MENUDENCIAS!P348</f>
        <v>0</v>
      </c>
      <c r="M349" s="7">
        <f>+RENDERING!H347</f>
        <v>0</v>
      </c>
      <c r="N349" s="7">
        <f>+RENDERING!F347</f>
        <v>0</v>
      </c>
      <c r="O349" s="7">
        <f>+RENDERING!J347</f>
        <v>0</v>
      </c>
      <c r="P349" s="7">
        <f>+CUEROS!N350</f>
        <v>0</v>
      </c>
      <c r="Q349" s="7">
        <f>+'GRASA DREASING'!G347</f>
        <v>0</v>
      </c>
    </row>
    <row r="350" spans="2:17" x14ac:dyDescent="0.2">
      <c r="B350" s="5">
        <f>+'SERVICIO FAENA'!A349</f>
        <v>0</v>
      </c>
      <c r="C350" s="5">
        <f>+'SERVICIO FAENA'!B349</f>
        <v>0</v>
      </c>
      <c r="D350" s="5">
        <f>+'SERVICIO FAENA'!C349</f>
        <v>0</v>
      </c>
      <c r="E350" s="7">
        <f>+'SERVICIO FAENA'!H349</f>
        <v>0</v>
      </c>
      <c r="F350" s="6">
        <f>+'SERVICIO FAENA'!F349</f>
        <v>0</v>
      </c>
      <c r="G350" s="7">
        <f>+'SERVICIO FAENA'!J349</f>
        <v>0</v>
      </c>
      <c r="H350" s="7">
        <f>+'SERVICIO DESPOSTE'!W349</f>
        <v>0</v>
      </c>
      <c r="I350" s="36">
        <f t="shared" si="5"/>
        <v>0</v>
      </c>
      <c r="J350" s="8">
        <f>+MENUDENCIAS!I349</f>
        <v>0</v>
      </c>
      <c r="K350" s="8">
        <f>+MENUDENCIAS!O349</f>
        <v>0</v>
      </c>
      <c r="L350" s="8">
        <f>+MENUDENCIAS!P349</f>
        <v>0</v>
      </c>
      <c r="M350" s="7">
        <f>+RENDERING!H348</f>
        <v>0</v>
      </c>
      <c r="N350" s="7">
        <f>+RENDERING!F348</f>
        <v>0</v>
      </c>
      <c r="O350" s="7">
        <f>+RENDERING!J348</f>
        <v>0</v>
      </c>
      <c r="P350" s="7">
        <f>+CUEROS!N351</f>
        <v>0</v>
      </c>
      <c r="Q350" s="7">
        <f>+'GRASA DREASING'!G348</f>
        <v>0</v>
      </c>
    </row>
    <row r="351" spans="2:17" x14ac:dyDescent="0.2">
      <c r="B351" s="5">
        <f>+'SERVICIO FAENA'!A350</f>
        <v>0</v>
      </c>
      <c r="C351" s="5">
        <f>+'SERVICIO FAENA'!B350</f>
        <v>0</v>
      </c>
      <c r="D351" s="5">
        <f>+'SERVICIO FAENA'!C350</f>
        <v>0</v>
      </c>
      <c r="E351" s="7">
        <f>+'SERVICIO FAENA'!H350</f>
        <v>0</v>
      </c>
      <c r="F351" s="6">
        <f>+'SERVICIO FAENA'!F350</f>
        <v>0</v>
      </c>
      <c r="G351" s="7">
        <f>+'SERVICIO FAENA'!J350</f>
        <v>0</v>
      </c>
      <c r="H351" s="7">
        <f>+'SERVICIO DESPOSTE'!W350</f>
        <v>0</v>
      </c>
      <c r="I351" s="36">
        <f t="shared" si="5"/>
        <v>0</v>
      </c>
      <c r="J351" s="8">
        <f>+MENUDENCIAS!I350</f>
        <v>0</v>
      </c>
      <c r="K351" s="8">
        <f>+MENUDENCIAS!O350</f>
        <v>0</v>
      </c>
      <c r="L351" s="8">
        <f>+MENUDENCIAS!P350</f>
        <v>0</v>
      </c>
      <c r="M351" s="7">
        <f>+RENDERING!H349</f>
        <v>0</v>
      </c>
      <c r="N351" s="7">
        <f>+RENDERING!F349</f>
        <v>0</v>
      </c>
      <c r="O351" s="7">
        <f>+RENDERING!J349</f>
        <v>0</v>
      </c>
      <c r="P351" s="7">
        <f>+CUEROS!N352</f>
        <v>0</v>
      </c>
      <c r="Q351" s="7">
        <f>+'GRASA DREASING'!G349</f>
        <v>0</v>
      </c>
    </row>
    <row r="352" spans="2:17" x14ac:dyDescent="0.2">
      <c r="B352" s="5">
        <f>+'SERVICIO FAENA'!A351</f>
        <v>0</v>
      </c>
      <c r="C352" s="5">
        <f>+'SERVICIO FAENA'!B351</f>
        <v>0</v>
      </c>
      <c r="D352" s="5">
        <f>+'SERVICIO FAENA'!C351</f>
        <v>0</v>
      </c>
      <c r="E352" s="7">
        <f>+'SERVICIO FAENA'!H351</f>
        <v>0</v>
      </c>
      <c r="F352" s="6">
        <f>+'SERVICIO FAENA'!F351</f>
        <v>0</v>
      </c>
      <c r="G352" s="7">
        <f>+'SERVICIO FAENA'!J351</f>
        <v>0</v>
      </c>
      <c r="H352" s="7">
        <f>+'SERVICIO DESPOSTE'!W351</f>
        <v>0</v>
      </c>
      <c r="I352" s="36">
        <f t="shared" si="5"/>
        <v>0</v>
      </c>
      <c r="J352" s="8">
        <f>+MENUDENCIAS!I351</f>
        <v>0</v>
      </c>
      <c r="K352" s="8">
        <f>+MENUDENCIAS!O351</f>
        <v>0</v>
      </c>
      <c r="L352" s="8">
        <f>+MENUDENCIAS!P351</f>
        <v>0</v>
      </c>
      <c r="M352" s="7">
        <f>+RENDERING!H350</f>
        <v>0</v>
      </c>
      <c r="N352" s="7">
        <f>+RENDERING!F350</f>
        <v>0</v>
      </c>
      <c r="O352" s="7">
        <f>+RENDERING!J350</f>
        <v>0</v>
      </c>
      <c r="P352" s="7">
        <f>+CUEROS!N353</f>
        <v>0</v>
      </c>
      <c r="Q352" s="7">
        <f>+'GRASA DREASING'!G350</f>
        <v>0</v>
      </c>
    </row>
    <row r="353" spans="2:17" x14ac:dyDescent="0.2">
      <c r="B353" s="5">
        <f>+'SERVICIO FAENA'!A352</f>
        <v>0</v>
      </c>
      <c r="C353" s="5">
        <f>+'SERVICIO FAENA'!B352</f>
        <v>0</v>
      </c>
      <c r="D353" s="5">
        <f>+'SERVICIO FAENA'!C352</f>
        <v>0</v>
      </c>
      <c r="E353" s="7">
        <f>+'SERVICIO FAENA'!H352</f>
        <v>0</v>
      </c>
      <c r="F353" s="6">
        <f>+'SERVICIO FAENA'!F352</f>
        <v>0</v>
      </c>
      <c r="G353" s="7">
        <f>+'SERVICIO FAENA'!J352</f>
        <v>0</v>
      </c>
      <c r="H353" s="7">
        <f>+'SERVICIO DESPOSTE'!W352</f>
        <v>0</v>
      </c>
      <c r="I353" s="36">
        <f t="shared" si="5"/>
        <v>0</v>
      </c>
      <c r="J353" s="8">
        <f>+MENUDENCIAS!I352</f>
        <v>0</v>
      </c>
      <c r="K353" s="8">
        <f>+MENUDENCIAS!O352</f>
        <v>0</v>
      </c>
      <c r="L353" s="8">
        <f>+MENUDENCIAS!P352</f>
        <v>0</v>
      </c>
      <c r="M353" s="7">
        <f>+RENDERING!H351</f>
        <v>0</v>
      </c>
      <c r="N353" s="7">
        <f>+RENDERING!F351</f>
        <v>0</v>
      </c>
      <c r="O353" s="7">
        <f>+RENDERING!J351</f>
        <v>0</v>
      </c>
      <c r="P353" s="7">
        <f>+CUEROS!N354</f>
        <v>0</v>
      </c>
      <c r="Q353" s="7">
        <f>+'GRASA DREASING'!G351</f>
        <v>0</v>
      </c>
    </row>
    <row r="354" spans="2:17" x14ac:dyDescent="0.2">
      <c r="B354" s="5">
        <f>+'SERVICIO FAENA'!A353</f>
        <v>0</v>
      </c>
      <c r="C354" s="5">
        <f>+'SERVICIO FAENA'!B353</f>
        <v>0</v>
      </c>
      <c r="D354" s="5">
        <f>+'SERVICIO FAENA'!C353</f>
        <v>0</v>
      </c>
      <c r="E354" s="7">
        <f>+'SERVICIO FAENA'!H353</f>
        <v>0</v>
      </c>
      <c r="F354" s="6">
        <f>+'SERVICIO FAENA'!F353</f>
        <v>0</v>
      </c>
      <c r="G354" s="7">
        <f>+'SERVICIO FAENA'!J353</f>
        <v>0</v>
      </c>
      <c r="H354" s="7">
        <f>+'SERVICIO DESPOSTE'!W353</f>
        <v>0</v>
      </c>
      <c r="I354" s="36">
        <f t="shared" si="5"/>
        <v>0</v>
      </c>
      <c r="J354" s="8">
        <f>+MENUDENCIAS!I353</f>
        <v>0</v>
      </c>
      <c r="K354" s="8">
        <f>+MENUDENCIAS!O353</f>
        <v>0</v>
      </c>
      <c r="L354" s="8">
        <f>+MENUDENCIAS!P353</f>
        <v>0</v>
      </c>
      <c r="M354" s="7">
        <f>+RENDERING!H352</f>
        <v>0</v>
      </c>
      <c r="N354" s="7">
        <f>+RENDERING!F352</f>
        <v>0</v>
      </c>
      <c r="O354" s="7">
        <f>+RENDERING!J352</f>
        <v>0</v>
      </c>
      <c r="P354" s="7">
        <f>+CUEROS!N355</f>
        <v>0</v>
      </c>
      <c r="Q354" s="7">
        <f>+'GRASA DREASING'!G352</f>
        <v>0</v>
      </c>
    </row>
    <row r="355" spans="2:17" x14ac:dyDescent="0.2">
      <c r="B355" s="5">
        <f>+'SERVICIO FAENA'!A354</f>
        <v>0</v>
      </c>
      <c r="C355" s="5">
        <f>+'SERVICIO FAENA'!B354</f>
        <v>0</v>
      </c>
      <c r="D355" s="5">
        <f>+'SERVICIO FAENA'!C354</f>
        <v>0</v>
      </c>
      <c r="E355" s="7">
        <f>+'SERVICIO FAENA'!H354</f>
        <v>0</v>
      </c>
      <c r="F355" s="6">
        <f>+'SERVICIO FAENA'!F354</f>
        <v>0</v>
      </c>
      <c r="G355" s="7">
        <f>+'SERVICIO FAENA'!J354</f>
        <v>0</v>
      </c>
      <c r="H355" s="7">
        <f>+'SERVICIO DESPOSTE'!W354</f>
        <v>0</v>
      </c>
      <c r="I355" s="36">
        <f t="shared" si="5"/>
        <v>0</v>
      </c>
      <c r="J355" s="8">
        <f>+MENUDENCIAS!I354</f>
        <v>0</v>
      </c>
      <c r="K355" s="8">
        <f>+MENUDENCIAS!O354</f>
        <v>0</v>
      </c>
      <c r="L355" s="8">
        <f>+MENUDENCIAS!P354</f>
        <v>0</v>
      </c>
      <c r="M355" s="7">
        <f>+RENDERING!H353</f>
        <v>0</v>
      </c>
      <c r="N355" s="7">
        <f>+RENDERING!F353</f>
        <v>0</v>
      </c>
      <c r="O355" s="7">
        <f>+RENDERING!J353</f>
        <v>0</v>
      </c>
      <c r="P355" s="7">
        <f>+CUEROS!N356</f>
        <v>0</v>
      </c>
      <c r="Q355" s="7">
        <f>+'GRASA DREASING'!G353</f>
        <v>0</v>
      </c>
    </row>
    <row r="356" spans="2:17" x14ac:dyDescent="0.2">
      <c r="B356" s="5">
        <f>+'SERVICIO FAENA'!A355</f>
        <v>0</v>
      </c>
      <c r="C356" s="5">
        <f>+'SERVICIO FAENA'!B355</f>
        <v>0</v>
      </c>
      <c r="D356" s="5">
        <f>+'SERVICIO FAENA'!C355</f>
        <v>0</v>
      </c>
      <c r="E356" s="7">
        <f>+'SERVICIO FAENA'!H355</f>
        <v>0</v>
      </c>
      <c r="F356" s="6">
        <f>+'SERVICIO FAENA'!F355</f>
        <v>0</v>
      </c>
      <c r="G356" s="7">
        <f>+'SERVICIO FAENA'!J355</f>
        <v>0</v>
      </c>
      <c r="H356" s="7">
        <f>+'SERVICIO DESPOSTE'!W355</f>
        <v>0</v>
      </c>
      <c r="I356" s="36">
        <f t="shared" si="5"/>
        <v>0</v>
      </c>
      <c r="J356" s="8">
        <f>+MENUDENCIAS!I355</f>
        <v>0</v>
      </c>
      <c r="K356" s="8">
        <f>+MENUDENCIAS!O355</f>
        <v>0</v>
      </c>
      <c r="L356" s="8">
        <f>+MENUDENCIAS!P355</f>
        <v>0</v>
      </c>
      <c r="M356" s="7">
        <f>+RENDERING!H354</f>
        <v>0</v>
      </c>
      <c r="N356" s="7">
        <f>+RENDERING!F354</f>
        <v>0</v>
      </c>
      <c r="O356" s="7">
        <f>+RENDERING!J354</f>
        <v>0</v>
      </c>
      <c r="P356" s="7">
        <f>+CUEROS!N357</f>
        <v>0</v>
      </c>
      <c r="Q356" s="7">
        <f>+'GRASA DREASING'!G354</f>
        <v>0</v>
      </c>
    </row>
    <row r="357" spans="2:17" x14ac:dyDescent="0.2">
      <c r="B357" s="5">
        <f>+'SERVICIO FAENA'!A356</f>
        <v>0</v>
      </c>
      <c r="C357" s="5">
        <f>+'SERVICIO FAENA'!B356</f>
        <v>0</v>
      </c>
      <c r="D357" s="5">
        <f>+'SERVICIO FAENA'!C356</f>
        <v>0</v>
      </c>
      <c r="E357" s="7">
        <f>+'SERVICIO FAENA'!H356</f>
        <v>0</v>
      </c>
      <c r="F357" s="6">
        <f>+'SERVICIO FAENA'!F356</f>
        <v>0</v>
      </c>
      <c r="G357" s="7">
        <f>+'SERVICIO FAENA'!J356</f>
        <v>0</v>
      </c>
      <c r="H357" s="7">
        <f>+'SERVICIO DESPOSTE'!W356</f>
        <v>0</v>
      </c>
      <c r="I357" s="36">
        <f t="shared" si="5"/>
        <v>0</v>
      </c>
      <c r="J357" s="8">
        <f>+MENUDENCIAS!I356</f>
        <v>0</v>
      </c>
      <c r="K357" s="8">
        <f>+MENUDENCIAS!O356</f>
        <v>0</v>
      </c>
      <c r="L357" s="8">
        <f>+MENUDENCIAS!P356</f>
        <v>0</v>
      </c>
      <c r="M357" s="7">
        <f>+RENDERING!H355</f>
        <v>0</v>
      </c>
      <c r="N357" s="7">
        <f>+RENDERING!F355</f>
        <v>0</v>
      </c>
      <c r="O357" s="7">
        <f>+RENDERING!J355</f>
        <v>0</v>
      </c>
      <c r="P357" s="7">
        <f>+CUEROS!N358</f>
        <v>0</v>
      </c>
      <c r="Q357" s="7">
        <f>+'GRASA DREASING'!G355</f>
        <v>0</v>
      </c>
    </row>
    <row r="358" spans="2:17" x14ac:dyDescent="0.2">
      <c r="B358" s="5">
        <f>+'SERVICIO FAENA'!A357</f>
        <v>0</v>
      </c>
      <c r="C358" s="5">
        <f>+'SERVICIO FAENA'!B357</f>
        <v>0</v>
      </c>
      <c r="D358" s="5">
        <f>+'SERVICIO FAENA'!C357</f>
        <v>0</v>
      </c>
      <c r="E358" s="7">
        <f>+'SERVICIO FAENA'!H357</f>
        <v>0</v>
      </c>
      <c r="F358" s="6">
        <f>+'SERVICIO FAENA'!F357</f>
        <v>0</v>
      </c>
      <c r="G358" s="7">
        <f>+'SERVICIO FAENA'!J357</f>
        <v>0</v>
      </c>
      <c r="H358" s="7">
        <f>+'SERVICIO DESPOSTE'!W357</f>
        <v>0</v>
      </c>
      <c r="I358" s="36">
        <f t="shared" si="5"/>
        <v>0</v>
      </c>
      <c r="J358" s="8">
        <f>+MENUDENCIAS!I357</f>
        <v>0</v>
      </c>
      <c r="K358" s="8">
        <f>+MENUDENCIAS!O357</f>
        <v>0</v>
      </c>
      <c r="L358" s="8">
        <f>+MENUDENCIAS!P357</f>
        <v>0</v>
      </c>
      <c r="M358" s="7">
        <f>+RENDERING!H356</f>
        <v>0</v>
      </c>
      <c r="N358" s="7">
        <f>+RENDERING!F356</f>
        <v>0</v>
      </c>
      <c r="O358" s="7">
        <f>+RENDERING!J356</f>
        <v>0</v>
      </c>
      <c r="P358" s="7">
        <f>+CUEROS!N359</f>
        <v>0</v>
      </c>
      <c r="Q358" s="7">
        <f>+'GRASA DREASING'!G356</f>
        <v>0</v>
      </c>
    </row>
    <row r="359" spans="2:17" x14ac:dyDescent="0.2">
      <c r="B359" s="5">
        <f>+'SERVICIO FAENA'!A358</f>
        <v>0</v>
      </c>
      <c r="C359" s="5">
        <f>+'SERVICIO FAENA'!B358</f>
        <v>0</v>
      </c>
      <c r="D359" s="5">
        <f>+'SERVICIO FAENA'!C358</f>
        <v>0</v>
      </c>
      <c r="E359" s="7">
        <f>+'SERVICIO FAENA'!H358</f>
        <v>0</v>
      </c>
      <c r="F359" s="6">
        <f>+'SERVICIO FAENA'!F358</f>
        <v>0</v>
      </c>
      <c r="G359" s="7">
        <f>+'SERVICIO FAENA'!J358</f>
        <v>0</v>
      </c>
      <c r="H359" s="7">
        <f>+'SERVICIO DESPOSTE'!W358</f>
        <v>0</v>
      </c>
      <c r="I359" s="36">
        <f t="shared" si="5"/>
        <v>0</v>
      </c>
      <c r="J359" s="8">
        <f>+MENUDENCIAS!I358</f>
        <v>0</v>
      </c>
      <c r="K359" s="8">
        <f>+MENUDENCIAS!O358</f>
        <v>0</v>
      </c>
      <c r="L359" s="8">
        <f>+MENUDENCIAS!P358</f>
        <v>0</v>
      </c>
      <c r="M359" s="7">
        <f>+RENDERING!H357</f>
        <v>0</v>
      </c>
      <c r="N359" s="7">
        <f>+RENDERING!F357</f>
        <v>0</v>
      </c>
      <c r="O359" s="7">
        <f>+RENDERING!J357</f>
        <v>0</v>
      </c>
      <c r="P359" s="7">
        <f>+CUEROS!N360</f>
        <v>0</v>
      </c>
      <c r="Q359" s="7">
        <f>+'GRASA DREASING'!G357</f>
        <v>0</v>
      </c>
    </row>
    <row r="360" spans="2:17" x14ac:dyDescent="0.2">
      <c r="B360" s="5">
        <f>+'SERVICIO FAENA'!A359</f>
        <v>0</v>
      </c>
      <c r="C360" s="5">
        <f>+'SERVICIO FAENA'!B359</f>
        <v>0</v>
      </c>
      <c r="D360" s="5">
        <f>+'SERVICIO FAENA'!C359</f>
        <v>0</v>
      </c>
      <c r="E360" s="7">
        <f>+'SERVICIO FAENA'!H359</f>
        <v>0</v>
      </c>
      <c r="F360" s="6">
        <f>+'SERVICIO FAENA'!F359</f>
        <v>0</v>
      </c>
      <c r="G360" s="7">
        <f>+'SERVICIO FAENA'!J359</f>
        <v>0</v>
      </c>
      <c r="H360" s="7">
        <f>+'SERVICIO DESPOSTE'!W359</f>
        <v>0</v>
      </c>
      <c r="I360" s="36">
        <f t="shared" si="5"/>
        <v>0</v>
      </c>
      <c r="J360" s="8">
        <f>+MENUDENCIAS!I359</f>
        <v>0</v>
      </c>
      <c r="K360" s="8">
        <f>+MENUDENCIAS!O359</f>
        <v>0</v>
      </c>
      <c r="L360" s="8">
        <f>+MENUDENCIAS!P359</f>
        <v>0</v>
      </c>
      <c r="M360" s="7">
        <f>+RENDERING!H358</f>
        <v>0</v>
      </c>
      <c r="N360" s="7">
        <f>+RENDERING!F358</f>
        <v>0</v>
      </c>
      <c r="O360" s="7">
        <f>+RENDERING!J358</f>
        <v>0</v>
      </c>
      <c r="P360" s="7">
        <f>+CUEROS!N361</f>
        <v>0</v>
      </c>
      <c r="Q360" s="7">
        <f>+'GRASA DREASING'!G358</f>
        <v>0</v>
      </c>
    </row>
    <row r="361" spans="2:17" x14ac:dyDescent="0.2">
      <c r="B361" s="5">
        <f>+'SERVICIO FAENA'!A360</f>
        <v>0</v>
      </c>
      <c r="C361" s="5">
        <f>+'SERVICIO FAENA'!B360</f>
        <v>0</v>
      </c>
      <c r="D361" s="5">
        <f>+'SERVICIO FAENA'!C360</f>
        <v>0</v>
      </c>
      <c r="E361" s="7">
        <f>+'SERVICIO FAENA'!H360</f>
        <v>0</v>
      </c>
      <c r="F361" s="6">
        <f>+'SERVICIO FAENA'!F360</f>
        <v>0</v>
      </c>
      <c r="G361" s="7">
        <f>+'SERVICIO FAENA'!J360</f>
        <v>0</v>
      </c>
      <c r="H361" s="7">
        <f>+'SERVICIO DESPOSTE'!W360</f>
        <v>0</v>
      </c>
      <c r="I361" s="36">
        <f t="shared" si="5"/>
        <v>0</v>
      </c>
      <c r="J361" s="8">
        <f>+MENUDENCIAS!I360</f>
        <v>0</v>
      </c>
      <c r="K361" s="8">
        <f>+MENUDENCIAS!O360</f>
        <v>0</v>
      </c>
      <c r="L361" s="8">
        <f>+MENUDENCIAS!P360</f>
        <v>0</v>
      </c>
      <c r="M361" s="7">
        <f>+RENDERING!H359</f>
        <v>0</v>
      </c>
      <c r="N361" s="7">
        <f>+RENDERING!F359</f>
        <v>0</v>
      </c>
      <c r="O361" s="7">
        <f>+RENDERING!J359</f>
        <v>0</v>
      </c>
      <c r="P361" s="7">
        <f>+CUEROS!N362</f>
        <v>0</v>
      </c>
      <c r="Q361" s="7">
        <f>+'GRASA DREASING'!G359</f>
        <v>0</v>
      </c>
    </row>
    <row r="362" spans="2:17" x14ac:dyDescent="0.2">
      <c r="B362" s="5">
        <f>+'SERVICIO FAENA'!A361</f>
        <v>0</v>
      </c>
      <c r="C362" s="5">
        <f>+'SERVICIO FAENA'!B361</f>
        <v>0</v>
      </c>
      <c r="D362" s="5">
        <f>+'SERVICIO FAENA'!C361</f>
        <v>0</v>
      </c>
      <c r="E362" s="7">
        <f>+'SERVICIO FAENA'!H361</f>
        <v>0</v>
      </c>
      <c r="F362" s="6">
        <f>+'SERVICIO FAENA'!F361</f>
        <v>0</v>
      </c>
      <c r="G362" s="7">
        <f>+'SERVICIO FAENA'!J361</f>
        <v>0</v>
      </c>
      <c r="H362" s="7">
        <f>+'SERVICIO DESPOSTE'!W361</f>
        <v>0</v>
      </c>
      <c r="I362" s="36">
        <f t="shared" si="5"/>
        <v>0</v>
      </c>
      <c r="J362" s="8">
        <f>+MENUDENCIAS!I361</f>
        <v>0</v>
      </c>
      <c r="K362" s="8">
        <f>+MENUDENCIAS!O361</f>
        <v>0</v>
      </c>
      <c r="L362" s="8">
        <f>+MENUDENCIAS!P361</f>
        <v>0</v>
      </c>
      <c r="M362" s="7">
        <f>+RENDERING!H360</f>
        <v>0</v>
      </c>
      <c r="N362" s="7">
        <f>+RENDERING!F360</f>
        <v>0</v>
      </c>
      <c r="O362" s="7">
        <f>+RENDERING!J360</f>
        <v>0</v>
      </c>
      <c r="P362" s="7">
        <f>+CUEROS!N363</f>
        <v>0</v>
      </c>
      <c r="Q362" s="7">
        <f>+'GRASA DREASING'!G360</f>
        <v>0</v>
      </c>
    </row>
    <row r="363" spans="2:17" x14ac:dyDescent="0.2">
      <c r="B363" s="5">
        <f>+'SERVICIO FAENA'!A362</f>
        <v>0</v>
      </c>
      <c r="C363" s="5">
        <f>+'SERVICIO FAENA'!B362</f>
        <v>0</v>
      </c>
      <c r="D363" s="5">
        <f>+'SERVICIO FAENA'!C362</f>
        <v>0</v>
      </c>
      <c r="E363" s="7">
        <f>+'SERVICIO FAENA'!H362</f>
        <v>0</v>
      </c>
      <c r="F363" s="6">
        <f>+'SERVICIO FAENA'!F362</f>
        <v>0</v>
      </c>
      <c r="G363" s="7">
        <f>+'SERVICIO FAENA'!J362</f>
        <v>0</v>
      </c>
      <c r="H363" s="7">
        <f>+'SERVICIO DESPOSTE'!W362</f>
        <v>0</v>
      </c>
      <c r="I363" s="36">
        <f t="shared" si="5"/>
        <v>0</v>
      </c>
      <c r="J363" s="8">
        <f>+MENUDENCIAS!I362</f>
        <v>0</v>
      </c>
      <c r="K363" s="8">
        <f>+MENUDENCIAS!O362</f>
        <v>0</v>
      </c>
      <c r="L363" s="8">
        <f>+MENUDENCIAS!P362</f>
        <v>0</v>
      </c>
      <c r="M363" s="7">
        <f>+RENDERING!H361</f>
        <v>0</v>
      </c>
      <c r="N363" s="7">
        <f>+RENDERING!F361</f>
        <v>0</v>
      </c>
      <c r="O363" s="7">
        <f>+RENDERING!J361</f>
        <v>0</v>
      </c>
      <c r="P363" s="7">
        <f>+CUEROS!N364</f>
        <v>0</v>
      </c>
      <c r="Q363" s="7">
        <f>+'GRASA DREASING'!G361</f>
        <v>0</v>
      </c>
    </row>
    <row r="364" spans="2:17" x14ac:dyDescent="0.2">
      <c r="B364" s="5">
        <f>+'SERVICIO FAENA'!A363</f>
        <v>0</v>
      </c>
      <c r="C364" s="5">
        <f>+'SERVICIO FAENA'!B363</f>
        <v>0</v>
      </c>
      <c r="D364" s="5">
        <f>+'SERVICIO FAENA'!C363</f>
        <v>0</v>
      </c>
      <c r="E364" s="7">
        <f>+'SERVICIO FAENA'!H363</f>
        <v>0</v>
      </c>
      <c r="F364" s="6">
        <f>+'SERVICIO FAENA'!F363</f>
        <v>0</v>
      </c>
      <c r="G364" s="7">
        <f>+'SERVICIO FAENA'!J363</f>
        <v>0</v>
      </c>
      <c r="H364" s="7">
        <f>+'SERVICIO DESPOSTE'!W363</f>
        <v>0</v>
      </c>
      <c r="I364" s="36">
        <f t="shared" si="5"/>
        <v>0</v>
      </c>
      <c r="J364" s="8">
        <f>+MENUDENCIAS!I363</f>
        <v>0</v>
      </c>
      <c r="K364" s="8">
        <f>+MENUDENCIAS!O363</f>
        <v>0</v>
      </c>
      <c r="L364" s="8">
        <f>+MENUDENCIAS!P363</f>
        <v>0</v>
      </c>
      <c r="M364" s="7">
        <f>+RENDERING!H362</f>
        <v>0</v>
      </c>
      <c r="N364" s="7">
        <f>+RENDERING!F362</f>
        <v>0</v>
      </c>
      <c r="O364" s="7">
        <f>+RENDERING!J362</f>
        <v>0</v>
      </c>
      <c r="P364" s="7">
        <f>+CUEROS!N365</f>
        <v>0</v>
      </c>
      <c r="Q364" s="7">
        <f>+'GRASA DREASING'!G362</f>
        <v>0</v>
      </c>
    </row>
    <row r="365" spans="2:17" x14ac:dyDescent="0.2">
      <c r="B365" s="5">
        <f>+'SERVICIO FAENA'!A364</f>
        <v>0</v>
      </c>
      <c r="C365" s="5">
        <f>+'SERVICIO FAENA'!B364</f>
        <v>0</v>
      </c>
      <c r="D365" s="5">
        <f>+'SERVICIO FAENA'!C364</f>
        <v>0</v>
      </c>
      <c r="E365" s="7">
        <f>+'SERVICIO FAENA'!H364</f>
        <v>0</v>
      </c>
      <c r="F365" s="6">
        <f>+'SERVICIO FAENA'!F364</f>
        <v>0</v>
      </c>
      <c r="G365" s="7">
        <f>+'SERVICIO FAENA'!J364</f>
        <v>0</v>
      </c>
      <c r="H365" s="7">
        <f>+'SERVICIO DESPOSTE'!W364</f>
        <v>0</v>
      </c>
      <c r="I365" s="36">
        <f t="shared" si="5"/>
        <v>0</v>
      </c>
      <c r="J365" s="8">
        <f>+MENUDENCIAS!I364</f>
        <v>0</v>
      </c>
      <c r="K365" s="8">
        <f>+MENUDENCIAS!O364</f>
        <v>0</v>
      </c>
      <c r="L365" s="8">
        <f>+MENUDENCIAS!P364</f>
        <v>0</v>
      </c>
      <c r="M365" s="7">
        <f>+RENDERING!H363</f>
        <v>0</v>
      </c>
      <c r="N365" s="7">
        <f>+RENDERING!F363</f>
        <v>0</v>
      </c>
      <c r="O365" s="7">
        <f>+RENDERING!J363</f>
        <v>0</v>
      </c>
      <c r="P365" s="7">
        <f>+CUEROS!N366</f>
        <v>0</v>
      </c>
      <c r="Q365" s="7">
        <f>+'GRASA DREASING'!G363</f>
        <v>0</v>
      </c>
    </row>
    <row r="366" spans="2:17" x14ac:dyDescent="0.2">
      <c r="B366" s="5">
        <f>+'SERVICIO FAENA'!A365</f>
        <v>0</v>
      </c>
      <c r="C366" s="5">
        <f>+'SERVICIO FAENA'!B365</f>
        <v>0</v>
      </c>
      <c r="D366" s="5">
        <f>+'SERVICIO FAENA'!C365</f>
        <v>0</v>
      </c>
      <c r="E366" s="7">
        <f>+'SERVICIO FAENA'!H365</f>
        <v>0</v>
      </c>
      <c r="F366" s="6">
        <f>+'SERVICIO FAENA'!F365</f>
        <v>0</v>
      </c>
      <c r="G366" s="7">
        <f>+'SERVICIO FAENA'!J365</f>
        <v>0</v>
      </c>
      <c r="H366" s="7">
        <f>+'SERVICIO DESPOSTE'!W365</f>
        <v>0</v>
      </c>
      <c r="I366" s="36">
        <f t="shared" si="5"/>
        <v>0</v>
      </c>
      <c r="J366" s="8">
        <f>+MENUDENCIAS!I365</f>
        <v>0</v>
      </c>
      <c r="K366" s="8">
        <f>+MENUDENCIAS!O365</f>
        <v>0</v>
      </c>
      <c r="L366" s="8">
        <f>+MENUDENCIAS!P365</f>
        <v>0</v>
      </c>
      <c r="M366" s="7">
        <f>+RENDERING!H364</f>
        <v>0</v>
      </c>
      <c r="N366" s="7">
        <f>+RENDERING!F364</f>
        <v>0</v>
      </c>
      <c r="O366" s="7">
        <f>+RENDERING!J364</f>
        <v>0</v>
      </c>
      <c r="P366" s="7">
        <f>+CUEROS!N367</f>
        <v>0</v>
      </c>
      <c r="Q366" s="7">
        <f>+'GRASA DREASING'!G364</f>
        <v>0</v>
      </c>
    </row>
    <row r="367" spans="2:17" x14ac:dyDescent="0.2">
      <c r="B367" s="5">
        <f>+'SERVICIO FAENA'!A366</f>
        <v>0</v>
      </c>
      <c r="C367" s="5">
        <f>+'SERVICIO FAENA'!B366</f>
        <v>0</v>
      </c>
      <c r="D367" s="5">
        <f>+'SERVICIO FAENA'!C366</f>
        <v>0</v>
      </c>
      <c r="E367" s="7">
        <f>+'SERVICIO FAENA'!H366</f>
        <v>0</v>
      </c>
      <c r="F367" s="6">
        <f>+'SERVICIO FAENA'!F366</f>
        <v>0</v>
      </c>
      <c r="G367" s="7">
        <f>+'SERVICIO FAENA'!J366</f>
        <v>0</v>
      </c>
      <c r="H367" s="7">
        <f>+'SERVICIO DESPOSTE'!W366</f>
        <v>0</v>
      </c>
      <c r="I367" s="36">
        <f t="shared" si="5"/>
        <v>0</v>
      </c>
      <c r="J367" s="8">
        <f>+MENUDENCIAS!I366</f>
        <v>0</v>
      </c>
      <c r="K367" s="8">
        <f>+MENUDENCIAS!O366</f>
        <v>0</v>
      </c>
      <c r="L367" s="8">
        <f>+MENUDENCIAS!P366</f>
        <v>0</v>
      </c>
      <c r="M367" s="7">
        <f>+RENDERING!H365</f>
        <v>0</v>
      </c>
      <c r="N367" s="7">
        <f>+RENDERING!F365</f>
        <v>0</v>
      </c>
      <c r="O367" s="7">
        <f>+RENDERING!J365</f>
        <v>0</v>
      </c>
      <c r="P367" s="7">
        <f>+CUEROS!N368</f>
        <v>0</v>
      </c>
      <c r="Q367" s="7">
        <f>+'GRASA DREASING'!G365</f>
        <v>0</v>
      </c>
    </row>
    <row r="368" spans="2:17" x14ac:dyDescent="0.2">
      <c r="B368" s="5">
        <f>+'SERVICIO FAENA'!A367</f>
        <v>0</v>
      </c>
      <c r="C368" s="5">
        <f>+'SERVICIO FAENA'!B367</f>
        <v>0</v>
      </c>
      <c r="D368" s="5">
        <f>+'SERVICIO FAENA'!C367</f>
        <v>0</v>
      </c>
      <c r="E368" s="7">
        <f>+'SERVICIO FAENA'!H367</f>
        <v>0</v>
      </c>
      <c r="F368" s="6">
        <f>+'SERVICIO FAENA'!F367</f>
        <v>0</v>
      </c>
      <c r="G368" s="7">
        <f>+'SERVICIO FAENA'!J367</f>
        <v>0</v>
      </c>
      <c r="H368" s="7">
        <f>+'SERVICIO DESPOSTE'!W367</f>
        <v>0</v>
      </c>
      <c r="I368" s="36">
        <f t="shared" si="5"/>
        <v>0</v>
      </c>
      <c r="J368" s="8">
        <f>+MENUDENCIAS!I367</f>
        <v>0</v>
      </c>
      <c r="K368" s="8">
        <f>+MENUDENCIAS!O367</f>
        <v>0</v>
      </c>
      <c r="L368" s="8">
        <f>+MENUDENCIAS!P367</f>
        <v>0</v>
      </c>
      <c r="M368" s="7">
        <f>+RENDERING!H366</f>
        <v>0</v>
      </c>
      <c r="N368" s="7">
        <f>+RENDERING!F366</f>
        <v>0</v>
      </c>
      <c r="O368" s="7">
        <f>+RENDERING!J366</f>
        <v>0</v>
      </c>
      <c r="P368" s="7">
        <f>+CUEROS!N369</f>
        <v>0</v>
      </c>
      <c r="Q368" s="7">
        <f>+'GRASA DREASING'!G366</f>
        <v>0</v>
      </c>
    </row>
    <row r="369" spans="2:17" x14ac:dyDescent="0.2">
      <c r="B369" s="5">
        <f>+'SERVICIO FAENA'!A368</f>
        <v>0</v>
      </c>
      <c r="C369" s="5">
        <f>+'SERVICIO FAENA'!B368</f>
        <v>0</v>
      </c>
      <c r="D369" s="5">
        <f>+'SERVICIO FAENA'!C368</f>
        <v>0</v>
      </c>
      <c r="E369" s="7">
        <f>+'SERVICIO FAENA'!H368</f>
        <v>0</v>
      </c>
      <c r="F369" s="6">
        <f>+'SERVICIO FAENA'!F368</f>
        <v>0</v>
      </c>
      <c r="G369" s="7">
        <f>+'SERVICIO FAENA'!J368</f>
        <v>0</v>
      </c>
      <c r="H369" s="7">
        <f>+'SERVICIO DESPOSTE'!W368</f>
        <v>0</v>
      </c>
      <c r="I369" s="36">
        <f t="shared" si="5"/>
        <v>0</v>
      </c>
      <c r="J369" s="8">
        <f>+MENUDENCIAS!I368</f>
        <v>0</v>
      </c>
      <c r="K369" s="8">
        <f>+MENUDENCIAS!O368</f>
        <v>0</v>
      </c>
      <c r="L369" s="8">
        <f>+MENUDENCIAS!P368</f>
        <v>0</v>
      </c>
      <c r="M369" s="7">
        <f>+RENDERING!H367</f>
        <v>0</v>
      </c>
      <c r="N369" s="7">
        <f>+RENDERING!F367</f>
        <v>0</v>
      </c>
      <c r="O369" s="7">
        <f>+RENDERING!J367</f>
        <v>0</v>
      </c>
      <c r="P369" s="7">
        <f>+CUEROS!N370</f>
        <v>0</v>
      </c>
      <c r="Q369" s="7">
        <f>+'GRASA DREASING'!G367</f>
        <v>0</v>
      </c>
    </row>
    <row r="370" spans="2:17" x14ac:dyDescent="0.2">
      <c r="B370" s="5">
        <f>+'SERVICIO FAENA'!A369</f>
        <v>0</v>
      </c>
      <c r="C370" s="5">
        <f>+'SERVICIO FAENA'!B369</f>
        <v>0</v>
      </c>
      <c r="D370" s="5">
        <f>+'SERVICIO FAENA'!C369</f>
        <v>0</v>
      </c>
      <c r="E370" s="7">
        <f>+'SERVICIO FAENA'!H369</f>
        <v>0</v>
      </c>
      <c r="F370" s="6">
        <f>+'SERVICIO FAENA'!F369</f>
        <v>0</v>
      </c>
      <c r="G370" s="7">
        <f>+'SERVICIO FAENA'!J369</f>
        <v>0</v>
      </c>
      <c r="H370" s="7">
        <f>+'SERVICIO DESPOSTE'!W369</f>
        <v>0</v>
      </c>
      <c r="I370" s="36">
        <f t="shared" si="5"/>
        <v>0</v>
      </c>
      <c r="J370" s="8">
        <f>+MENUDENCIAS!I369</f>
        <v>0</v>
      </c>
      <c r="K370" s="8">
        <f>+MENUDENCIAS!O369</f>
        <v>0</v>
      </c>
      <c r="L370" s="8">
        <f>+MENUDENCIAS!P369</f>
        <v>0</v>
      </c>
      <c r="M370" s="7">
        <f>+RENDERING!H368</f>
        <v>0</v>
      </c>
      <c r="N370" s="7">
        <f>+RENDERING!F368</f>
        <v>0</v>
      </c>
      <c r="O370" s="7">
        <f>+RENDERING!J368</f>
        <v>0</v>
      </c>
      <c r="P370" s="7">
        <f>+CUEROS!N371</f>
        <v>0</v>
      </c>
      <c r="Q370" s="7">
        <f>+'GRASA DREASING'!G368</f>
        <v>0</v>
      </c>
    </row>
    <row r="371" spans="2:17" x14ac:dyDescent="0.2">
      <c r="B371" s="5">
        <f>+'SERVICIO FAENA'!A370</f>
        <v>0</v>
      </c>
      <c r="C371" s="5">
        <f>+'SERVICIO FAENA'!B370</f>
        <v>0</v>
      </c>
      <c r="D371" s="5">
        <f>+'SERVICIO FAENA'!C370</f>
        <v>0</v>
      </c>
      <c r="E371" s="7">
        <f>+'SERVICIO FAENA'!H370</f>
        <v>0</v>
      </c>
      <c r="F371" s="6">
        <f>+'SERVICIO FAENA'!F370</f>
        <v>0</v>
      </c>
      <c r="G371" s="7">
        <f>+'SERVICIO FAENA'!J370</f>
        <v>0</v>
      </c>
      <c r="H371" s="7">
        <f>+'SERVICIO DESPOSTE'!W370</f>
        <v>0</v>
      </c>
      <c r="I371" s="36">
        <f t="shared" si="5"/>
        <v>0</v>
      </c>
      <c r="J371" s="8">
        <f>+MENUDENCIAS!I370</f>
        <v>0</v>
      </c>
      <c r="K371" s="8">
        <f>+MENUDENCIAS!O370</f>
        <v>0</v>
      </c>
      <c r="L371" s="8">
        <f>+MENUDENCIAS!P370</f>
        <v>0</v>
      </c>
      <c r="M371" s="7">
        <f>+RENDERING!H369</f>
        <v>0</v>
      </c>
      <c r="N371" s="7">
        <f>+RENDERING!F369</f>
        <v>0</v>
      </c>
      <c r="O371" s="7">
        <f>+RENDERING!J369</f>
        <v>0</v>
      </c>
      <c r="P371" s="7">
        <f>+CUEROS!N372</f>
        <v>0</v>
      </c>
      <c r="Q371" s="7">
        <f>+'GRASA DREASING'!G369</f>
        <v>0</v>
      </c>
    </row>
    <row r="372" spans="2:17" x14ac:dyDescent="0.2">
      <c r="B372" s="5">
        <f>+'SERVICIO FAENA'!A371</f>
        <v>0</v>
      </c>
      <c r="C372" s="5">
        <f>+'SERVICIO FAENA'!B371</f>
        <v>0</v>
      </c>
      <c r="D372" s="5">
        <f>+'SERVICIO FAENA'!C371</f>
        <v>0</v>
      </c>
      <c r="E372" s="7">
        <f>+'SERVICIO FAENA'!H371</f>
        <v>0</v>
      </c>
      <c r="F372" s="6">
        <f>+'SERVICIO FAENA'!F371</f>
        <v>0</v>
      </c>
      <c r="G372" s="7">
        <f>+'SERVICIO FAENA'!J371</f>
        <v>0</v>
      </c>
      <c r="H372" s="7">
        <f>+'SERVICIO DESPOSTE'!W371</f>
        <v>0</v>
      </c>
      <c r="I372" s="36">
        <f t="shared" si="5"/>
        <v>0</v>
      </c>
      <c r="J372" s="8">
        <f>+MENUDENCIAS!I371</f>
        <v>0</v>
      </c>
      <c r="K372" s="8">
        <f>+MENUDENCIAS!O371</f>
        <v>0</v>
      </c>
      <c r="L372" s="8">
        <f>+MENUDENCIAS!P371</f>
        <v>0</v>
      </c>
      <c r="M372" s="7">
        <f>+RENDERING!H370</f>
        <v>0</v>
      </c>
      <c r="N372" s="7">
        <f>+RENDERING!F370</f>
        <v>0</v>
      </c>
      <c r="O372" s="7">
        <f>+RENDERING!J370</f>
        <v>0</v>
      </c>
      <c r="P372" s="7">
        <f>+CUEROS!N373</f>
        <v>0</v>
      </c>
      <c r="Q372" s="7">
        <f>+'GRASA DREASING'!G370</f>
        <v>0</v>
      </c>
    </row>
    <row r="373" spans="2:17" x14ac:dyDescent="0.2">
      <c r="B373" s="5">
        <f>+'SERVICIO FAENA'!A372</f>
        <v>0</v>
      </c>
      <c r="C373" s="5">
        <f>+'SERVICIO FAENA'!B372</f>
        <v>0</v>
      </c>
      <c r="D373" s="5">
        <f>+'SERVICIO FAENA'!C372</f>
        <v>0</v>
      </c>
      <c r="E373" s="7">
        <f>+'SERVICIO FAENA'!H372</f>
        <v>0</v>
      </c>
      <c r="F373" s="6">
        <f>+'SERVICIO FAENA'!F372</f>
        <v>0</v>
      </c>
      <c r="G373" s="7">
        <f>+'SERVICIO FAENA'!J372</f>
        <v>0</v>
      </c>
      <c r="H373" s="7">
        <f>+'SERVICIO DESPOSTE'!W372</f>
        <v>0</v>
      </c>
      <c r="I373" s="36">
        <f t="shared" si="5"/>
        <v>0</v>
      </c>
      <c r="J373" s="8">
        <f>+MENUDENCIAS!I372</f>
        <v>0</v>
      </c>
      <c r="K373" s="8">
        <f>+MENUDENCIAS!O372</f>
        <v>0</v>
      </c>
      <c r="L373" s="8">
        <f>+MENUDENCIAS!P372</f>
        <v>0</v>
      </c>
      <c r="M373" s="7">
        <f>+RENDERING!H371</f>
        <v>0</v>
      </c>
      <c r="N373" s="7">
        <f>+RENDERING!F371</f>
        <v>0</v>
      </c>
      <c r="O373" s="7">
        <f>+RENDERING!J371</f>
        <v>0</v>
      </c>
      <c r="P373" s="7">
        <f>+CUEROS!N374</f>
        <v>0</v>
      </c>
      <c r="Q373" s="7">
        <f>+'GRASA DREASING'!G371</f>
        <v>0</v>
      </c>
    </row>
    <row r="374" spans="2:17" x14ac:dyDescent="0.2">
      <c r="B374" s="5">
        <f>+'SERVICIO FAENA'!A373</f>
        <v>0</v>
      </c>
      <c r="C374" s="5">
        <f>+'SERVICIO FAENA'!B373</f>
        <v>0</v>
      </c>
      <c r="D374" s="5">
        <f>+'SERVICIO FAENA'!C373</f>
        <v>0</v>
      </c>
      <c r="E374" s="7">
        <f>+'SERVICIO FAENA'!H373</f>
        <v>0</v>
      </c>
      <c r="F374" s="6">
        <f>+'SERVICIO FAENA'!F373</f>
        <v>0</v>
      </c>
      <c r="G374" s="7">
        <f>+'SERVICIO FAENA'!J373</f>
        <v>0</v>
      </c>
      <c r="H374" s="7">
        <f>+'SERVICIO DESPOSTE'!W373</f>
        <v>0</v>
      </c>
      <c r="I374" s="36">
        <f t="shared" si="5"/>
        <v>0</v>
      </c>
      <c r="J374" s="8">
        <f>+MENUDENCIAS!I373</f>
        <v>0</v>
      </c>
      <c r="K374" s="8">
        <f>+MENUDENCIAS!O373</f>
        <v>0</v>
      </c>
      <c r="L374" s="8">
        <f>+MENUDENCIAS!P373</f>
        <v>0</v>
      </c>
      <c r="M374" s="7">
        <f>+RENDERING!H372</f>
        <v>0</v>
      </c>
      <c r="N374" s="7">
        <f>+RENDERING!F372</f>
        <v>0</v>
      </c>
      <c r="O374" s="7">
        <f>+RENDERING!J372</f>
        <v>0</v>
      </c>
      <c r="P374" s="7">
        <f>+CUEROS!N375</f>
        <v>0</v>
      </c>
      <c r="Q374" s="7">
        <f>+'GRASA DREASING'!G372</f>
        <v>0</v>
      </c>
    </row>
    <row r="375" spans="2:17" x14ac:dyDescent="0.2">
      <c r="B375" s="5">
        <f>+'SERVICIO FAENA'!A374</f>
        <v>0</v>
      </c>
      <c r="C375" s="5">
        <f>+'SERVICIO FAENA'!B374</f>
        <v>0</v>
      </c>
      <c r="D375" s="5">
        <f>+'SERVICIO FAENA'!C374</f>
        <v>0</v>
      </c>
      <c r="E375" s="7">
        <f>+'SERVICIO FAENA'!H374</f>
        <v>0</v>
      </c>
      <c r="F375" s="6">
        <f>+'SERVICIO FAENA'!F374</f>
        <v>0</v>
      </c>
      <c r="G375" s="7">
        <f>+'SERVICIO FAENA'!J374</f>
        <v>0</v>
      </c>
      <c r="H375" s="7">
        <f>+'SERVICIO DESPOSTE'!W374</f>
        <v>0</v>
      </c>
      <c r="I375" s="36">
        <f t="shared" ref="I375:I438" si="6">+(G375-J375)+K375+M375+N375+O375+P375+Q375+L375+H375</f>
        <v>0</v>
      </c>
      <c r="J375" s="8">
        <f>+MENUDENCIAS!I374</f>
        <v>0</v>
      </c>
      <c r="K375" s="8">
        <f>+MENUDENCIAS!O374</f>
        <v>0</v>
      </c>
      <c r="L375" s="8">
        <f>+MENUDENCIAS!P374</f>
        <v>0</v>
      </c>
      <c r="M375" s="7">
        <f>+RENDERING!H373</f>
        <v>0</v>
      </c>
      <c r="N375" s="7">
        <f>+RENDERING!F373</f>
        <v>0</v>
      </c>
      <c r="O375" s="7">
        <f>+RENDERING!J373</f>
        <v>0</v>
      </c>
      <c r="P375" s="7">
        <f>+CUEROS!N376</f>
        <v>0</v>
      </c>
      <c r="Q375" s="7">
        <f>+'GRASA DREASING'!G373</f>
        <v>0</v>
      </c>
    </row>
    <row r="376" spans="2:17" x14ac:dyDescent="0.2">
      <c r="B376" s="5">
        <f>+'SERVICIO FAENA'!A375</f>
        <v>0</v>
      </c>
      <c r="C376" s="5">
        <f>+'SERVICIO FAENA'!B375</f>
        <v>0</v>
      </c>
      <c r="D376" s="5">
        <f>+'SERVICIO FAENA'!C375</f>
        <v>0</v>
      </c>
      <c r="E376" s="7">
        <f>+'SERVICIO FAENA'!H375</f>
        <v>0</v>
      </c>
      <c r="F376" s="6">
        <f>+'SERVICIO FAENA'!F375</f>
        <v>0</v>
      </c>
      <c r="G376" s="7">
        <f>+'SERVICIO FAENA'!J375</f>
        <v>0</v>
      </c>
      <c r="H376" s="7">
        <f>+'SERVICIO DESPOSTE'!W375</f>
        <v>0</v>
      </c>
      <c r="I376" s="36">
        <f t="shared" si="6"/>
        <v>0</v>
      </c>
      <c r="J376" s="8">
        <f>+MENUDENCIAS!I375</f>
        <v>0</v>
      </c>
      <c r="K376" s="8">
        <f>+MENUDENCIAS!O375</f>
        <v>0</v>
      </c>
      <c r="L376" s="8">
        <f>+MENUDENCIAS!P375</f>
        <v>0</v>
      </c>
      <c r="M376" s="7">
        <f>+RENDERING!H374</f>
        <v>0</v>
      </c>
      <c r="N376" s="7">
        <f>+RENDERING!F374</f>
        <v>0</v>
      </c>
      <c r="O376" s="7">
        <f>+RENDERING!J374</f>
        <v>0</v>
      </c>
      <c r="P376" s="7">
        <f>+CUEROS!N377</f>
        <v>0</v>
      </c>
      <c r="Q376" s="7">
        <f>+'GRASA DREASING'!G374</f>
        <v>0</v>
      </c>
    </row>
    <row r="377" spans="2:17" x14ac:dyDescent="0.2">
      <c r="B377" s="5">
        <f>+'SERVICIO FAENA'!A376</f>
        <v>0</v>
      </c>
      <c r="C377" s="5">
        <f>+'SERVICIO FAENA'!B376</f>
        <v>0</v>
      </c>
      <c r="D377" s="5">
        <f>+'SERVICIO FAENA'!C376</f>
        <v>0</v>
      </c>
      <c r="E377" s="7">
        <f>+'SERVICIO FAENA'!H376</f>
        <v>0</v>
      </c>
      <c r="F377" s="6">
        <f>+'SERVICIO FAENA'!F376</f>
        <v>0</v>
      </c>
      <c r="G377" s="7">
        <f>+'SERVICIO FAENA'!J376</f>
        <v>0</v>
      </c>
      <c r="H377" s="7">
        <f>+'SERVICIO DESPOSTE'!W376</f>
        <v>0</v>
      </c>
      <c r="I377" s="36">
        <f t="shared" si="6"/>
        <v>0</v>
      </c>
      <c r="J377" s="8">
        <f>+MENUDENCIAS!I376</f>
        <v>0</v>
      </c>
      <c r="K377" s="8">
        <f>+MENUDENCIAS!O376</f>
        <v>0</v>
      </c>
      <c r="L377" s="8">
        <f>+MENUDENCIAS!P376</f>
        <v>0</v>
      </c>
      <c r="M377" s="7">
        <f>+RENDERING!H375</f>
        <v>0</v>
      </c>
      <c r="N377" s="7">
        <f>+RENDERING!F375</f>
        <v>0</v>
      </c>
      <c r="O377" s="7">
        <f>+RENDERING!J375</f>
        <v>0</v>
      </c>
      <c r="P377" s="7">
        <f>+CUEROS!N378</f>
        <v>0</v>
      </c>
      <c r="Q377" s="7">
        <f>+'GRASA DREASING'!G375</f>
        <v>0</v>
      </c>
    </row>
    <row r="378" spans="2:17" x14ac:dyDescent="0.2">
      <c r="B378" s="5">
        <f>+'SERVICIO FAENA'!A377</f>
        <v>0</v>
      </c>
      <c r="C378" s="5">
        <f>+'SERVICIO FAENA'!B377</f>
        <v>0</v>
      </c>
      <c r="D378" s="5">
        <f>+'SERVICIO FAENA'!C377</f>
        <v>0</v>
      </c>
      <c r="E378" s="7">
        <f>+'SERVICIO FAENA'!H377</f>
        <v>0</v>
      </c>
      <c r="F378" s="6">
        <f>+'SERVICIO FAENA'!F377</f>
        <v>0</v>
      </c>
      <c r="G378" s="7">
        <f>+'SERVICIO FAENA'!J377</f>
        <v>0</v>
      </c>
      <c r="H378" s="7">
        <f>+'SERVICIO DESPOSTE'!W377</f>
        <v>0</v>
      </c>
      <c r="I378" s="36">
        <f t="shared" si="6"/>
        <v>0</v>
      </c>
      <c r="J378" s="8">
        <f>+MENUDENCIAS!I377</f>
        <v>0</v>
      </c>
      <c r="K378" s="8">
        <f>+MENUDENCIAS!O377</f>
        <v>0</v>
      </c>
      <c r="L378" s="8">
        <f>+MENUDENCIAS!P377</f>
        <v>0</v>
      </c>
      <c r="M378" s="7">
        <f>+RENDERING!H376</f>
        <v>0</v>
      </c>
      <c r="N378" s="7">
        <f>+RENDERING!F376</f>
        <v>0</v>
      </c>
      <c r="O378" s="7">
        <f>+RENDERING!J376</f>
        <v>0</v>
      </c>
      <c r="P378" s="7">
        <f>+CUEROS!N379</f>
        <v>0</v>
      </c>
      <c r="Q378" s="7">
        <f>+'GRASA DREASING'!G376</f>
        <v>0</v>
      </c>
    </row>
    <row r="379" spans="2:17" x14ac:dyDescent="0.2">
      <c r="B379" s="5">
        <f>+'SERVICIO FAENA'!A378</f>
        <v>0</v>
      </c>
      <c r="C379" s="5">
        <f>+'SERVICIO FAENA'!B378</f>
        <v>0</v>
      </c>
      <c r="D379" s="5">
        <f>+'SERVICIO FAENA'!C378</f>
        <v>0</v>
      </c>
      <c r="E379" s="7">
        <f>+'SERVICIO FAENA'!H378</f>
        <v>0</v>
      </c>
      <c r="F379" s="6">
        <f>+'SERVICIO FAENA'!F378</f>
        <v>0</v>
      </c>
      <c r="G379" s="7">
        <f>+'SERVICIO FAENA'!J378</f>
        <v>0</v>
      </c>
      <c r="H379" s="7">
        <f>+'SERVICIO DESPOSTE'!W378</f>
        <v>0</v>
      </c>
      <c r="I379" s="36">
        <f t="shared" si="6"/>
        <v>0</v>
      </c>
      <c r="J379" s="8">
        <f>+MENUDENCIAS!I378</f>
        <v>0</v>
      </c>
      <c r="K379" s="8">
        <f>+MENUDENCIAS!O378</f>
        <v>0</v>
      </c>
      <c r="L379" s="8">
        <f>+MENUDENCIAS!P378</f>
        <v>0</v>
      </c>
      <c r="M379" s="7">
        <f>+RENDERING!H377</f>
        <v>0</v>
      </c>
      <c r="N379" s="7">
        <f>+RENDERING!F377</f>
        <v>0</v>
      </c>
      <c r="O379" s="7">
        <f>+RENDERING!J377</f>
        <v>0</v>
      </c>
      <c r="P379" s="7">
        <f>+CUEROS!N380</f>
        <v>0</v>
      </c>
      <c r="Q379" s="7">
        <f>+'GRASA DREASING'!G377</f>
        <v>0</v>
      </c>
    </row>
    <row r="380" spans="2:17" x14ac:dyDescent="0.2">
      <c r="B380" s="5">
        <f>+'SERVICIO FAENA'!A379</f>
        <v>0</v>
      </c>
      <c r="C380" s="5">
        <f>+'SERVICIO FAENA'!B379</f>
        <v>0</v>
      </c>
      <c r="D380" s="5">
        <f>+'SERVICIO FAENA'!C379</f>
        <v>0</v>
      </c>
      <c r="E380" s="7">
        <f>+'SERVICIO FAENA'!H379</f>
        <v>0</v>
      </c>
      <c r="F380" s="6">
        <f>+'SERVICIO FAENA'!F379</f>
        <v>0</v>
      </c>
      <c r="G380" s="7">
        <f>+'SERVICIO FAENA'!J379</f>
        <v>0</v>
      </c>
      <c r="H380" s="7">
        <f>+'SERVICIO DESPOSTE'!W379</f>
        <v>0</v>
      </c>
      <c r="I380" s="36">
        <f t="shared" si="6"/>
        <v>0</v>
      </c>
      <c r="J380" s="8">
        <f>+MENUDENCIAS!I379</f>
        <v>0</v>
      </c>
      <c r="K380" s="8">
        <f>+MENUDENCIAS!O379</f>
        <v>0</v>
      </c>
      <c r="L380" s="8">
        <f>+MENUDENCIAS!P379</f>
        <v>0</v>
      </c>
      <c r="M380" s="7">
        <f>+RENDERING!H378</f>
        <v>0</v>
      </c>
      <c r="N380" s="7">
        <f>+RENDERING!F378</f>
        <v>0</v>
      </c>
      <c r="O380" s="7">
        <f>+RENDERING!J378</f>
        <v>0</v>
      </c>
      <c r="P380" s="7">
        <f>+CUEROS!N381</f>
        <v>0</v>
      </c>
      <c r="Q380" s="7">
        <f>+'GRASA DREASING'!G378</f>
        <v>0</v>
      </c>
    </row>
    <row r="381" spans="2:17" x14ac:dyDescent="0.2">
      <c r="B381" s="5">
        <f>+'SERVICIO FAENA'!A380</f>
        <v>0</v>
      </c>
      <c r="C381" s="5">
        <f>+'SERVICIO FAENA'!B380</f>
        <v>0</v>
      </c>
      <c r="D381" s="5">
        <f>+'SERVICIO FAENA'!C380</f>
        <v>0</v>
      </c>
      <c r="E381" s="7">
        <f>+'SERVICIO FAENA'!H380</f>
        <v>0</v>
      </c>
      <c r="F381" s="6">
        <f>+'SERVICIO FAENA'!F380</f>
        <v>0</v>
      </c>
      <c r="G381" s="7">
        <f>+'SERVICIO FAENA'!J380</f>
        <v>0</v>
      </c>
      <c r="H381" s="7">
        <f>+'SERVICIO DESPOSTE'!W380</f>
        <v>0</v>
      </c>
      <c r="I381" s="36">
        <f t="shared" si="6"/>
        <v>0</v>
      </c>
      <c r="J381" s="8">
        <f>+MENUDENCIAS!I380</f>
        <v>0</v>
      </c>
      <c r="K381" s="8">
        <f>+MENUDENCIAS!O380</f>
        <v>0</v>
      </c>
      <c r="L381" s="8">
        <f>+MENUDENCIAS!P380</f>
        <v>0</v>
      </c>
      <c r="M381" s="7">
        <f>+RENDERING!H379</f>
        <v>0</v>
      </c>
      <c r="N381" s="7">
        <f>+RENDERING!F379</f>
        <v>0</v>
      </c>
      <c r="O381" s="7">
        <f>+RENDERING!J379</f>
        <v>0</v>
      </c>
      <c r="P381" s="7">
        <f>+CUEROS!N382</f>
        <v>0</v>
      </c>
      <c r="Q381" s="7">
        <f>+'GRASA DREASING'!G379</f>
        <v>0</v>
      </c>
    </row>
    <row r="382" spans="2:17" x14ac:dyDescent="0.2">
      <c r="B382" s="5">
        <f>+'SERVICIO FAENA'!A381</f>
        <v>0</v>
      </c>
      <c r="C382" s="5">
        <f>+'SERVICIO FAENA'!B381</f>
        <v>0</v>
      </c>
      <c r="D382" s="5">
        <f>+'SERVICIO FAENA'!C381</f>
        <v>0</v>
      </c>
      <c r="E382" s="7">
        <f>+'SERVICIO FAENA'!H381</f>
        <v>0</v>
      </c>
      <c r="F382" s="6">
        <f>+'SERVICIO FAENA'!F381</f>
        <v>0</v>
      </c>
      <c r="G382" s="7">
        <f>+'SERVICIO FAENA'!J381</f>
        <v>0</v>
      </c>
      <c r="H382" s="7">
        <f>+'SERVICIO DESPOSTE'!W381</f>
        <v>0</v>
      </c>
      <c r="I382" s="36">
        <f t="shared" si="6"/>
        <v>0</v>
      </c>
      <c r="J382" s="8">
        <f>+MENUDENCIAS!I381</f>
        <v>0</v>
      </c>
      <c r="K382" s="8">
        <f>+MENUDENCIAS!O381</f>
        <v>0</v>
      </c>
      <c r="L382" s="8">
        <f>+MENUDENCIAS!P381</f>
        <v>0</v>
      </c>
      <c r="M382" s="7">
        <f>+RENDERING!H380</f>
        <v>0</v>
      </c>
      <c r="N382" s="7">
        <f>+RENDERING!F380</f>
        <v>0</v>
      </c>
      <c r="O382" s="7">
        <f>+RENDERING!J380</f>
        <v>0</v>
      </c>
      <c r="P382" s="7">
        <f>+CUEROS!N383</f>
        <v>0</v>
      </c>
      <c r="Q382" s="7">
        <f>+'GRASA DREASING'!G380</f>
        <v>0</v>
      </c>
    </row>
    <row r="383" spans="2:17" x14ac:dyDescent="0.2">
      <c r="B383" s="5">
        <f>+'SERVICIO FAENA'!A382</f>
        <v>0</v>
      </c>
      <c r="C383" s="5">
        <f>+'SERVICIO FAENA'!B382</f>
        <v>0</v>
      </c>
      <c r="D383" s="5">
        <f>+'SERVICIO FAENA'!C382</f>
        <v>0</v>
      </c>
      <c r="E383" s="7">
        <f>+'SERVICIO FAENA'!H382</f>
        <v>0</v>
      </c>
      <c r="F383" s="6">
        <f>+'SERVICIO FAENA'!F382</f>
        <v>0</v>
      </c>
      <c r="G383" s="7">
        <f>+'SERVICIO FAENA'!J382</f>
        <v>0</v>
      </c>
      <c r="H383" s="7">
        <f>+'SERVICIO DESPOSTE'!W382</f>
        <v>0</v>
      </c>
      <c r="I383" s="36">
        <f t="shared" si="6"/>
        <v>0</v>
      </c>
      <c r="J383" s="8">
        <f>+MENUDENCIAS!I382</f>
        <v>0</v>
      </c>
      <c r="K383" s="8">
        <f>+MENUDENCIAS!O382</f>
        <v>0</v>
      </c>
      <c r="L383" s="8">
        <f>+MENUDENCIAS!P382</f>
        <v>0</v>
      </c>
      <c r="M383" s="7">
        <f>+RENDERING!H381</f>
        <v>0</v>
      </c>
      <c r="N383" s="7">
        <f>+RENDERING!F381</f>
        <v>0</v>
      </c>
      <c r="O383" s="7">
        <f>+RENDERING!J381</f>
        <v>0</v>
      </c>
      <c r="P383" s="7">
        <f>+CUEROS!N384</f>
        <v>0</v>
      </c>
      <c r="Q383" s="7">
        <f>+'GRASA DREASING'!G381</f>
        <v>0</v>
      </c>
    </row>
    <row r="384" spans="2:17" x14ac:dyDescent="0.2">
      <c r="B384" s="5">
        <f>+'SERVICIO FAENA'!A383</f>
        <v>0</v>
      </c>
      <c r="C384" s="5">
        <f>+'SERVICIO FAENA'!B383</f>
        <v>0</v>
      </c>
      <c r="D384" s="5">
        <f>+'SERVICIO FAENA'!C383</f>
        <v>0</v>
      </c>
      <c r="E384" s="7">
        <f>+'SERVICIO FAENA'!H383</f>
        <v>0</v>
      </c>
      <c r="F384" s="6">
        <f>+'SERVICIO FAENA'!F383</f>
        <v>0</v>
      </c>
      <c r="G384" s="7">
        <f>+'SERVICIO FAENA'!J383</f>
        <v>0</v>
      </c>
      <c r="H384" s="7">
        <f>+'SERVICIO DESPOSTE'!W383</f>
        <v>0</v>
      </c>
      <c r="I384" s="36">
        <f t="shared" si="6"/>
        <v>0</v>
      </c>
      <c r="J384" s="8">
        <f>+MENUDENCIAS!I383</f>
        <v>0</v>
      </c>
      <c r="K384" s="8">
        <f>+MENUDENCIAS!O383</f>
        <v>0</v>
      </c>
      <c r="L384" s="8">
        <f>+MENUDENCIAS!P383</f>
        <v>0</v>
      </c>
      <c r="M384" s="7">
        <f>+RENDERING!H382</f>
        <v>0</v>
      </c>
      <c r="N384" s="7">
        <f>+RENDERING!F382</f>
        <v>0</v>
      </c>
      <c r="O384" s="7">
        <f>+RENDERING!J382</f>
        <v>0</v>
      </c>
      <c r="P384" s="7">
        <f>+CUEROS!N385</f>
        <v>0</v>
      </c>
      <c r="Q384" s="7">
        <f>+'GRASA DREASING'!G382</f>
        <v>0</v>
      </c>
    </row>
    <row r="385" spans="2:17" x14ac:dyDescent="0.2">
      <c r="B385" s="5">
        <f>+'SERVICIO FAENA'!A384</f>
        <v>0</v>
      </c>
      <c r="C385" s="5">
        <f>+'SERVICIO FAENA'!B384</f>
        <v>0</v>
      </c>
      <c r="D385" s="5">
        <f>+'SERVICIO FAENA'!C384</f>
        <v>0</v>
      </c>
      <c r="E385" s="7">
        <f>+'SERVICIO FAENA'!H384</f>
        <v>0</v>
      </c>
      <c r="F385" s="6">
        <f>+'SERVICIO FAENA'!F384</f>
        <v>0</v>
      </c>
      <c r="G385" s="7">
        <f>+'SERVICIO FAENA'!J384</f>
        <v>0</v>
      </c>
      <c r="H385" s="7">
        <f>+'SERVICIO DESPOSTE'!W384</f>
        <v>0</v>
      </c>
      <c r="I385" s="36">
        <f t="shared" si="6"/>
        <v>0</v>
      </c>
      <c r="J385" s="8">
        <f>+MENUDENCIAS!I384</f>
        <v>0</v>
      </c>
      <c r="K385" s="8">
        <f>+MENUDENCIAS!O384</f>
        <v>0</v>
      </c>
      <c r="L385" s="8">
        <f>+MENUDENCIAS!P384</f>
        <v>0</v>
      </c>
      <c r="M385" s="7">
        <f>+RENDERING!H383</f>
        <v>0</v>
      </c>
      <c r="N385" s="7">
        <f>+RENDERING!F383</f>
        <v>0</v>
      </c>
      <c r="O385" s="7">
        <f>+RENDERING!J383</f>
        <v>0</v>
      </c>
      <c r="P385" s="7">
        <f>+CUEROS!N386</f>
        <v>0</v>
      </c>
      <c r="Q385" s="7">
        <f>+'GRASA DREASING'!G383</f>
        <v>0</v>
      </c>
    </row>
    <row r="386" spans="2:17" x14ac:dyDescent="0.2">
      <c r="B386" s="5">
        <f>+'SERVICIO FAENA'!A385</f>
        <v>0</v>
      </c>
      <c r="C386" s="5">
        <f>+'SERVICIO FAENA'!B385</f>
        <v>0</v>
      </c>
      <c r="D386" s="5">
        <f>+'SERVICIO FAENA'!C385</f>
        <v>0</v>
      </c>
      <c r="E386" s="7">
        <f>+'SERVICIO FAENA'!H385</f>
        <v>0</v>
      </c>
      <c r="F386" s="6">
        <f>+'SERVICIO FAENA'!F385</f>
        <v>0</v>
      </c>
      <c r="G386" s="7">
        <f>+'SERVICIO FAENA'!J385</f>
        <v>0</v>
      </c>
      <c r="H386" s="7">
        <f>+'SERVICIO DESPOSTE'!W385</f>
        <v>0</v>
      </c>
      <c r="I386" s="36">
        <f t="shared" si="6"/>
        <v>0</v>
      </c>
      <c r="J386" s="8">
        <f>+MENUDENCIAS!I385</f>
        <v>0</v>
      </c>
      <c r="K386" s="8">
        <f>+MENUDENCIAS!O385</f>
        <v>0</v>
      </c>
      <c r="L386" s="8">
        <f>+MENUDENCIAS!P385</f>
        <v>0</v>
      </c>
      <c r="M386" s="7">
        <f>+RENDERING!H384</f>
        <v>0</v>
      </c>
      <c r="N386" s="7">
        <f>+RENDERING!F384</f>
        <v>0</v>
      </c>
      <c r="O386" s="7">
        <f>+RENDERING!J384</f>
        <v>0</v>
      </c>
      <c r="P386" s="7">
        <f>+CUEROS!N387</f>
        <v>0</v>
      </c>
      <c r="Q386" s="7">
        <f>+'GRASA DREASING'!G384</f>
        <v>0</v>
      </c>
    </row>
    <row r="387" spans="2:17" x14ac:dyDescent="0.2">
      <c r="B387" s="5">
        <f>+'SERVICIO FAENA'!A386</f>
        <v>0</v>
      </c>
      <c r="C387" s="5">
        <f>+'SERVICIO FAENA'!B386</f>
        <v>0</v>
      </c>
      <c r="D387" s="5">
        <f>+'SERVICIO FAENA'!C386</f>
        <v>0</v>
      </c>
      <c r="E387" s="7">
        <f>+'SERVICIO FAENA'!H386</f>
        <v>0</v>
      </c>
      <c r="F387" s="6">
        <f>+'SERVICIO FAENA'!F386</f>
        <v>0</v>
      </c>
      <c r="G387" s="7">
        <f>+'SERVICIO FAENA'!J386</f>
        <v>0</v>
      </c>
      <c r="H387" s="7">
        <f>+'SERVICIO DESPOSTE'!W386</f>
        <v>0</v>
      </c>
      <c r="I387" s="36">
        <f t="shared" si="6"/>
        <v>0</v>
      </c>
      <c r="J387" s="8">
        <f>+MENUDENCIAS!I386</f>
        <v>0</v>
      </c>
      <c r="K387" s="8">
        <f>+MENUDENCIAS!O386</f>
        <v>0</v>
      </c>
      <c r="L387" s="8">
        <f>+MENUDENCIAS!P386</f>
        <v>0</v>
      </c>
      <c r="M387" s="7">
        <f>+RENDERING!H385</f>
        <v>0</v>
      </c>
      <c r="N387" s="7">
        <f>+RENDERING!F385</f>
        <v>0</v>
      </c>
      <c r="O387" s="7">
        <f>+RENDERING!J385</f>
        <v>0</v>
      </c>
      <c r="P387" s="7">
        <f>+CUEROS!N388</f>
        <v>0</v>
      </c>
      <c r="Q387" s="7">
        <f>+'GRASA DREASING'!G385</f>
        <v>0</v>
      </c>
    </row>
    <row r="388" spans="2:17" x14ac:dyDescent="0.2">
      <c r="B388" s="5">
        <f>+'SERVICIO FAENA'!A387</f>
        <v>0</v>
      </c>
      <c r="C388" s="5">
        <f>+'SERVICIO FAENA'!B387</f>
        <v>0</v>
      </c>
      <c r="D388" s="5">
        <f>+'SERVICIO FAENA'!C387</f>
        <v>0</v>
      </c>
      <c r="E388" s="7">
        <f>+'SERVICIO FAENA'!H387</f>
        <v>0</v>
      </c>
      <c r="F388" s="6">
        <f>+'SERVICIO FAENA'!F387</f>
        <v>0</v>
      </c>
      <c r="G388" s="7">
        <f>+'SERVICIO FAENA'!J387</f>
        <v>0</v>
      </c>
      <c r="H388" s="7">
        <f>+'SERVICIO DESPOSTE'!W387</f>
        <v>0</v>
      </c>
      <c r="I388" s="36">
        <f t="shared" si="6"/>
        <v>0</v>
      </c>
      <c r="J388" s="8">
        <f>+MENUDENCIAS!I387</f>
        <v>0</v>
      </c>
      <c r="K388" s="8">
        <f>+MENUDENCIAS!O387</f>
        <v>0</v>
      </c>
      <c r="L388" s="8">
        <f>+MENUDENCIAS!P387</f>
        <v>0</v>
      </c>
      <c r="M388" s="7">
        <f>+RENDERING!H386</f>
        <v>0</v>
      </c>
      <c r="N388" s="7">
        <f>+RENDERING!F386</f>
        <v>0</v>
      </c>
      <c r="O388" s="7">
        <f>+RENDERING!J386</f>
        <v>0</v>
      </c>
      <c r="P388" s="7">
        <f>+CUEROS!N389</f>
        <v>0</v>
      </c>
      <c r="Q388" s="7">
        <f>+'GRASA DREASING'!G386</f>
        <v>0</v>
      </c>
    </row>
    <row r="389" spans="2:17" x14ac:dyDescent="0.2">
      <c r="B389" s="5">
        <f>+'SERVICIO FAENA'!A388</f>
        <v>0</v>
      </c>
      <c r="C389" s="5">
        <f>+'SERVICIO FAENA'!B388</f>
        <v>0</v>
      </c>
      <c r="D389" s="5">
        <f>+'SERVICIO FAENA'!C388</f>
        <v>0</v>
      </c>
      <c r="E389" s="7">
        <f>+'SERVICIO FAENA'!H388</f>
        <v>0</v>
      </c>
      <c r="F389" s="6">
        <f>+'SERVICIO FAENA'!F388</f>
        <v>0</v>
      </c>
      <c r="G389" s="7">
        <f>+'SERVICIO FAENA'!J388</f>
        <v>0</v>
      </c>
      <c r="H389" s="7">
        <f>+'SERVICIO DESPOSTE'!W388</f>
        <v>0</v>
      </c>
      <c r="I389" s="36">
        <f t="shared" si="6"/>
        <v>0</v>
      </c>
      <c r="J389" s="8">
        <f>+MENUDENCIAS!I388</f>
        <v>0</v>
      </c>
      <c r="K389" s="8">
        <f>+MENUDENCIAS!O388</f>
        <v>0</v>
      </c>
      <c r="L389" s="8">
        <f>+MENUDENCIAS!P388</f>
        <v>0</v>
      </c>
      <c r="M389" s="7">
        <f>+RENDERING!H387</f>
        <v>0</v>
      </c>
      <c r="N389" s="7">
        <f>+RENDERING!F387</f>
        <v>0</v>
      </c>
      <c r="O389" s="7">
        <f>+RENDERING!J387</f>
        <v>0</v>
      </c>
      <c r="P389" s="7">
        <f>+CUEROS!N390</f>
        <v>0</v>
      </c>
      <c r="Q389" s="7">
        <f>+'GRASA DREASING'!G387</f>
        <v>0</v>
      </c>
    </row>
    <row r="390" spans="2:17" x14ac:dyDescent="0.2">
      <c r="B390" s="5">
        <f>+'SERVICIO FAENA'!A389</f>
        <v>0</v>
      </c>
      <c r="C390" s="5">
        <f>+'SERVICIO FAENA'!B389</f>
        <v>0</v>
      </c>
      <c r="D390" s="5">
        <f>+'SERVICIO FAENA'!C389</f>
        <v>0</v>
      </c>
      <c r="E390" s="7">
        <f>+'SERVICIO FAENA'!H389</f>
        <v>0</v>
      </c>
      <c r="F390" s="6">
        <f>+'SERVICIO FAENA'!F389</f>
        <v>0</v>
      </c>
      <c r="G390" s="7">
        <f>+'SERVICIO FAENA'!J389</f>
        <v>0</v>
      </c>
      <c r="H390" s="7">
        <f>+'SERVICIO DESPOSTE'!W389</f>
        <v>0</v>
      </c>
      <c r="I390" s="36">
        <f t="shared" si="6"/>
        <v>0</v>
      </c>
      <c r="J390" s="8">
        <f>+MENUDENCIAS!I389</f>
        <v>0</v>
      </c>
      <c r="K390" s="8">
        <f>+MENUDENCIAS!O389</f>
        <v>0</v>
      </c>
      <c r="L390" s="8">
        <f>+MENUDENCIAS!P389</f>
        <v>0</v>
      </c>
      <c r="M390" s="7">
        <f>+RENDERING!H388</f>
        <v>0</v>
      </c>
      <c r="N390" s="7">
        <f>+RENDERING!F388</f>
        <v>0</v>
      </c>
      <c r="O390" s="7">
        <f>+RENDERING!J388</f>
        <v>0</v>
      </c>
      <c r="P390" s="7">
        <f>+CUEROS!N391</f>
        <v>0</v>
      </c>
      <c r="Q390" s="7">
        <f>+'GRASA DREASING'!G388</f>
        <v>0</v>
      </c>
    </row>
    <row r="391" spans="2:17" x14ac:dyDescent="0.2">
      <c r="B391" s="5">
        <f>+'SERVICIO FAENA'!A390</f>
        <v>0</v>
      </c>
      <c r="C391" s="5">
        <f>+'SERVICIO FAENA'!B390</f>
        <v>0</v>
      </c>
      <c r="D391" s="5">
        <f>+'SERVICIO FAENA'!C390</f>
        <v>0</v>
      </c>
      <c r="E391" s="7">
        <f>+'SERVICIO FAENA'!H390</f>
        <v>0</v>
      </c>
      <c r="F391" s="6">
        <f>+'SERVICIO FAENA'!F390</f>
        <v>0</v>
      </c>
      <c r="G391" s="7">
        <f>+'SERVICIO FAENA'!J390</f>
        <v>0</v>
      </c>
      <c r="H391" s="7">
        <f>+'SERVICIO DESPOSTE'!W390</f>
        <v>0</v>
      </c>
      <c r="I391" s="36">
        <f t="shared" si="6"/>
        <v>0</v>
      </c>
      <c r="J391" s="8">
        <f>+MENUDENCIAS!I390</f>
        <v>0</v>
      </c>
      <c r="K391" s="8">
        <f>+MENUDENCIAS!O390</f>
        <v>0</v>
      </c>
      <c r="L391" s="8">
        <f>+MENUDENCIAS!P390</f>
        <v>0</v>
      </c>
      <c r="M391" s="7">
        <f>+RENDERING!H389</f>
        <v>0</v>
      </c>
      <c r="N391" s="7">
        <f>+RENDERING!F389</f>
        <v>0</v>
      </c>
      <c r="O391" s="7">
        <f>+RENDERING!J389</f>
        <v>0</v>
      </c>
      <c r="P391" s="7">
        <f>+CUEROS!N392</f>
        <v>0</v>
      </c>
      <c r="Q391" s="7">
        <f>+'GRASA DREASING'!G389</f>
        <v>0</v>
      </c>
    </row>
    <row r="392" spans="2:17" x14ac:dyDescent="0.2">
      <c r="B392" s="5">
        <f>+'SERVICIO FAENA'!A391</f>
        <v>0</v>
      </c>
      <c r="C392" s="5">
        <f>+'SERVICIO FAENA'!B391</f>
        <v>0</v>
      </c>
      <c r="D392" s="5">
        <f>+'SERVICIO FAENA'!C391</f>
        <v>0</v>
      </c>
      <c r="E392" s="7">
        <f>+'SERVICIO FAENA'!H391</f>
        <v>0</v>
      </c>
      <c r="F392" s="6">
        <f>+'SERVICIO FAENA'!F391</f>
        <v>0</v>
      </c>
      <c r="G392" s="7">
        <f>+'SERVICIO FAENA'!J391</f>
        <v>0</v>
      </c>
      <c r="H392" s="7">
        <f>+'SERVICIO DESPOSTE'!W391</f>
        <v>0</v>
      </c>
      <c r="I392" s="36">
        <f t="shared" si="6"/>
        <v>0</v>
      </c>
      <c r="J392" s="8">
        <f>+MENUDENCIAS!I391</f>
        <v>0</v>
      </c>
      <c r="K392" s="8">
        <f>+MENUDENCIAS!O391</f>
        <v>0</v>
      </c>
      <c r="L392" s="8">
        <f>+MENUDENCIAS!P391</f>
        <v>0</v>
      </c>
      <c r="M392" s="7">
        <f>+RENDERING!H390</f>
        <v>0</v>
      </c>
      <c r="N392" s="7">
        <f>+RENDERING!F390</f>
        <v>0</v>
      </c>
      <c r="O392" s="7">
        <f>+RENDERING!J390</f>
        <v>0</v>
      </c>
      <c r="P392" s="7">
        <f>+CUEROS!N393</f>
        <v>0</v>
      </c>
      <c r="Q392" s="7">
        <f>+'GRASA DREASING'!G390</f>
        <v>0</v>
      </c>
    </row>
    <row r="393" spans="2:17" x14ac:dyDescent="0.2">
      <c r="B393" s="5">
        <f>+'SERVICIO FAENA'!A392</f>
        <v>0</v>
      </c>
      <c r="C393" s="5">
        <f>+'SERVICIO FAENA'!B392</f>
        <v>0</v>
      </c>
      <c r="D393" s="5">
        <f>+'SERVICIO FAENA'!C392</f>
        <v>0</v>
      </c>
      <c r="E393" s="7">
        <f>+'SERVICIO FAENA'!H392</f>
        <v>0</v>
      </c>
      <c r="F393" s="6">
        <f>+'SERVICIO FAENA'!F392</f>
        <v>0</v>
      </c>
      <c r="G393" s="7">
        <f>+'SERVICIO FAENA'!J392</f>
        <v>0</v>
      </c>
      <c r="H393" s="7">
        <f>+'SERVICIO DESPOSTE'!W392</f>
        <v>0</v>
      </c>
      <c r="I393" s="36">
        <f t="shared" si="6"/>
        <v>0</v>
      </c>
      <c r="J393" s="8">
        <f>+MENUDENCIAS!I392</f>
        <v>0</v>
      </c>
      <c r="K393" s="8">
        <f>+MENUDENCIAS!O392</f>
        <v>0</v>
      </c>
      <c r="L393" s="8">
        <f>+MENUDENCIAS!P392</f>
        <v>0</v>
      </c>
      <c r="M393" s="7">
        <f>+RENDERING!H391</f>
        <v>0</v>
      </c>
      <c r="N393" s="7">
        <f>+RENDERING!F391</f>
        <v>0</v>
      </c>
      <c r="O393" s="7">
        <f>+RENDERING!J391</f>
        <v>0</v>
      </c>
      <c r="P393" s="7">
        <f>+CUEROS!N394</f>
        <v>0</v>
      </c>
      <c r="Q393" s="7">
        <f>+'GRASA DREASING'!G391</f>
        <v>0</v>
      </c>
    </row>
    <row r="394" spans="2:17" x14ac:dyDescent="0.2">
      <c r="B394" s="5">
        <f>+'SERVICIO FAENA'!A393</f>
        <v>0</v>
      </c>
      <c r="C394" s="5">
        <f>+'SERVICIO FAENA'!B393</f>
        <v>0</v>
      </c>
      <c r="D394" s="5">
        <f>+'SERVICIO FAENA'!C393</f>
        <v>0</v>
      </c>
      <c r="E394" s="7">
        <f>+'SERVICIO FAENA'!H393</f>
        <v>0</v>
      </c>
      <c r="F394" s="6">
        <f>+'SERVICIO FAENA'!F393</f>
        <v>0</v>
      </c>
      <c r="G394" s="7">
        <f>+'SERVICIO FAENA'!J393</f>
        <v>0</v>
      </c>
      <c r="H394" s="7">
        <f>+'SERVICIO DESPOSTE'!W393</f>
        <v>0</v>
      </c>
      <c r="I394" s="36">
        <f t="shared" si="6"/>
        <v>0</v>
      </c>
      <c r="J394" s="8">
        <f>+MENUDENCIAS!I393</f>
        <v>0</v>
      </c>
      <c r="K394" s="8">
        <f>+MENUDENCIAS!O393</f>
        <v>0</v>
      </c>
      <c r="L394" s="8">
        <f>+MENUDENCIAS!P393</f>
        <v>0</v>
      </c>
      <c r="M394" s="7">
        <f>+RENDERING!H392</f>
        <v>0</v>
      </c>
      <c r="N394" s="7">
        <f>+RENDERING!F392</f>
        <v>0</v>
      </c>
      <c r="O394" s="7">
        <f>+RENDERING!J392</f>
        <v>0</v>
      </c>
      <c r="P394" s="7">
        <f>+CUEROS!N395</f>
        <v>0</v>
      </c>
      <c r="Q394" s="7">
        <f>+'GRASA DREASING'!G392</f>
        <v>0</v>
      </c>
    </row>
    <row r="395" spans="2:17" x14ac:dyDescent="0.2">
      <c r="B395" s="5">
        <f>+'SERVICIO FAENA'!A394</f>
        <v>0</v>
      </c>
      <c r="C395" s="5">
        <f>+'SERVICIO FAENA'!B394</f>
        <v>0</v>
      </c>
      <c r="D395" s="5">
        <f>+'SERVICIO FAENA'!C394</f>
        <v>0</v>
      </c>
      <c r="E395" s="7">
        <f>+'SERVICIO FAENA'!H394</f>
        <v>0</v>
      </c>
      <c r="F395" s="6">
        <f>+'SERVICIO FAENA'!F394</f>
        <v>0</v>
      </c>
      <c r="G395" s="7">
        <f>+'SERVICIO FAENA'!J394</f>
        <v>0</v>
      </c>
      <c r="H395" s="7">
        <f>+'SERVICIO DESPOSTE'!W394</f>
        <v>0</v>
      </c>
      <c r="I395" s="36">
        <f t="shared" si="6"/>
        <v>0</v>
      </c>
      <c r="J395" s="8">
        <f>+MENUDENCIAS!I394</f>
        <v>0</v>
      </c>
      <c r="K395" s="8">
        <f>+MENUDENCIAS!O394</f>
        <v>0</v>
      </c>
      <c r="L395" s="8">
        <f>+MENUDENCIAS!P394</f>
        <v>0</v>
      </c>
      <c r="M395" s="7">
        <f>+RENDERING!H393</f>
        <v>0</v>
      </c>
      <c r="N395" s="7">
        <f>+RENDERING!F393</f>
        <v>0</v>
      </c>
      <c r="O395" s="7">
        <f>+RENDERING!J393</f>
        <v>0</v>
      </c>
      <c r="P395" s="7">
        <f>+CUEROS!N396</f>
        <v>0</v>
      </c>
      <c r="Q395" s="7">
        <f>+'GRASA DREASING'!G393</f>
        <v>0</v>
      </c>
    </row>
    <row r="396" spans="2:17" x14ac:dyDescent="0.2">
      <c r="B396" s="5">
        <f>+'SERVICIO FAENA'!A395</f>
        <v>0</v>
      </c>
      <c r="C396" s="5">
        <f>+'SERVICIO FAENA'!B395</f>
        <v>0</v>
      </c>
      <c r="D396" s="5">
        <f>+'SERVICIO FAENA'!C395</f>
        <v>0</v>
      </c>
      <c r="E396" s="7">
        <f>+'SERVICIO FAENA'!H395</f>
        <v>0</v>
      </c>
      <c r="F396" s="6">
        <f>+'SERVICIO FAENA'!F395</f>
        <v>0</v>
      </c>
      <c r="G396" s="7">
        <f>+'SERVICIO FAENA'!J395</f>
        <v>0</v>
      </c>
      <c r="H396" s="7">
        <f>+'SERVICIO DESPOSTE'!W395</f>
        <v>0</v>
      </c>
      <c r="I396" s="36">
        <f t="shared" si="6"/>
        <v>0</v>
      </c>
      <c r="J396" s="8">
        <f>+MENUDENCIAS!I395</f>
        <v>0</v>
      </c>
      <c r="K396" s="8">
        <f>+MENUDENCIAS!O395</f>
        <v>0</v>
      </c>
      <c r="L396" s="8">
        <f>+MENUDENCIAS!P395</f>
        <v>0</v>
      </c>
      <c r="M396" s="7">
        <f>+RENDERING!H394</f>
        <v>0</v>
      </c>
      <c r="N396" s="7">
        <f>+RENDERING!F394</f>
        <v>0</v>
      </c>
      <c r="O396" s="7">
        <f>+RENDERING!J394</f>
        <v>0</v>
      </c>
      <c r="P396" s="7">
        <f>+CUEROS!N397</f>
        <v>0</v>
      </c>
      <c r="Q396" s="7">
        <f>+'GRASA DREASING'!G394</f>
        <v>0</v>
      </c>
    </row>
    <row r="397" spans="2:17" x14ac:dyDescent="0.2">
      <c r="B397" s="5">
        <f>+'SERVICIO FAENA'!A396</f>
        <v>0</v>
      </c>
      <c r="C397" s="5">
        <f>+'SERVICIO FAENA'!B396</f>
        <v>0</v>
      </c>
      <c r="D397" s="5">
        <f>+'SERVICIO FAENA'!C396</f>
        <v>0</v>
      </c>
      <c r="E397" s="7">
        <f>+'SERVICIO FAENA'!H396</f>
        <v>0</v>
      </c>
      <c r="F397" s="6">
        <f>+'SERVICIO FAENA'!F396</f>
        <v>0</v>
      </c>
      <c r="G397" s="7">
        <f>+'SERVICIO FAENA'!J396</f>
        <v>0</v>
      </c>
      <c r="H397" s="7">
        <f>+'SERVICIO DESPOSTE'!W396</f>
        <v>0</v>
      </c>
      <c r="I397" s="36">
        <f t="shared" si="6"/>
        <v>0</v>
      </c>
      <c r="J397" s="8">
        <f>+MENUDENCIAS!I396</f>
        <v>0</v>
      </c>
      <c r="K397" s="8">
        <f>+MENUDENCIAS!O396</f>
        <v>0</v>
      </c>
      <c r="L397" s="8">
        <f>+MENUDENCIAS!P396</f>
        <v>0</v>
      </c>
      <c r="M397" s="7">
        <f>+RENDERING!H395</f>
        <v>0</v>
      </c>
      <c r="N397" s="7">
        <f>+RENDERING!F395</f>
        <v>0</v>
      </c>
      <c r="O397" s="7">
        <f>+RENDERING!J395</f>
        <v>0</v>
      </c>
      <c r="P397" s="7">
        <f>+CUEROS!N398</f>
        <v>0</v>
      </c>
      <c r="Q397" s="7">
        <f>+'GRASA DREASING'!G395</f>
        <v>0</v>
      </c>
    </row>
    <row r="398" spans="2:17" x14ac:dyDescent="0.2">
      <c r="B398" s="5">
        <f>+'SERVICIO FAENA'!A397</f>
        <v>0</v>
      </c>
      <c r="C398" s="5">
        <f>+'SERVICIO FAENA'!B397</f>
        <v>0</v>
      </c>
      <c r="D398" s="5">
        <f>+'SERVICIO FAENA'!C397</f>
        <v>0</v>
      </c>
      <c r="E398" s="7">
        <f>+'SERVICIO FAENA'!H397</f>
        <v>0</v>
      </c>
      <c r="F398" s="6">
        <f>+'SERVICIO FAENA'!F397</f>
        <v>0</v>
      </c>
      <c r="G398" s="7">
        <f>+'SERVICIO FAENA'!J397</f>
        <v>0</v>
      </c>
      <c r="H398" s="7">
        <f>+'SERVICIO DESPOSTE'!W397</f>
        <v>0</v>
      </c>
      <c r="I398" s="36">
        <f t="shared" si="6"/>
        <v>0</v>
      </c>
      <c r="J398" s="8">
        <f>+MENUDENCIAS!I397</f>
        <v>0</v>
      </c>
      <c r="K398" s="8">
        <f>+MENUDENCIAS!O397</f>
        <v>0</v>
      </c>
      <c r="L398" s="8">
        <f>+MENUDENCIAS!P397</f>
        <v>0</v>
      </c>
      <c r="M398" s="7">
        <f>+RENDERING!H396</f>
        <v>0</v>
      </c>
      <c r="N398" s="7">
        <f>+RENDERING!F396</f>
        <v>0</v>
      </c>
      <c r="O398" s="7">
        <f>+RENDERING!J396</f>
        <v>0</v>
      </c>
      <c r="P398" s="7">
        <f>+CUEROS!N399</f>
        <v>0</v>
      </c>
      <c r="Q398" s="7">
        <f>+'GRASA DREASING'!G396</f>
        <v>0</v>
      </c>
    </row>
    <row r="399" spans="2:17" x14ac:dyDescent="0.2">
      <c r="B399" s="5">
        <f>+'SERVICIO FAENA'!A398</f>
        <v>0</v>
      </c>
      <c r="C399" s="5">
        <f>+'SERVICIO FAENA'!B398</f>
        <v>0</v>
      </c>
      <c r="D399" s="5">
        <f>+'SERVICIO FAENA'!C398</f>
        <v>0</v>
      </c>
      <c r="E399" s="7">
        <f>+'SERVICIO FAENA'!H398</f>
        <v>0</v>
      </c>
      <c r="F399" s="6">
        <f>+'SERVICIO FAENA'!F398</f>
        <v>0</v>
      </c>
      <c r="G399" s="7">
        <f>+'SERVICIO FAENA'!J398</f>
        <v>0</v>
      </c>
      <c r="H399" s="7">
        <f>+'SERVICIO DESPOSTE'!W398</f>
        <v>0</v>
      </c>
      <c r="I399" s="36">
        <f t="shared" si="6"/>
        <v>0</v>
      </c>
      <c r="J399" s="8">
        <f>+MENUDENCIAS!I398</f>
        <v>0</v>
      </c>
      <c r="K399" s="8">
        <f>+MENUDENCIAS!O398</f>
        <v>0</v>
      </c>
      <c r="L399" s="8">
        <f>+MENUDENCIAS!P398</f>
        <v>0</v>
      </c>
      <c r="M399" s="7">
        <f>+RENDERING!H397</f>
        <v>0</v>
      </c>
      <c r="N399" s="7">
        <f>+RENDERING!F397</f>
        <v>0</v>
      </c>
      <c r="O399" s="7">
        <f>+RENDERING!J397</f>
        <v>0</v>
      </c>
      <c r="P399" s="7">
        <f>+CUEROS!N400</f>
        <v>0</v>
      </c>
      <c r="Q399" s="7">
        <f>+'GRASA DREASING'!G397</f>
        <v>0</v>
      </c>
    </row>
    <row r="400" spans="2:17" x14ac:dyDescent="0.2">
      <c r="B400" s="5">
        <f>+'SERVICIO FAENA'!A399</f>
        <v>0</v>
      </c>
      <c r="C400" s="5">
        <f>+'SERVICIO FAENA'!B399</f>
        <v>0</v>
      </c>
      <c r="D400" s="5">
        <f>+'SERVICIO FAENA'!C399</f>
        <v>0</v>
      </c>
      <c r="E400" s="7">
        <f>+'SERVICIO FAENA'!H399</f>
        <v>0</v>
      </c>
      <c r="F400" s="6">
        <f>+'SERVICIO FAENA'!F399</f>
        <v>0</v>
      </c>
      <c r="G400" s="7">
        <f>+'SERVICIO FAENA'!J399</f>
        <v>0</v>
      </c>
      <c r="H400" s="7">
        <f>+'SERVICIO DESPOSTE'!W399</f>
        <v>0</v>
      </c>
      <c r="I400" s="36">
        <f t="shared" si="6"/>
        <v>0</v>
      </c>
      <c r="J400" s="8">
        <f>+MENUDENCIAS!I399</f>
        <v>0</v>
      </c>
      <c r="K400" s="8">
        <f>+MENUDENCIAS!O399</f>
        <v>0</v>
      </c>
      <c r="L400" s="8">
        <f>+MENUDENCIAS!P399</f>
        <v>0</v>
      </c>
      <c r="M400" s="7">
        <f>+RENDERING!H398</f>
        <v>0</v>
      </c>
      <c r="N400" s="7">
        <f>+RENDERING!F398</f>
        <v>0</v>
      </c>
      <c r="O400" s="7">
        <f>+RENDERING!J398</f>
        <v>0</v>
      </c>
      <c r="P400" s="7">
        <f>+CUEROS!N401</f>
        <v>0</v>
      </c>
      <c r="Q400" s="7">
        <f>+'GRASA DREASING'!G398</f>
        <v>0</v>
      </c>
    </row>
    <row r="401" spans="2:17" x14ac:dyDescent="0.2">
      <c r="B401" s="5">
        <f>+'SERVICIO FAENA'!A400</f>
        <v>0</v>
      </c>
      <c r="C401" s="5">
        <f>+'SERVICIO FAENA'!B400</f>
        <v>0</v>
      </c>
      <c r="D401" s="5">
        <f>+'SERVICIO FAENA'!C400</f>
        <v>0</v>
      </c>
      <c r="E401" s="7">
        <f>+'SERVICIO FAENA'!H400</f>
        <v>0</v>
      </c>
      <c r="F401" s="6">
        <f>+'SERVICIO FAENA'!F400</f>
        <v>0</v>
      </c>
      <c r="G401" s="7">
        <f>+'SERVICIO FAENA'!J400</f>
        <v>0</v>
      </c>
      <c r="H401" s="7">
        <f>+'SERVICIO DESPOSTE'!W400</f>
        <v>0</v>
      </c>
      <c r="I401" s="36">
        <f t="shared" si="6"/>
        <v>0</v>
      </c>
      <c r="J401" s="8">
        <f>+MENUDENCIAS!I400</f>
        <v>0</v>
      </c>
      <c r="K401" s="8">
        <f>+MENUDENCIAS!O400</f>
        <v>0</v>
      </c>
      <c r="L401" s="8">
        <f>+MENUDENCIAS!P400</f>
        <v>0</v>
      </c>
      <c r="M401" s="7">
        <f>+RENDERING!H399</f>
        <v>0</v>
      </c>
      <c r="N401" s="7">
        <f>+RENDERING!F399</f>
        <v>0</v>
      </c>
      <c r="O401" s="7">
        <f>+RENDERING!J399</f>
        <v>0</v>
      </c>
      <c r="P401" s="7">
        <f>+CUEROS!N402</f>
        <v>0</v>
      </c>
      <c r="Q401" s="7">
        <f>+'GRASA DREASING'!G399</f>
        <v>0</v>
      </c>
    </row>
    <row r="402" spans="2:17" x14ac:dyDescent="0.2">
      <c r="B402" s="5">
        <f>+'SERVICIO FAENA'!A401</f>
        <v>0</v>
      </c>
      <c r="C402" s="5">
        <f>+'SERVICIO FAENA'!B401</f>
        <v>0</v>
      </c>
      <c r="D402" s="5">
        <f>+'SERVICIO FAENA'!C401</f>
        <v>0</v>
      </c>
      <c r="E402" s="7">
        <f>+'SERVICIO FAENA'!H401</f>
        <v>0</v>
      </c>
      <c r="F402" s="6">
        <f>+'SERVICIO FAENA'!F401</f>
        <v>0</v>
      </c>
      <c r="G402" s="7">
        <f>+'SERVICIO FAENA'!J401</f>
        <v>0</v>
      </c>
      <c r="H402" s="7">
        <f>+'SERVICIO DESPOSTE'!W401</f>
        <v>0</v>
      </c>
      <c r="I402" s="36">
        <f t="shared" si="6"/>
        <v>0</v>
      </c>
      <c r="J402" s="8">
        <f>+MENUDENCIAS!I401</f>
        <v>0</v>
      </c>
      <c r="K402" s="8">
        <f>+MENUDENCIAS!O401</f>
        <v>0</v>
      </c>
      <c r="L402" s="8">
        <f>+MENUDENCIAS!P401</f>
        <v>0</v>
      </c>
      <c r="M402" s="7">
        <f>+RENDERING!H400</f>
        <v>0</v>
      </c>
      <c r="N402" s="7">
        <f>+RENDERING!F400</f>
        <v>0</v>
      </c>
      <c r="O402" s="7">
        <f>+RENDERING!J400</f>
        <v>0</v>
      </c>
      <c r="P402" s="7">
        <f>+CUEROS!N403</f>
        <v>0</v>
      </c>
      <c r="Q402" s="7">
        <f>+'GRASA DREASING'!G400</f>
        <v>0</v>
      </c>
    </row>
    <row r="403" spans="2:17" x14ac:dyDescent="0.2">
      <c r="B403" s="5">
        <f>+'SERVICIO FAENA'!A402</f>
        <v>0</v>
      </c>
      <c r="C403" s="5">
        <f>+'SERVICIO FAENA'!B402</f>
        <v>0</v>
      </c>
      <c r="D403" s="5">
        <f>+'SERVICIO FAENA'!C402</f>
        <v>0</v>
      </c>
      <c r="E403" s="7">
        <f>+'SERVICIO FAENA'!H402</f>
        <v>0</v>
      </c>
      <c r="F403" s="6">
        <f>+'SERVICIO FAENA'!F402</f>
        <v>0</v>
      </c>
      <c r="G403" s="7">
        <f>+'SERVICIO FAENA'!J402</f>
        <v>0</v>
      </c>
      <c r="H403" s="7">
        <f>+'SERVICIO DESPOSTE'!W402</f>
        <v>0</v>
      </c>
      <c r="I403" s="36">
        <f t="shared" si="6"/>
        <v>0</v>
      </c>
      <c r="J403" s="8">
        <f>+MENUDENCIAS!I402</f>
        <v>0</v>
      </c>
      <c r="K403" s="8">
        <f>+MENUDENCIAS!O402</f>
        <v>0</v>
      </c>
      <c r="L403" s="8">
        <f>+MENUDENCIAS!P402</f>
        <v>0</v>
      </c>
      <c r="M403" s="7">
        <f>+RENDERING!H401</f>
        <v>0</v>
      </c>
      <c r="N403" s="7">
        <f>+RENDERING!F401</f>
        <v>0</v>
      </c>
      <c r="O403" s="7">
        <f>+RENDERING!J401</f>
        <v>0</v>
      </c>
      <c r="P403" s="7">
        <f>+CUEROS!N404</f>
        <v>0</v>
      </c>
      <c r="Q403" s="7">
        <f>+'GRASA DREASING'!G401</f>
        <v>0</v>
      </c>
    </row>
    <row r="404" spans="2:17" x14ac:dyDescent="0.2">
      <c r="B404" s="5">
        <f>+'SERVICIO FAENA'!A403</f>
        <v>0</v>
      </c>
      <c r="C404" s="5">
        <f>+'SERVICIO FAENA'!B403</f>
        <v>0</v>
      </c>
      <c r="D404" s="5">
        <f>+'SERVICIO FAENA'!C403</f>
        <v>0</v>
      </c>
      <c r="E404" s="7">
        <f>+'SERVICIO FAENA'!H403</f>
        <v>0</v>
      </c>
      <c r="F404" s="6">
        <f>+'SERVICIO FAENA'!F403</f>
        <v>0</v>
      </c>
      <c r="G404" s="7">
        <f>+'SERVICIO FAENA'!J403</f>
        <v>0</v>
      </c>
      <c r="H404" s="7">
        <f>+'SERVICIO DESPOSTE'!W403</f>
        <v>0</v>
      </c>
      <c r="I404" s="36">
        <f t="shared" si="6"/>
        <v>0</v>
      </c>
      <c r="J404" s="8">
        <f>+MENUDENCIAS!I403</f>
        <v>0</v>
      </c>
      <c r="K404" s="8">
        <f>+MENUDENCIAS!O403</f>
        <v>0</v>
      </c>
      <c r="L404" s="8">
        <f>+MENUDENCIAS!P403</f>
        <v>0</v>
      </c>
      <c r="M404" s="7">
        <f>+RENDERING!H402</f>
        <v>0</v>
      </c>
      <c r="N404" s="7">
        <f>+RENDERING!F402</f>
        <v>0</v>
      </c>
      <c r="O404" s="7">
        <f>+RENDERING!J402</f>
        <v>0</v>
      </c>
      <c r="P404" s="7">
        <f>+CUEROS!N405</f>
        <v>0</v>
      </c>
      <c r="Q404" s="7">
        <f>+'GRASA DREASING'!G402</f>
        <v>0</v>
      </c>
    </row>
    <row r="405" spans="2:17" x14ac:dyDescent="0.2">
      <c r="B405" s="5">
        <f>+'SERVICIO FAENA'!A404</f>
        <v>0</v>
      </c>
      <c r="C405" s="5">
        <f>+'SERVICIO FAENA'!B404</f>
        <v>0</v>
      </c>
      <c r="D405" s="5">
        <f>+'SERVICIO FAENA'!C404</f>
        <v>0</v>
      </c>
      <c r="E405" s="7">
        <f>+'SERVICIO FAENA'!H404</f>
        <v>0</v>
      </c>
      <c r="F405" s="6">
        <f>+'SERVICIO FAENA'!F404</f>
        <v>0</v>
      </c>
      <c r="G405" s="7">
        <f>+'SERVICIO FAENA'!J404</f>
        <v>0</v>
      </c>
      <c r="H405" s="7">
        <f>+'SERVICIO DESPOSTE'!W404</f>
        <v>0</v>
      </c>
      <c r="I405" s="36">
        <f t="shared" si="6"/>
        <v>0</v>
      </c>
      <c r="J405" s="8">
        <f>+MENUDENCIAS!I404</f>
        <v>0</v>
      </c>
      <c r="K405" s="8">
        <f>+MENUDENCIAS!O404</f>
        <v>0</v>
      </c>
      <c r="L405" s="8">
        <f>+MENUDENCIAS!P404</f>
        <v>0</v>
      </c>
      <c r="M405" s="7">
        <f>+RENDERING!H403</f>
        <v>0</v>
      </c>
      <c r="N405" s="7">
        <f>+RENDERING!F403</f>
        <v>0</v>
      </c>
      <c r="O405" s="7">
        <f>+RENDERING!J403</f>
        <v>0</v>
      </c>
      <c r="P405" s="7">
        <f>+CUEROS!N406</f>
        <v>0</v>
      </c>
      <c r="Q405" s="7">
        <f>+'GRASA DREASING'!G403</f>
        <v>0</v>
      </c>
    </row>
    <row r="406" spans="2:17" x14ac:dyDescent="0.2">
      <c r="B406" s="5">
        <f>+'SERVICIO FAENA'!A405</f>
        <v>0</v>
      </c>
      <c r="C406" s="5">
        <f>+'SERVICIO FAENA'!B405</f>
        <v>0</v>
      </c>
      <c r="D406" s="5">
        <f>+'SERVICIO FAENA'!C405</f>
        <v>0</v>
      </c>
      <c r="E406" s="7">
        <f>+'SERVICIO FAENA'!H405</f>
        <v>0</v>
      </c>
      <c r="F406" s="6">
        <f>+'SERVICIO FAENA'!F405</f>
        <v>0</v>
      </c>
      <c r="G406" s="7">
        <f>+'SERVICIO FAENA'!J405</f>
        <v>0</v>
      </c>
      <c r="H406" s="7">
        <f>+'SERVICIO DESPOSTE'!W405</f>
        <v>0</v>
      </c>
      <c r="I406" s="36">
        <f t="shared" si="6"/>
        <v>0</v>
      </c>
      <c r="J406" s="8">
        <f>+MENUDENCIAS!I405</f>
        <v>0</v>
      </c>
      <c r="K406" s="8">
        <f>+MENUDENCIAS!O405</f>
        <v>0</v>
      </c>
      <c r="L406" s="8">
        <f>+MENUDENCIAS!P405</f>
        <v>0</v>
      </c>
      <c r="M406" s="7">
        <f>+RENDERING!H404</f>
        <v>0</v>
      </c>
      <c r="N406" s="7">
        <f>+RENDERING!F404</f>
        <v>0</v>
      </c>
      <c r="O406" s="7">
        <f>+RENDERING!J404</f>
        <v>0</v>
      </c>
      <c r="P406" s="7">
        <f>+CUEROS!N407</f>
        <v>0</v>
      </c>
      <c r="Q406" s="7">
        <f>+'GRASA DREASING'!G404</f>
        <v>0</v>
      </c>
    </row>
    <row r="407" spans="2:17" x14ac:dyDescent="0.2">
      <c r="B407" s="5">
        <f>+'SERVICIO FAENA'!A406</f>
        <v>0</v>
      </c>
      <c r="C407" s="5">
        <f>+'SERVICIO FAENA'!B406</f>
        <v>0</v>
      </c>
      <c r="D407" s="5">
        <f>+'SERVICIO FAENA'!C406</f>
        <v>0</v>
      </c>
      <c r="E407" s="7">
        <f>+'SERVICIO FAENA'!H406</f>
        <v>0</v>
      </c>
      <c r="F407" s="6">
        <f>+'SERVICIO FAENA'!F406</f>
        <v>0</v>
      </c>
      <c r="G407" s="7">
        <f>+'SERVICIO FAENA'!J406</f>
        <v>0</v>
      </c>
      <c r="H407" s="7">
        <f>+'SERVICIO DESPOSTE'!W406</f>
        <v>0</v>
      </c>
      <c r="I407" s="36">
        <f t="shared" si="6"/>
        <v>0</v>
      </c>
      <c r="J407" s="8">
        <f>+MENUDENCIAS!I406</f>
        <v>0</v>
      </c>
      <c r="K407" s="8">
        <f>+MENUDENCIAS!O406</f>
        <v>0</v>
      </c>
      <c r="L407" s="8">
        <f>+MENUDENCIAS!P406</f>
        <v>0</v>
      </c>
      <c r="M407" s="7">
        <f>+RENDERING!H405</f>
        <v>0</v>
      </c>
      <c r="N407" s="7">
        <f>+RENDERING!F405</f>
        <v>0</v>
      </c>
      <c r="O407" s="7">
        <f>+RENDERING!J405</f>
        <v>0</v>
      </c>
      <c r="P407" s="7">
        <f>+CUEROS!N408</f>
        <v>0</v>
      </c>
      <c r="Q407" s="7">
        <f>+'GRASA DREASING'!G405</f>
        <v>0</v>
      </c>
    </row>
    <row r="408" spans="2:17" x14ac:dyDescent="0.2">
      <c r="B408" s="5">
        <f>+'SERVICIO FAENA'!A407</f>
        <v>0</v>
      </c>
      <c r="C408" s="5">
        <f>+'SERVICIO FAENA'!B407</f>
        <v>0</v>
      </c>
      <c r="D408" s="5">
        <f>+'SERVICIO FAENA'!C407</f>
        <v>0</v>
      </c>
      <c r="E408" s="7">
        <f>+'SERVICIO FAENA'!H407</f>
        <v>0</v>
      </c>
      <c r="F408" s="6">
        <f>+'SERVICIO FAENA'!F407</f>
        <v>0</v>
      </c>
      <c r="G408" s="7">
        <f>+'SERVICIO FAENA'!J407</f>
        <v>0</v>
      </c>
      <c r="H408" s="7">
        <f>+'SERVICIO DESPOSTE'!W407</f>
        <v>0</v>
      </c>
      <c r="I408" s="36">
        <f t="shared" si="6"/>
        <v>0</v>
      </c>
      <c r="J408" s="8">
        <f>+MENUDENCIAS!I407</f>
        <v>0</v>
      </c>
      <c r="K408" s="8">
        <f>+MENUDENCIAS!O407</f>
        <v>0</v>
      </c>
      <c r="L408" s="8">
        <f>+MENUDENCIAS!P407</f>
        <v>0</v>
      </c>
      <c r="M408" s="7">
        <f>+RENDERING!H406</f>
        <v>0</v>
      </c>
      <c r="N408" s="7">
        <f>+RENDERING!F406</f>
        <v>0</v>
      </c>
      <c r="O408" s="7">
        <f>+RENDERING!J406</f>
        <v>0</v>
      </c>
      <c r="P408" s="7">
        <f>+CUEROS!N409</f>
        <v>0</v>
      </c>
      <c r="Q408" s="7">
        <f>+'GRASA DREASING'!G406</f>
        <v>0</v>
      </c>
    </row>
    <row r="409" spans="2:17" x14ac:dyDescent="0.2">
      <c r="B409" s="5">
        <f>+'SERVICIO FAENA'!A408</f>
        <v>0</v>
      </c>
      <c r="C409" s="5">
        <f>+'SERVICIO FAENA'!B408</f>
        <v>0</v>
      </c>
      <c r="D409" s="5">
        <f>+'SERVICIO FAENA'!C408</f>
        <v>0</v>
      </c>
      <c r="E409" s="7">
        <f>+'SERVICIO FAENA'!H408</f>
        <v>0</v>
      </c>
      <c r="F409" s="6">
        <f>+'SERVICIO FAENA'!F408</f>
        <v>0</v>
      </c>
      <c r="G409" s="7">
        <f>+'SERVICIO FAENA'!J408</f>
        <v>0</v>
      </c>
      <c r="H409" s="7">
        <f>+'SERVICIO DESPOSTE'!W408</f>
        <v>0</v>
      </c>
      <c r="I409" s="36">
        <f t="shared" si="6"/>
        <v>0</v>
      </c>
      <c r="J409" s="8">
        <f>+MENUDENCIAS!I408</f>
        <v>0</v>
      </c>
      <c r="K409" s="8">
        <f>+MENUDENCIAS!O408</f>
        <v>0</v>
      </c>
      <c r="L409" s="8">
        <f>+MENUDENCIAS!P408</f>
        <v>0</v>
      </c>
      <c r="M409" s="7">
        <f>+RENDERING!H407</f>
        <v>0</v>
      </c>
      <c r="N409" s="7">
        <f>+RENDERING!F407</f>
        <v>0</v>
      </c>
      <c r="O409" s="7">
        <f>+RENDERING!J407</f>
        <v>0</v>
      </c>
      <c r="P409" s="7">
        <f>+CUEROS!N410</f>
        <v>0</v>
      </c>
      <c r="Q409" s="7">
        <f>+'GRASA DREASING'!G407</f>
        <v>0</v>
      </c>
    </row>
    <row r="410" spans="2:17" x14ac:dyDescent="0.2">
      <c r="B410" s="5">
        <f>+'SERVICIO FAENA'!A409</f>
        <v>0</v>
      </c>
      <c r="C410" s="5">
        <f>+'SERVICIO FAENA'!B409</f>
        <v>0</v>
      </c>
      <c r="D410" s="5">
        <f>+'SERVICIO FAENA'!C409</f>
        <v>0</v>
      </c>
      <c r="E410" s="7">
        <f>+'SERVICIO FAENA'!H409</f>
        <v>0</v>
      </c>
      <c r="F410" s="6">
        <f>+'SERVICIO FAENA'!F409</f>
        <v>0</v>
      </c>
      <c r="G410" s="7">
        <f>+'SERVICIO FAENA'!J409</f>
        <v>0</v>
      </c>
      <c r="H410" s="7">
        <f>+'SERVICIO DESPOSTE'!W409</f>
        <v>0</v>
      </c>
      <c r="I410" s="36">
        <f t="shared" si="6"/>
        <v>0</v>
      </c>
      <c r="J410" s="8">
        <f>+MENUDENCIAS!I409</f>
        <v>0</v>
      </c>
      <c r="K410" s="8">
        <f>+MENUDENCIAS!O409</f>
        <v>0</v>
      </c>
      <c r="L410" s="8">
        <f>+MENUDENCIAS!P409</f>
        <v>0</v>
      </c>
      <c r="M410" s="7">
        <f>+RENDERING!H408</f>
        <v>0</v>
      </c>
      <c r="N410" s="7">
        <f>+RENDERING!F408</f>
        <v>0</v>
      </c>
      <c r="O410" s="7">
        <f>+RENDERING!J408</f>
        <v>0</v>
      </c>
      <c r="P410" s="7">
        <f>+CUEROS!N411</f>
        <v>0</v>
      </c>
      <c r="Q410" s="7">
        <f>+'GRASA DREASING'!G408</f>
        <v>0</v>
      </c>
    </row>
    <row r="411" spans="2:17" x14ac:dyDescent="0.2">
      <c r="B411" s="5">
        <f>+'SERVICIO FAENA'!A410</f>
        <v>0</v>
      </c>
      <c r="C411" s="5">
        <f>+'SERVICIO FAENA'!B410</f>
        <v>0</v>
      </c>
      <c r="D411" s="5">
        <f>+'SERVICIO FAENA'!C410</f>
        <v>0</v>
      </c>
      <c r="E411" s="7">
        <f>+'SERVICIO FAENA'!H410</f>
        <v>0</v>
      </c>
      <c r="F411" s="6">
        <f>+'SERVICIO FAENA'!F410</f>
        <v>0</v>
      </c>
      <c r="G411" s="7">
        <f>+'SERVICIO FAENA'!J410</f>
        <v>0</v>
      </c>
      <c r="H411" s="7">
        <f>+'SERVICIO DESPOSTE'!W410</f>
        <v>0</v>
      </c>
      <c r="I411" s="36">
        <f t="shared" si="6"/>
        <v>0</v>
      </c>
      <c r="J411" s="8">
        <f>+MENUDENCIAS!I410</f>
        <v>0</v>
      </c>
      <c r="K411" s="8">
        <f>+MENUDENCIAS!O410</f>
        <v>0</v>
      </c>
      <c r="L411" s="8">
        <f>+MENUDENCIAS!P410</f>
        <v>0</v>
      </c>
      <c r="M411" s="7">
        <f>+RENDERING!H409</f>
        <v>0</v>
      </c>
      <c r="N411" s="7">
        <f>+RENDERING!F409</f>
        <v>0</v>
      </c>
      <c r="O411" s="7">
        <f>+RENDERING!J409</f>
        <v>0</v>
      </c>
      <c r="P411" s="7">
        <f>+CUEROS!N412</f>
        <v>0</v>
      </c>
      <c r="Q411" s="7">
        <f>+'GRASA DREASING'!G409</f>
        <v>0</v>
      </c>
    </row>
    <row r="412" spans="2:17" x14ac:dyDescent="0.2">
      <c r="B412" s="5">
        <f>+'SERVICIO FAENA'!A411</f>
        <v>0</v>
      </c>
      <c r="C412" s="5">
        <f>+'SERVICIO FAENA'!B411</f>
        <v>0</v>
      </c>
      <c r="D412" s="5">
        <f>+'SERVICIO FAENA'!C411</f>
        <v>0</v>
      </c>
      <c r="E412" s="7">
        <f>+'SERVICIO FAENA'!H411</f>
        <v>0</v>
      </c>
      <c r="F412" s="6">
        <f>+'SERVICIO FAENA'!F411</f>
        <v>0</v>
      </c>
      <c r="G412" s="7">
        <f>+'SERVICIO FAENA'!J411</f>
        <v>0</v>
      </c>
      <c r="H412" s="7">
        <f>+'SERVICIO DESPOSTE'!W411</f>
        <v>0</v>
      </c>
      <c r="I412" s="36">
        <f t="shared" si="6"/>
        <v>0</v>
      </c>
      <c r="J412" s="8">
        <f>+MENUDENCIAS!I411</f>
        <v>0</v>
      </c>
      <c r="K412" s="8">
        <f>+MENUDENCIAS!O411</f>
        <v>0</v>
      </c>
      <c r="L412" s="8">
        <f>+MENUDENCIAS!P411</f>
        <v>0</v>
      </c>
      <c r="M412" s="7">
        <f>+RENDERING!H410</f>
        <v>0</v>
      </c>
      <c r="N412" s="7">
        <f>+RENDERING!F410</f>
        <v>0</v>
      </c>
      <c r="O412" s="7">
        <f>+RENDERING!J410</f>
        <v>0</v>
      </c>
      <c r="P412" s="7">
        <f>+CUEROS!N413</f>
        <v>0</v>
      </c>
      <c r="Q412" s="7">
        <f>+'GRASA DREASING'!G410</f>
        <v>0</v>
      </c>
    </row>
    <row r="413" spans="2:17" x14ac:dyDescent="0.2">
      <c r="B413" s="5">
        <f>+'SERVICIO FAENA'!A412</f>
        <v>0</v>
      </c>
      <c r="C413" s="5">
        <f>+'SERVICIO FAENA'!B412</f>
        <v>0</v>
      </c>
      <c r="D413" s="5">
        <f>+'SERVICIO FAENA'!C412</f>
        <v>0</v>
      </c>
      <c r="E413" s="7">
        <f>+'SERVICIO FAENA'!H412</f>
        <v>0</v>
      </c>
      <c r="F413" s="6">
        <f>+'SERVICIO FAENA'!F412</f>
        <v>0</v>
      </c>
      <c r="G413" s="7">
        <f>+'SERVICIO FAENA'!J412</f>
        <v>0</v>
      </c>
      <c r="H413" s="7">
        <f>+'SERVICIO DESPOSTE'!W412</f>
        <v>0</v>
      </c>
      <c r="I413" s="36">
        <f t="shared" si="6"/>
        <v>0</v>
      </c>
      <c r="J413" s="8">
        <f>+MENUDENCIAS!I412</f>
        <v>0</v>
      </c>
      <c r="K413" s="8">
        <f>+MENUDENCIAS!O412</f>
        <v>0</v>
      </c>
      <c r="L413" s="8">
        <f>+MENUDENCIAS!P412</f>
        <v>0</v>
      </c>
      <c r="M413" s="7">
        <f>+RENDERING!H411</f>
        <v>0</v>
      </c>
      <c r="N413" s="7">
        <f>+RENDERING!F411</f>
        <v>0</v>
      </c>
      <c r="O413" s="7">
        <f>+RENDERING!J411</f>
        <v>0</v>
      </c>
      <c r="P413" s="7">
        <f>+CUEROS!N414</f>
        <v>0</v>
      </c>
      <c r="Q413" s="7">
        <f>+'GRASA DREASING'!G411</f>
        <v>0</v>
      </c>
    </row>
    <row r="414" spans="2:17" x14ac:dyDescent="0.2">
      <c r="B414" s="5">
        <f>+'SERVICIO FAENA'!A413</f>
        <v>0</v>
      </c>
      <c r="C414" s="5">
        <f>+'SERVICIO FAENA'!B413</f>
        <v>0</v>
      </c>
      <c r="D414" s="5">
        <f>+'SERVICIO FAENA'!C413</f>
        <v>0</v>
      </c>
      <c r="E414" s="7">
        <f>+'SERVICIO FAENA'!H413</f>
        <v>0</v>
      </c>
      <c r="F414" s="6">
        <f>+'SERVICIO FAENA'!F413</f>
        <v>0</v>
      </c>
      <c r="G414" s="7">
        <f>+'SERVICIO FAENA'!J413</f>
        <v>0</v>
      </c>
      <c r="H414" s="7">
        <f>+'SERVICIO DESPOSTE'!W413</f>
        <v>0</v>
      </c>
      <c r="I414" s="36">
        <f t="shared" si="6"/>
        <v>0</v>
      </c>
      <c r="J414" s="8">
        <f>+MENUDENCIAS!I413</f>
        <v>0</v>
      </c>
      <c r="K414" s="8">
        <f>+MENUDENCIAS!O413</f>
        <v>0</v>
      </c>
      <c r="L414" s="8">
        <f>+MENUDENCIAS!P413</f>
        <v>0</v>
      </c>
      <c r="M414" s="7">
        <f>+RENDERING!H412</f>
        <v>0</v>
      </c>
      <c r="N414" s="7">
        <f>+RENDERING!F412</f>
        <v>0</v>
      </c>
      <c r="O414" s="7">
        <f>+RENDERING!J412</f>
        <v>0</v>
      </c>
      <c r="P414" s="7">
        <f>+CUEROS!N415</f>
        <v>0</v>
      </c>
      <c r="Q414" s="7">
        <f>+'GRASA DREASING'!G412</f>
        <v>0</v>
      </c>
    </row>
    <row r="415" spans="2:17" x14ac:dyDescent="0.2">
      <c r="B415" s="5">
        <f>+'SERVICIO FAENA'!A414</f>
        <v>0</v>
      </c>
      <c r="C415" s="5">
        <f>+'SERVICIO FAENA'!B414</f>
        <v>0</v>
      </c>
      <c r="D415" s="5">
        <f>+'SERVICIO FAENA'!C414</f>
        <v>0</v>
      </c>
      <c r="E415" s="7">
        <f>+'SERVICIO FAENA'!H414</f>
        <v>0</v>
      </c>
      <c r="F415" s="6">
        <f>+'SERVICIO FAENA'!F414</f>
        <v>0</v>
      </c>
      <c r="G415" s="7">
        <f>+'SERVICIO FAENA'!J414</f>
        <v>0</v>
      </c>
      <c r="H415" s="7">
        <f>+'SERVICIO DESPOSTE'!W414</f>
        <v>0</v>
      </c>
      <c r="I415" s="36">
        <f t="shared" si="6"/>
        <v>0</v>
      </c>
      <c r="J415" s="8">
        <f>+MENUDENCIAS!I414</f>
        <v>0</v>
      </c>
      <c r="K415" s="8">
        <f>+MENUDENCIAS!O414</f>
        <v>0</v>
      </c>
      <c r="L415" s="8">
        <f>+MENUDENCIAS!P414</f>
        <v>0</v>
      </c>
      <c r="M415" s="7">
        <f>+RENDERING!H413</f>
        <v>0</v>
      </c>
      <c r="N415" s="7">
        <f>+RENDERING!F413</f>
        <v>0</v>
      </c>
      <c r="O415" s="7">
        <f>+RENDERING!J413</f>
        <v>0</v>
      </c>
      <c r="P415" s="7">
        <f>+CUEROS!N416</f>
        <v>0</v>
      </c>
      <c r="Q415" s="7">
        <f>+'GRASA DREASING'!G413</f>
        <v>0</v>
      </c>
    </row>
    <row r="416" spans="2:17" x14ac:dyDescent="0.2">
      <c r="B416" s="5">
        <f>+'SERVICIO FAENA'!A415</f>
        <v>0</v>
      </c>
      <c r="C416" s="5">
        <f>+'SERVICIO FAENA'!B415</f>
        <v>0</v>
      </c>
      <c r="D416" s="5">
        <f>+'SERVICIO FAENA'!C415</f>
        <v>0</v>
      </c>
      <c r="E416" s="7">
        <f>+'SERVICIO FAENA'!H415</f>
        <v>0</v>
      </c>
      <c r="F416" s="6">
        <f>+'SERVICIO FAENA'!F415</f>
        <v>0</v>
      </c>
      <c r="G416" s="7">
        <f>+'SERVICIO FAENA'!J415</f>
        <v>0</v>
      </c>
      <c r="H416" s="7">
        <f>+'SERVICIO DESPOSTE'!W415</f>
        <v>0</v>
      </c>
      <c r="I416" s="36">
        <f t="shared" si="6"/>
        <v>0</v>
      </c>
      <c r="J416" s="8">
        <f>+MENUDENCIAS!I415</f>
        <v>0</v>
      </c>
      <c r="K416" s="8">
        <f>+MENUDENCIAS!O415</f>
        <v>0</v>
      </c>
      <c r="L416" s="8">
        <f>+MENUDENCIAS!P415</f>
        <v>0</v>
      </c>
      <c r="M416" s="7">
        <f>+RENDERING!H414</f>
        <v>0</v>
      </c>
      <c r="N416" s="7">
        <f>+RENDERING!F414</f>
        <v>0</v>
      </c>
      <c r="O416" s="7">
        <f>+RENDERING!J414</f>
        <v>0</v>
      </c>
      <c r="P416" s="7">
        <f>+CUEROS!N417</f>
        <v>0</v>
      </c>
      <c r="Q416" s="7">
        <f>+'GRASA DREASING'!G414</f>
        <v>0</v>
      </c>
    </row>
    <row r="417" spans="2:17" x14ac:dyDescent="0.2">
      <c r="B417" s="5">
        <f>+'SERVICIO FAENA'!A416</f>
        <v>0</v>
      </c>
      <c r="C417" s="5">
        <f>+'SERVICIO FAENA'!B416</f>
        <v>0</v>
      </c>
      <c r="D417" s="5">
        <f>+'SERVICIO FAENA'!C416</f>
        <v>0</v>
      </c>
      <c r="E417" s="7">
        <f>+'SERVICIO FAENA'!H416</f>
        <v>0</v>
      </c>
      <c r="F417" s="6">
        <f>+'SERVICIO FAENA'!F416</f>
        <v>0</v>
      </c>
      <c r="G417" s="7">
        <f>+'SERVICIO FAENA'!J416</f>
        <v>0</v>
      </c>
      <c r="H417" s="7">
        <f>+'SERVICIO DESPOSTE'!W416</f>
        <v>0</v>
      </c>
      <c r="I417" s="36">
        <f t="shared" si="6"/>
        <v>0</v>
      </c>
      <c r="J417" s="8">
        <f>+MENUDENCIAS!I416</f>
        <v>0</v>
      </c>
      <c r="K417" s="8">
        <f>+MENUDENCIAS!O416</f>
        <v>0</v>
      </c>
      <c r="L417" s="8">
        <f>+MENUDENCIAS!P416</f>
        <v>0</v>
      </c>
      <c r="M417" s="7">
        <f>+RENDERING!H415</f>
        <v>0</v>
      </c>
      <c r="N417" s="7">
        <f>+RENDERING!F415</f>
        <v>0</v>
      </c>
      <c r="O417" s="7">
        <f>+RENDERING!J415</f>
        <v>0</v>
      </c>
      <c r="P417" s="7">
        <f>+CUEROS!N418</f>
        <v>0</v>
      </c>
      <c r="Q417" s="7">
        <f>+'GRASA DREASING'!G415</f>
        <v>0</v>
      </c>
    </row>
    <row r="418" spans="2:17" x14ac:dyDescent="0.2">
      <c r="B418" s="5">
        <f>+'SERVICIO FAENA'!A417</f>
        <v>0</v>
      </c>
      <c r="C418" s="5">
        <f>+'SERVICIO FAENA'!B417</f>
        <v>0</v>
      </c>
      <c r="D418" s="5">
        <f>+'SERVICIO FAENA'!C417</f>
        <v>0</v>
      </c>
      <c r="E418" s="7">
        <f>+'SERVICIO FAENA'!H417</f>
        <v>0</v>
      </c>
      <c r="F418" s="6">
        <f>+'SERVICIO FAENA'!F417</f>
        <v>0</v>
      </c>
      <c r="G418" s="7">
        <f>+'SERVICIO FAENA'!J417</f>
        <v>0</v>
      </c>
      <c r="H418" s="7">
        <f>+'SERVICIO DESPOSTE'!W417</f>
        <v>0</v>
      </c>
      <c r="I418" s="36">
        <f t="shared" si="6"/>
        <v>0</v>
      </c>
      <c r="J418" s="8">
        <f>+MENUDENCIAS!I417</f>
        <v>0</v>
      </c>
      <c r="K418" s="8">
        <f>+MENUDENCIAS!O417</f>
        <v>0</v>
      </c>
      <c r="L418" s="8">
        <f>+MENUDENCIAS!P417</f>
        <v>0</v>
      </c>
      <c r="M418" s="7">
        <f>+RENDERING!H416</f>
        <v>0</v>
      </c>
      <c r="N418" s="7">
        <f>+RENDERING!F416</f>
        <v>0</v>
      </c>
      <c r="O418" s="7">
        <f>+RENDERING!J416</f>
        <v>0</v>
      </c>
      <c r="P418" s="7">
        <f>+CUEROS!N419</f>
        <v>0</v>
      </c>
      <c r="Q418" s="7">
        <f>+'GRASA DREASING'!G416</f>
        <v>0</v>
      </c>
    </row>
    <row r="419" spans="2:17" x14ac:dyDescent="0.2">
      <c r="B419" s="5">
        <f>+'SERVICIO FAENA'!A418</f>
        <v>0</v>
      </c>
      <c r="C419" s="5">
        <f>+'SERVICIO FAENA'!B418</f>
        <v>0</v>
      </c>
      <c r="D419" s="5">
        <f>+'SERVICIO FAENA'!C418</f>
        <v>0</v>
      </c>
      <c r="E419" s="7">
        <f>+'SERVICIO FAENA'!H418</f>
        <v>0</v>
      </c>
      <c r="F419" s="6">
        <f>+'SERVICIO FAENA'!F418</f>
        <v>0</v>
      </c>
      <c r="G419" s="7">
        <f>+'SERVICIO FAENA'!J418</f>
        <v>0</v>
      </c>
      <c r="H419" s="7">
        <f>+'SERVICIO DESPOSTE'!W418</f>
        <v>0</v>
      </c>
      <c r="I419" s="36">
        <f t="shared" si="6"/>
        <v>0</v>
      </c>
      <c r="J419" s="8">
        <f>+MENUDENCIAS!I418</f>
        <v>0</v>
      </c>
      <c r="K419" s="8">
        <f>+MENUDENCIAS!O418</f>
        <v>0</v>
      </c>
      <c r="L419" s="8">
        <f>+MENUDENCIAS!P418</f>
        <v>0</v>
      </c>
      <c r="M419" s="7">
        <f>+RENDERING!H417</f>
        <v>0</v>
      </c>
      <c r="N419" s="7">
        <f>+RENDERING!F417</f>
        <v>0</v>
      </c>
      <c r="O419" s="7">
        <f>+RENDERING!J417</f>
        <v>0</v>
      </c>
      <c r="P419" s="7">
        <f>+CUEROS!N420</f>
        <v>0</v>
      </c>
      <c r="Q419" s="7">
        <f>+'GRASA DREASING'!G417</f>
        <v>0</v>
      </c>
    </row>
    <row r="420" spans="2:17" x14ac:dyDescent="0.2">
      <c r="B420" s="5">
        <f>+'SERVICIO FAENA'!A419</f>
        <v>0</v>
      </c>
      <c r="C420" s="5">
        <f>+'SERVICIO FAENA'!B419</f>
        <v>0</v>
      </c>
      <c r="D420" s="5">
        <f>+'SERVICIO FAENA'!C419</f>
        <v>0</v>
      </c>
      <c r="E420" s="7">
        <f>+'SERVICIO FAENA'!H419</f>
        <v>0</v>
      </c>
      <c r="F420" s="6">
        <f>+'SERVICIO FAENA'!F419</f>
        <v>0</v>
      </c>
      <c r="G420" s="7">
        <f>+'SERVICIO FAENA'!J419</f>
        <v>0</v>
      </c>
      <c r="H420" s="7">
        <f>+'SERVICIO DESPOSTE'!W419</f>
        <v>0</v>
      </c>
      <c r="I420" s="36">
        <f t="shared" si="6"/>
        <v>0</v>
      </c>
      <c r="J420" s="8">
        <f>+MENUDENCIAS!I419</f>
        <v>0</v>
      </c>
      <c r="K420" s="8">
        <f>+MENUDENCIAS!O419</f>
        <v>0</v>
      </c>
      <c r="L420" s="8">
        <f>+MENUDENCIAS!P419</f>
        <v>0</v>
      </c>
      <c r="M420" s="7">
        <f>+RENDERING!H418</f>
        <v>0</v>
      </c>
      <c r="N420" s="7">
        <f>+RENDERING!F418</f>
        <v>0</v>
      </c>
      <c r="O420" s="7">
        <f>+RENDERING!J418</f>
        <v>0</v>
      </c>
      <c r="P420" s="7">
        <f>+CUEROS!N421</f>
        <v>0</v>
      </c>
      <c r="Q420" s="7">
        <f>+'GRASA DREASING'!G418</f>
        <v>0</v>
      </c>
    </row>
    <row r="421" spans="2:17" x14ac:dyDescent="0.2">
      <c r="B421" s="5">
        <f>+'SERVICIO FAENA'!A420</f>
        <v>0</v>
      </c>
      <c r="C421" s="5">
        <f>+'SERVICIO FAENA'!B420</f>
        <v>0</v>
      </c>
      <c r="D421" s="5">
        <f>+'SERVICIO FAENA'!C420</f>
        <v>0</v>
      </c>
      <c r="E421" s="7">
        <f>+'SERVICIO FAENA'!H420</f>
        <v>0</v>
      </c>
      <c r="F421" s="6">
        <f>+'SERVICIO FAENA'!F420</f>
        <v>0</v>
      </c>
      <c r="G421" s="7">
        <f>+'SERVICIO FAENA'!J420</f>
        <v>0</v>
      </c>
      <c r="H421" s="7">
        <f>+'SERVICIO DESPOSTE'!W420</f>
        <v>0</v>
      </c>
      <c r="I421" s="36">
        <f t="shared" si="6"/>
        <v>0</v>
      </c>
      <c r="J421" s="8">
        <f>+MENUDENCIAS!I420</f>
        <v>0</v>
      </c>
      <c r="K421" s="8">
        <f>+MENUDENCIAS!O420</f>
        <v>0</v>
      </c>
      <c r="L421" s="8">
        <f>+MENUDENCIAS!P420</f>
        <v>0</v>
      </c>
      <c r="M421" s="7">
        <f>+RENDERING!H419</f>
        <v>0</v>
      </c>
      <c r="N421" s="7">
        <f>+RENDERING!F419</f>
        <v>0</v>
      </c>
      <c r="O421" s="7">
        <f>+RENDERING!J419</f>
        <v>0</v>
      </c>
      <c r="P421" s="7">
        <f>+CUEROS!N422</f>
        <v>0</v>
      </c>
      <c r="Q421" s="7">
        <f>+'GRASA DREASING'!G419</f>
        <v>0</v>
      </c>
    </row>
    <row r="422" spans="2:17" x14ac:dyDescent="0.2">
      <c r="B422" s="5">
        <f>+'SERVICIO FAENA'!A421</f>
        <v>0</v>
      </c>
      <c r="C422" s="5">
        <f>+'SERVICIO FAENA'!B421</f>
        <v>0</v>
      </c>
      <c r="D422" s="5">
        <f>+'SERVICIO FAENA'!C421</f>
        <v>0</v>
      </c>
      <c r="E422" s="7">
        <f>+'SERVICIO FAENA'!H421</f>
        <v>0</v>
      </c>
      <c r="F422" s="6">
        <f>+'SERVICIO FAENA'!F421</f>
        <v>0</v>
      </c>
      <c r="G422" s="7">
        <f>+'SERVICIO FAENA'!J421</f>
        <v>0</v>
      </c>
      <c r="H422" s="7">
        <f>+'SERVICIO DESPOSTE'!W421</f>
        <v>0</v>
      </c>
      <c r="I422" s="36">
        <f t="shared" si="6"/>
        <v>0</v>
      </c>
      <c r="J422" s="8">
        <f>+MENUDENCIAS!I421</f>
        <v>0</v>
      </c>
      <c r="K422" s="8">
        <f>+MENUDENCIAS!O421</f>
        <v>0</v>
      </c>
      <c r="L422" s="8">
        <f>+MENUDENCIAS!P421</f>
        <v>0</v>
      </c>
      <c r="M422" s="7">
        <f>+RENDERING!H420</f>
        <v>0</v>
      </c>
      <c r="N422" s="7">
        <f>+RENDERING!F420</f>
        <v>0</v>
      </c>
      <c r="O422" s="7">
        <f>+RENDERING!J420</f>
        <v>0</v>
      </c>
      <c r="P422" s="7">
        <f>+CUEROS!N423</f>
        <v>0</v>
      </c>
      <c r="Q422" s="7">
        <f>+'GRASA DREASING'!G420</f>
        <v>0</v>
      </c>
    </row>
    <row r="423" spans="2:17" x14ac:dyDescent="0.2">
      <c r="B423" s="5">
        <f>+'SERVICIO FAENA'!A422</f>
        <v>0</v>
      </c>
      <c r="C423" s="5">
        <f>+'SERVICIO FAENA'!B422</f>
        <v>0</v>
      </c>
      <c r="D423" s="5">
        <f>+'SERVICIO FAENA'!C422</f>
        <v>0</v>
      </c>
      <c r="E423" s="7">
        <f>+'SERVICIO FAENA'!H422</f>
        <v>0</v>
      </c>
      <c r="F423" s="6">
        <f>+'SERVICIO FAENA'!F422</f>
        <v>0</v>
      </c>
      <c r="G423" s="7">
        <f>+'SERVICIO FAENA'!J422</f>
        <v>0</v>
      </c>
      <c r="H423" s="7">
        <f>+'SERVICIO DESPOSTE'!W422</f>
        <v>0</v>
      </c>
      <c r="I423" s="36">
        <f t="shared" si="6"/>
        <v>0</v>
      </c>
      <c r="J423" s="8">
        <f>+MENUDENCIAS!I422</f>
        <v>0</v>
      </c>
      <c r="K423" s="8">
        <f>+MENUDENCIAS!O422</f>
        <v>0</v>
      </c>
      <c r="L423" s="8">
        <f>+MENUDENCIAS!P422</f>
        <v>0</v>
      </c>
      <c r="M423" s="7">
        <f>+RENDERING!H421</f>
        <v>0</v>
      </c>
      <c r="N423" s="7">
        <f>+RENDERING!F421</f>
        <v>0</v>
      </c>
      <c r="O423" s="7">
        <f>+RENDERING!J421</f>
        <v>0</v>
      </c>
      <c r="P423" s="7">
        <f>+CUEROS!N424</f>
        <v>0</v>
      </c>
      <c r="Q423" s="7">
        <f>+'GRASA DREASING'!G421</f>
        <v>0</v>
      </c>
    </row>
    <row r="424" spans="2:17" x14ac:dyDescent="0.2">
      <c r="B424" s="5">
        <f>+'SERVICIO FAENA'!A423</f>
        <v>0</v>
      </c>
      <c r="C424" s="5">
        <f>+'SERVICIO FAENA'!B423</f>
        <v>0</v>
      </c>
      <c r="D424" s="5">
        <f>+'SERVICIO FAENA'!C423</f>
        <v>0</v>
      </c>
      <c r="E424" s="7">
        <f>+'SERVICIO FAENA'!H423</f>
        <v>0</v>
      </c>
      <c r="F424" s="6">
        <f>+'SERVICIO FAENA'!F423</f>
        <v>0</v>
      </c>
      <c r="G424" s="7">
        <f>+'SERVICIO FAENA'!J423</f>
        <v>0</v>
      </c>
      <c r="H424" s="7">
        <f>+'SERVICIO DESPOSTE'!W423</f>
        <v>0</v>
      </c>
      <c r="I424" s="36">
        <f t="shared" si="6"/>
        <v>0</v>
      </c>
      <c r="J424" s="8">
        <f>+MENUDENCIAS!I423</f>
        <v>0</v>
      </c>
      <c r="K424" s="8">
        <f>+MENUDENCIAS!O423</f>
        <v>0</v>
      </c>
      <c r="L424" s="8">
        <f>+MENUDENCIAS!P423</f>
        <v>0</v>
      </c>
      <c r="M424" s="7">
        <f>+RENDERING!H422</f>
        <v>0</v>
      </c>
      <c r="N424" s="7">
        <f>+RENDERING!F422</f>
        <v>0</v>
      </c>
      <c r="O424" s="7">
        <f>+RENDERING!J422</f>
        <v>0</v>
      </c>
      <c r="P424" s="7">
        <f>+CUEROS!N425</f>
        <v>0</v>
      </c>
      <c r="Q424" s="7">
        <f>+'GRASA DREASING'!G422</f>
        <v>0</v>
      </c>
    </row>
    <row r="425" spans="2:17" x14ac:dyDescent="0.2">
      <c r="B425" s="5">
        <f>+'SERVICIO FAENA'!A424</f>
        <v>0</v>
      </c>
      <c r="C425" s="5">
        <f>+'SERVICIO FAENA'!B424</f>
        <v>0</v>
      </c>
      <c r="D425" s="5">
        <f>+'SERVICIO FAENA'!C424</f>
        <v>0</v>
      </c>
      <c r="E425" s="7">
        <f>+'SERVICIO FAENA'!H424</f>
        <v>0</v>
      </c>
      <c r="F425" s="6">
        <f>+'SERVICIO FAENA'!F424</f>
        <v>0</v>
      </c>
      <c r="G425" s="7">
        <f>+'SERVICIO FAENA'!J424</f>
        <v>0</v>
      </c>
      <c r="H425" s="7">
        <f>+'SERVICIO DESPOSTE'!W424</f>
        <v>0</v>
      </c>
      <c r="I425" s="36">
        <f t="shared" si="6"/>
        <v>0</v>
      </c>
      <c r="J425" s="8">
        <f>+MENUDENCIAS!I424</f>
        <v>0</v>
      </c>
      <c r="K425" s="8">
        <f>+MENUDENCIAS!O424</f>
        <v>0</v>
      </c>
      <c r="L425" s="8">
        <f>+MENUDENCIAS!P424</f>
        <v>0</v>
      </c>
      <c r="M425" s="7">
        <f>+RENDERING!H423</f>
        <v>0</v>
      </c>
      <c r="N425" s="7">
        <f>+RENDERING!F423</f>
        <v>0</v>
      </c>
      <c r="O425" s="7">
        <f>+RENDERING!J423</f>
        <v>0</v>
      </c>
      <c r="P425" s="7">
        <f>+CUEROS!N426</f>
        <v>0</v>
      </c>
      <c r="Q425" s="7">
        <f>+'GRASA DREASING'!G423</f>
        <v>0</v>
      </c>
    </row>
    <row r="426" spans="2:17" x14ac:dyDescent="0.2">
      <c r="B426" s="5">
        <f>+'SERVICIO FAENA'!A425</f>
        <v>0</v>
      </c>
      <c r="C426" s="5">
        <f>+'SERVICIO FAENA'!B425</f>
        <v>0</v>
      </c>
      <c r="D426" s="5">
        <f>+'SERVICIO FAENA'!C425</f>
        <v>0</v>
      </c>
      <c r="E426" s="7">
        <f>+'SERVICIO FAENA'!H425</f>
        <v>0</v>
      </c>
      <c r="F426" s="6">
        <f>+'SERVICIO FAENA'!F425</f>
        <v>0</v>
      </c>
      <c r="G426" s="7">
        <f>+'SERVICIO FAENA'!J425</f>
        <v>0</v>
      </c>
      <c r="H426" s="7">
        <f>+'SERVICIO DESPOSTE'!W425</f>
        <v>0</v>
      </c>
      <c r="I426" s="36">
        <f t="shared" si="6"/>
        <v>0</v>
      </c>
      <c r="J426" s="8">
        <f>+MENUDENCIAS!I425</f>
        <v>0</v>
      </c>
      <c r="K426" s="8">
        <f>+MENUDENCIAS!O425</f>
        <v>0</v>
      </c>
      <c r="L426" s="8">
        <f>+MENUDENCIAS!P425</f>
        <v>0</v>
      </c>
      <c r="M426" s="7">
        <f>+RENDERING!H424</f>
        <v>0</v>
      </c>
      <c r="N426" s="7">
        <f>+RENDERING!F424</f>
        <v>0</v>
      </c>
      <c r="O426" s="7">
        <f>+RENDERING!J424</f>
        <v>0</v>
      </c>
      <c r="P426" s="7">
        <f>+CUEROS!N427</f>
        <v>0</v>
      </c>
      <c r="Q426" s="7">
        <f>+'GRASA DREASING'!G424</f>
        <v>0</v>
      </c>
    </row>
    <row r="427" spans="2:17" x14ac:dyDescent="0.2">
      <c r="B427" s="5">
        <f>+'SERVICIO FAENA'!A426</f>
        <v>0</v>
      </c>
      <c r="C427" s="5">
        <f>+'SERVICIO FAENA'!B426</f>
        <v>0</v>
      </c>
      <c r="D427" s="5">
        <f>+'SERVICIO FAENA'!C426</f>
        <v>0</v>
      </c>
      <c r="E427" s="7">
        <f>+'SERVICIO FAENA'!H426</f>
        <v>0</v>
      </c>
      <c r="F427" s="6">
        <f>+'SERVICIO FAENA'!F426</f>
        <v>0</v>
      </c>
      <c r="G427" s="7">
        <f>+'SERVICIO FAENA'!J426</f>
        <v>0</v>
      </c>
      <c r="H427" s="7">
        <f>+'SERVICIO DESPOSTE'!W426</f>
        <v>0</v>
      </c>
      <c r="I427" s="36">
        <f t="shared" si="6"/>
        <v>0</v>
      </c>
      <c r="J427" s="8">
        <f>+MENUDENCIAS!I426</f>
        <v>0</v>
      </c>
      <c r="K427" s="8">
        <f>+MENUDENCIAS!O426</f>
        <v>0</v>
      </c>
      <c r="L427" s="8">
        <f>+MENUDENCIAS!P426</f>
        <v>0</v>
      </c>
      <c r="M427" s="7">
        <f>+RENDERING!H425</f>
        <v>0</v>
      </c>
      <c r="N427" s="7">
        <f>+RENDERING!F425</f>
        <v>0</v>
      </c>
      <c r="O427" s="7">
        <f>+RENDERING!J425</f>
        <v>0</v>
      </c>
      <c r="P427" s="7">
        <f>+CUEROS!N428</f>
        <v>0</v>
      </c>
      <c r="Q427" s="7">
        <f>+'GRASA DREASING'!G425</f>
        <v>0</v>
      </c>
    </row>
    <row r="428" spans="2:17" x14ac:dyDescent="0.2">
      <c r="B428" s="5">
        <f>+'SERVICIO FAENA'!A427</f>
        <v>0</v>
      </c>
      <c r="C428" s="5">
        <f>+'SERVICIO FAENA'!B427</f>
        <v>0</v>
      </c>
      <c r="D428" s="5">
        <f>+'SERVICIO FAENA'!C427</f>
        <v>0</v>
      </c>
      <c r="E428" s="7">
        <f>+'SERVICIO FAENA'!H427</f>
        <v>0</v>
      </c>
      <c r="F428" s="6">
        <f>+'SERVICIO FAENA'!F427</f>
        <v>0</v>
      </c>
      <c r="G428" s="7">
        <f>+'SERVICIO FAENA'!J427</f>
        <v>0</v>
      </c>
      <c r="H428" s="7">
        <f>+'SERVICIO DESPOSTE'!W427</f>
        <v>0</v>
      </c>
      <c r="I428" s="36">
        <f t="shared" si="6"/>
        <v>0</v>
      </c>
      <c r="J428" s="8">
        <f>+MENUDENCIAS!I427</f>
        <v>0</v>
      </c>
      <c r="K428" s="8">
        <f>+MENUDENCIAS!O427</f>
        <v>0</v>
      </c>
      <c r="L428" s="8">
        <f>+MENUDENCIAS!P427</f>
        <v>0</v>
      </c>
      <c r="M428" s="7">
        <f>+RENDERING!H426</f>
        <v>0</v>
      </c>
      <c r="N428" s="7">
        <f>+RENDERING!F426</f>
        <v>0</v>
      </c>
      <c r="O428" s="7">
        <f>+RENDERING!J426</f>
        <v>0</v>
      </c>
      <c r="P428" s="7">
        <f>+CUEROS!N429</f>
        <v>0</v>
      </c>
      <c r="Q428" s="7">
        <f>+'GRASA DREASING'!G426</f>
        <v>0</v>
      </c>
    </row>
    <row r="429" spans="2:17" x14ac:dyDescent="0.2">
      <c r="B429" s="5">
        <f>+'SERVICIO FAENA'!A428</f>
        <v>0</v>
      </c>
      <c r="C429" s="5">
        <f>+'SERVICIO FAENA'!B428</f>
        <v>0</v>
      </c>
      <c r="D429" s="5">
        <f>+'SERVICIO FAENA'!C428</f>
        <v>0</v>
      </c>
      <c r="E429" s="7">
        <f>+'SERVICIO FAENA'!H428</f>
        <v>0</v>
      </c>
      <c r="F429" s="6">
        <f>+'SERVICIO FAENA'!F428</f>
        <v>0</v>
      </c>
      <c r="G429" s="7">
        <f>+'SERVICIO FAENA'!J428</f>
        <v>0</v>
      </c>
      <c r="H429" s="7">
        <f>+'SERVICIO DESPOSTE'!W428</f>
        <v>0</v>
      </c>
      <c r="I429" s="36">
        <f t="shared" si="6"/>
        <v>0</v>
      </c>
      <c r="J429" s="8">
        <f>+MENUDENCIAS!I428</f>
        <v>0</v>
      </c>
      <c r="K429" s="8">
        <f>+MENUDENCIAS!O428</f>
        <v>0</v>
      </c>
      <c r="L429" s="8">
        <f>+MENUDENCIAS!P428</f>
        <v>0</v>
      </c>
      <c r="M429" s="7">
        <f>+RENDERING!H427</f>
        <v>0</v>
      </c>
      <c r="N429" s="7">
        <f>+RENDERING!F427</f>
        <v>0</v>
      </c>
      <c r="O429" s="7">
        <f>+RENDERING!J427</f>
        <v>0</v>
      </c>
      <c r="P429" s="7">
        <f>+CUEROS!N430</f>
        <v>0</v>
      </c>
      <c r="Q429" s="7">
        <f>+'GRASA DREASING'!G427</f>
        <v>0</v>
      </c>
    </row>
    <row r="430" spans="2:17" x14ac:dyDescent="0.2">
      <c r="B430" s="5">
        <f>+'SERVICIO FAENA'!A429</f>
        <v>0</v>
      </c>
      <c r="C430" s="5">
        <f>+'SERVICIO FAENA'!B429</f>
        <v>0</v>
      </c>
      <c r="D430" s="5">
        <f>+'SERVICIO FAENA'!C429</f>
        <v>0</v>
      </c>
      <c r="E430" s="7">
        <f>+'SERVICIO FAENA'!H429</f>
        <v>0</v>
      </c>
      <c r="F430" s="6">
        <f>+'SERVICIO FAENA'!F429</f>
        <v>0</v>
      </c>
      <c r="G430" s="7">
        <f>+'SERVICIO FAENA'!J429</f>
        <v>0</v>
      </c>
      <c r="H430" s="7">
        <f>+'SERVICIO DESPOSTE'!W429</f>
        <v>0</v>
      </c>
      <c r="I430" s="36">
        <f t="shared" si="6"/>
        <v>0</v>
      </c>
      <c r="J430" s="8">
        <f>+MENUDENCIAS!I429</f>
        <v>0</v>
      </c>
      <c r="K430" s="8">
        <f>+MENUDENCIAS!O429</f>
        <v>0</v>
      </c>
      <c r="L430" s="8">
        <f>+MENUDENCIAS!P429</f>
        <v>0</v>
      </c>
      <c r="M430" s="7">
        <f>+RENDERING!H428</f>
        <v>0</v>
      </c>
      <c r="N430" s="7">
        <f>+RENDERING!F428</f>
        <v>0</v>
      </c>
      <c r="O430" s="7">
        <f>+RENDERING!J428</f>
        <v>0</v>
      </c>
      <c r="P430" s="7">
        <f>+CUEROS!N431</f>
        <v>0</v>
      </c>
      <c r="Q430" s="7">
        <f>+'GRASA DREASING'!G428</f>
        <v>0</v>
      </c>
    </row>
    <row r="431" spans="2:17" x14ac:dyDescent="0.2">
      <c r="B431" s="5">
        <f>+'SERVICIO FAENA'!A430</f>
        <v>0</v>
      </c>
      <c r="C431" s="5">
        <f>+'SERVICIO FAENA'!B430</f>
        <v>0</v>
      </c>
      <c r="D431" s="5">
        <f>+'SERVICIO FAENA'!C430</f>
        <v>0</v>
      </c>
      <c r="E431" s="7">
        <f>+'SERVICIO FAENA'!H430</f>
        <v>0</v>
      </c>
      <c r="F431" s="6">
        <f>+'SERVICIO FAENA'!F430</f>
        <v>0</v>
      </c>
      <c r="G431" s="7">
        <f>+'SERVICIO FAENA'!J430</f>
        <v>0</v>
      </c>
      <c r="H431" s="7">
        <f>+'SERVICIO DESPOSTE'!W430</f>
        <v>0</v>
      </c>
      <c r="I431" s="36">
        <f t="shared" si="6"/>
        <v>0</v>
      </c>
      <c r="J431" s="8">
        <f>+MENUDENCIAS!I430</f>
        <v>0</v>
      </c>
      <c r="K431" s="8">
        <f>+MENUDENCIAS!O430</f>
        <v>0</v>
      </c>
      <c r="L431" s="8">
        <f>+MENUDENCIAS!P430</f>
        <v>0</v>
      </c>
      <c r="M431" s="7">
        <f>+RENDERING!H429</f>
        <v>0</v>
      </c>
      <c r="N431" s="7">
        <f>+RENDERING!F429</f>
        <v>0</v>
      </c>
      <c r="O431" s="7">
        <f>+RENDERING!J429</f>
        <v>0</v>
      </c>
      <c r="P431" s="7">
        <f>+CUEROS!N432</f>
        <v>0</v>
      </c>
      <c r="Q431" s="7">
        <f>+'GRASA DREASING'!G429</f>
        <v>0</v>
      </c>
    </row>
    <row r="432" spans="2:17" x14ac:dyDescent="0.2">
      <c r="B432" s="5">
        <f>+'SERVICIO FAENA'!A431</f>
        <v>0</v>
      </c>
      <c r="C432" s="5">
        <f>+'SERVICIO FAENA'!B431</f>
        <v>0</v>
      </c>
      <c r="D432" s="5">
        <f>+'SERVICIO FAENA'!C431</f>
        <v>0</v>
      </c>
      <c r="E432" s="7">
        <f>+'SERVICIO FAENA'!H431</f>
        <v>0</v>
      </c>
      <c r="F432" s="6">
        <f>+'SERVICIO FAENA'!F431</f>
        <v>0</v>
      </c>
      <c r="G432" s="7">
        <f>+'SERVICIO FAENA'!J431</f>
        <v>0</v>
      </c>
      <c r="H432" s="7">
        <f>+'SERVICIO DESPOSTE'!W431</f>
        <v>0</v>
      </c>
      <c r="I432" s="36">
        <f t="shared" si="6"/>
        <v>0</v>
      </c>
      <c r="J432" s="8">
        <f>+MENUDENCIAS!I431</f>
        <v>0</v>
      </c>
      <c r="K432" s="8">
        <f>+MENUDENCIAS!O431</f>
        <v>0</v>
      </c>
      <c r="L432" s="8">
        <f>+MENUDENCIAS!P431</f>
        <v>0</v>
      </c>
      <c r="M432" s="7">
        <f>+RENDERING!H430</f>
        <v>0</v>
      </c>
      <c r="N432" s="7">
        <f>+RENDERING!F430</f>
        <v>0</v>
      </c>
      <c r="O432" s="7">
        <f>+RENDERING!J430</f>
        <v>0</v>
      </c>
      <c r="P432" s="7">
        <f>+CUEROS!N433</f>
        <v>0</v>
      </c>
      <c r="Q432" s="7">
        <f>+'GRASA DREASING'!G430</f>
        <v>0</v>
      </c>
    </row>
    <row r="433" spans="2:17" x14ac:dyDescent="0.2">
      <c r="B433" s="5">
        <f>+'SERVICIO FAENA'!A432</f>
        <v>0</v>
      </c>
      <c r="C433" s="5">
        <f>+'SERVICIO FAENA'!B432</f>
        <v>0</v>
      </c>
      <c r="D433" s="5">
        <f>+'SERVICIO FAENA'!C432</f>
        <v>0</v>
      </c>
      <c r="E433" s="7">
        <f>+'SERVICIO FAENA'!H432</f>
        <v>0</v>
      </c>
      <c r="F433" s="6">
        <f>+'SERVICIO FAENA'!F432</f>
        <v>0</v>
      </c>
      <c r="G433" s="7">
        <f>+'SERVICIO FAENA'!J432</f>
        <v>0</v>
      </c>
      <c r="H433" s="7">
        <f>+'SERVICIO DESPOSTE'!W432</f>
        <v>0</v>
      </c>
      <c r="I433" s="36">
        <f t="shared" si="6"/>
        <v>0</v>
      </c>
      <c r="J433" s="8">
        <f>+MENUDENCIAS!I432</f>
        <v>0</v>
      </c>
      <c r="K433" s="8">
        <f>+MENUDENCIAS!O432</f>
        <v>0</v>
      </c>
      <c r="L433" s="8">
        <f>+MENUDENCIAS!P432</f>
        <v>0</v>
      </c>
      <c r="M433" s="7">
        <f>+RENDERING!H431</f>
        <v>0</v>
      </c>
      <c r="N433" s="7">
        <f>+RENDERING!F431</f>
        <v>0</v>
      </c>
      <c r="O433" s="7">
        <f>+RENDERING!J431</f>
        <v>0</v>
      </c>
      <c r="P433" s="7">
        <f>+CUEROS!N434</f>
        <v>0</v>
      </c>
      <c r="Q433" s="7">
        <f>+'GRASA DREASING'!G431</f>
        <v>0</v>
      </c>
    </row>
    <row r="434" spans="2:17" x14ac:dyDescent="0.2">
      <c r="B434" s="5">
        <f>+'SERVICIO FAENA'!A433</f>
        <v>0</v>
      </c>
      <c r="C434" s="5">
        <f>+'SERVICIO FAENA'!B433</f>
        <v>0</v>
      </c>
      <c r="D434" s="5">
        <f>+'SERVICIO FAENA'!C433</f>
        <v>0</v>
      </c>
      <c r="E434" s="7">
        <f>+'SERVICIO FAENA'!H433</f>
        <v>0</v>
      </c>
      <c r="F434" s="6">
        <f>+'SERVICIO FAENA'!F433</f>
        <v>0</v>
      </c>
      <c r="G434" s="7">
        <f>+'SERVICIO FAENA'!J433</f>
        <v>0</v>
      </c>
      <c r="H434" s="7">
        <f>+'SERVICIO DESPOSTE'!W433</f>
        <v>0</v>
      </c>
      <c r="I434" s="36">
        <f t="shared" si="6"/>
        <v>0</v>
      </c>
      <c r="J434" s="8">
        <f>+MENUDENCIAS!I433</f>
        <v>0</v>
      </c>
      <c r="K434" s="8">
        <f>+MENUDENCIAS!O433</f>
        <v>0</v>
      </c>
      <c r="L434" s="8">
        <f>+MENUDENCIAS!P433</f>
        <v>0</v>
      </c>
      <c r="M434" s="7">
        <f>+RENDERING!H432</f>
        <v>0</v>
      </c>
      <c r="N434" s="7">
        <f>+RENDERING!F432</f>
        <v>0</v>
      </c>
      <c r="O434" s="7">
        <f>+RENDERING!J432</f>
        <v>0</v>
      </c>
      <c r="P434" s="7">
        <f>+CUEROS!N435</f>
        <v>0</v>
      </c>
      <c r="Q434" s="7">
        <f>+'GRASA DREASING'!G432</f>
        <v>0</v>
      </c>
    </row>
    <row r="435" spans="2:17" x14ac:dyDescent="0.2">
      <c r="B435" s="5">
        <f>+'SERVICIO FAENA'!A434</f>
        <v>0</v>
      </c>
      <c r="C435" s="5">
        <f>+'SERVICIO FAENA'!B434</f>
        <v>0</v>
      </c>
      <c r="D435" s="5">
        <f>+'SERVICIO FAENA'!C434</f>
        <v>0</v>
      </c>
      <c r="E435" s="7">
        <f>+'SERVICIO FAENA'!H434</f>
        <v>0</v>
      </c>
      <c r="F435" s="6">
        <f>+'SERVICIO FAENA'!F434</f>
        <v>0</v>
      </c>
      <c r="G435" s="7">
        <f>+'SERVICIO FAENA'!J434</f>
        <v>0</v>
      </c>
      <c r="H435" s="7">
        <f>+'SERVICIO DESPOSTE'!W434</f>
        <v>0</v>
      </c>
      <c r="I435" s="36">
        <f t="shared" si="6"/>
        <v>0</v>
      </c>
      <c r="J435" s="8">
        <f>+MENUDENCIAS!I434</f>
        <v>0</v>
      </c>
      <c r="K435" s="8">
        <f>+MENUDENCIAS!O434</f>
        <v>0</v>
      </c>
      <c r="L435" s="8">
        <f>+MENUDENCIAS!P434</f>
        <v>0</v>
      </c>
      <c r="M435" s="7">
        <f>+RENDERING!H433</f>
        <v>0</v>
      </c>
      <c r="N435" s="7">
        <f>+RENDERING!F433</f>
        <v>0</v>
      </c>
      <c r="O435" s="7">
        <f>+RENDERING!J433</f>
        <v>0</v>
      </c>
      <c r="P435" s="7">
        <f>+CUEROS!N436</f>
        <v>0</v>
      </c>
      <c r="Q435" s="7">
        <f>+'GRASA DREASING'!G433</f>
        <v>0</v>
      </c>
    </row>
    <row r="436" spans="2:17" x14ac:dyDescent="0.2">
      <c r="B436" s="5">
        <f>+'SERVICIO FAENA'!A435</f>
        <v>0</v>
      </c>
      <c r="C436" s="5">
        <f>+'SERVICIO FAENA'!B435</f>
        <v>0</v>
      </c>
      <c r="D436" s="5">
        <f>+'SERVICIO FAENA'!C435</f>
        <v>0</v>
      </c>
      <c r="E436" s="7">
        <f>+'SERVICIO FAENA'!H435</f>
        <v>0</v>
      </c>
      <c r="F436" s="6">
        <f>+'SERVICIO FAENA'!F435</f>
        <v>0</v>
      </c>
      <c r="G436" s="7">
        <f>+'SERVICIO FAENA'!J435</f>
        <v>0</v>
      </c>
      <c r="H436" s="7">
        <f>+'SERVICIO DESPOSTE'!W435</f>
        <v>0</v>
      </c>
      <c r="I436" s="36">
        <f t="shared" si="6"/>
        <v>0</v>
      </c>
      <c r="J436" s="8">
        <f>+MENUDENCIAS!I435</f>
        <v>0</v>
      </c>
      <c r="K436" s="8">
        <f>+MENUDENCIAS!O435</f>
        <v>0</v>
      </c>
      <c r="L436" s="8">
        <f>+MENUDENCIAS!P435</f>
        <v>0</v>
      </c>
      <c r="M436" s="7">
        <f>+RENDERING!H434</f>
        <v>0</v>
      </c>
      <c r="N436" s="7">
        <f>+RENDERING!F434</f>
        <v>0</v>
      </c>
      <c r="O436" s="7">
        <f>+RENDERING!J434</f>
        <v>0</v>
      </c>
      <c r="P436" s="7">
        <f>+CUEROS!N437</f>
        <v>0</v>
      </c>
      <c r="Q436" s="7">
        <f>+'GRASA DREASING'!G434</f>
        <v>0</v>
      </c>
    </row>
    <row r="437" spans="2:17" x14ac:dyDescent="0.2">
      <c r="B437" s="5">
        <f>+'SERVICIO FAENA'!A436</f>
        <v>0</v>
      </c>
      <c r="C437" s="5">
        <f>+'SERVICIO FAENA'!B436</f>
        <v>0</v>
      </c>
      <c r="D437" s="5">
        <f>+'SERVICIO FAENA'!C436</f>
        <v>0</v>
      </c>
      <c r="E437" s="7">
        <f>+'SERVICIO FAENA'!H436</f>
        <v>0</v>
      </c>
      <c r="F437" s="6">
        <f>+'SERVICIO FAENA'!F436</f>
        <v>0</v>
      </c>
      <c r="G437" s="7">
        <f>+'SERVICIO FAENA'!J436</f>
        <v>0</v>
      </c>
      <c r="H437" s="7">
        <f>+'SERVICIO DESPOSTE'!W436</f>
        <v>0</v>
      </c>
      <c r="I437" s="36">
        <f t="shared" si="6"/>
        <v>0</v>
      </c>
      <c r="J437" s="8">
        <f>+MENUDENCIAS!I436</f>
        <v>0</v>
      </c>
      <c r="K437" s="8">
        <f>+MENUDENCIAS!O436</f>
        <v>0</v>
      </c>
      <c r="L437" s="8">
        <f>+MENUDENCIAS!P436</f>
        <v>0</v>
      </c>
      <c r="M437" s="7">
        <f>+RENDERING!H435</f>
        <v>0</v>
      </c>
      <c r="N437" s="7">
        <f>+RENDERING!F435</f>
        <v>0</v>
      </c>
      <c r="O437" s="7">
        <f>+RENDERING!J435</f>
        <v>0</v>
      </c>
      <c r="P437" s="7">
        <f>+CUEROS!N438</f>
        <v>0</v>
      </c>
      <c r="Q437" s="7">
        <f>+'GRASA DREASING'!G435</f>
        <v>0</v>
      </c>
    </row>
    <row r="438" spans="2:17" x14ac:dyDescent="0.2">
      <c r="B438" s="5">
        <f>+'SERVICIO FAENA'!A437</f>
        <v>0</v>
      </c>
      <c r="C438" s="5">
        <f>+'SERVICIO FAENA'!B437</f>
        <v>0</v>
      </c>
      <c r="D438" s="5">
        <f>+'SERVICIO FAENA'!C437</f>
        <v>0</v>
      </c>
      <c r="E438" s="7">
        <f>+'SERVICIO FAENA'!H437</f>
        <v>0</v>
      </c>
      <c r="F438" s="6">
        <f>+'SERVICIO FAENA'!F437</f>
        <v>0</v>
      </c>
      <c r="G438" s="7">
        <f>+'SERVICIO FAENA'!J437</f>
        <v>0</v>
      </c>
      <c r="H438" s="7">
        <f>+'SERVICIO DESPOSTE'!W437</f>
        <v>0</v>
      </c>
      <c r="I438" s="36">
        <f t="shared" si="6"/>
        <v>0</v>
      </c>
      <c r="J438" s="8">
        <f>+MENUDENCIAS!I437</f>
        <v>0</v>
      </c>
      <c r="K438" s="8">
        <f>+MENUDENCIAS!O437</f>
        <v>0</v>
      </c>
      <c r="L438" s="8">
        <f>+MENUDENCIAS!P437</f>
        <v>0</v>
      </c>
      <c r="M438" s="7">
        <f>+RENDERING!H436</f>
        <v>0</v>
      </c>
      <c r="N438" s="7">
        <f>+RENDERING!F436</f>
        <v>0</v>
      </c>
      <c r="O438" s="7">
        <f>+RENDERING!J436</f>
        <v>0</v>
      </c>
      <c r="P438" s="7">
        <f>+CUEROS!N439</f>
        <v>0</v>
      </c>
      <c r="Q438" s="7">
        <f>+'GRASA DREASING'!G436</f>
        <v>0</v>
      </c>
    </row>
    <row r="439" spans="2:17" x14ac:dyDescent="0.2">
      <c r="B439" s="5">
        <f>+'SERVICIO FAENA'!A438</f>
        <v>0</v>
      </c>
      <c r="C439" s="5">
        <f>+'SERVICIO FAENA'!B438</f>
        <v>0</v>
      </c>
      <c r="D439" s="5">
        <f>+'SERVICIO FAENA'!C438</f>
        <v>0</v>
      </c>
      <c r="E439" s="7">
        <f>+'SERVICIO FAENA'!H438</f>
        <v>0</v>
      </c>
      <c r="F439" s="6">
        <f>+'SERVICIO FAENA'!F438</f>
        <v>0</v>
      </c>
      <c r="G439" s="7">
        <f>+'SERVICIO FAENA'!J438</f>
        <v>0</v>
      </c>
      <c r="H439" s="7">
        <f>+'SERVICIO DESPOSTE'!W438</f>
        <v>0</v>
      </c>
      <c r="I439" s="36">
        <f t="shared" ref="I439:I449" si="7">+(G439-J439)+K439+M439+N439+O439+P439+Q439+L439+H439</f>
        <v>0</v>
      </c>
      <c r="J439" s="8">
        <f>+MENUDENCIAS!I438</f>
        <v>0</v>
      </c>
      <c r="K439" s="8">
        <f>+MENUDENCIAS!O438</f>
        <v>0</v>
      </c>
      <c r="L439" s="8">
        <f>+MENUDENCIAS!P438</f>
        <v>0</v>
      </c>
      <c r="M439" s="7">
        <f>+RENDERING!H437</f>
        <v>0</v>
      </c>
      <c r="N439" s="7">
        <f>+RENDERING!F437</f>
        <v>0</v>
      </c>
      <c r="O439" s="7">
        <f>+RENDERING!J437</f>
        <v>0</v>
      </c>
      <c r="P439" s="7">
        <f>+CUEROS!N440</f>
        <v>0</v>
      </c>
      <c r="Q439" s="7">
        <f>+'GRASA DREASING'!G437</f>
        <v>0</v>
      </c>
    </row>
    <row r="440" spans="2:17" x14ac:dyDescent="0.2">
      <c r="B440" s="5">
        <f>+'SERVICIO FAENA'!A439</f>
        <v>0</v>
      </c>
      <c r="C440" s="5">
        <f>+'SERVICIO FAENA'!B439</f>
        <v>0</v>
      </c>
      <c r="D440" s="5">
        <f>+'SERVICIO FAENA'!C439</f>
        <v>0</v>
      </c>
      <c r="E440" s="7">
        <f>+'SERVICIO FAENA'!H439</f>
        <v>0</v>
      </c>
      <c r="F440" s="6">
        <f>+'SERVICIO FAENA'!F439</f>
        <v>0</v>
      </c>
      <c r="G440" s="7">
        <f>+'SERVICIO FAENA'!J439</f>
        <v>0</v>
      </c>
      <c r="H440" s="7">
        <f>+'SERVICIO DESPOSTE'!W439</f>
        <v>0</v>
      </c>
      <c r="I440" s="36">
        <f t="shared" si="7"/>
        <v>0</v>
      </c>
      <c r="J440" s="8">
        <f>+MENUDENCIAS!I439</f>
        <v>0</v>
      </c>
      <c r="K440" s="8">
        <f>+MENUDENCIAS!O439</f>
        <v>0</v>
      </c>
      <c r="L440" s="8">
        <f>+MENUDENCIAS!P439</f>
        <v>0</v>
      </c>
      <c r="M440" s="7">
        <f>+RENDERING!H438</f>
        <v>0</v>
      </c>
      <c r="N440" s="7">
        <f>+RENDERING!F438</f>
        <v>0</v>
      </c>
      <c r="O440" s="7">
        <f>+RENDERING!J438</f>
        <v>0</v>
      </c>
      <c r="P440" s="7">
        <f>+CUEROS!N441</f>
        <v>0</v>
      </c>
      <c r="Q440" s="7">
        <f>+'GRASA DREASING'!G438</f>
        <v>0</v>
      </c>
    </row>
    <row r="441" spans="2:17" x14ac:dyDescent="0.2">
      <c r="B441" s="5">
        <f>+'SERVICIO FAENA'!A440</f>
        <v>0</v>
      </c>
      <c r="C441" s="5">
        <f>+'SERVICIO FAENA'!B440</f>
        <v>0</v>
      </c>
      <c r="D441" s="5">
        <f>+'SERVICIO FAENA'!C440</f>
        <v>0</v>
      </c>
      <c r="E441" s="7">
        <f>+'SERVICIO FAENA'!H440</f>
        <v>0</v>
      </c>
      <c r="F441" s="6">
        <f>+'SERVICIO FAENA'!F440</f>
        <v>0</v>
      </c>
      <c r="G441" s="7">
        <f>+'SERVICIO FAENA'!J440</f>
        <v>0</v>
      </c>
      <c r="H441" s="7">
        <f>+'SERVICIO DESPOSTE'!W440</f>
        <v>0</v>
      </c>
      <c r="I441" s="36">
        <f t="shared" si="7"/>
        <v>0</v>
      </c>
      <c r="J441" s="8">
        <f>+MENUDENCIAS!I440</f>
        <v>0</v>
      </c>
      <c r="K441" s="8">
        <f>+MENUDENCIAS!O440</f>
        <v>0</v>
      </c>
      <c r="L441" s="8">
        <f>+MENUDENCIAS!P440</f>
        <v>0</v>
      </c>
      <c r="M441" s="7">
        <f>+RENDERING!H439</f>
        <v>0</v>
      </c>
      <c r="N441" s="7">
        <f>+RENDERING!F439</f>
        <v>0</v>
      </c>
      <c r="O441" s="7">
        <f>+RENDERING!J439</f>
        <v>0</v>
      </c>
      <c r="P441" s="7">
        <f>+CUEROS!N442</f>
        <v>0</v>
      </c>
      <c r="Q441" s="7">
        <f>+'GRASA DREASING'!G439</f>
        <v>0</v>
      </c>
    </row>
    <row r="442" spans="2:17" x14ac:dyDescent="0.2">
      <c r="B442" s="5">
        <f>+'SERVICIO FAENA'!A441</f>
        <v>0</v>
      </c>
      <c r="C442" s="5">
        <f>+'SERVICIO FAENA'!B441</f>
        <v>0</v>
      </c>
      <c r="D442" s="5">
        <f>+'SERVICIO FAENA'!C441</f>
        <v>0</v>
      </c>
      <c r="E442" s="7">
        <f>+'SERVICIO FAENA'!H441</f>
        <v>0</v>
      </c>
      <c r="F442" s="6">
        <f>+'SERVICIO FAENA'!F441</f>
        <v>0</v>
      </c>
      <c r="G442" s="7">
        <f>+'SERVICIO FAENA'!J441</f>
        <v>0</v>
      </c>
      <c r="H442" s="7">
        <f>+'SERVICIO DESPOSTE'!W441</f>
        <v>0</v>
      </c>
      <c r="I442" s="36">
        <f t="shared" si="7"/>
        <v>0</v>
      </c>
      <c r="J442" s="8">
        <f>+MENUDENCIAS!I441</f>
        <v>0</v>
      </c>
      <c r="K442" s="8">
        <f>+MENUDENCIAS!O441</f>
        <v>0</v>
      </c>
      <c r="L442" s="8">
        <f>+MENUDENCIAS!P441</f>
        <v>0</v>
      </c>
      <c r="M442" s="7">
        <f>+RENDERING!H440</f>
        <v>0</v>
      </c>
      <c r="N442" s="7">
        <f>+RENDERING!F440</f>
        <v>0</v>
      </c>
      <c r="O442" s="7">
        <f>+RENDERING!J440</f>
        <v>0</v>
      </c>
      <c r="P442" s="7">
        <f>+CUEROS!N443</f>
        <v>0</v>
      </c>
      <c r="Q442" s="7">
        <f>+'GRASA DREASING'!G440</f>
        <v>0</v>
      </c>
    </row>
    <row r="443" spans="2:17" x14ac:dyDescent="0.2">
      <c r="B443" s="5">
        <f>+'SERVICIO FAENA'!A442</f>
        <v>0</v>
      </c>
      <c r="C443" s="5">
        <f>+'SERVICIO FAENA'!B442</f>
        <v>0</v>
      </c>
      <c r="D443" s="5">
        <f>+'SERVICIO FAENA'!C442</f>
        <v>0</v>
      </c>
      <c r="E443" s="7">
        <f>+'SERVICIO FAENA'!H442</f>
        <v>0</v>
      </c>
      <c r="F443" s="6">
        <f>+'SERVICIO FAENA'!F442</f>
        <v>0</v>
      </c>
      <c r="G443" s="7">
        <f>+'SERVICIO FAENA'!J442</f>
        <v>0</v>
      </c>
      <c r="H443" s="7">
        <f>+'SERVICIO DESPOSTE'!W442</f>
        <v>0</v>
      </c>
      <c r="I443" s="36">
        <f t="shared" si="7"/>
        <v>0</v>
      </c>
      <c r="J443" s="8">
        <f>+MENUDENCIAS!I442</f>
        <v>0</v>
      </c>
      <c r="K443" s="8">
        <f>+MENUDENCIAS!O442</f>
        <v>0</v>
      </c>
      <c r="L443" s="8">
        <f>+MENUDENCIAS!P442</f>
        <v>0</v>
      </c>
      <c r="M443" s="7">
        <f>+RENDERING!H441</f>
        <v>0</v>
      </c>
      <c r="N443" s="7">
        <f>+RENDERING!F441</f>
        <v>0</v>
      </c>
      <c r="O443" s="7">
        <f>+RENDERING!J441</f>
        <v>0</v>
      </c>
      <c r="P443" s="7">
        <f>+CUEROS!N444</f>
        <v>0</v>
      </c>
      <c r="Q443" s="7">
        <f>+'GRASA DREASING'!G441</f>
        <v>0</v>
      </c>
    </row>
    <row r="444" spans="2:17" x14ac:dyDescent="0.2">
      <c r="B444" s="5">
        <f>+'SERVICIO FAENA'!A443</f>
        <v>0</v>
      </c>
      <c r="C444" s="5">
        <f>+'SERVICIO FAENA'!B443</f>
        <v>0</v>
      </c>
      <c r="D444" s="5">
        <f>+'SERVICIO FAENA'!C443</f>
        <v>0</v>
      </c>
      <c r="E444" s="7">
        <f>+'SERVICIO FAENA'!H443</f>
        <v>0</v>
      </c>
      <c r="F444" s="6">
        <f>+'SERVICIO FAENA'!F443</f>
        <v>0</v>
      </c>
      <c r="G444" s="7">
        <f>+'SERVICIO FAENA'!J443</f>
        <v>0</v>
      </c>
      <c r="H444" s="7">
        <f>+'SERVICIO DESPOSTE'!W443</f>
        <v>0</v>
      </c>
      <c r="I444" s="36">
        <f t="shared" si="7"/>
        <v>0</v>
      </c>
      <c r="J444" s="8">
        <f>+MENUDENCIAS!I443</f>
        <v>0</v>
      </c>
      <c r="K444" s="8">
        <f>+MENUDENCIAS!O443</f>
        <v>0</v>
      </c>
      <c r="L444" s="8">
        <f>+MENUDENCIAS!P443</f>
        <v>0</v>
      </c>
      <c r="M444" s="7">
        <f>+RENDERING!H442</f>
        <v>0</v>
      </c>
      <c r="N444" s="7">
        <f>+RENDERING!F442</f>
        <v>0</v>
      </c>
      <c r="O444" s="7">
        <f>+RENDERING!J442</f>
        <v>0</v>
      </c>
      <c r="P444" s="7">
        <f>+CUEROS!N445</f>
        <v>0</v>
      </c>
      <c r="Q444" s="7">
        <f>+'GRASA DREASING'!G442</f>
        <v>0</v>
      </c>
    </row>
    <row r="445" spans="2:17" x14ac:dyDescent="0.2">
      <c r="B445" s="5">
        <f>+'SERVICIO FAENA'!A444</f>
        <v>0</v>
      </c>
      <c r="C445" s="5">
        <f>+'SERVICIO FAENA'!B444</f>
        <v>0</v>
      </c>
      <c r="D445" s="5">
        <f>+'SERVICIO FAENA'!C444</f>
        <v>0</v>
      </c>
      <c r="E445" s="7">
        <f>+'SERVICIO FAENA'!H444</f>
        <v>0</v>
      </c>
      <c r="F445" s="6">
        <f>+'SERVICIO FAENA'!F444</f>
        <v>0</v>
      </c>
      <c r="G445" s="7">
        <f>+'SERVICIO FAENA'!J444</f>
        <v>0</v>
      </c>
      <c r="H445" s="7">
        <f>+'SERVICIO DESPOSTE'!W444</f>
        <v>0</v>
      </c>
      <c r="I445" s="36">
        <f t="shared" si="7"/>
        <v>0</v>
      </c>
      <c r="J445" s="8">
        <f>+MENUDENCIAS!I444</f>
        <v>0</v>
      </c>
      <c r="K445" s="8">
        <f>+MENUDENCIAS!O444</f>
        <v>0</v>
      </c>
      <c r="L445" s="8">
        <f>+MENUDENCIAS!P444</f>
        <v>0</v>
      </c>
      <c r="M445" s="7">
        <f>+RENDERING!H443</f>
        <v>0</v>
      </c>
      <c r="N445" s="7">
        <f>+RENDERING!F443</f>
        <v>0</v>
      </c>
      <c r="O445" s="7">
        <f>+RENDERING!J443</f>
        <v>0</v>
      </c>
      <c r="P445" s="7">
        <f>+CUEROS!N446</f>
        <v>0</v>
      </c>
      <c r="Q445" s="7">
        <f>+'GRASA DREASING'!G443</f>
        <v>0</v>
      </c>
    </row>
    <row r="446" spans="2:17" x14ac:dyDescent="0.2">
      <c r="B446" s="5">
        <f>+'SERVICIO FAENA'!A445</f>
        <v>0</v>
      </c>
      <c r="C446" s="5">
        <f>+'SERVICIO FAENA'!B445</f>
        <v>0</v>
      </c>
      <c r="D446" s="5">
        <f>+'SERVICIO FAENA'!C445</f>
        <v>0</v>
      </c>
      <c r="E446" s="7">
        <f>+'SERVICIO FAENA'!H445</f>
        <v>0</v>
      </c>
      <c r="F446" s="6">
        <f>+'SERVICIO FAENA'!F445</f>
        <v>0</v>
      </c>
      <c r="G446" s="7">
        <f>+'SERVICIO FAENA'!J445</f>
        <v>0</v>
      </c>
      <c r="H446" s="7">
        <f>+'SERVICIO DESPOSTE'!W445</f>
        <v>0</v>
      </c>
      <c r="I446" s="36">
        <f t="shared" si="7"/>
        <v>0</v>
      </c>
      <c r="J446" s="8">
        <f>+MENUDENCIAS!I445</f>
        <v>0</v>
      </c>
      <c r="K446" s="8">
        <f>+MENUDENCIAS!O445</f>
        <v>0</v>
      </c>
      <c r="L446" s="8">
        <f>+MENUDENCIAS!P445</f>
        <v>0</v>
      </c>
      <c r="M446" s="7">
        <f>+RENDERING!H444</f>
        <v>0</v>
      </c>
      <c r="N446" s="7">
        <f>+RENDERING!F444</f>
        <v>0</v>
      </c>
      <c r="O446" s="7">
        <f>+RENDERING!J444</f>
        <v>0</v>
      </c>
      <c r="P446" s="7">
        <f>+CUEROS!N447</f>
        <v>0</v>
      </c>
      <c r="Q446" s="7">
        <f>+'GRASA DREASING'!G444</f>
        <v>0</v>
      </c>
    </row>
    <row r="447" spans="2:17" x14ac:dyDescent="0.2">
      <c r="B447" s="5">
        <f>+'SERVICIO FAENA'!A446</f>
        <v>0</v>
      </c>
      <c r="C447" s="5">
        <f>+'SERVICIO FAENA'!B446</f>
        <v>0</v>
      </c>
      <c r="D447" s="5">
        <f>+'SERVICIO FAENA'!C446</f>
        <v>0</v>
      </c>
      <c r="E447" s="7">
        <f>+'SERVICIO FAENA'!H446</f>
        <v>0</v>
      </c>
      <c r="F447" s="6">
        <f>+'SERVICIO FAENA'!F446</f>
        <v>0</v>
      </c>
      <c r="G447" s="7">
        <f>+'SERVICIO FAENA'!J446</f>
        <v>0</v>
      </c>
      <c r="H447" s="7">
        <f>+'SERVICIO DESPOSTE'!W446</f>
        <v>0</v>
      </c>
      <c r="I447" s="36">
        <f t="shared" si="7"/>
        <v>0</v>
      </c>
      <c r="J447" s="8">
        <f>+MENUDENCIAS!I446</f>
        <v>0</v>
      </c>
      <c r="K447" s="8">
        <f>+MENUDENCIAS!O446</f>
        <v>0</v>
      </c>
      <c r="L447" s="8">
        <f>+MENUDENCIAS!P446</f>
        <v>0</v>
      </c>
      <c r="M447" s="7">
        <f>+RENDERING!H445</f>
        <v>0</v>
      </c>
      <c r="N447" s="7">
        <f>+RENDERING!F445</f>
        <v>0</v>
      </c>
      <c r="O447" s="7">
        <f>+RENDERING!J445</f>
        <v>0</v>
      </c>
      <c r="P447" s="7">
        <f>+CUEROS!N448</f>
        <v>0</v>
      </c>
      <c r="Q447" s="7">
        <f>+'GRASA DREASING'!G445</f>
        <v>0</v>
      </c>
    </row>
    <row r="448" spans="2:17" x14ac:dyDescent="0.2">
      <c r="B448" s="5">
        <f>+'SERVICIO FAENA'!A447</f>
        <v>0</v>
      </c>
      <c r="C448" s="5">
        <f>+'SERVICIO FAENA'!B447</f>
        <v>0</v>
      </c>
      <c r="D448" s="5">
        <f>+'SERVICIO FAENA'!C447</f>
        <v>0</v>
      </c>
      <c r="E448" s="7">
        <f>+'SERVICIO FAENA'!H447</f>
        <v>0</v>
      </c>
      <c r="F448" s="6">
        <f>+'SERVICIO FAENA'!F447</f>
        <v>0</v>
      </c>
      <c r="G448" s="7">
        <f>+'SERVICIO FAENA'!J447</f>
        <v>0</v>
      </c>
      <c r="H448" s="7">
        <f>+'SERVICIO DESPOSTE'!W447</f>
        <v>0</v>
      </c>
      <c r="I448" s="36">
        <f t="shared" si="7"/>
        <v>0</v>
      </c>
      <c r="J448" s="8">
        <f>+MENUDENCIAS!I447</f>
        <v>0</v>
      </c>
      <c r="K448" s="8">
        <f>+MENUDENCIAS!O447</f>
        <v>0</v>
      </c>
      <c r="L448" s="8">
        <f>+MENUDENCIAS!P447</f>
        <v>0</v>
      </c>
      <c r="M448" s="7">
        <f>+RENDERING!H446</f>
        <v>0</v>
      </c>
      <c r="N448" s="7">
        <f>+RENDERING!F446</f>
        <v>0</v>
      </c>
      <c r="O448" s="7">
        <f>+RENDERING!J446</f>
        <v>0</v>
      </c>
      <c r="P448" s="7">
        <f>+CUEROS!N449</f>
        <v>0</v>
      </c>
      <c r="Q448" s="7">
        <f>+'GRASA DREASING'!G446</f>
        <v>0</v>
      </c>
    </row>
    <row r="449" spans="2:17" x14ac:dyDescent="0.2">
      <c r="B449" s="5">
        <f>+'SERVICIO FAENA'!A448</f>
        <v>0</v>
      </c>
      <c r="C449" s="5">
        <f>+'SERVICIO FAENA'!B448</f>
        <v>0</v>
      </c>
      <c r="D449" s="5">
        <f>+'SERVICIO FAENA'!C448</f>
        <v>0</v>
      </c>
      <c r="E449" s="7">
        <f>+'SERVICIO FAENA'!H448</f>
        <v>0</v>
      </c>
      <c r="F449" s="6">
        <f>+'SERVICIO FAENA'!F448</f>
        <v>0</v>
      </c>
      <c r="G449" s="7">
        <f>+'SERVICIO FAENA'!J448</f>
        <v>0</v>
      </c>
      <c r="H449" s="7">
        <f>+'SERVICIO DESPOSTE'!W448</f>
        <v>0</v>
      </c>
      <c r="I449" s="36">
        <f t="shared" si="7"/>
        <v>0</v>
      </c>
      <c r="J449" s="8">
        <f>+MENUDENCIAS!I448</f>
        <v>0</v>
      </c>
      <c r="K449" s="8">
        <f>+MENUDENCIAS!O448</f>
        <v>0</v>
      </c>
      <c r="L449" s="8">
        <f>+MENUDENCIAS!P448</f>
        <v>0</v>
      </c>
      <c r="M449" s="7">
        <f>+RENDERING!H447</f>
        <v>0</v>
      </c>
      <c r="N449" s="7">
        <f>+RENDERING!F447</f>
        <v>0</v>
      </c>
      <c r="O449" s="7">
        <f>+RENDERING!J447</f>
        <v>0</v>
      </c>
      <c r="P449" s="7">
        <f>+CUEROS!N450</f>
        <v>0</v>
      </c>
      <c r="Q449" s="7">
        <f>+'GRASA DREASING'!G447</f>
        <v>0</v>
      </c>
    </row>
  </sheetData>
  <autoFilter ref="A1:Q449"/>
  <mergeCells count="2">
    <mergeCell ref="A2:A51"/>
    <mergeCell ref="A53:A98"/>
  </mergeCells>
  <hyperlinks>
    <hyperlink ref="A2:A51" location="'RESUMEN 2026'!A3" display="ENERO"/>
    <hyperlink ref="A53:A98" location="'RESUMEN 2026'!A4" display="FEBRERO"/>
  </hyperlinks>
  <pageMargins left="0.7" right="0.7" top="0.75" bottom="0.75" header="0.3" footer="0.3"/>
  <pageSetup paperSize="8" scale="9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tabColor theme="0" tint="-0.249977111117893"/>
  </sheetPr>
  <dimension ref="A1:T717"/>
  <sheetViews>
    <sheetView topLeftCell="G1" zoomScaleNormal="100" workbookViewId="0">
      <pane ySplit="2" topLeftCell="A3" activePane="bottomLeft" state="frozen"/>
      <selection activeCell="C22" sqref="C22"/>
      <selection pane="bottomLeft" activeCell="Q4" sqref="Q4"/>
    </sheetView>
  </sheetViews>
  <sheetFormatPr baseColWidth="10" defaultColWidth="11.42578125" defaultRowHeight="12.75" x14ac:dyDescent="0.2"/>
  <cols>
    <col min="1" max="1" width="9.5703125" style="5" bestFit="1" customWidth="1"/>
    <col min="2" max="2" width="28" style="5" customWidth="1"/>
    <col min="3" max="3" width="10.42578125" style="5" customWidth="1"/>
    <col min="4" max="4" width="11.5703125" style="5" customWidth="1"/>
    <col min="5" max="5" width="13.28515625" style="5" customWidth="1"/>
    <col min="6" max="7" width="11.5703125" style="5" customWidth="1"/>
    <col min="8" max="8" width="12.140625" style="5" customWidth="1"/>
    <col min="9" max="9" width="12.42578125" style="5" customWidth="1"/>
    <col min="10" max="10" width="14.85546875" style="5" customWidth="1"/>
    <col min="11" max="12" width="11.7109375" style="5" customWidth="1"/>
    <col min="13" max="13" width="14.42578125" style="5" customWidth="1"/>
    <col min="14" max="14" width="14.7109375" style="5" customWidth="1"/>
    <col min="15" max="15" width="12" style="44" customWidth="1"/>
    <col min="16" max="16" width="12.7109375" style="44" customWidth="1"/>
    <col min="17" max="17" width="10" style="39" customWidth="1"/>
    <col min="18" max="18" width="14.85546875" style="5" customWidth="1"/>
    <col min="19" max="19" width="13.85546875" style="5" bestFit="1" customWidth="1"/>
    <col min="20" max="20" width="16.5703125" style="5" bestFit="1" customWidth="1"/>
    <col min="21" max="16384" width="11.42578125" style="5"/>
  </cols>
  <sheetData>
    <row r="1" spans="1:20" s="4" customFormat="1" ht="39" thickBot="1" x14ac:dyDescent="0.3">
      <c r="A1" s="238" t="s">
        <v>4</v>
      </c>
      <c r="B1" s="238" t="s">
        <v>0</v>
      </c>
      <c r="C1" s="244" t="s">
        <v>229</v>
      </c>
      <c r="D1" s="244" t="s">
        <v>2</v>
      </c>
      <c r="E1" s="244" t="s">
        <v>3</v>
      </c>
      <c r="F1" s="244" t="s">
        <v>5</v>
      </c>
      <c r="G1" s="244" t="s">
        <v>6</v>
      </c>
      <c r="H1" s="236" t="s">
        <v>7</v>
      </c>
      <c r="I1" s="236" t="s">
        <v>8</v>
      </c>
      <c r="J1" s="236" t="s">
        <v>43</v>
      </c>
      <c r="K1" s="9" t="s">
        <v>28</v>
      </c>
      <c r="L1" s="9" t="s">
        <v>29</v>
      </c>
      <c r="M1" s="236" t="s">
        <v>15</v>
      </c>
      <c r="N1" s="238" t="s">
        <v>9</v>
      </c>
      <c r="O1" s="240" t="s">
        <v>117</v>
      </c>
      <c r="P1" s="240" t="s">
        <v>10</v>
      </c>
      <c r="Q1" s="242"/>
      <c r="R1" s="236" t="s">
        <v>11</v>
      </c>
      <c r="S1" s="236" t="s">
        <v>12</v>
      </c>
      <c r="T1" s="238" t="s">
        <v>13</v>
      </c>
    </row>
    <row r="2" spans="1:20" s="4" customFormat="1" ht="15.75" customHeight="1" thickBot="1" x14ac:dyDescent="0.3">
      <c r="A2" s="239"/>
      <c r="B2" s="239"/>
      <c r="C2" s="245"/>
      <c r="D2" s="245"/>
      <c r="E2" s="245"/>
      <c r="F2" s="245"/>
      <c r="G2" s="245"/>
      <c r="H2" s="237"/>
      <c r="I2" s="237"/>
      <c r="J2" s="239"/>
      <c r="K2" s="10">
        <v>392.78</v>
      </c>
      <c r="L2" s="10">
        <v>535</v>
      </c>
      <c r="M2" s="237"/>
      <c r="N2" s="239"/>
      <c r="O2" s="241"/>
      <c r="P2" s="241"/>
      <c r="Q2" s="243"/>
      <c r="R2" s="237"/>
      <c r="S2" s="237"/>
      <c r="T2" s="239"/>
    </row>
    <row r="3" spans="1:20" x14ac:dyDescent="0.2">
      <c r="A3" s="53">
        <v>1</v>
      </c>
      <c r="B3" s="53" t="s">
        <v>64</v>
      </c>
      <c r="C3" s="54">
        <v>15</v>
      </c>
      <c r="D3" s="55">
        <v>5052</v>
      </c>
      <c r="E3" s="56">
        <v>46024</v>
      </c>
      <c r="F3" s="55">
        <v>2940.3</v>
      </c>
      <c r="G3" s="57">
        <f t="shared" ref="G3:G13" si="0">+F3/D3</f>
        <v>0.58200712589073633</v>
      </c>
      <c r="H3" s="41">
        <v>335</v>
      </c>
      <c r="I3" s="41"/>
      <c r="J3" s="41">
        <f t="shared" ref="J3:J13" si="1">+H3*F3</f>
        <v>985000.50000000012</v>
      </c>
      <c r="K3" s="41">
        <f>$K$2*C3</f>
        <v>5891.7</v>
      </c>
      <c r="L3" s="41">
        <v>5625</v>
      </c>
      <c r="M3" s="58">
        <f t="shared" ref="M3:M13" si="2">+(J3*1.21)+K3+L3</f>
        <v>1203367.3050000002</v>
      </c>
      <c r="N3" s="53" t="s">
        <v>99</v>
      </c>
      <c r="O3" s="59">
        <v>46027</v>
      </c>
      <c r="P3" s="59">
        <v>46029</v>
      </c>
      <c r="Q3" s="100">
        <f t="shared" ref="Q3:Q4" si="3">+P3-O3</f>
        <v>2</v>
      </c>
      <c r="R3" s="60">
        <v>1203367.31</v>
      </c>
      <c r="S3" s="61">
        <f t="shared" ref="S3:S15" si="4">+R3-M3</f>
        <v>4.999999888241291E-3</v>
      </c>
      <c r="T3" s="53"/>
    </row>
    <row r="4" spans="1:20" x14ac:dyDescent="0.2">
      <c r="A4" s="11">
        <v>2</v>
      </c>
      <c r="B4" s="11" t="s">
        <v>96</v>
      </c>
      <c r="C4" s="12">
        <v>43</v>
      </c>
      <c r="D4" s="13">
        <v>16831</v>
      </c>
      <c r="E4" s="14">
        <v>46024</v>
      </c>
      <c r="F4" s="13">
        <v>9891.7999999999993</v>
      </c>
      <c r="G4" s="15">
        <f t="shared" si="0"/>
        <v>0.58771314835719801</v>
      </c>
      <c r="H4" s="16">
        <v>335</v>
      </c>
      <c r="I4" s="16"/>
      <c r="J4" s="16">
        <f t="shared" si="1"/>
        <v>3313752.9999999995</v>
      </c>
      <c r="K4" s="16">
        <f t="shared" ref="K4:K13" si="5">$K$2*C4</f>
        <v>16889.539999999997</v>
      </c>
      <c r="L4" s="16">
        <v>16125</v>
      </c>
      <c r="M4" s="17">
        <f t="shared" si="2"/>
        <v>4042655.6699999995</v>
      </c>
      <c r="N4" s="11" t="s">
        <v>98</v>
      </c>
      <c r="O4" s="18">
        <v>46027</v>
      </c>
      <c r="P4" s="18">
        <v>46029</v>
      </c>
      <c r="Q4" s="100">
        <f t="shared" si="3"/>
        <v>2</v>
      </c>
      <c r="R4" s="19">
        <v>4042655.67</v>
      </c>
      <c r="S4" s="52">
        <f t="shared" si="4"/>
        <v>0</v>
      </c>
      <c r="T4" s="11"/>
    </row>
    <row r="5" spans="1:20" x14ac:dyDescent="0.2">
      <c r="A5" s="11">
        <v>3</v>
      </c>
      <c r="B5" s="11" t="s">
        <v>96</v>
      </c>
      <c r="C5" s="12">
        <v>40</v>
      </c>
      <c r="D5" s="13">
        <v>14972</v>
      </c>
      <c r="E5" s="14">
        <v>46027</v>
      </c>
      <c r="F5" s="13">
        <v>8567.7999999999993</v>
      </c>
      <c r="G5" s="15">
        <f t="shared" si="0"/>
        <v>0.57225487576810041</v>
      </c>
      <c r="H5" s="16">
        <v>335</v>
      </c>
      <c r="I5" s="16"/>
      <c r="J5" s="16">
        <f t="shared" si="1"/>
        <v>2870212.9999999995</v>
      </c>
      <c r="K5" s="16">
        <f t="shared" si="5"/>
        <v>15711.199999999999</v>
      </c>
      <c r="L5" s="16">
        <v>15000</v>
      </c>
      <c r="M5" s="17">
        <f t="shared" si="2"/>
        <v>3503668.9299999997</v>
      </c>
      <c r="N5" s="11" t="s">
        <v>122</v>
      </c>
      <c r="O5" s="18">
        <v>46029</v>
      </c>
      <c r="P5" s="18">
        <v>46034</v>
      </c>
      <c r="Q5" s="100">
        <f>+P5-O5</f>
        <v>5</v>
      </c>
      <c r="R5" s="19">
        <v>3503668.93</v>
      </c>
      <c r="S5" s="52">
        <f t="shared" si="4"/>
        <v>0</v>
      </c>
      <c r="T5" s="11"/>
    </row>
    <row r="6" spans="1:20" x14ac:dyDescent="0.2">
      <c r="A6" s="11">
        <v>4</v>
      </c>
      <c r="B6" s="11" t="s">
        <v>103</v>
      </c>
      <c r="C6" s="12">
        <v>25</v>
      </c>
      <c r="D6" s="13">
        <v>8989</v>
      </c>
      <c r="E6" s="14">
        <v>46027</v>
      </c>
      <c r="F6" s="13">
        <v>5030.3999999999996</v>
      </c>
      <c r="G6" s="15">
        <f t="shared" si="0"/>
        <v>0.55961731004561122</v>
      </c>
      <c r="H6" s="16">
        <v>335</v>
      </c>
      <c r="I6" s="16"/>
      <c r="J6" s="16">
        <f t="shared" si="1"/>
        <v>1685183.9999999998</v>
      </c>
      <c r="K6" s="16">
        <f t="shared" si="5"/>
        <v>9819.5</v>
      </c>
      <c r="L6" s="16">
        <v>9375</v>
      </c>
      <c r="M6" s="17">
        <f t="shared" si="2"/>
        <v>2058267.1399999997</v>
      </c>
      <c r="N6" s="11" t="s">
        <v>104</v>
      </c>
      <c r="O6" s="18">
        <v>46028</v>
      </c>
      <c r="P6" s="18">
        <v>46038</v>
      </c>
      <c r="Q6" s="100">
        <f t="shared" ref="Q6:Q69" si="6">+P6-O6</f>
        <v>10</v>
      </c>
      <c r="R6" s="19">
        <v>2058267.14</v>
      </c>
      <c r="S6" s="52">
        <f t="shared" si="4"/>
        <v>0</v>
      </c>
      <c r="T6" s="11" t="s">
        <v>126</v>
      </c>
    </row>
    <row r="7" spans="1:20" x14ac:dyDescent="0.2">
      <c r="A7" s="11">
        <v>5</v>
      </c>
      <c r="B7" s="11" t="s">
        <v>102</v>
      </c>
      <c r="C7" s="12">
        <v>30</v>
      </c>
      <c r="D7" s="13">
        <v>11530</v>
      </c>
      <c r="E7" s="14">
        <v>46027</v>
      </c>
      <c r="F7" s="13">
        <v>6743.3</v>
      </c>
      <c r="G7" s="15">
        <f t="shared" si="0"/>
        <v>0.58484822202948827</v>
      </c>
      <c r="H7" s="16">
        <v>335</v>
      </c>
      <c r="I7" s="16"/>
      <c r="J7" s="16">
        <f t="shared" si="1"/>
        <v>2259005.5</v>
      </c>
      <c r="K7" s="16">
        <f t="shared" si="5"/>
        <v>11783.4</v>
      </c>
      <c r="L7" s="16">
        <v>11250</v>
      </c>
      <c r="M7" s="17">
        <f t="shared" si="2"/>
        <v>2756430.0549999997</v>
      </c>
      <c r="N7" s="11" t="s">
        <v>105</v>
      </c>
      <c r="O7" s="18">
        <v>46028</v>
      </c>
      <c r="P7" s="18">
        <v>46028</v>
      </c>
      <c r="Q7" s="100">
        <f t="shared" si="6"/>
        <v>0</v>
      </c>
      <c r="R7" s="19">
        <v>2756430.06</v>
      </c>
      <c r="S7" s="52">
        <f t="shared" si="4"/>
        <v>5.0000003539025784E-3</v>
      </c>
      <c r="T7" s="11"/>
    </row>
    <row r="8" spans="1:20" x14ac:dyDescent="0.2">
      <c r="A8" s="11">
        <v>6</v>
      </c>
      <c r="B8" s="11" t="s">
        <v>102</v>
      </c>
      <c r="C8" s="12">
        <v>15</v>
      </c>
      <c r="D8" s="13">
        <v>5216</v>
      </c>
      <c r="E8" s="14">
        <v>46028</v>
      </c>
      <c r="F8" s="13">
        <v>3075.2</v>
      </c>
      <c r="G8" s="15">
        <f t="shared" si="0"/>
        <v>0.58957055214723919</v>
      </c>
      <c r="H8" s="16">
        <v>335</v>
      </c>
      <c r="I8" s="16"/>
      <c r="J8" s="16">
        <f t="shared" si="1"/>
        <v>1030191.9999999999</v>
      </c>
      <c r="K8" s="16">
        <f t="shared" si="5"/>
        <v>5891.7</v>
      </c>
      <c r="L8" s="16">
        <v>5625</v>
      </c>
      <c r="M8" s="17">
        <f t="shared" si="2"/>
        <v>1258049.0199999998</v>
      </c>
      <c r="N8" s="11" t="s">
        <v>106</v>
      </c>
      <c r="O8" s="18">
        <v>46028</v>
      </c>
      <c r="P8" s="18">
        <v>46028</v>
      </c>
      <c r="Q8" s="100">
        <f t="shared" si="6"/>
        <v>0</v>
      </c>
      <c r="R8" s="19">
        <v>1258049.02</v>
      </c>
      <c r="S8" s="52">
        <f t="shared" si="4"/>
        <v>0</v>
      </c>
      <c r="T8" s="11"/>
    </row>
    <row r="9" spans="1:20" x14ac:dyDescent="0.2">
      <c r="A9" s="11">
        <v>7</v>
      </c>
      <c r="B9" s="11" t="s">
        <v>107</v>
      </c>
      <c r="C9" s="12">
        <v>35</v>
      </c>
      <c r="D9" s="13">
        <v>17870</v>
      </c>
      <c r="E9" s="14">
        <v>46028</v>
      </c>
      <c r="F9" s="13">
        <v>10641.5</v>
      </c>
      <c r="G9" s="15">
        <f t="shared" si="0"/>
        <v>0.59549524342473414</v>
      </c>
      <c r="H9" s="16">
        <v>335</v>
      </c>
      <c r="I9" s="16"/>
      <c r="J9" s="16">
        <f t="shared" si="1"/>
        <v>3564902.5</v>
      </c>
      <c r="K9" s="16">
        <f t="shared" si="5"/>
        <v>13747.3</v>
      </c>
      <c r="L9" s="16">
        <f>$L$2*C9</f>
        <v>18725</v>
      </c>
      <c r="M9" s="17">
        <f t="shared" si="2"/>
        <v>4346004.3249999993</v>
      </c>
      <c r="N9" s="11" t="s">
        <v>109</v>
      </c>
      <c r="O9" s="18">
        <v>46030</v>
      </c>
      <c r="P9" s="18">
        <v>46045</v>
      </c>
      <c r="Q9" s="100">
        <f t="shared" si="6"/>
        <v>15</v>
      </c>
      <c r="R9" s="19">
        <v>4346004.33</v>
      </c>
      <c r="S9" s="52">
        <f t="shared" si="4"/>
        <v>5.0000008195638657E-3</v>
      </c>
      <c r="T9" s="11" t="s">
        <v>143</v>
      </c>
    </row>
    <row r="10" spans="1:20" x14ac:dyDescent="0.2">
      <c r="A10" s="11">
        <v>8</v>
      </c>
      <c r="B10" s="11" t="s">
        <v>107</v>
      </c>
      <c r="C10" s="12">
        <v>5</v>
      </c>
      <c r="D10" s="13">
        <v>2714</v>
      </c>
      <c r="E10" s="14">
        <v>46028</v>
      </c>
      <c r="F10" s="13">
        <v>1585.2</v>
      </c>
      <c r="G10" s="15">
        <f t="shared" si="0"/>
        <v>0.58408253500368457</v>
      </c>
      <c r="H10" s="16">
        <v>335</v>
      </c>
      <c r="I10" s="16"/>
      <c r="J10" s="16">
        <f t="shared" si="1"/>
        <v>531042</v>
      </c>
      <c r="K10" s="16">
        <f t="shared" si="5"/>
        <v>1963.8999999999999</v>
      </c>
      <c r="L10" s="16">
        <f>$L$2*C10</f>
        <v>2675</v>
      </c>
      <c r="M10" s="17">
        <f t="shared" si="2"/>
        <v>647199.72</v>
      </c>
      <c r="N10" s="11" t="s">
        <v>109</v>
      </c>
      <c r="O10" s="18">
        <v>46030</v>
      </c>
      <c r="P10" s="18">
        <v>46045</v>
      </c>
      <c r="Q10" s="100">
        <f t="shared" si="6"/>
        <v>15</v>
      </c>
      <c r="R10" s="19">
        <v>647199.72</v>
      </c>
      <c r="S10" s="52">
        <f t="shared" si="4"/>
        <v>0</v>
      </c>
      <c r="T10" s="11" t="s">
        <v>126</v>
      </c>
    </row>
    <row r="11" spans="1:20" x14ac:dyDescent="0.2">
      <c r="A11" s="11">
        <v>9</v>
      </c>
      <c r="B11" s="11" t="s">
        <v>107</v>
      </c>
      <c r="C11" s="12">
        <v>10</v>
      </c>
      <c r="D11" s="13">
        <v>4777</v>
      </c>
      <c r="E11" s="14">
        <v>46028</v>
      </c>
      <c r="F11" s="13">
        <v>2712.6</v>
      </c>
      <c r="G11" s="15">
        <f t="shared" si="0"/>
        <v>0.56784592840694992</v>
      </c>
      <c r="H11" s="16">
        <v>335</v>
      </c>
      <c r="I11" s="16"/>
      <c r="J11" s="16">
        <f t="shared" si="1"/>
        <v>908721</v>
      </c>
      <c r="K11" s="16">
        <f t="shared" si="5"/>
        <v>3927.7999999999997</v>
      </c>
      <c r="L11" s="16">
        <f>$L$2*C11</f>
        <v>5350</v>
      </c>
      <c r="M11" s="17">
        <f t="shared" si="2"/>
        <v>1108830.21</v>
      </c>
      <c r="N11" s="11" t="s">
        <v>109</v>
      </c>
      <c r="O11" s="18">
        <v>46030</v>
      </c>
      <c r="P11" s="18">
        <v>46045</v>
      </c>
      <c r="Q11" s="100">
        <f t="shared" si="6"/>
        <v>15</v>
      </c>
      <c r="R11" s="19">
        <v>1108830.21</v>
      </c>
      <c r="S11" s="52">
        <f t="shared" si="4"/>
        <v>0</v>
      </c>
      <c r="T11" s="11" t="s">
        <v>126</v>
      </c>
    </row>
    <row r="12" spans="1:20" x14ac:dyDescent="0.2">
      <c r="A12" s="11">
        <v>10</v>
      </c>
      <c r="B12" s="11" t="s">
        <v>64</v>
      </c>
      <c r="C12" s="12">
        <v>15</v>
      </c>
      <c r="D12" s="13">
        <v>6180</v>
      </c>
      <c r="E12" s="14">
        <v>46028</v>
      </c>
      <c r="F12" s="13">
        <v>3623.5</v>
      </c>
      <c r="G12" s="15">
        <f t="shared" si="0"/>
        <v>0.58632686084142394</v>
      </c>
      <c r="H12" s="16">
        <v>335</v>
      </c>
      <c r="I12" s="16"/>
      <c r="J12" s="16">
        <f t="shared" si="1"/>
        <v>1213872.5</v>
      </c>
      <c r="K12" s="16">
        <f t="shared" si="5"/>
        <v>5891.7</v>
      </c>
      <c r="L12" s="16">
        <v>5625</v>
      </c>
      <c r="M12" s="17">
        <f t="shared" si="2"/>
        <v>1480302.4249999998</v>
      </c>
      <c r="N12" s="11" t="s">
        <v>108</v>
      </c>
      <c r="O12" s="18">
        <v>46029</v>
      </c>
      <c r="P12" s="18">
        <v>46029</v>
      </c>
      <c r="Q12" s="100">
        <f t="shared" si="6"/>
        <v>0</v>
      </c>
      <c r="R12" s="19">
        <v>1480302.69</v>
      </c>
      <c r="S12" s="52">
        <f t="shared" si="4"/>
        <v>0.26500000013038516</v>
      </c>
      <c r="T12" s="11"/>
    </row>
    <row r="13" spans="1:20" x14ac:dyDescent="0.2">
      <c r="A13" s="11">
        <v>11</v>
      </c>
      <c r="B13" s="11" t="s">
        <v>110</v>
      </c>
      <c r="C13" s="12">
        <v>20</v>
      </c>
      <c r="D13" s="13">
        <v>6150</v>
      </c>
      <c r="E13" s="14">
        <v>46029</v>
      </c>
      <c r="F13" s="13">
        <v>3381.6</v>
      </c>
      <c r="G13" s="15">
        <f t="shared" si="0"/>
        <v>0.5498536585365853</v>
      </c>
      <c r="H13" s="16">
        <v>335</v>
      </c>
      <c r="I13" s="16"/>
      <c r="J13" s="16">
        <f t="shared" si="1"/>
        <v>1132836</v>
      </c>
      <c r="K13" s="16">
        <f t="shared" si="5"/>
        <v>7855.5999999999995</v>
      </c>
      <c r="L13" s="16">
        <f>$L$2*C13</f>
        <v>10700</v>
      </c>
      <c r="M13" s="17">
        <f t="shared" si="2"/>
        <v>1389287.1600000001</v>
      </c>
      <c r="N13" s="11" t="s">
        <v>118</v>
      </c>
      <c r="O13" s="18">
        <v>46031</v>
      </c>
      <c r="P13" s="18">
        <v>46036</v>
      </c>
      <c r="Q13" s="100">
        <f t="shared" si="6"/>
        <v>5</v>
      </c>
      <c r="R13" s="19">
        <v>1389287.16</v>
      </c>
      <c r="S13" s="52">
        <f t="shared" si="4"/>
        <v>0</v>
      </c>
      <c r="T13" s="11"/>
    </row>
    <row r="14" spans="1:20" x14ac:dyDescent="0.2">
      <c r="A14" s="11">
        <v>12</v>
      </c>
      <c r="B14" s="11" t="s">
        <v>110</v>
      </c>
      <c r="C14" s="12">
        <v>3</v>
      </c>
      <c r="D14" s="13">
        <v>825</v>
      </c>
      <c r="E14" s="14">
        <v>46029</v>
      </c>
      <c r="F14" s="13">
        <v>467.9</v>
      </c>
      <c r="G14" s="15">
        <f t="shared" ref="G14:G77" si="7">+F14/D14</f>
        <v>0.56715151515151507</v>
      </c>
      <c r="H14" s="16">
        <v>335</v>
      </c>
      <c r="I14" s="16"/>
      <c r="J14" s="16">
        <f t="shared" ref="J14:J77" si="8">+H14*F14</f>
        <v>156746.5</v>
      </c>
      <c r="K14" s="16">
        <f t="shared" ref="K14:K77" si="9">$K$2*C14</f>
        <v>1178.3399999999999</v>
      </c>
      <c r="L14" s="16">
        <f t="shared" ref="L14:L77" si="10">$L$2*C14</f>
        <v>1605</v>
      </c>
      <c r="M14" s="17">
        <f t="shared" ref="M14:M77" si="11">+(J14*1.21)+K14+L14</f>
        <v>192446.60499999998</v>
      </c>
      <c r="N14" s="11" t="str">
        <f>+N13</f>
        <v>00004-00000396</v>
      </c>
      <c r="O14" s="18">
        <v>46031</v>
      </c>
      <c r="P14" s="18">
        <v>46036</v>
      </c>
      <c r="Q14" s="100">
        <f t="shared" si="6"/>
        <v>5</v>
      </c>
      <c r="R14" s="19">
        <v>192446.59</v>
      </c>
      <c r="S14" s="52">
        <f t="shared" si="4"/>
        <v>-1.4999999984866008E-2</v>
      </c>
      <c r="T14" s="11"/>
    </row>
    <row r="15" spans="1:20" x14ac:dyDescent="0.2">
      <c r="A15" s="11">
        <v>13</v>
      </c>
      <c r="B15" s="11" t="s">
        <v>96</v>
      </c>
      <c r="C15" s="12">
        <v>40</v>
      </c>
      <c r="D15" s="13">
        <v>16040</v>
      </c>
      <c r="E15" s="14">
        <v>46029</v>
      </c>
      <c r="F15" s="13">
        <v>8946.1</v>
      </c>
      <c r="G15" s="15">
        <f t="shared" si="7"/>
        <v>0.5577369077306733</v>
      </c>
      <c r="H15" s="16">
        <v>335</v>
      </c>
      <c r="I15" s="16"/>
      <c r="J15" s="16">
        <f t="shared" si="8"/>
        <v>2996943.5</v>
      </c>
      <c r="K15" s="16">
        <f t="shared" si="9"/>
        <v>15711.199999999999</v>
      </c>
      <c r="L15" s="16">
        <f t="shared" si="10"/>
        <v>21400</v>
      </c>
      <c r="M15" s="17">
        <f t="shared" si="11"/>
        <v>3663412.835</v>
      </c>
      <c r="N15" s="11" t="s">
        <v>119</v>
      </c>
      <c r="O15" s="18">
        <v>46031</v>
      </c>
      <c r="P15" s="18">
        <v>46034</v>
      </c>
      <c r="Q15" s="100">
        <f t="shared" si="6"/>
        <v>3</v>
      </c>
      <c r="R15" s="19">
        <v>3663412.84</v>
      </c>
      <c r="S15" s="52">
        <f t="shared" si="4"/>
        <v>4.999999888241291E-3</v>
      </c>
      <c r="T15" s="11"/>
    </row>
    <row r="16" spans="1:20" x14ac:dyDescent="0.2">
      <c r="A16" s="11">
        <v>14</v>
      </c>
      <c r="B16" s="11" t="s">
        <v>111</v>
      </c>
      <c r="C16" s="12">
        <v>35</v>
      </c>
      <c r="D16" s="13">
        <v>10198</v>
      </c>
      <c r="E16" s="14">
        <v>46030</v>
      </c>
      <c r="F16" s="13">
        <v>5797.4</v>
      </c>
      <c r="G16" s="15">
        <f t="shared" si="7"/>
        <v>0.56848401647381841</v>
      </c>
      <c r="H16" s="16">
        <v>335</v>
      </c>
      <c r="I16" s="16"/>
      <c r="J16" s="16">
        <f t="shared" si="8"/>
        <v>1942128.9999999998</v>
      </c>
      <c r="K16" s="16">
        <f t="shared" si="9"/>
        <v>13747.3</v>
      </c>
      <c r="L16" s="16">
        <f t="shared" si="10"/>
        <v>18725</v>
      </c>
      <c r="M16" s="17">
        <f t="shared" si="11"/>
        <v>2382448.3899999997</v>
      </c>
      <c r="N16" s="11" t="s">
        <v>120</v>
      </c>
      <c r="O16" s="18">
        <v>46031</v>
      </c>
      <c r="P16" s="18">
        <v>46041</v>
      </c>
      <c r="Q16" s="100">
        <f t="shared" si="6"/>
        <v>10</v>
      </c>
      <c r="R16" s="19">
        <v>2382448.39</v>
      </c>
      <c r="S16" s="52">
        <f t="shared" ref="S16:S79" si="12">+R16-M16</f>
        <v>0</v>
      </c>
      <c r="T16" s="11"/>
    </row>
    <row r="17" spans="1:20" x14ac:dyDescent="0.2">
      <c r="A17" s="11">
        <v>15</v>
      </c>
      <c r="B17" s="11" t="s">
        <v>96</v>
      </c>
      <c r="C17" s="12">
        <v>46</v>
      </c>
      <c r="D17" s="13">
        <v>16054</v>
      </c>
      <c r="E17" s="14">
        <v>46031</v>
      </c>
      <c r="F17" s="13">
        <v>9276.2000000000007</v>
      </c>
      <c r="G17" s="15">
        <f t="shared" si="7"/>
        <v>0.57781238320667749</v>
      </c>
      <c r="H17" s="16">
        <v>335</v>
      </c>
      <c r="I17" s="16"/>
      <c r="J17" s="16">
        <f t="shared" si="8"/>
        <v>3107527.0000000005</v>
      </c>
      <c r="K17" s="16">
        <f t="shared" si="9"/>
        <v>18067.879999999997</v>
      </c>
      <c r="L17" s="16">
        <f t="shared" si="10"/>
        <v>24610</v>
      </c>
      <c r="M17" s="17">
        <f t="shared" si="11"/>
        <v>3802785.5500000003</v>
      </c>
      <c r="N17" s="11" t="s">
        <v>123</v>
      </c>
      <c r="O17" s="18">
        <v>46035</v>
      </c>
      <c r="P17" s="18">
        <v>46038</v>
      </c>
      <c r="Q17" s="100">
        <f t="shared" si="6"/>
        <v>3</v>
      </c>
      <c r="R17" s="19">
        <v>3802785.55</v>
      </c>
      <c r="S17" s="52">
        <f t="shared" si="12"/>
        <v>0</v>
      </c>
      <c r="T17" s="11"/>
    </row>
    <row r="18" spans="1:20" x14ac:dyDescent="0.2">
      <c r="A18" s="11">
        <v>16</v>
      </c>
      <c r="B18" s="11" t="s">
        <v>64</v>
      </c>
      <c r="C18" s="12">
        <v>15</v>
      </c>
      <c r="D18" s="13">
        <v>6402</v>
      </c>
      <c r="E18" s="14">
        <v>46031</v>
      </c>
      <c r="F18" s="13">
        <v>3771.7</v>
      </c>
      <c r="G18" s="15">
        <f t="shared" si="7"/>
        <v>0.58914401749453293</v>
      </c>
      <c r="H18" s="16">
        <v>335</v>
      </c>
      <c r="I18" s="16"/>
      <c r="J18" s="16">
        <f t="shared" si="8"/>
        <v>1263519.5</v>
      </c>
      <c r="K18" s="16">
        <f t="shared" si="9"/>
        <v>5891.7</v>
      </c>
      <c r="L18" s="16">
        <f t="shared" si="10"/>
        <v>8025</v>
      </c>
      <c r="M18" s="17">
        <f t="shared" si="11"/>
        <v>1542775.2949999999</v>
      </c>
      <c r="N18" s="11" t="s">
        <v>124</v>
      </c>
      <c r="O18" s="18">
        <v>46035</v>
      </c>
      <c r="P18" s="18">
        <v>46035</v>
      </c>
      <c r="Q18" s="100">
        <f t="shared" si="6"/>
        <v>0</v>
      </c>
      <c r="R18" s="19">
        <v>1542775.3</v>
      </c>
      <c r="S18" s="52">
        <f t="shared" si="12"/>
        <v>5.0000001210719347E-3</v>
      </c>
      <c r="T18" s="11"/>
    </row>
    <row r="19" spans="1:20" x14ac:dyDescent="0.2">
      <c r="A19" s="11">
        <v>17</v>
      </c>
      <c r="B19" s="11" t="s">
        <v>121</v>
      </c>
      <c r="C19" s="12">
        <v>17</v>
      </c>
      <c r="D19" s="13">
        <v>6546</v>
      </c>
      <c r="E19" s="14">
        <v>46031</v>
      </c>
      <c r="F19" s="13">
        <v>3815</v>
      </c>
      <c r="G19" s="15">
        <f t="shared" si="7"/>
        <v>0.58279865566758327</v>
      </c>
      <c r="H19" s="16">
        <v>335</v>
      </c>
      <c r="I19" s="16"/>
      <c r="J19" s="16">
        <f t="shared" si="8"/>
        <v>1278025</v>
      </c>
      <c r="K19" s="16">
        <f t="shared" si="9"/>
        <v>6677.2599999999993</v>
      </c>
      <c r="L19" s="16">
        <f t="shared" si="10"/>
        <v>9095</v>
      </c>
      <c r="M19" s="17">
        <f t="shared" si="11"/>
        <v>1562182.51</v>
      </c>
      <c r="N19" s="11" t="s">
        <v>125</v>
      </c>
      <c r="O19" s="18">
        <v>46032</v>
      </c>
      <c r="P19" s="18">
        <v>46032</v>
      </c>
      <c r="Q19" s="100">
        <f t="shared" si="6"/>
        <v>0</v>
      </c>
      <c r="R19" s="19">
        <v>1562182.51</v>
      </c>
      <c r="S19" s="52">
        <f t="shared" si="12"/>
        <v>0</v>
      </c>
      <c r="T19" s="11"/>
    </row>
    <row r="20" spans="1:20" x14ac:dyDescent="0.2">
      <c r="A20" s="11">
        <v>18</v>
      </c>
      <c r="B20" s="11" t="s">
        <v>96</v>
      </c>
      <c r="C20" s="12">
        <v>43</v>
      </c>
      <c r="D20" s="13">
        <v>15144</v>
      </c>
      <c r="E20" s="14">
        <v>46034</v>
      </c>
      <c r="F20" s="13">
        <v>8837.2999999999993</v>
      </c>
      <c r="G20" s="15">
        <f t="shared" si="7"/>
        <v>0.58355124141574211</v>
      </c>
      <c r="H20" s="16">
        <v>335</v>
      </c>
      <c r="I20" s="16"/>
      <c r="J20" s="16">
        <f t="shared" si="8"/>
        <v>2960495.4999999995</v>
      </c>
      <c r="K20" s="16">
        <f t="shared" si="9"/>
        <v>16889.539999999997</v>
      </c>
      <c r="L20" s="16">
        <f t="shared" si="10"/>
        <v>23005</v>
      </c>
      <c r="M20" s="17">
        <f t="shared" si="11"/>
        <v>3622094.0949999993</v>
      </c>
      <c r="N20" s="11" t="s">
        <v>127</v>
      </c>
      <c r="O20" s="18">
        <v>46034</v>
      </c>
      <c r="P20" s="18">
        <v>46041</v>
      </c>
      <c r="Q20" s="100">
        <f t="shared" si="6"/>
        <v>7</v>
      </c>
      <c r="R20" s="19">
        <v>3622094.1</v>
      </c>
      <c r="S20" s="52">
        <f t="shared" si="12"/>
        <v>5.0000008195638657E-3</v>
      </c>
      <c r="T20" s="11"/>
    </row>
    <row r="21" spans="1:20" x14ac:dyDescent="0.2">
      <c r="A21" s="11">
        <v>19</v>
      </c>
      <c r="B21" s="11" t="s">
        <v>103</v>
      </c>
      <c r="C21" s="12">
        <v>25</v>
      </c>
      <c r="D21" s="13">
        <v>9054</v>
      </c>
      <c r="E21" s="14">
        <v>46034</v>
      </c>
      <c r="F21" s="13">
        <v>5048.5</v>
      </c>
      <c r="G21" s="15">
        <f t="shared" si="7"/>
        <v>0.55759885133642584</v>
      </c>
      <c r="H21" s="16">
        <v>335</v>
      </c>
      <c r="I21" s="16"/>
      <c r="J21" s="16">
        <f t="shared" si="8"/>
        <v>1691247.5</v>
      </c>
      <c r="K21" s="16">
        <f t="shared" si="9"/>
        <v>9819.5</v>
      </c>
      <c r="L21" s="16">
        <f t="shared" si="10"/>
        <v>13375</v>
      </c>
      <c r="M21" s="17">
        <f t="shared" si="11"/>
        <v>2069603.9749999999</v>
      </c>
      <c r="N21" s="11" t="s">
        <v>128</v>
      </c>
      <c r="O21" s="18">
        <v>46034</v>
      </c>
      <c r="P21" s="18">
        <v>46041</v>
      </c>
      <c r="Q21" s="100">
        <f t="shared" si="6"/>
        <v>7</v>
      </c>
      <c r="R21" s="19">
        <v>2069603</v>
      </c>
      <c r="S21" s="52">
        <f t="shared" si="12"/>
        <v>-0.97499999986030161</v>
      </c>
      <c r="T21" s="11"/>
    </row>
    <row r="22" spans="1:20" x14ac:dyDescent="0.2">
      <c r="A22" s="11">
        <v>20</v>
      </c>
      <c r="B22" s="11" t="s">
        <v>110</v>
      </c>
      <c r="C22" s="12">
        <v>15</v>
      </c>
      <c r="D22" s="13">
        <v>4722</v>
      </c>
      <c r="E22" s="14">
        <v>46034</v>
      </c>
      <c r="F22" s="13">
        <v>2689.9</v>
      </c>
      <c r="G22" s="15">
        <f t="shared" si="7"/>
        <v>0.56965268953833126</v>
      </c>
      <c r="H22" s="16">
        <v>335</v>
      </c>
      <c r="I22" s="16"/>
      <c r="J22" s="16">
        <f t="shared" si="8"/>
        <v>901116.5</v>
      </c>
      <c r="K22" s="16">
        <f t="shared" si="9"/>
        <v>5891.7</v>
      </c>
      <c r="L22" s="16">
        <f t="shared" si="10"/>
        <v>8025</v>
      </c>
      <c r="M22" s="17">
        <f t="shared" si="11"/>
        <v>1104267.665</v>
      </c>
      <c r="N22" s="11" t="s">
        <v>129</v>
      </c>
      <c r="O22" s="18">
        <v>46034</v>
      </c>
      <c r="P22" s="18">
        <v>46041</v>
      </c>
      <c r="Q22" s="100">
        <f t="shared" si="6"/>
        <v>7</v>
      </c>
      <c r="R22" s="19">
        <v>1104267.6599999999</v>
      </c>
      <c r="S22" s="52">
        <f t="shared" si="12"/>
        <v>-5.0000001210719347E-3</v>
      </c>
      <c r="T22" s="11"/>
    </row>
    <row r="23" spans="1:20" x14ac:dyDescent="0.2">
      <c r="A23" s="11">
        <v>21</v>
      </c>
      <c r="B23" s="11" t="s">
        <v>107</v>
      </c>
      <c r="C23" s="12">
        <v>8</v>
      </c>
      <c r="D23" s="13">
        <v>3551</v>
      </c>
      <c r="E23" s="14">
        <v>46035</v>
      </c>
      <c r="F23" s="13">
        <v>2076.3000000000002</v>
      </c>
      <c r="G23" s="15">
        <f t="shared" si="7"/>
        <v>0.58470853280765989</v>
      </c>
      <c r="H23" s="16">
        <v>335</v>
      </c>
      <c r="I23" s="16"/>
      <c r="J23" s="16">
        <f t="shared" si="8"/>
        <v>695560.50000000012</v>
      </c>
      <c r="K23" s="16">
        <f t="shared" si="9"/>
        <v>3142.24</v>
      </c>
      <c r="L23" s="16">
        <f t="shared" si="10"/>
        <v>4280</v>
      </c>
      <c r="M23" s="17">
        <f t="shared" si="11"/>
        <v>849050.44500000007</v>
      </c>
      <c r="N23" s="11" t="s">
        <v>130</v>
      </c>
      <c r="O23" s="18">
        <v>46036</v>
      </c>
      <c r="P23" s="18">
        <v>46045</v>
      </c>
      <c r="Q23" s="100">
        <f t="shared" si="6"/>
        <v>9</v>
      </c>
      <c r="R23" s="19">
        <v>849050.45</v>
      </c>
      <c r="S23" s="52">
        <f t="shared" si="12"/>
        <v>4.999999888241291E-3</v>
      </c>
      <c r="T23" s="11" t="s">
        <v>126</v>
      </c>
    </row>
    <row r="24" spans="1:20" x14ac:dyDescent="0.2">
      <c r="A24" s="11">
        <v>22</v>
      </c>
      <c r="B24" s="11" t="s">
        <v>107</v>
      </c>
      <c r="C24" s="12">
        <v>7</v>
      </c>
      <c r="D24" s="13">
        <v>3139</v>
      </c>
      <c r="E24" s="14">
        <v>46035</v>
      </c>
      <c r="F24" s="13">
        <v>1852.3</v>
      </c>
      <c r="G24" s="15">
        <f t="shared" si="7"/>
        <v>0.59009238611022619</v>
      </c>
      <c r="H24" s="16">
        <v>335</v>
      </c>
      <c r="I24" s="16"/>
      <c r="J24" s="16">
        <f t="shared" si="8"/>
        <v>620520.5</v>
      </c>
      <c r="K24" s="16">
        <f t="shared" si="9"/>
        <v>2749.46</v>
      </c>
      <c r="L24" s="16">
        <f t="shared" si="10"/>
        <v>3745</v>
      </c>
      <c r="M24" s="17">
        <f t="shared" si="11"/>
        <v>757324.2649999999</v>
      </c>
      <c r="N24" s="11" t="str">
        <f>+N23</f>
        <v>00004-00000405</v>
      </c>
      <c r="O24" s="18">
        <v>46036</v>
      </c>
      <c r="P24" s="18">
        <v>46045</v>
      </c>
      <c r="Q24" s="100">
        <f t="shared" si="6"/>
        <v>9</v>
      </c>
      <c r="R24" s="19">
        <v>757324.27</v>
      </c>
      <c r="S24" s="52">
        <f t="shared" si="12"/>
        <v>5.0000001210719347E-3</v>
      </c>
      <c r="T24" s="11" t="s">
        <v>126</v>
      </c>
    </row>
    <row r="25" spans="1:20" x14ac:dyDescent="0.2">
      <c r="A25" s="11">
        <v>23</v>
      </c>
      <c r="B25" s="11" t="s">
        <v>107</v>
      </c>
      <c r="C25" s="12">
        <v>5</v>
      </c>
      <c r="D25" s="13">
        <v>3736</v>
      </c>
      <c r="E25" s="14">
        <v>46035</v>
      </c>
      <c r="F25" s="13">
        <v>2266.5</v>
      </c>
      <c r="G25" s="15">
        <f t="shared" si="7"/>
        <v>0.60666488222698067</v>
      </c>
      <c r="H25" s="16">
        <v>335</v>
      </c>
      <c r="I25" s="16"/>
      <c r="J25" s="16">
        <f t="shared" si="8"/>
        <v>759277.5</v>
      </c>
      <c r="K25" s="16">
        <f t="shared" si="9"/>
        <v>1963.8999999999999</v>
      </c>
      <c r="L25" s="16">
        <f t="shared" si="10"/>
        <v>2675</v>
      </c>
      <c r="M25" s="17">
        <f t="shared" si="11"/>
        <v>923364.67500000005</v>
      </c>
      <c r="N25" s="11" t="str">
        <f>+N24</f>
        <v>00004-00000405</v>
      </c>
      <c r="O25" s="18">
        <v>46036</v>
      </c>
      <c r="P25" s="18">
        <v>46045</v>
      </c>
      <c r="Q25" s="100">
        <f t="shared" si="6"/>
        <v>9</v>
      </c>
      <c r="R25" s="19">
        <v>923364.68</v>
      </c>
      <c r="S25" s="52">
        <f t="shared" si="12"/>
        <v>5.0000000046566129E-3</v>
      </c>
      <c r="T25" s="11" t="s">
        <v>126</v>
      </c>
    </row>
    <row r="26" spans="1:20" x14ac:dyDescent="0.2">
      <c r="A26" s="11">
        <v>24</v>
      </c>
      <c r="B26" s="11" t="s">
        <v>110</v>
      </c>
      <c r="C26" s="12">
        <v>30</v>
      </c>
      <c r="D26" s="13">
        <v>10277</v>
      </c>
      <c r="E26" s="14">
        <v>46036</v>
      </c>
      <c r="F26" s="13">
        <v>5913.5</v>
      </c>
      <c r="G26" s="15">
        <f t="shared" si="7"/>
        <v>0.57541111219227403</v>
      </c>
      <c r="H26" s="16">
        <v>335</v>
      </c>
      <c r="I26" s="16"/>
      <c r="J26" s="16">
        <f t="shared" si="8"/>
        <v>1981022.5</v>
      </c>
      <c r="K26" s="16">
        <f t="shared" si="9"/>
        <v>11783.4</v>
      </c>
      <c r="L26" s="16">
        <f t="shared" si="10"/>
        <v>16050</v>
      </c>
      <c r="M26" s="17">
        <f t="shared" si="11"/>
        <v>2424870.625</v>
      </c>
      <c r="N26" s="11" t="s">
        <v>132</v>
      </c>
      <c r="O26" s="18">
        <v>46037</v>
      </c>
      <c r="P26" s="18">
        <v>46045</v>
      </c>
      <c r="Q26" s="100">
        <f t="shared" si="6"/>
        <v>8</v>
      </c>
      <c r="R26" s="19">
        <v>2424870.63</v>
      </c>
      <c r="S26" s="52">
        <f t="shared" si="12"/>
        <v>4.999999888241291E-3</v>
      </c>
      <c r="T26" s="11"/>
    </row>
    <row r="27" spans="1:20" x14ac:dyDescent="0.2">
      <c r="A27" s="11">
        <v>25</v>
      </c>
      <c r="B27" s="11" t="s">
        <v>131</v>
      </c>
      <c r="C27" s="12">
        <v>6</v>
      </c>
      <c r="D27" s="13">
        <v>1839</v>
      </c>
      <c r="E27" s="14">
        <v>46036</v>
      </c>
      <c r="F27" s="13">
        <v>1026</v>
      </c>
      <c r="G27" s="15">
        <f t="shared" si="7"/>
        <v>0.55791190864600326</v>
      </c>
      <c r="H27" s="16">
        <v>335</v>
      </c>
      <c r="I27" s="16"/>
      <c r="J27" s="16">
        <f t="shared" si="8"/>
        <v>343710</v>
      </c>
      <c r="K27" s="16">
        <f t="shared" si="9"/>
        <v>2356.6799999999998</v>
      </c>
      <c r="L27" s="16">
        <f t="shared" si="10"/>
        <v>3210</v>
      </c>
      <c r="M27" s="17">
        <f t="shared" si="11"/>
        <v>421455.77999999997</v>
      </c>
      <c r="N27" s="11" t="s">
        <v>133</v>
      </c>
      <c r="O27" s="18">
        <v>46037</v>
      </c>
      <c r="P27" s="18">
        <v>46038</v>
      </c>
      <c r="Q27" s="100">
        <f t="shared" si="6"/>
        <v>1</v>
      </c>
      <c r="R27" s="19">
        <v>421455.78</v>
      </c>
      <c r="S27" s="52">
        <f t="shared" si="12"/>
        <v>0</v>
      </c>
      <c r="T27" s="11"/>
    </row>
    <row r="28" spans="1:20" x14ac:dyDescent="0.2">
      <c r="A28" s="11">
        <v>26</v>
      </c>
      <c r="B28" s="11" t="s">
        <v>111</v>
      </c>
      <c r="C28" s="12">
        <v>50</v>
      </c>
      <c r="D28" s="13">
        <v>20868</v>
      </c>
      <c r="E28" s="14">
        <v>46038</v>
      </c>
      <c r="F28" s="13">
        <v>11388.5</v>
      </c>
      <c r="G28" s="15">
        <f t="shared" si="7"/>
        <v>0.54573988882499525</v>
      </c>
      <c r="H28" s="16">
        <v>335</v>
      </c>
      <c r="I28" s="16"/>
      <c r="J28" s="16">
        <f t="shared" si="8"/>
        <v>3815147.5</v>
      </c>
      <c r="K28" s="16">
        <f t="shared" si="9"/>
        <v>19639</v>
      </c>
      <c r="L28" s="16">
        <f t="shared" si="10"/>
        <v>26750</v>
      </c>
      <c r="M28" s="17">
        <f t="shared" si="11"/>
        <v>4662717.4749999996</v>
      </c>
      <c r="N28" s="11" t="s">
        <v>137</v>
      </c>
      <c r="O28" s="18">
        <v>46041</v>
      </c>
      <c r="P28" s="18">
        <v>46041</v>
      </c>
      <c r="Q28" s="100">
        <f t="shared" si="6"/>
        <v>0</v>
      </c>
      <c r="R28" s="19">
        <v>4662717.4800000004</v>
      </c>
      <c r="S28" s="52">
        <f t="shared" si="12"/>
        <v>5.0000008195638657E-3</v>
      </c>
      <c r="T28" s="11"/>
    </row>
    <row r="29" spans="1:20" x14ac:dyDescent="0.2">
      <c r="A29" s="11">
        <v>27</v>
      </c>
      <c r="B29" s="11" t="s">
        <v>96</v>
      </c>
      <c r="C29" s="12">
        <v>40</v>
      </c>
      <c r="D29" s="13">
        <v>16159</v>
      </c>
      <c r="E29" s="14">
        <v>46041</v>
      </c>
      <c r="F29" s="13">
        <v>9184</v>
      </c>
      <c r="G29" s="15">
        <f t="shared" si="7"/>
        <v>0.56835200198032054</v>
      </c>
      <c r="H29" s="16">
        <v>420</v>
      </c>
      <c r="I29" s="16"/>
      <c r="J29" s="16">
        <f t="shared" si="8"/>
        <v>3857280</v>
      </c>
      <c r="K29" s="16">
        <f t="shared" si="9"/>
        <v>15711.199999999999</v>
      </c>
      <c r="L29" s="16">
        <f t="shared" si="10"/>
        <v>21400</v>
      </c>
      <c r="M29" s="17">
        <f t="shared" si="11"/>
        <v>4704420</v>
      </c>
      <c r="N29" s="11" t="s">
        <v>138</v>
      </c>
      <c r="O29" s="18">
        <v>46043</v>
      </c>
      <c r="P29" s="18">
        <v>46050</v>
      </c>
      <c r="Q29" s="100">
        <f t="shared" si="6"/>
        <v>7</v>
      </c>
      <c r="R29" s="19">
        <v>4704420</v>
      </c>
      <c r="S29" s="52">
        <f t="shared" si="12"/>
        <v>0</v>
      </c>
      <c r="T29" s="11"/>
    </row>
    <row r="30" spans="1:20" x14ac:dyDescent="0.2">
      <c r="A30" s="11">
        <v>28</v>
      </c>
      <c r="B30" s="11" t="s">
        <v>103</v>
      </c>
      <c r="C30" s="12">
        <v>26</v>
      </c>
      <c r="D30" s="13">
        <v>9452</v>
      </c>
      <c r="E30" s="14">
        <v>46041</v>
      </c>
      <c r="F30" s="13">
        <v>5329.9</v>
      </c>
      <c r="G30" s="15">
        <f t="shared" si="7"/>
        <v>0.56389123994921708</v>
      </c>
      <c r="H30" s="16">
        <v>420</v>
      </c>
      <c r="I30" s="16"/>
      <c r="J30" s="16">
        <f t="shared" si="8"/>
        <v>2238558</v>
      </c>
      <c r="K30" s="16">
        <f t="shared" si="9"/>
        <v>10212.279999999999</v>
      </c>
      <c r="L30" s="16">
        <f t="shared" si="10"/>
        <v>13910</v>
      </c>
      <c r="M30" s="17">
        <f t="shared" si="11"/>
        <v>2732777.4599999995</v>
      </c>
      <c r="N30" s="11" t="s">
        <v>139</v>
      </c>
      <c r="O30" s="18">
        <v>46043</v>
      </c>
      <c r="P30" s="18">
        <v>46057</v>
      </c>
      <c r="Q30" s="100">
        <f t="shared" si="6"/>
        <v>14</v>
      </c>
      <c r="R30" s="19">
        <v>2732777.46</v>
      </c>
      <c r="S30" s="52">
        <f t="shared" si="12"/>
        <v>0</v>
      </c>
      <c r="T30" s="11"/>
    </row>
    <row r="31" spans="1:20" x14ac:dyDescent="0.2">
      <c r="A31" s="11">
        <v>29</v>
      </c>
      <c r="B31" s="11" t="s">
        <v>110</v>
      </c>
      <c r="C31" s="12">
        <v>15</v>
      </c>
      <c r="D31" s="13">
        <v>5044</v>
      </c>
      <c r="E31" s="14">
        <v>46041</v>
      </c>
      <c r="F31" s="13">
        <v>2923.1</v>
      </c>
      <c r="G31" s="15">
        <f t="shared" si="7"/>
        <v>0.57952022204599518</v>
      </c>
      <c r="H31" s="16">
        <v>420</v>
      </c>
      <c r="I31" s="16"/>
      <c r="J31" s="16">
        <f t="shared" si="8"/>
        <v>1227702</v>
      </c>
      <c r="K31" s="16">
        <f t="shared" si="9"/>
        <v>5891.7</v>
      </c>
      <c r="L31" s="16">
        <f t="shared" si="10"/>
        <v>8025</v>
      </c>
      <c r="M31" s="17">
        <f t="shared" si="11"/>
        <v>1499436.1199999999</v>
      </c>
      <c r="N31" s="11" t="s">
        <v>140</v>
      </c>
      <c r="O31" s="18">
        <v>46043</v>
      </c>
      <c r="P31" s="18">
        <v>46048</v>
      </c>
      <c r="Q31" s="100">
        <f t="shared" si="6"/>
        <v>5</v>
      </c>
      <c r="R31" s="19">
        <v>1499436.12</v>
      </c>
      <c r="S31" s="52">
        <f t="shared" si="12"/>
        <v>0</v>
      </c>
      <c r="T31" s="11"/>
    </row>
    <row r="32" spans="1:20" x14ac:dyDescent="0.2">
      <c r="A32" s="11">
        <v>30</v>
      </c>
      <c r="B32" s="11" t="s">
        <v>141</v>
      </c>
      <c r="C32" s="12">
        <v>18</v>
      </c>
      <c r="D32" s="13">
        <f>356+6343</f>
        <v>6699</v>
      </c>
      <c r="E32" s="111" t="s">
        <v>142</v>
      </c>
      <c r="F32" s="13">
        <f>194.6+3633.1</f>
        <v>3827.7</v>
      </c>
      <c r="G32" s="15">
        <f t="shared" si="7"/>
        <v>0.57138378862516792</v>
      </c>
      <c r="H32" s="16">
        <v>420</v>
      </c>
      <c r="I32" s="16"/>
      <c r="J32" s="16">
        <f t="shared" si="8"/>
        <v>1607634</v>
      </c>
      <c r="K32" s="16">
        <f t="shared" si="9"/>
        <v>7070.0399999999991</v>
      </c>
      <c r="L32" s="16">
        <f t="shared" si="10"/>
        <v>9630</v>
      </c>
      <c r="M32" s="17">
        <f t="shared" si="11"/>
        <v>1961937.18</v>
      </c>
      <c r="N32" s="11" t="s">
        <v>144</v>
      </c>
      <c r="O32" s="18">
        <v>46045</v>
      </c>
      <c r="P32" s="18">
        <v>46055</v>
      </c>
      <c r="Q32" s="100">
        <f t="shared" si="6"/>
        <v>10</v>
      </c>
      <c r="R32" s="19">
        <v>1961937.18</v>
      </c>
      <c r="S32" s="52">
        <f t="shared" si="12"/>
        <v>0</v>
      </c>
      <c r="T32" s="11"/>
    </row>
    <row r="33" spans="1:20" x14ac:dyDescent="0.2">
      <c r="A33" s="11">
        <v>31</v>
      </c>
      <c r="B33" s="11" t="s">
        <v>107</v>
      </c>
      <c r="C33" s="12">
        <v>50</v>
      </c>
      <c r="D33" s="13">
        <v>24991</v>
      </c>
      <c r="E33" s="14">
        <v>46042</v>
      </c>
      <c r="F33" s="13">
        <v>14763.6</v>
      </c>
      <c r="G33" s="15">
        <f t="shared" si="7"/>
        <v>0.59075667240206475</v>
      </c>
      <c r="H33" s="16">
        <v>420</v>
      </c>
      <c r="I33" s="16"/>
      <c r="J33" s="16">
        <f t="shared" si="8"/>
        <v>6200712</v>
      </c>
      <c r="K33" s="16">
        <f t="shared" si="9"/>
        <v>19639</v>
      </c>
      <c r="L33" s="16">
        <f t="shared" si="10"/>
        <v>26750</v>
      </c>
      <c r="M33" s="17">
        <f t="shared" si="11"/>
        <v>7549250.5199999996</v>
      </c>
      <c r="N33" s="11" t="s">
        <v>145</v>
      </c>
      <c r="O33" s="18">
        <v>46045</v>
      </c>
      <c r="P33" s="18">
        <v>46059</v>
      </c>
      <c r="Q33" s="100">
        <f t="shared" si="6"/>
        <v>14</v>
      </c>
      <c r="R33" s="19">
        <v>7549250.5199999996</v>
      </c>
      <c r="S33" s="52">
        <f t="shared" si="12"/>
        <v>0</v>
      </c>
      <c r="T33" s="11"/>
    </row>
    <row r="34" spans="1:20" x14ac:dyDescent="0.2">
      <c r="A34" s="11">
        <v>32</v>
      </c>
      <c r="B34" s="11" t="s">
        <v>131</v>
      </c>
      <c r="C34" s="12">
        <v>8</v>
      </c>
      <c r="D34" s="13">
        <v>2803</v>
      </c>
      <c r="E34" s="14">
        <v>46044</v>
      </c>
      <c r="F34" s="13">
        <v>1669.6</v>
      </c>
      <c r="G34" s="15">
        <f t="shared" si="7"/>
        <v>0.59564752051373526</v>
      </c>
      <c r="H34" s="16">
        <v>420</v>
      </c>
      <c r="I34" s="16"/>
      <c r="J34" s="16">
        <f t="shared" si="8"/>
        <v>701232</v>
      </c>
      <c r="K34" s="16">
        <f t="shared" si="9"/>
        <v>3142.24</v>
      </c>
      <c r="L34" s="16">
        <f t="shared" si="10"/>
        <v>4280</v>
      </c>
      <c r="M34" s="17">
        <f t="shared" si="11"/>
        <v>855912.95999999996</v>
      </c>
      <c r="N34" s="11" t="s">
        <v>149</v>
      </c>
      <c r="O34" s="18">
        <v>46045</v>
      </c>
      <c r="P34" s="18">
        <v>46050</v>
      </c>
      <c r="Q34" s="100">
        <f t="shared" si="6"/>
        <v>5</v>
      </c>
      <c r="R34" s="19">
        <v>855912.95999999996</v>
      </c>
      <c r="S34" s="52">
        <f t="shared" si="12"/>
        <v>0</v>
      </c>
      <c r="T34" s="11"/>
    </row>
    <row r="35" spans="1:20" x14ac:dyDescent="0.2">
      <c r="A35" s="11">
        <v>33</v>
      </c>
      <c r="B35" s="11" t="s">
        <v>110</v>
      </c>
      <c r="C35" s="12">
        <v>20</v>
      </c>
      <c r="D35" s="13">
        <v>7197</v>
      </c>
      <c r="E35" s="14">
        <v>46044</v>
      </c>
      <c r="F35" s="13">
        <v>4225.7</v>
      </c>
      <c r="G35" s="15">
        <f t="shared" si="7"/>
        <v>0.58714742253716823</v>
      </c>
      <c r="H35" s="16">
        <v>420</v>
      </c>
      <c r="I35" s="16"/>
      <c r="J35" s="16">
        <f t="shared" si="8"/>
        <v>1774794</v>
      </c>
      <c r="K35" s="16">
        <f t="shared" si="9"/>
        <v>7855.5999999999995</v>
      </c>
      <c r="L35" s="16">
        <f t="shared" si="10"/>
        <v>10700</v>
      </c>
      <c r="M35" s="17">
        <f t="shared" si="11"/>
        <v>2166056.34</v>
      </c>
      <c r="N35" s="11" t="s">
        <v>148</v>
      </c>
      <c r="O35" s="18">
        <v>46045</v>
      </c>
      <c r="P35" s="18">
        <v>46055</v>
      </c>
      <c r="Q35" s="100">
        <f t="shared" si="6"/>
        <v>10</v>
      </c>
      <c r="R35" s="19">
        <v>2166156.34</v>
      </c>
      <c r="S35" s="52">
        <f t="shared" si="12"/>
        <v>100</v>
      </c>
      <c r="T35" s="11"/>
    </row>
    <row r="36" spans="1:20" x14ac:dyDescent="0.2">
      <c r="A36" s="11">
        <v>34</v>
      </c>
      <c r="B36" s="11" t="s">
        <v>111</v>
      </c>
      <c r="C36" s="12">
        <v>15</v>
      </c>
      <c r="D36" s="13">
        <v>5823</v>
      </c>
      <c r="E36" s="14">
        <v>46045</v>
      </c>
      <c r="F36" s="13">
        <v>3412.6</v>
      </c>
      <c r="G36" s="15">
        <f t="shared" si="7"/>
        <v>0.58605529795637989</v>
      </c>
      <c r="H36" s="16">
        <v>420</v>
      </c>
      <c r="I36" s="16"/>
      <c r="J36" s="16">
        <f t="shared" si="8"/>
        <v>1433292</v>
      </c>
      <c r="K36" s="16">
        <f t="shared" si="9"/>
        <v>5891.7</v>
      </c>
      <c r="L36" s="16">
        <f t="shared" si="10"/>
        <v>8025</v>
      </c>
      <c r="M36" s="17">
        <f t="shared" si="11"/>
        <v>1748200.02</v>
      </c>
      <c r="N36" s="11" t="s">
        <v>147</v>
      </c>
      <c r="O36" s="18">
        <v>46045</v>
      </c>
      <c r="P36" s="18">
        <v>46057</v>
      </c>
      <c r="Q36" s="100">
        <f t="shared" si="6"/>
        <v>12</v>
      </c>
      <c r="R36" s="19">
        <v>1748200.02</v>
      </c>
      <c r="S36" s="52">
        <f t="shared" si="12"/>
        <v>0</v>
      </c>
      <c r="T36" s="11"/>
    </row>
    <row r="37" spans="1:20" x14ac:dyDescent="0.2">
      <c r="A37" s="11">
        <v>35</v>
      </c>
      <c r="B37" s="11" t="s">
        <v>107</v>
      </c>
      <c r="C37" s="12">
        <v>13</v>
      </c>
      <c r="D37" s="13">
        <v>5332</v>
      </c>
      <c r="E37" s="14">
        <v>46045</v>
      </c>
      <c r="F37" s="13">
        <v>2920.2</v>
      </c>
      <c r="G37" s="15">
        <f t="shared" si="7"/>
        <v>0.54767441860465116</v>
      </c>
      <c r="H37" s="16">
        <v>420</v>
      </c>
      <c r="I37" s="16"/>
      <c r="J37" s="16">
        <f t="shared" si="8"/>
        <v>1226484</v>
      </c>
      <c r="K37" s="16">
        <f t="shared" si="9"/>
        <v>5106.1399999999994</v>
      </c>
      <c r="L37" s="16">
        <f t="shared" si="10"/>
        <v>6955</v>
      </c>
      <c r="M37" s="17">
        <f t="shared" si="11"/>
        <v>1496106.7799999998</v>
      </c>
      <c r="N37" s="11" t="s">
        <v>146</v>
      </c>
      <c r="O37" s="18">
        <v>46045</v>
      </c>
      <c r="P37" s="18">
        <v>46059</v>
      </c>
      <c r="Q37" s="100">
        <f t="shared" si="6"/>
        <v>14</v>
      </c>
      <c r="R37" s="19">
        <v>1496106.78</v>
      </c>
      <c r="S37" s="52">
        <f t="shared" si="12"/>
        <v>0</v>
      </c>
      <c r="T37" s="11"/>
    </row>
    <row r="38" spans="1:20" x14ac:dyDescent="0.2">
      <c r="A38" s="11">
        <v>36</v>
      </c>
      <c r="B38" s="11" t="s">
        <v>107</v>
      </c>
      <c r="C38" s="12">
        <v>15</v>
      </c>
      <c r="D38" s="13">
        <v>7438</v>
      </c>
      <c r="E38" s="14">
        <v>46045</v>
      </c>
      <c r="F38" s="13">
        <v>4307.2</v>
      </c>
      <c r="G38" s="15">
        <f t="shared" si="7"/>
        <v>0.57908039795643984</v>
      </c>
      <c r="H38" s="16">
        <v>420</v>
      </c>
      <c r="I38" s="16"/>
      <c r="J38" s="16">
        <f t="shared" si="8"/>
        <v>1809024</v>
      </c>
      <c r="K38" s="16">
        <f t="shared" si="9"/>
        <v>5891.7</v>
      </c>
      <c r="L38" s="16">
        <f t="shared" si="10"/>
        <v>8025</v>
      </c>
      <c r="M38" s="17">
        <f t="shared" si="11"/>
        <v>2202835.7400000002</v>
      </c>
      <c r="N38" s="11" t="s">
        <v>146</v>
      </c>
      <c r="O38" s="18">
        <v>46045</v>
      </c>
      <c r="P38" s="18">
        <v>46059</v>
      </c>
      <c r="Q38" s="100">
        <f t="shared" si="6"/>
        <v>14</v>
      </c>
      <c r="R38" s="19">
        <v>2202835.7400000002</v>
      </c>
      <c r="S38" s="52">
        <f t="shared" si="12"/>
        <v>0</v>
      </c>
      <c r="T38" s="11"/>
    </row>
    <row r="39" spans="1:20" x14ac:dyDescent="0.2">
      <c r="A39" s="11">
        <v>37</v>
      </c>
      <c r="B39" s="11" t="s">
        <v>110</v>
      </c>
      <c r="C39" s="12">
        <v>15</v>
      </c>
      <c r="D39" s="13">
        <v>4501</v>
      </c>
      <c r="E39" s="14">
        <v>46048</v>
      </c>
      <c r="F39" s="13">
        <v>2620.9</v>
      </c>
      <c r="G39" s="15">
        <f t="shared" si="7"/>
        <v>0.58229282381692959</v>
      </c>
      <c r="H39" s="16">
        <v>420</v>
      </c>
      <c r="I39" s="16"/>
      <c r="J39" s="16">
        <f t="shared" si="8"/>
        <v>1100778</v>
      </c>
      <c r="K39" s="16">
        <f t="shared" si="9"/>
        <v>5891.7</v>
      </c>
      <c r="L39" s="16">
        <f t="shared" si="10"/>
        <v>8025</v>
      </c>
      <c r="M39" s="17">
        <f t="shared" si="11"/>
        <v>1345858.0799999998</v>
      </c>
      <c r="N39" s="11" t="s">
        <v>152</v>
      </c>
      <c r="O39" s="18">
        <v>46049</v>
      </c>
      <c r="P39" s="18">
        <v>46057</v>
      </c>
      <c r="Q39" s="100">
        <f t="shared" si="6"/>
        <v>8</v>
      </c>
      <c r="R39" s="19">
        <v>1345858.08</v>
      </c>
      <c r="S39" s="52">
        <f t="shared" si="12"/>
        <v>0</v>
      </c>
      <c r="T39" s="11"/>
    </row>
    <row r="40" spans="1:20" x14ac:dyDescent="0.2">
      <c r="A40" s="11">
        <v>38</v>
      </c>
      <c r="B40" s="11" t="s">
        <v>111</v>
      </c>
      <c r="C40" s="12">
        <v>26</v>
      </c>
      <c r="D40" s="13">
        <v>9703</v>
      </c>
      <c r="E40" s="14">
        <v>46048</v>
      </c>
      <c r="F40" s="13">
        <v>5472.9</v>
      </c>
      <c r="G40" s="15">
        <f t="shared" si="7"/>
        <v>0.56404204885087084</v>
      </c>
      <c r="H40" s="16">
        <v>420</v>
      </c>
      <c r="I40" s="16"/>
      <c r="J40" s="16">
        <f t="shared" si="8"/>
        <v>2298618</v>
      </c>
      <c r="K40" s="16">
        <f t="shared" si="9"/>
        <v>10212.279999999999</v>
      </c>
      <c r="L40" s="16">
        <f t="shared" si="10"/>
        <v>13910</v>
      </c>
      <c r="M40" s="17">
        <f t="shared" si="11"/>
        <v>2805450.0599999996</v>
      </c>
      <c r="N40" s="11" t="s">
        <v>151</v>
      </c>
      <c r="O40" s="18">
        <v>46049</v>
      </c>
      <c r="P40" s="18">
        <v>46057</v>
      </c>
      <c r="Q40" s="100">
        <f t="shared" si="6"/>
        <v>8</v>
      </c>
      <c r="R40" s="19">
        <v>2805450.06</v>
      </c>
      <c r="S40" s="52">
        <f t="shared" si="12"/>
        <v>0</v>
      </c>
      <c r="T40" s="11" t="s">
        <v>150</v>
      </c>
    </row>
    <row r="41" spans="1:20" x14ac:dyDescent="0.2">
      <c r="A41" s="11">
        <v>39</v>
      </c>
      <c r="B41" s="11" t="s">
        <v>141</v>
      </c>
      <c r="C41" s="12">
        <v>18</v>
      </c>
      <c r="D41" s="13">
        <v>6853</v>
      </c>
      <c r="E41" s="14">
        <v>46049</v>
      </c>
      <c r="F41" s="13">
        <v>3938</v>
      </c>
      <c r="G41" s="15">
        <f t="shared" si="7"/>
        <v>0.57463884430176571</v>
      </c>
      <c r="H41" s="16">
        <v>420</v>
      </c>
      <c r="I41" s="16"/>
      <c r="J41" s="16">
        <f t="shared" si="8"/>
        <v>1653960</v>
      </c>
      <c r="K41" s="16">
        <f t="shared" si="9"/>
        <v>7070.0399999999991</v>
      </c>
      <c r="L41" s="16">
        <f t="shared" si="10"/>
        <v>9630</v>
      </c>
      <c r="M41" s="17">
        <f t="shared" si="11"/>
        <v>2017991.64</v>
      </c>
      <c r="N41" s="11" t="s">
        <v>153</v>
      </c>
      <c r="O41" s="18">
        <v>46049</v>
      </c>
      <c r="P41" s="18">
        <v>46067</v>
      </c>
      <c r="Q41" s="100">
        <f t="shared" si="6"/>
        <v>18</v>
      </c>
      <c r="R41" s="19">
        <v>2017991.64</v>
      </c>
      <c r="S41" s="52">
        <f t="shared" si="12"/>
        <v>0</v>
      </c>
      <c r="T41" s="11"/>
    </row>
    <row r="42" spans="1:20" x14ac:dyDescent="0.2">
      <c r="A42" s="11">
        <v>40</v>
      </c>
      <c r="B42" s="11" t="s">
        <v>107</v>
      </c>
      <c r="C42" s="12">
        <v>31</v>
      </c>
      <c r="D42" s="13">
        <v>11492</v>
      </c>
      <c r="E42" s="14">
        <v>46049</v>
      </c>
      <c r="F42" s="13">
        <v>6649.5</v>
      </c>
      <c r="G42" s="15">
        <f t="shared" si="7"/>
        <v>0.5786199095022625</v>
      </c>
      <c r="H42" s="16">
        <v>420</v>
      </c>
      <c r="I42" s="16"/>
      <c r="J42" s="16">
        <f t="shared" si="8"/>
        <v>2792790</v>
      </c>
      <c r="K42" s="16">
        <f t="shared" si="9"/>
        <v>12176.179999999998</v>
      </c>
      <c r="L42" s="16">
        <f t="shared" si="10"/>
        <v>16585</v>
      </c>
      <c r="M42" s="17">
        <f t="shared" si="11"/>
        <v>3408037.08</v>
      </c>
      <c r="N42" s="11" t="s">
        <v>154</v>
      </c>
      <c r="O42" s="18">
        <v>46049</v>
      </c>
      <c r="P42" s="18">
        <v>46064</v>
      </c>
      <c r="Q42" s="100">
        <f t="shared" si="6"/>
        <v>15</v>
      </c>
      <c r="R42" s="19">
        <v>3408037.08</v>
      </c>
      <c r="S42" s="52">
        <f t="shared" si="12"/>
        <v>0</v>
      </c>
      <c r="T42" s="11"/>
    </row>
    <row r="43" spans="1:20" x14ac:dyDescent="0.2">
      <c r="A43" s="11">
        <v>41</v>
      </c>
      <c r="B43" s="11" t="s">
        <v>107</v>
      </c>
      <c r="C43" s="12">
        <v>14</v>
      </c>
      <c r="D43" s="13">
        <v>5514</v>
      </c>
      <c r="E43" s="14">
        <v>46049</v>
      </c>
      <c r="F43" s="13">
        <v>3165.1</v>
      </c>
      <c r="G43" s="15">
        <f t="shared" si="7"/>
        <v>0.5740116068190062</v>
      </c>
      <c r="H43" s="16">
        <v>420</v>
      </c>
      <c r="I43" s="16"/>
      <c r="J43" s="16">
        <f t="shared" si="8"/>
        <v>1329342</v>
      </c>
      <c r="K43" s="16">
        <f t="shared" si="9"/>
        <v>5498.92</v>
      </c>
      <c r="L43" s="16">
        <f t="shared" si="10"/>
        <v>7490</v>
      </c>
      <c r="M43" s="17">
        <f t="shared" si="11"/>
        <v>1621492.74</v>
      </c>
      <c r="N43" s="11" t="s">
        <v>154</v>
      </c>
      <c r="O43" s="18">
        <v>46049</v>
      </c>
      <c r="P43" s="18">
        <v>46064</v>
      </c>
      <c r="Q43" s="100">
        <f t="shared" si="6"/>
        <v>15</v>
      </c>
      <c r="R43" s="19">
        <v>1621492.74</v>
      </c>
      <c r="S43" s="52">
        <f t="shared" si="12"/>
        <v>0</v>
      </c>
      <c r="T43" s="11"/>
    </row>
    <row r="44" spans="1:20" x14ac:dyDescent="0.2">
      <c r="A44" s="11">
        <v>42</v>
      </c>
      <c r="B44" s="11" t="s">
        <v>110</v>
      </c>
      <c r="C44" s="12">
        <v>14</v>
      </c>
      <c r="D44" s="13">
        <v>4495</v>
      </c>
      <c r="E44" s="14">
        <v>46050</v>
      </c>
      <c r="F44" s="13">
        <v>2464.5</v>
      </c>
      <c r="G44" s="15">
        <f t="shared" si="7"/>
        <v>0.5482758620689655</v>
      </c>
      <c r="H44" s="16">
        <v>420</v>
      </c>
      <c r="I44" s="16"/>
      <c r="J44" s="16">
        <f t="shared" si="8"/>
        <v>1035090</v>
      </c>
      <c r="K44" s="16">
        <f t="shared" si="9"/>
        <v>5498.92</v>
      </c>
      <c r="L44" s="16">
        <f t="shared" si="10"/>
        <v>7490</v>
      </c>
      <c r="M44" s="17">
        <f t="shared" si="11"/>
        <v>1265447.8199999998</v>
      </c>
      <c r="N44" s="11" t="s">
        <v>155</v>
      </c>
      <c r="O44" s="18">
        <v>46052</v>
      </c>
      <c r="P44" s="18">
        <v>46063</v>
      </c>
      <c r="Q44" s="100">
        <f t="shared" si="6"/>
        <v>11</v>
      </c>
      <c r="R44" s="19">
        <v>1265447.82</v>
      </c>
      <c r="S44" s="52">
        <f t="shared" si="12"/>
        <v>0</v>
      </c>
      <c r="T44" s="11"/>
    </row>
    <row r="45" spans="1:20" x14ac:dyDescent="0.2">
      <c r="A45" s="11">
        <v>43</v>
      </c>
      <c r="B45" s="11" t="s">
        <v>110</v>
      </c>
      <c r="C45" s="12">
        <v>9</v>
      </c>
      <c r="D45" s="13">
        <v>3254</v>
      </c>
      <c r="E45" s="14">
        <v>46050</v>
      </c>
      <c r="F45" s="13">
        <v>1827.6</v>
      </c>
      <c r="G45" s="15">
        <f t="shared" si="7"/>
        <v>0.56164720344191765</v>
      </c>
      <c r="H45" s="16">
        <v>420</v>
      </c>
      <c r="I45" s="16"/>
      <c r="J45" s="16">
        <f t="shared" si="8"/>
        <v>767592</v>
      </c>
      <c r="K45" s="16">
        <f t="shared" si="9"/>
        <v>3535.0199999999995</v>
      </c>
      <c r="L45" s="16">
        <f t="shared" si="10"/>
        <v>4815</v>
      </c>
      <c r="M45" s="17">
        <f t="shared" si="11"/>
        <v>937136.34</v>
      </c>
      <c r="N45" s="11" t="s">
        <v>155</v>
      </c>
      <c r="O45" s="18">
        <v>46052</v>
      </c>
      <c r="P45" s="18">
        <v>46063</v>
      </c>
      <c r="Q45" s="100">
        <f t="shared" si="6"/>
        <v>11</v>
      </c>
      <c r="R45" s="19">
        <v>937136.34</v>
      </c>
      <c r="S45" s="52">
        <f t="shared" si="12"/>
        <v>0</v>
      </c>
      <c r="T45" s="11"/>
    </row>
    <row r="46" spans="1:20" x14ac:dyDescent="0.2">
      <c r="A46" s="11">
        <v>44</v>
      </c>
      <c r="B46" s="11" t="s">
        <v>131</v>
      </c>
      <c r="C46" s="12">
        <v>6</v>
      </c>
      <c r="D46" s="13">
        <v>2216</v>
      </c>
      <c r="E46" s="14">
        <v>46050</v>
      </c>
      <c r="F46" s="13">
        <v>1197.0999999999999</v>
      </c>
      <c r="G46" s="15">
        <f t="shared" si="7"/>
        <v>0.54020758122743673</v>
      </c>
      <c r="H46" s="16">
        <v>420</v>
      </c>
      <c r="I46" s="16"/>
      <c r="J46" s="16">
        <f t="shared" si="8"/>
        <v>502781.99999999994</v>
      </c>
      <c r="K46" s="16">
        <f t="shared" si="9"/>
        <v>2356.6799999999998</v>
      </c>
      <c r="L46" s="16">
        <f t="shared" si="10"/>
        <v>3210</v>
      </c>
      <c r="M46" s="17">
        <f t="shared" si="11"/>
        <v>613932.89999999991</v>
      </c>
      <c r="N46" s="11" t="s">
        <v>156</v>
      </c>
      <c r="O46" s="18">
        <v>46052</v>
      </c>
      <c r="P46" s="18">
        <v>46057</v>
      </c>
      <c r="Q46" s="100">
        <f t="shared" si="6"/>
        <v>5</v>
      </c>
      <c r="R46" s="19">
        <v>613933</v>
      </c>
      <c r="S46" s="52">
        <f t="shared" si="12"/>
        <v>0.10000000009313226</v>
      </c>
      <c r="T46" s="11"/>
    </row>
    <row r="47" spans="1:20" x14ac:dyDescent="0.2">
      <c r="A47" s="11">
        <v>45</v>
      </c>
      <c r="B47" s="11" t="s">
        <v>111</v>
      </c>
      <c r="C47" s="12">
        <v>22</v>
      </c>
      <c r="D47" s="13">
        <v>8229</v>
      </c>
      <c r="E47" s="14">
        <v>46052</v>
      </c>
      <c r="F47" s="13">
        <v>4622.2</v>
      </c>
      <c r="G47" s="15">
        <f t="shared" si="7"/>
        <v>0.56169643942155789</v>
      </c>
      <c r="H47" s="16">
        <v>420</v>
      </c>
      <c r="I47" s="16"/>
      <c r="J47" s="16">
        <f t="shared" si="8"/>
        <v>1941324</v>
      </c>
      <c r="K47" s="16">
        <f t="shared" si="9"/>
        <v>8641.16</v>
      </c>
      <c r="L47" s="16">
        <f t="shared" si="10"/>
        <v>11770</v>
      </c>
      <c r="M47" s="17">
        <f t="shared" si="11"/>
        <v>2369413.2000000002</v>
      </c>
      <c r="N47" s="11" t="s">
        <v>158</v>
      </c>
      <c r="O47" s="18">
        <v>46052</v>
      </c>
      <c r="P47" s="18">
        <v>46057</v>
      </c>
      <c r="Q47" s="100">
        <f t="shared" si="6"/>
        <v>5</v>
      </c>
      <c r="R47" s="19">
        <v>2369413.2000000002</v>
      </c>
      <c r="S47" s="52">
        <f t="shared" si="12"/>
        <v>0</v>
      </c>
      <c r="T47" s="11"/>
    </row>
    <row r="48" spans="1:20" x14ac:dyDescent="0.2">
      <c r="A48" s="11">
        <v>46</v>
      </c>
      <c r="B48" s="11" t="s">
        <v>111</v>
      </c>
      <c r="C48" s="12">
        <v>20</v>
      </c>
      <c r="D48" s="13">
        <v>7358</v>
      </c>
      <c r="E48" s="14">
        <v>46052</v>
      </c>
      <c r="F48" s="13">
        <v>4096.1000000000004</v>
      </c>
      <c r="G48" s="15">
        <f t="shared" si="7"/>
        <v>0.55668659961946187</v>
      </c>
      <c r="H48" s="16">
        <v>420</v>
      </c>
      <c r="I48" s="16"/>
      <c r="J48" s="16">
        <f t="shared" si="8"/>
        <v>1720362.0000000002</v>
      </c>
      <c r="K48" s="16">
        <f t="shared" si="9"/>
        <v>7855.5999999999995</v>
      </c>
      <c r="L48" s="16">
        <f t="shared" si="10"/>
        <v>10700</v>
      </c>
      <c r="M48" s="17">
        <f t="shared" si="11"/>
        <v>2100193.62</v>
      </c>
      <c r="N48" s="11" t="s">
        <v>158</v>
      </c>
      <c r="O48" s="18">
        <v>46052</v>
      </c>
      <c r="P48" s="18">
        <v>46057</v>
      </c>
      <c r="Q48" s="100">
        <f t="shared" si="6"/>
        <v>5</v>
      </c>
      <c r="R48" s="19">
        <v>2100193.62</v>
      </c>
      <c r="S48" s="52">
        <f t="shared" si="12"/>
        <v>0</v>
      </c>
      <c r="T48" s="11"/>
    </row>
    <row r="49" spans="1:20" x14ac:dyDescent="0.2">
      <c r="A49" s="11">
        <v>47</v>
      </c>
      <c r="B49" s="11" t="s">
        <v>107</v>
      </c>
      <c r="C49" s="12">
        <v>13</v>
      </c>
      <c r="D49" s="13">
        <v>4933</v>
      </c>
      <c r="E49" s="14">
        <v>46052</v>
      </c>
      <c r="F49" s="13">
        <v>2656.7</v>
      </c>
      <c r="G49" s="15">
        <f t="shared" si="7"/>
        <v>0.53855665923373197</v>
      </c>
      <c r="H49" s="16">
        <v>420</v>
      </c>
      <c r="I49" s="16"/>
      <c r="J49" s="16">
        <f t="shared" si="8"/>
        <v>1115814</v>
      </c>
      <c r="K49" s="16">
        <f t="shared" si="9"/>
        <v>5106.1399999999994</v>
      </c>
      <c r="L49" s="16">
        <f t="shared" si="10"/>
        <v>6955</v>
      </c>
      <c r="M49" s="17">
        <f t="shared" si="11"/>
        <v>1362196.0799999998</v>
      </c>
      <c r="N49" s="11" t="s">
        <v>159</v>
      </c>
      <c r="O49" s="18">
        <v>46055</v>
      </c>
      <c r="P49" s="18">
        <v>46064</v>
      </c>
      <c r="Q49" s="100">
        <f t="shared" si="6"/>
        <v>9</v>
      </c>
      <c r="R49" s="19">
        <v>1362196.08</v>
      </c>
      <c r="S49" s="52">
        <f t="shared" si="12"/>
        <v>0</v>
      </c>
      <c r="T49" s="11"/>
    </row>
    <row r="50" spans="1:20" x14ac:dyDescent="0.2">
      <c r="A50" s="11">
        <v>48</v>
      </c>
      <c r="B50" s="11" t="s">
        <v>107</v>
      </c>
      <c r="C50" s="12">
        <v>8</v>
      </c>
      <c r="D50" s="13">
        <v>4230</v>
      </c>
      <c r="E50" s="14">
        <v>46052</v>
      </c>
      <c r="F50" s="13">
        <v>2534.9</v>
      </c>
      <c r="G50" s="15">
        <f t="shared" si="7"/>
        <v>0.59926713947990551</v>
      </c>
      <c r="H50" s="16">
        <v>420</v>
      </c>
      <c r="I50" s="16"/>
      <c r="J50" s="16">
        <f t="shared" si="8"/>
        <v>1064658</v>
      </c>
      <c r="K50" s="16">
        <f t="shared" si="9"/>
        <v>3142.24</v>
      </c>
      <c r="L50" s="16">
        <f t="shared" si="10"/>
        <v>4280</v>
      </c>
      <c r="M50" s="17">
        <f t="shared" si="11"/>
        <v>1295658.42</v>
      </c>
      <c r="N50" s="11" t="s">
        <v>159</v>
      </c>
      <c r="O50" s="18">
        <v>46055</v>
      </c>
      <c r="P50" s="18">
        <v>46064</v>
      </c>
      <c r="Q50" s="100">
        <f t="shared" si="6"/>
        <v>9</v>
      </c>
      <c r="R50" s="19">
        <v>842584.6</v>
      </c>
      <c r="S50" s="52">
        <f t="shared" si="12"/>
        <v>-453073.81999999995</v>
      </c>
      <c r="T50" s="11"/>
    </row>
    <row r="51" spans="1:20" x14ac:dyDescent="0.2">
      <c r="A51" s="11">
        <v>49</v>
      </c>
      <c r="B51" s="11" t="s">
        <v>107</v>
      </c>
      <c r="C51" s="12">
        <v>5</v>
      </c>
      <c r="D51" s="13">
        <v>1890</v>
      </c>
      <c r="E51" s="14">
        <v>46052</v>
      </c>
      <c r="F51" s="13">
        <v>1128.0999999999999</v>
      </c>
      <c r="G51" s="15">
        <f t="shared" si="7"/>
        <v>0.59687830687830679</v>
      </c>
      <c r="H51" s="16">
        <v>420</v>
      </c>
      <c r="I51" s="16"/>
      <c r="J51" s="16">
        <f t="shared" si="8"/>
        <v>473801.99999999994</v>
      </c>
      <c r="K51" s="16">
        <f t="shared" si="9"/>
        <v>1963.8999999999999</v>
      </c>
      <c r="L51" s="16">
        <f t="shared" si="10"/>
        <v>2675</v>
      </c>
      <c r="M51" s="17">
        <f t="shared" si="11"/>
        <v>577939.31999999995</v>
      </c>
      <c r="N51" s="11" t="s">
        <v>159</v>
      </c>
      <c r="O51" s="18">
        <v>46055</v>
      </c>
      <c r="P51" s="18"/>
      <c r="Q51" s="100">
        <f t="shared" si="6"/>
        <v>-46055</v>
      </c>
      <c r="R51" s="19"/>
      <c r="S51" s="52">
        <f t="shared" si="12"/>
        <v>-577939.31999999995</v>
      </c>
      <c r="T51" s="11"/>
    </row>
    <row r="52" spans="1:20" ht="13.5" thickBot="1" x14ac:dyDescent="0.25">
      <c r="A52" s="113">
        <v>50</v>
      </c>
      <c r="B52" s="113" t="s">
        <v>107</v>
      </c>
      <c r="C52" s="114">
        <v>2</v>
      </c>
      <c r="D52" s="115">
        <v>739</v>
      </c>
      <c r="E52" s="116">
        <v>46052</v>
      </c>
      <c r="F52" s="115">
        <v>423.7</v>
      </c>
      <c r="G52" s="117">
        <f t="shared" si="7"/>
        <v>0.57334235453315285</v>
      </c>
      <c r="H52" s="118">
        <v>420</v>
      </c>
      <c r="I52" s="118"/>
      <c r="J52" s="118">
        <f t="shared" si="8"/>
        <v>177954</v>
      </c>
      <c r="K52" s="118">
        <f t="shared" si="9"/>
        <v>785.56</v>
      </c>
      <c r="L52" s="118">
        <f t="shared" si="10"/>
        <v>1070</v>
      </c>
      <c r="M52" s="119">
        <f t="shared" si="11"/>
        <v>217179.9</v>
      </c>
      <c r="N52" s="11" t="s">
        <v>159</v>
      </c>
      <c r="O52" s="120">
        <v>46055</v>
      </c>
      <c r="P52" s="120"/>
      <c r="Q52" s="121">
        <f t="shared" si="6"/>
        <v>-46055</v>
      </c>
      <c r="R52" s="122"/>
      <c r="S52" s="123">
        <f t="shared" si="12"/>
        <v>-217179.9</v>
      </c>
      <c r="T52" s="113"/>
    </row>
    <row r="53" spans="1:20" x14ac:dyDescent="0.2">
      <c r="A53" s="53">
        <v>51</v>
      </c>
      <c r="B53" s="53" t="s">
        <v>96</v>
      </c>
      <c r="C53" s="54">
        <v>42</v>
      </c>
      <c r="D53" s="55">
        <v>16674</v>
      </c>
      <c r="E53" s="56">
        <v>46055</v>
      </c>
      <c r="F53" s="55">
        <v>9646.7999999999993</v>
      </c>
      <c r="G53" s="57">
        <f t="shared" si="7"/>
        <v>0.57855343648794522</v>
      </c>
      <c r="H53" s="41">
        <v>420</v>
      </c>
      <c r="I53" s="41"/>
      <c r="J53" s="41">
        <f t="shared" si="8"/>
        <v>4051655.9999999995</v>
      </c>
      <c r="K53" s="41">
        <f t="shared" si="9"/>
        <v>16496.759999999998</v>
      </c>
      <c r="L53" s="41">
        <f t="shared" si="10"/>
        <v>22470</v>
      </c>
      <c r="M53" s="58">
        <f t="shared" si="11"/>
        <v>4941470.5199999986</v>
      </c>
      <c r="N53" s="53" t="s">
        <v>160</v>
      </c>
      <c r="O53" s="59">
        <v>46055</v>
      </c>
      <c r="P53" s="59">
        <v>46063</v>
      </c>
      <c r="Q53" s="112">
        <f t="shared" si="6"/>
        <v>8</v>
      </c>
      <c r="R53" s="60">
        <v>4941470.5199999996</v>
      </c>
      <c r="S53" s="61">
        <f t="shared" si="12"/>
        <v>0</v>
      </c>
      <c r="T53" s="53"/>
    </row>
    <row r="54" spans="1:20" x14ac:dyDescent="0.2">
      <c r="A54" s="11">
        <v>52</v>
      </c>
      <c r="B54" s="11" t="s">
        <v>110</v>
      </c>
      <c r="C54" s="12">
        <v>18</v>
      </c>
      <c r="D54" s="13">
        <v>5318</v>
      </c>
      <c r="E54" s="14">
        <v>46055</v>
      </c>
      <c r="F54" s="13">
        <v>3004.4</v>
      </c>
      <c r="G54" s="15">
        <f t="shared" si="7"/>
        <v>0.56494922903347122</v>
      </c>
      <c r="H54" s="16">
        <v>420</v>
      </c>
      <c r="I54" s="16"/>
      <c r="J54" s="16">
        <f t="shared" si="8"/>
        <v>1261848</v>
      </c>
      <c r="K54" s="16">
        <f t="shared" si="9"/>
        <v>7070.0399999999991</v>
      </c>
      <c r="L54" s="16">
        <f t="shared" si="10"/>
        <v>9630</v>
      </c>
      <c r="M54" s="17">
        <f t="shared" si="11"/>
        <v>1543536.1199999999</v>
      </c>
      <c r="N54" s="11" t="s">
        <v>161</v>
      </c>
      <c r="O54" s="18">
        <v>46055</v>
      </c>
      <c r="P54" s="18">
        <v>46065</v>
      </c>
      <c r="Q54" s="100">
        <f t="shared" si="6"/>
        <v>10</v>
      </c>
      <c r="R54" s="19">
        <v>1543536.12</v>
      </c>
      <c r="S54" s="52">
        <f t="shared" si="12"/>
        <v>0</v>
      </c>
      <c r="T54" s="11"/>
    </row>
    <row r="55" spans="1:20" x14ac:dyDescent="0.2">
      <c r="A55" s="11">
        <v>53</v>
      </c>
      <c r="B55" s="11" t="s">
        <v>141</v>
      </c>
      <c r="C55" s="12">
        <v>17</v>
      </c>
      <c r="D55" s="13">
        <v>6232</v>
      </c>
      <c r="E55" s="14">
        <v>46057</v>
      </c>
      <c r="F55" s="13">
        <v>3545.7</v>
      </c>
      <c r="G55" s="15">
        <f t="shared" si="7"/>
        <v>0.5689505776636713</v>
      </c>
      <c r="H55" s="16">
        <v>420</v>
      </c>
      <c r="I55" s="16"/>
      <c r="J55" s="16">
        <f t="shared" si="8"/>
        <v>1489194</v>
      </c>
      <c r="K55" s="16">
        <f t="shared" si="9"/>
        <v>6677.2599999999993</v>
      </c>
      <c r="L55" s="16">
        <f t="shared" si="10"/>
        <v>9095</v>
      </c>
      <c r="M55" s="17">
        <f t="shared" si="11"/>
        <v>1817697</v>
      </c>
      <c r="N55" s="11" t="s">
        <v>162</v>
      </c>
      <c r="O55" s="18">
        <v>46057</v>
      </c>
      <c r="P55" s="18"/>
      <c r="Q55" s="100">
        <f t="shared" si="6"/>
        <v>-46057</v>
      </c>
      <c r="R55" s="19"/>
      <c r="S55" s="52">
        <f t="shared" si="12"/>
        <v>-1817697</v>
      </c>
      <c r="T55" s="11"/>
    </row>
    <row r="56" spans="1:20" x14ac:dyDescent="0.2">
      <c r="A56" s="11">
        <v>54</v>
      </c>
      <c r="B56" s="11" t="s">
        <v>107</v>
      </c>
      <c r="C56" s="12">
        <v>50</v>
      </c>
      <c r="D56" s="13">
        <v>26689</v>
      </c>
      <c r="E56" s="14">
        <v>46056</v>
      </c>
      <c r="F56" s="13">
        <v>15684.1</v>
      </c>
      <c r="G56" s="15">
        <f t="shared" si="7"/>
        <v>0.58766158342388253</v>
      </c>
      <c r="H56" s="16">
        <v>420</v>
      </c>
      <c r="I56" s="16"/>
      <c r="J56" s="16">
        <f t="shared" si="8"/>
        <v>6587322</v>
      </c>
      <c r="K56" s="16">
        <f t="shared" si="9"/>
        <v>19639</v>
      </c>
      <c r="L56" s="16">
        <f t="shared" si="10"/>
        <v>26750</v>
      </c>
      <c r="M56" s="17">
        <f t="shared" si="11"/>
        <v>8017048.6200000001</v>
      </c>
      <c r="N56" s="11" t="s">
        <v>163</v>
      </c>
      <c r="O56" s="18">
        <v>46057</v>
      </c>
      <c r="P56" s="18"/>
      <c r="Q56" s="100">
        <f t="shared" si="6"/>
        <v>-46057</v>
      </c>
      <c r="R56" s="19"/>
      <c r="S56" s="52">
        <f t="shared" si="12"/>
        <v>-8017048.6200000001</v>
      </c>
      <c r="T56" s="11"/>
    </row>
    <row r="57" spans="1:20" x14ac:dyDescent="0.2">
      <c r="A57" s="11">
        <v>55</v>
      </c>
      <c r="B57" s="11" t="s">
        <v>64</v>
      </c>
      <c r="C57" s="12">
        <v>10</v>
      </c>
      <c r="D57" s="13">
        <v>3489</v>
      </c>
      <c r="E57" s="14">
        <v>46057</v>
      </c>
      <c r="F57" s="13">
        <v>1943.7</v>
      </c>
      <c r="G57" s="15">
        <f t="shared" si="7"/>
        <v>0.55709372312983663</v>
      </c>
      <c r="H57" s="16">
        <v>420</v>
      </c>
      <c r="I57" s="16"/>
      <c r="J57" s="16">
        <f t="shared" si="8"/>
        <v>816354</v>
      </c>
      <c r="K57" s="16">
        <f t="shared" si="9"/>
        <v>3927.7999999999997</v>
      </c>
      <c r="L57" s="16">
        <f t="shared" si="10"/>
        <v>5350</v>
      </c>
      <c r="M57" s="17">
        <f t="shared" si="11"/>
        <v>997066.14</v>
      </c>
      <c r="N57" s="11" t="s">
        <v>164</v>
      </c>
      <c r="O57" s="18">
        <v>46057</v>
      </c>
      <c r="P57" s="18">
        <v>46063</v>
      </c>
      <c r="Q57" s="100">
        <f t="shared" si="6"/>
        <v>6</v>
      </c>
      <c r="R57" s="19">
        <v>997066.14</v>
      </c>
      <c r="S57" s="52">
        <f t="shared" si="12"/>
        <v>0</v>
      </c>
      <c r="T57" s="11"/>
    </row>
    <row r="58" spans="1:20" x14ac:dyDescent="0.2">
      <c r="A58" s="11">
        <v>56</v>
      </c>
      <c r="B58" s="11" t="s">
        <v>110</v>
      </c>
      <c r="C58" s="12">
        <v>15</v>
      </c>
      <c r="D58" s="13">
        <v>6032</v>
      </c>
      <c r="E58" s="14">
        <v>46058</v>
      </c>
      <c r="F58" s="13">
        <v>3484.6</v>
      </c>
      <c r="G58" s="15">
        <f t="shared" si="7"/>
        <v>0.57768567639257296</v>
      </c>
      <c r="H58" s="16">
        <v>420</v>
      </c>
      <c r="I58" s="16"/>
      <c r="J58" s="16">
        <f t="shared" si="8"/>
        <v>1463532</v>
      </c>
      <c r="K58" s="16">
        <f t="shared" si="9"/>
        <v>5891.7</v>
      </c>
      <c r="L58" s="16">
        <f t="shared" si="10"/>
        <v>8025</v>
      </c>
      <c r="M58" s="17">
        <f t="shared" si="11"/>
        <v>1784790.42</v>
      </c>
      <c r="N58" s="11" t="s">
        <v>165</v>
      </c>
      <c r="O58" s="18">
        <v>46058</v>
      </c>
      <c r="P58" s="18">
        <v>46070</v>
      </c>
      <c r="Q58" s="100">
        <f t="shared" si="6"/>
        <v>12</v>
      </c>
      <c r="R58" s="19">
        <v>1784790.42</v>
      </c>
      <c r="S58" s="52">
        <f t="shared" si="12"/>
        <v>0</v>
      </c>
      <c r="T58" s="11"/>
    </row>
    <row r="59" spans="1:20" x14ac:dyDescent="0.2">
      <c r="A59" s="11">
        <v>57</v>
      </c>
      <c r="B59" s="11" t="s">
        <v>131</v>
      </c>
      <c r="C59" s="12">
        <v>5</v>
      </c>
      <c r="D59" s="13">
        <v>1664</v>
      </c>
      <c r="E59" s="14">
        <v>46057</v>
      </c>
      <c r="F59" s="13">
        <v>925.9</v>
      </c>
      <c r="G59" s="15">
        <f t="shared" si="7"/>
        <v>0.55643028846153841</v>
      </c>
      <c r="H59" s="16">
        <v>420</v>
      </c>
      <c r="I59" s="16"/>
      <c r="J59" s="16">
        <f t="shared" si="8"/>
        <v>388878</v>
      </c>
      <c r="K59" s="16">
        <f t="shared" si="9"/>
        <v>1963.8999999999999</v>
      </c>
      <c r="L59" s="16">
        <f t="shared" si="10"/>
        <v>2675</v>
      </c>
      <c r="M59" s="17">
        <f t="shared" si="11"/>
        <v>475181.28</v>
      </c>
      <c r="N59" s="11" t="s">
        <v>166</v>
      </c>
      <c r="O59" s="18">
        <v>46058</v>
      </c>
      <c r="P59" s="18">
        <v>46065</v>
      </c>
      <c r="Q59" s="100">
        <f t="shared" si="6"/>
        <v>7</v>
      </c>
      <c r="R59" s="19">
        <v>475182</v>
      </c>
      <c r="S59" s="52">
        <f t="shared" si="12"/>
        <v>0.71999999997206032</v>
      </c>
      <c r="T59" s="11"/>
    </row>
    <row r="60" spans="1:20" x14ac:dyDescent="0.2">
      <c r="A60" s="11">
        <v>58</v>
      </c>
      <c r="B60" s="11" t="s">
        <v>110</v>
      </c>
      <c r="C60" s="12">
        <v>10</v>
      </c>
      <c r="D60" s="13">
        <v>3214</v>
      </c>
      <c r="E60" s="14">
        <v>46058</v>
      </c>
      <c r="F60" s="13">
        <v>1768.6</v>
      </c>
      <c r="G60" s="15">
        <f t="shared" si="7"/>
        <v>0.55028002489110139</v>
      </c>
      <c r="H60" s="16">
        <v>420</v>
      </c>
      <c r="I60" s="16"/>
      <c r="J60" s="16">
        <f t="shared" si="8"/>
        <v>742812</v>
      </c>
      <c r="K60" s="16">
        <f t="shared" si="9"/>
        <v>3927.7999999999997</v>
      </c>
      <c r="L60" s="16">
        <f t="shared" si="10"/>
        <v>5350</v>
      </c>
      <c r="M60" s="17">
        <f t="shared" si="11"/>
        <v>908080.32000000007</v>
      </c>
      <c r="N60" s="11" t="s">
        <v>165</v>
      </c>
      <c r="O60" s="18">
        <v>46058</v>
      </c>
      <c r="P60" s="18">
        <v>46070</v>
      </c>
      <c r="Q60" s="100">
        <f t="shared" si="6"/>
        <v>12</v>
      </c>
      <c r="R60" s="19">
        <v>908080.32</v>
      </c>
      <c r="S60" s="52">
        <f t="shared" si="12"/>
        <v>0</v>
      </c>
      <c r="T60" s="11"/>
    </row>
    <row r="61" spans="1:20" x14ac:dyDescent="0.2">
      <c r="A61" s="11">
        <v>59</v>
      </c>
      <c r="B61" s="11" t="s">
        <v>111</v>
      </c>
      <c r="C61" s="12">
        <v>20</v>
      </c>
      <c r="D61" s="13">
        <v>5711</v>
      </c>
      <c r="E61" s="14">
        <v>46059</v>
      </c>
      <c r="F61" s="13">
        <v>3150.7</v>
      </c>
      <c r="G61" s="15">
        <f t="shared" si="7"/>
        <v>0.55168972158991414</v>
      </c>
      <c r="H61" s="16">
        <v>420</v>
      </c>
      <c r="I61" s="16"/>
      <c r="J61" s="16">
        <f t="shared" si="8"/>
        <v>1323294</v>
      </c>
      <c r="K61" s="16">
        <f t="shared" si="9"/>
        <v>7855.5999999999995</v>
      </c>
      <c r="L61" s="16">
        <f t="shared" si="10"/>
        <v>10700</v>
      </c>
      <c r="M61" s="17">
        <f t="shared" si="11"/>
        <v>1619741.34</v>
      </c>
      <c r="N61" s="11" t="s">
        <v>193</v>
      </c>
      <c r="O61" s="18">
        <v>46059</v>
      </c>
      <c r="P61" s="18">
        <v>46078</v>
      </c>
      <c r="Q61" s="100">
        <f t="shared" si="6"/>
        <v>19</v>
      </c>
      <c r="R61" s="19">
        <v>1619741.34</v>
      </c>
      <c r="S61" s="52">
        <f t="shared" si="12"/>
        <v>0</v>
      </c>
      <c r="T61" s="11"/>
    </row>
    <row r="62" spans="1:20" x14ac:dyDescent="0.2">
      <c r="A62" s="11">
        <v>60</v>
      </c>
      <c r="B62" s="11" t="s">
        <v>111</v>
      </c>
      <c r="C62" s="12">
        <v>28</v>
      </c>
      <c r="D62" s="13">
        <v>8846</v>
      </c>
      <c r="E62" s="14">
        <v>46059</v>
      </c>
      <c r="F62" s="13">
        <v>5073.8999999999996</v>
      </c>
      <c r="G62" s="15">
        <f t="shared" si="7"/>
        <v>0.57358127967442907</v>
      </c>
      <c r="H62" s="16">
        <v>420</v>
      </c>
      <c r="I62" s="16"/>
      <c r="J62" s="16">
        <f t="shared" si="8"/>
        <v>2131038</v>
      </c>
      <c r="K62" s="16">
        <f t="shared" si="9"/>
        <v>10997.84</v>
      </c>
      <c r="L62" s="16">
        <f t="shared" si="10"/>
        <v>14980</v>
      </c>
      <c r="M62" s="17">
        <f t="shared" si="11"/>
        <v>2604533.8199999998</v>
      </c>
      <c r="N62" s="11" t="s">
        <v>193</v>
      </c>
      <c r="O62" s="18">
        <v>46059</v>
      </c>
      <c r="P62" s="18">
        <v>46078</v>
      </c>
      <c r="Q62" s="100">
        <f t="shared" si="6"/>
        <v>19</v>
      </c>
      <c r="R62" s="19">
        <v>2604533.8199999998</v>
      </c>
      <c r="S62" s="52">
        <f t="shared" si="12"/>
        <v>0</v>
      </c>
      <c r="T62" s="11"/>
    </row>
    <row r="63" spans="1:20" x14ac:dyDescent="0.2">
      <c r="A63" s="11">
        <v>61</v>
      </c>
      <c r="B63" s="11" t="s">
        <v>167</v>
      </c>
      <c r="C63" s="12">
        <v>20</v>
      </c>
      <c r="D63" s="13">
        <v>7249</v>
      </c>
      <c r="E63" s="14">
        <v>46059</v>
      </c>
      <c r="F63" s="13">
        <v>4074.2</v>
      </c>
      <c r="G63" s="15">
        <f t="shared" si="7"/>
        <v>0.56203614291626425</v>
      </c>
      <c r="H63" s="16">
        <v>420</v>
      </c>
      <c r="I63" s="16"/>
      <c r="J63" s="16">
        <f t="shared" si="8"/>
        <v>1711164</v>
      </c>
      <c r="K63" s="16">
        <f t="shared" si="9"/>
        <v>7855.5999999999995</v>
      </c>
      <c r="L63" s="16">
        <f t="shared" si="10"/>
        <v>10700</v>
      </c>
      <c r="M63" s="17">
        <f t="shared" si="11"/>
        <v>2089064.04</v>
      </c>
      <c r="N63" s="11" t="s">
        <v>194</v>
      </c>
      <c r="O63" s="18">
        <v>46059</v>
      </c>
      <c r="P63" s="18">
        <v>46064</v>
      </c>
      <c r="Q63" s="100">
        <f t="shared" si="6"/>
        <v>5</v>
      </c>
      <c r="R63" s="19">
        <v>2089064.04</v>
      </c>
      <c r="S63" s="52">
        <f t="shared" si="12"/>
        <v>0</v>
      </c>
      <c r="T63" s="11"/>
    </row>
    <row r="64" spans="1:20" x14ac:dyDescent="0.2">
      <c r="A64" s="11">
        <v>62</v>
      </c>
      <c r="B64" s="11" t="s">
        <v>111</v>
      </c>
      <c r="C64" s="12">
        <v>1</v>
      </c>
      <c r="D64" s="13">
        <v>322</v>
      </c>
      <c r="E64" s="14">
        <v>46059</v>
      </c>
      <c r="F64" s="13">
        <v>189.7</v>
      </c>
      <c r="G64" s="15">
        <f t="shared" si="7"/>
        <v>0.58913043478260863</v>
      </c>
      <c r="H64" s="16">
        <v>420</v>
      </c>
      <c r="I64" s="16"/>
      <c r="J64" s="16">
        <f t="shared" si="8"/>
        <v>79674</v>
      </c>
      <c r="K64" s="16">
        <f t="shared" si="9"/>
        <v>392.78</v>
      </c>
      <c r="L64" s="16">
        <f t="shared" si="10"/>
        <v>535</v>
      </c>
      <c r="M64" s="17">
        <f t="shared" si="11"/>
        <v>97333.319999999992</v>
      </c>
      <c r="N64" s="11" t="s">
        <v>193</v>
      </c>
      <c r="O64" s="18">
        <v>46059</v>
      </c>
      <c r="P64" s="18">
        <v>46066</v>
      </c>
      <c r="Q64" s="100">
        <f t="shared" si="6"/>
        <v>7</v>
      </c>
      <c r="R64" s="19">
        <v>89948.88</v>
      </c>
      <c r="S64" s="52">
        <f t="shared" si="12"/>
        <v>-7384.4399999999878</v>
      </c>
      <c r="T64" s="11"/>
    </row>
    <row r="65" spans="1:20" x14ac:dyDescent="0.2">
      <c r="A65" s="11">
        <v>63</v>
      </c>
      <c r="B65" s="11" t="s">
        <v>110</v>
      </c>
      <c r="C65" s="12">
        <v>8</v>
      </c>
      <c r="D65" s="13">
        <v>2549</v>
      </c>
      <c r="E65" s="14">
        <v>46062</v>
      </c>
      <c r="F65" s="13">
        <v>1437.3</v>
      </c>
      <c r="G65" s="15">
        <f t="shared" si="7"/>
        <v>0.56386818360141233</v>
      </c>
      <c r="H65" s="16">
        <v>420</v>
      </c>
      <c r="I65" s="16"/>
      <c r="J65" s="16">
        <f t="shared" si="8"/>
        <v>603666</v>
      </c>
      <c r="K65" s="16">
        <f t="shared" si="9"/>
        <v>3142.24</v>
      </c>
      <c r="L65" s="16">
        <f t="shared" si="10"/>
        <v>4280</v>
      </c>
      <c r="M65" s="17">
        <f t="shared" si="11"/>
        <v>737858.1</v>
      </c>
      <c r="N65" s="11" t="s">
        <v>195</v>
      </c>
      <c r="O65" s="18">
        <v>46062</v>
      </c>
      <c r="P65" s="18">
        <v>46076</v>
      </c>
      <c r="Q65" s="100">
        <f t="shared" si="6"/>
        <v>14</v>
      </c>
      <c r="R65" s="19">
        <v>737858.1</v>
      </c>
      <c r="S65" s="52">
        <f t="shared" si="12"/>
        <v>0</v>
      </c>
      <c r="T65" s="11"/>
    </row>
    <row r="66" spans="1:20" x14ac:dyDescent="0.2">
      <c r="A66" s="11">
        <v>64</v>
      </c>
      <c r="B66" s="11" t="s">
        <v>110</v>
      </c>
      <c r="C66" s="12">
        <v>3</v>
      </c>
      <c r="D66" s="13">
        <v>1208</v>
      </c>
      <c r="E66" s="14">
        <v>46062</v>
      </c>
      <c r="F66" s="13">
        <v>697.2</v>
      </c>
      <c r="G66" s="15">
        <f t="shared" si="7"/>
        <v>0.57715231788079469</v>
      </c>
      <c r="H66" s="16">
        <v>420</v>
      </c>
      <c r="I66" s="16"/>
      <c r="J66" s="16">
        <f t="shared" si="8"/>
        <v>292824</v>
      </c>
      <c r="K66" s="16">
        <f t="shared" si="9"/>
        <v>1178.3399999999999</v>
      </c>
      <c r="L66" s="16">
        <f t="shared" si="10"/>
        <v>1605</v>
      </c>
      <c r="M66" s="17">
        <f t="shared" si="11"/>
        <v>357100.38</v>
      </c>
      <c r="N66" s="11" t="s">
        <v>195</v>
      </c>
      <c r="O66" s="18">
        <v>46062</v>
      </c>
      <c r="P66" s="18">
        <v>46076</v>
      </c>
      <c r="Q66" s="100">
        <f t="shared" si="6"/>
        <v>14</v>
      </c>
      <c r="R66" s="19">
        <v>357100.38</v>
      </c>
      <c r="S66" s="52">
        <f t="shared" si="12"/>
        <v>0</v>
      </c>
      <c r="T66" s="11"/>
    </row>
    <row r="67" spans="1:20" x14ac:dyDescent="0.2">
      <c r="A67" s="11">
        <v>65</v>
      </c>
      <c r="B67" s="11" t="s">
        <v>110</v>
      </c>
      <c r="C67" s="12">
        <v>4</v>
      </c>
      <c r="D67" s="13">
        <v>1273</v>
      </c>
      <c r="E67" s="14">
        <v>46062</v>
      </c>
      <c r="F67" s="13">
        <v>696.2</v>
      </c>
      <c r="G67" s="15">
        <f t="shared" si="7"/>
        <v>0.54689709347996862</v>
      </c>
      <c r="H67" s="16">
        <v>420</v>
      </c>
      <c r="I67" s="16"/>
      <c r="J67" s="16">
        <f t="shared" si="8"/>
        <v>292404</v>
      </c>
      <c r="K67" s="16">
        <f t="shared" si="9"/>
        <v>1571.12</v>
      </c>
      <c r="L67" s="16">
        <f t="shared" si="10"/>
        <v>2140</v>
      </c>
      <c r="M67" s="17">
        <f t="shared" si="11"/>
        <v>357519.95999999996</v>
      </c>
      <c r="N67" s="11" t="s">
        <v>195</v>
      </c>
      <c r="O67" s="18">
        <v>46062</v>
      </c>
      <c r="P67" s="18">
        <v>46076</v>
      </c>
      <c r="Q67" s="100">
        <f t="shared" si="6"/>
        <v>14</v>
      </c>
      <c r="R67" s="19">
        <v>357519.96</v>
      </c>
      <c r="S67" s="52">
        <f t="shared" si="12"/>
        <v>0</v>
      </c>
      <c r="T67" s="11"/>
    </row>
    <row r="68" spans="1:20" x14ac:dyDescent="0.2">
      <c r="A68" s="11">
        <v>66</v>
      </c>
      <c r="B68" s="11" t="s">
        <v>103</v>
      </c>
      <c r="C68" s="12">
        <v>21</v>
      </c>
      <c r="D68" s="13">
        <v>7963</v>
      </c>
      <c r="E68" s="14">
        <v>46062</v>
      </c>
      <c r="F68" s="13">
        <v>4464</v>
      </c>
      <c r="G68" s="15">
        <f t="shared" si="7"/>
        <v>0.56059274142910964</v>
      </c>
      <c r="H68" s="16">
        <v>420</v>
      </c>
      <c r="I68" s="16"/>
      <c r="J68" s="16">
        <f t="shared" si="8"/>
        <v>1874880</v>
      </c>
      <c r="K68" s="16">
        <f t="shared" si="9"/>
        <v>8248.3799999999992</v>
      </c>
      <c r="L68" s="16">
        <f t="shared" si="10"/>
        <v>11235</v>
      </c>
      <c r="M68" s="17">
        <f t="shared" si="11"/>
        <v>2288088.1799999997</v>
      </c>
      <c r="N68" s="11" t="s">
        <v>196</v>
      </c>
      <c r="O68" s="18">
        <v>46062</v>
      </c>
      <c r="P68" s="18">
        <v>46073</v>
      </c>
      <c r="Q68" s="100">
        <f t="shared" si="6"/>
        <v>11</v>
      </c>
      <c r="R68" s="19">
        <v>2288088.1800000002</v>
      </c>
      <c r="S68" s="52">
        <f t="shared" si="12"/>
        <v>0</v>
      </c>
      <c r="T68" s="11"/>
    </row>
    <row r="69" spans="1:20" x14ac:dyDescent="0.2">
      <c r="A69" s="11">
        <v>67</v>
      </c>
      <c r="B69" s="11" t="s">
        <v>96</v>
      </c>
      <c r="C69" s="12">
        <v>45</v>
      </c>
      <c r="D69" s="13">
        <v>13763</v>
      </c>
      <c r="E69" s="14">
        <v>46062</v>
      </c>
      <c r="F69" s="13">
        <v>7791.2</v>
      </c>
      <c r="G69" s="15">
        <f t="shared" si="7"/>
        <v>0.56609750781079704</v>
      </c>
      <c r="H69" s="16">
        <v>420</v>
      </c>
      <c r="I69" s="16"/>
      <c r="J69" s="16">
        <f t="shared" si="8"/>
        <v>3272304</v>
      </c>
      <c r="K69" s="16">
        <f t="shared" si="9"/>
        <v>17675.099999999999</v>
      </c>
      <c r="L69" s="16">
        <f t="shared" si="10"/>
        <v>24075</v>
      </c>
      <c r="M69" s="17">
        <f t="shared" si="11"/>
        <v>4001237.94</v>
      </c>
      <c r="N69" s="11" t="s">
        <v>197</v>
      </c>
      <c r="O69" s="18">
        <v>46062</v>
      </c>
      <c r="P69" s="18">
        <v>46073</v>
      </c>
      <c r="Q69" s="100">
        <f t="shared" si="6"/>
        <v>11</v>
      </c>
      <c r="R69" s="19">
        <v>4001237.82</v>
      </c>
      <c r="S69" s="52">
        <f t="shared" si="12"/>
        <v>-0.12000000011175871</v>
      </c>
      <c r="T69" s="11"/>
    </row>
    <row r="70" spans="1:20" x14ac:dyDescent="0.2">
      <c r="A70" s="11">
        <v>68</v>
      </c>
      <c r="B70" s="11" t="s">
        <v>141</v>
      </c>
      <c r="C70" s="12">
        <v>18</v>
      </c>
      <c r="D70" s="13">
        <v>6542</v>
      </c>
      <c r="E70" s="14">
        <v>46063</v>
      </c>
      <c r="F70" s="13">
        <v>3742.8</v>
      </c>
      <c r="G70" s="15">
        <f t="shared" si="7"/>
        <v>0.5721186181595842</v>
      </c>
      <c r="H70" s="16">
        <v>420</v>
      </c>
      <c r="I70" s="16"/>
      <c r="J70" s="16">
        <f t="shared" si="8"/>
        <v>1571976</v>
      </c>
      <c r="K70" s="16">
        <f t="shared" si="9"/>
        <v>7070.0399999999991</v>
      </c>
      <c r="L70" s="16">
        <f t="shared" si="10"/>
        <v>9630</v>
      </c>
      <c r="M70" s="17">
        <f t="shared" si="11"/>
        <v>1918791</v>
      </c>
      <c r="N70" s="11" t="s">
        <v>198</v>
      </c>
      <c r="O70" s="18">
        <v>46063</v>
      </c>
      <c r="P70" s="18">
        <v>46084</v>
      </c>
      <c r="Q70" s="100">
        <f t="shared" ref="Q70:Q133" si="13">+P70-O70</f>
        <v>21</v>
      </c>
      <c r="R70" s="19">
        <v>1918791</v>
      </c>
      <c r="S70" s="52">
        <f t="shared" si="12"/>
        <v>0</v>
      </c>
      <c r="T70" s="11"/>
    </row>
    <row r="71" spans="1:20" x14ac:dyDescent="0.2">
      <c r="A71" s="11">
        <v>69</v>
      </c>
      <c r="B71" s="11" t="s">
        <v>107</v>
      </c>
      <c r="C71" s="12">
        <v>50</v>
      </c>
      <c r="D71" s="13">
        <v>26006</v>
      </c>
      <c r="E71" s="14">
        <v>46063</v>
      </c>
      <c r="F71" s="13">
        <v>15246</v>
      </c>
      <c r="G71" s="15">
        <f t="shared" si="7"/>
        <v>0.58624932707836652</v>
      </c>
      <c r="H71" s="16">
        <v>420</v>
      </c>
      <c r="I71" s="16"/>
      <c r="J71" s="16">
        <f t="shared" si="8"/>
        <v>6403320</v>
      </c>
      <c r="K71" s="16">
        <f t="shared" si="9"/>
        <v>19639</v>
      </c>
      <c r="L71" s="16">
        <f t="shared" si="10"/>
        <v>26750</v>
      </c>
      <c r="M71" s="17">
        <f t="shared" si="11"/>
        <v>7794406.2000000002</v>
      </c>
      <c r="N71" s="11" t="s">
        <v>199</v>
      </c>
      <c r="O71" s="18">
        <v>46063</v>
      </c>
      <c r="P71" s="18"/>
      <c r="Q71" s="100">
        <f t="shared" si="13"/>
        <v>-46063</v>
      </c>
      <c r="R71" s="19"/>
      <c r="S71" s="52">
        <f t="shared" si="12"/>
        <v>-7794406.2000000002</v>
      </c>
      <c r="T71" s="11"/>
    </row>
    <row r="72" spans="1:20" x14ac:dyDescent="0.2">
      <c r="A72" s="11">
        <v>70</v>
      </c>
      <c r="B72" s="11" t="s">
        <v>131</v>
      </c>
      <c r="C72" s="12">
        <v>5</v>
      </c>
      <c r="D72" s="13">
        <v>1422</v>
      </c>
      <c r="E72" s="14">
        <v>46065</v>
      </c>
      <c r="F72" s="13">
        <v>789.6</v>
      </c>
      <c r="G72" s="15">
        <f t="shared" si="7"/>
        <v>0.55527426160337556</v>
      </c>
      <c r="H72" s="16">
        <v>420</v>
      </c>
      <c r="I72" s="16"/>
      <c r="J72" s="16">
        <f t="shared" si="8"/>
        <v>331632</v>
      </c>
      <c r="K72" s="16">
        <f t="shared" si="9"/>
        <v>1963.8999999999999</v>
      </c>
      <c r="L72" s="16">
        <f t="shared" si="10"/>
        <v>2675</v>
      </c>
      <c r="M72" s="17">
        <f t="shared" si="11"/>
        <v>405913.62</v>
      </c>
      <c r="N72" s="11" t="s">
        <v>200</v>
      </c>
      <c r="O72" s="18">
        <v>46065</v>
      </c>
      <c r="P72" s="18">
        <v>46071</v>
      </c>
      <c r="Q72" s="100">
        <f t="shared" si="13"/>
        <v>6</v>
      </c>
      <c r="R72" s="19">
        <v>405914</v>
      </c>
      <c r="S72" s="52">
        <f t="shared" si="12"/>
        <v>0.38000000000465661</v>
      </c>
      <c r="T72" s="11"/>
    </row>
    <row r="73" spans="1:20" x14ac:dyDescent="0.2">
      <c r="A73" s="11">
        <v>71</v>
      </c>
      <c r="B73" s="11" t="s">
        <v>111</v>
      </c>
      <c r="C73" s="12">
        <v>25</v>
      </c>
      <c r="D73" s="13">
        <v>9309</v>
      </c>
      <c r="E73" s="14">
        <v>46065</v>
      </c>
      <c r="F73" s="13">
        <v>5066</v>
      </c>
      <c r="G73" s="15">
        <f t="shared" si="7"/>
        <v>0.54420453324739504</v>
      </c>
      <c r="H73" s="16">
        <v>420</v>
      </c>
      <c r="I73" s="16"/>
      <c r="J73" s="16">
        <f t="shared" si="8"/>
        <v>2127720</v>
      </c>
      <c r="K73" s="16">
        <f t="shared" si="9"/>
        <v>9819.5</v>
      </c>
      <c r="L73" s="16">
        <f t="shared" si="10"/>
        <v>13375</v>
      </c>
      <c r="M73" s="17">
        <f t="shared" si="11"/>
        <v>2597735.6999999997</v>
      </c>
      <c r="N73" s="11" t="s">
        <v>201</v>
      </c>
      <c r="O73" s="18">
        <v>46066</v>
      </c>
      <c r="P73" s="18">
        <v>46073</v>
      </c>
      <c r="Q73" s="100">
        <f t="shared" si="13"/>
        <v>7</v>
      </c>
      <c r="R73" s="19">
        <v>2597735.7000000002</v>
      </c>
      <c r="S73" s="52">
        <f t="shared" si="12"/>
        <v>0</v>
      </c>
      <c r="T73" s="11"/>
    </row>
    <row r="74" spans="1:20" x14ac:dyDescent="0.2">
      <c r="A74" s="11">
        <v>72</v>
      </c>
      <c r="B74" s="11" t="s">
        <v>110</v>
      </c>
      <c r="C74" s="12">
        <v>20</v>
      </c>
      <c r="D74" s="13">
        <v>6329</v>
      </c>
      <c r="E74" s="14">
        <v>46065</v>
      </c>
      <c r="F74" s="13">
        <v>3572.3</v>
      </c>
      <c r="G74" s="15">
        <f t="shared" si="7"/>
        <v>0.5644335598040765</v>
      </c>
      <c r="H74" s="16">
        <v>420</v>
      </c>
      <c r="I74" s="16"/>
      <c r="J74" s="16">
        <f t="shared" si="8"/>
        <v>1500366</v>
      </c>
      <c r="K74" s="16">
        <f t="shared" si="9"/>
        <v>7855.5999999999995</v>
      </c>
      <c r="L74" s="16">
        <f t="shared" si="10"/>
        <v>10700</v>
      </c>
      <c r="M74" s="17">
        <f t="shared" si="11"/>
        <v>1833998.46</v>
      </c>
      <c r="N74" s="11" t="s">
        <v>202</v>
      </c>
      <c r="O74" s="18">
        <v>46066</v>
      </c>
      <c r="P74" s="18">
        <v>46079</v>
      </c>
      <c r="Q74" s="100">
        <f t="shared" si="13"/>
        <v>13</v>
      </c>
      <c r="R74" s="19">
        <v>1833998.46</v>
      </c>
      <c r="S74" s="52">
        <f t="shared" si="12"/>
        <v>0</v>
      </c>
      <c r="T74" s="11"/>
    </row>
    <row r="75" spans="1:20" x14ac:dyDescent="0.2">
      <c r="A75" s="11">
        <v>73</v>
      </c>
      <c r="B75" s="11" t="s">
        <v>111</v>
      </c>
      <c r="C75" s="12">
        <v>15</v>
      </c>
      <c r="D75" s="13">
        <v>5861</v>
      </c>
      <c r="E75" s="14">
        <v>46065</v>
      </c>
      <c r="F75" s="13">
        <v>3350.2</v>
      </c>
      <c r="G75" s="15">
        <f t="shared" si="7"/>
        <v>0.57160894045384747</v>
      </c>
      <c r="H75" s="16">
        <v>420</v>
      </c>
      <c r="I75" s="16"/>
      <c r="J75" s="16">
        <f t="shared" si="8"/>
        <v>1407084</v>
      </c>
      <c r="K75" s="16">
        <f t="shared" si="9"/>
        <v>5891.7</v>
      </c>
      <c r="L75" s="16">
        <f t="shared" si="10"/>
        <v>8025</v>
      </c>
      <c r="M75" s="17">
        <f t="shared" si="11"/>
        <v>1716488.3399999999</v>
      </c>
      <c r="N75" s="11" t="s">
        <v>203</v>
      </c>
      <c r="O75" s="18">
        <v>46066</v>
      </c>
      <c r="P75" s="18">
        <v>46073</v>
      </c>
      <c r="Q75" s="100">
        <f t="shared" si="13"/>
        <v>7</v>
      </c>
      <c r="R75" s="19">
        <v>1716488.34</v>
      </c>
      <c r="S75" s="52">
        <f t="shared" si="12"/>
        <v>0</v>
      </c>
      <c r="T75" s="11"/>
    </row>
    <row r="76" spans="1:20" x14ac:dyDescent="0.2">
      <c r="A76" s="11">
        <v>74</v>
      </c>
      <c r="B76" s="11" t="s">
        <v>110</v>
      </c>
      <c r="C76" s="12">
        <v>10</v>
      </c>
      <c r="D76" s="13">
        <v>2873</v>
      </c>
      <c r="E76" s="14">
        <v>46071</v>
      </c>
      <c r="F76" s="13">
        <v>1594.1</v>
      </c>
      <c r="G76" s="15">
        <f t="shared" si="7"/>
        <v>0.55485555168813083</v>
      </c>
      <c r="H76" s="16">
        <v>420</v>
      </c>
      <c r="I76" s="16"/>
      <c r="J76" s="16">
        <f t="shared" si="8"/>
        <v>669522</v>
      </c>
      <c r="K76" s="16">
        <f t="shared" si="9"/>
        <v>3927.7999999999997</v>
      </c>
      <c r="L76" s="16">
        <f t="shared" si="10"/>
        <v>5350</v>
      </c>
      <c r="M76" s="17">
        <f t="shared" si="11"/>
        <v>819399.42</v>
      </c>
      <c r="N76" s="11" t="s">
        <v>205</v>
      </c>
      <c r="O76" s="18">
        <v>46073</v>
      </c>
      <c r="P76" s="18">
        <v>46081</v>
      </c>
      <c r="Q76" s="100">
        <f t="shared" si="13"/>
        <v>8</v>
      </c>
      <c r="R76" s="19">
        <v>819399.42</v>
      </c>
      <c r="S76" s="52">
        <f t="shared" si="12"/>
        <v>0</v>
      </c>
      <c r="T76" s="11"/>
    </row>
    <row r="77" spans="1:20" x14ac:dyDescent="0.2">
      <c r="A77" s="11">
        <v>75</v>
      </c>
      <c r="B77" s="11" t="s">
        <v>110</v>
      </c>
      <c r="C77" s="12">
        <v>5</v>
      </c>
      <c r="D77" s="13">
        <v>1499</v>
      </c>
      <c r="E77" s="14">
        <v>46071</v>
      </c>
      <c r="F77" s="13">
        <v>862.1</v>
      </c>
      <c r="G77" s="15">
        <f t="shared" si="7"/>
        <v>0.57511674449633088</v>
      </c>
      <c r="H77" s="16">
        <v>420</v>
      </c>
      <c r="I77" s="16"/>
      <c r="J77" s="16">
        <f t="shared" si="8"/>
        <v>362082</v>
      </c>
      <c r="K77" s="16">
        <f t="shared" si="9"/>
        <v>1963.8999999999999</v>
      </c>
      <c r="L77" s="16">
        <f t="shared" si="10"/>
        <v>2675</v>
      </c>
      <c r="M77" s="17">
        <f t="shared" si="11"/>
        <v>442758.12</v>
      </c>
      <c r="N77" s="11" t="s">
        <v>205</v>
      </c>
      <c r="O77" s="18">
        <v>46073</v>
      </c>
      <c r="P77" s="18">
        <v>46081</v>
      </c>
      <c r="Q77" s="100">
        <f t="shared" si="13"/>
        <v>8</v>
      </c>
      <c r="R77" s="19">
        <v>442758.12</v>
      </c>
      <c r="S77" s="52">
        <f t="shared" si="12"/>
        <v>0</v>
      </c>
      <c r="T77" s="11"/>
    </row>
    <row r="78" spans="1:20" x14ac:dyDescent="0.2">
      <c r="A78" s="11">
        <v>76</v>
      </c>
      <c r="B78" s="11" t="s">
        <v>141</v>
      </c>
      <c r="C78" s="12">
        <v>18</v>
      </c>
      <c r="D78" s="13">
        <v>6534</v>
      </c>
      <c r="E78" s="14">
        <v>46071</v>
      </c>
      <c r="F78" s="13">
        <v>3791.8</v>
      </c>
      <c r="G78" s="15">
        <f t="shared" ref="G78:G141" si="14">+F78/D78</f>
        <v>0.58031833486378948</v>
      </c>
      <c r="H78" s="16">
        <v>420</v>
      </c>
      <c r="I78" s="16"/>
      <c r="J78" s="16">
        <f t="shared" ref="J78:J141" si="15">+H78*F78</f>
        <v>1592556</v>
      </c>
      <c r="K78" s="16">
        <f t="shared" ref="K78:K141" si="16">$K$2*C78</f>
        <v>7070.0399999999991</v>
      </c>
      <c r="L78" s="16">
        <f t="shared" ref="L78:L141" si="17">$L$2*C78</f>
        <v>9630</v>
      </c>
      <c r="M78" s="17">
        <f t="shared" ref="M78:M141" si="18">+(J78*1.21)+K78+L78</f>
        <v>1943692.8</v>
      </c>
      <c r="N78" s="11" t="s">
        <v>204</v>
      </c>
      <c r="O78" s="18">
        <v>46072</v>
      </c>
      <c r="P78" s="18">
        <v>46084</v>
      </c>
      <c r="Q78" s="100">
        <f t="shared" si="13"/>
        <v>12</v>
      </c>
      <c r="R78" s="19">
        <v>1943692.8</v>
      </c>
      <c r="S78" s="52">
        <f t="shared" si="12"/>
        <v>0</v>
      </c>
      <c r="T78" s="11"/>
    </row>
    <row r="79" spans="1:20" x14ac:dyDescent="0.2">
      <c r="A79" s="11">
        <v>77</v>
      </c>
      <c r="B79" s="11" t="s">
        <v>110</v>
      </c>
      <c r="C79" s="12">
        <v>15</v>
      </c>
      <c r="D79" s="13">
        <v>5197</v>
      </c>
      <c r="E79" s="14">
        <v>46071</v>
      </c>
      <c r="F79" s="13">
        <v>2916.3</v>
      </c>
      <c r="G79" s="15">
        <f t="shared" si="14"/>
        <v>0.56115066384452572</v>
      </c>
      <c r="H79" s="16">
        <v>420</v>
      </c>
      <c r="I79" s="16"/>
      <c r="J79" s="16">
        <f t="shared" si="15"/>
        <v>1224846</v>
      </c>
      <c r="K79" s="16">
        <f t="shared" si="16"/>
        <v>5891.7</v>
      </c>
      <c r="L79" s="16">
        <f t="shared" si="17"/>
        <v>8025</v>
      </c>
      <c r="M79" s="17">
        <f t="shared" si="18"/>
        <v>1495980.3599999999</v>
      </c>
      <c r="N79" s="11" t="s">
        <v>205</v>
      </c>
      <c r="O79" s="18">
        <v>46073</v>
      </c>
      <c r="P79" s="18">
        <v>46081</v>
      </c>
      <c r="Q79" s="100">
        <f t="shared" si="13"/>
        <v>8</v>
      </c>
      <c r="R79" s="19">
        <v>1495980.36</v>
      </c>
      <c r="S79" s="52">
        <f t="shared" si="12"/>
        <v>0</v>
      </c>
      <c r="T79" s="11"/>
    </row>
    <row r="80" spans="1:20" x14ac:dyDescent="0.2">
      <c r="A80" s="11">
        <v>78</v>
      </c>
      <c r="B80" s="11" t="s">
        <v>131</v>
      </c>
      <c r="C80" s="12">
        <v>8</v>
      </c>
      <c r="D80" s="13">
        <v>2616</v>
      </c>
      <c r="E80" s="14">
        <v>46073</v>
      </c>
      <c r="F80" s="13">
        <v>1465.5</v>
      </c>
      <c r="G80" s="15">
        <f t="shared" si="14"/>
        <v>0.56020642201834858</v>
      </c>
      <c r="H80" s="16">
        <v>420</v>
      </c>
      <c r="I80" s="16"/>
      <c r="J80" s="16">
        <f t="shared" si="15"/>
        <v>615510</v>
      </c>
      <c r="K80" s="16">
        <f t="shared" si="16"/>
        <v>3142.24</v>
      </c>
      <c r="L80" s="16">
        <f t="shared" si="17"/>
        <v>4280</v>
      </c>
      <c r="M80" s="17">
        <f t="shared" si="18"/>
        <v>752189.34</v>
      </c>
      <c r="N80" s="11" t="s">
        <v>206</v>
      </c>
      <c r="O80" s="18">
        <v>46076</v>
      </c>
      <c r="P80" s="18">
        <v>46079</v>
      </c>
      <c r="Q80" s="100">
        <f t="shared" si="13"/>
        <v>3</v>
      </c>
      <c r="R80" s="19">
        <v>752190</v>
      </c>
      <c r="S80" s="52">
        <f t="shared" ref="S80:S143" si="19">+R80-M80</f>
        <v>0.66000000003259629</v>
      </c>
      <c r="T80" s="11"/>
    </row>
    <row r="81" spans="1:20" x14ac:dyDescent="0.2">
      <c r="A81" s="11">
        <v>79</v>
      </c>
      <c r="B81" s="11" t="s">
        <v>107</v>
      </c>
      <c r="C81" s="12">
        <v>20</v>
      </c>
      <c r="D81" s="13">
        <v>8461</v>
      </c>
      <c r="E81" s="14">
        <v>46073</v>
      </c>
      <c r="F81" s="13">
        <v>4954.8</v>
      </c>
      <c r="G81" s="15">
        <f t="shared" si="14"/>
        <v>0.58560453847062999</v>
      </c>
      <c r="H81" s="16">
        <v>420</v>
      </c>
      <c r="I81" s="16"/>
      <c r="J81" s="16">
        <f t="shared" si="15"/>
        <v>2081016</v>
      </c>
      <c r="K81" s="16">
        <f t="shared" si="16"/>
        <v>7855.5999999999995</v>
      </c>
      <c r="L81" s="16">
        <f t="shared" si="17"/>
        <v>10700</v>
      </c>
      <c r="M81" s="17">
        <f t="shared" si="18"/>
        <v>2536584.96</v>
      </c>
      <c r="N81" s="11" t="s">
        <v>207</v>
      </c>
      <c r="O81" s="18">
        <v>46077</v>
      </c>
      <c r="P81" s="18"/>
      <c r="Q81" s="100">
        <f t="shared" si="13"/>
        <v>-46077</v>
      </c>
      <c r="R81" s="19"/>
      <c r="S81" s="52">
        <f t="shared" si="19"/>
        <v>-2536584.96</v>
      </c>
      <c r="T81" s="11"/>
    </row>
    <row r="82" spans="1:20" x14ac:dyDescent="0.2">
      <c r="A82" s="11">
        <v>80</v>
      </c>
      <c r="B82" s="11" t="s">
        <v>111</v>
      </c>
      <c r="C82" s="12">
        <v>21</v>
      </c>
      <c r="D82" s="13">
        <v>7254</v>
      </c>
      <c r="E82" s="14">
        <v>46073</v>
      </c>
      <c r="F82" s="13">
        <v>4035.7</v>
      </c>
      <c r="G82" s="15">
        <f t="shared" si="14"/>
        <v>0.55634132892197408</v>
      </c>
      <c r="H82" s="16">
        <v>420</v>
      </c>
      <c r="I82" s="16"/>
      <c r="J82" s="16">
        <f t="shared" si="15"/>
        <v>1694994</v>
      </c>
      <c r="K82" s="16">
        <f t="shared" si="16"/>
        <v>8248.3799999999992</v>
      </c>
      <c r="L82" s="16">
        <f t="shared" si="17"/>
        <v>11235</v>
      </c>
      <c r="M82" s="17">
        <f t="shared" si="18"/>
        <v>2070426.1199999999</v>
      </c>
      <c r="N82" s="11" t="s">
        <v>208</v>
      </c>
      <c r="O82" s="18">
        <v>46077</v>
      </c>
      <c r="P82" s="18"/>
      <c r="Q82" s="100">
        <f t="shared" si="13"/>
        <v>-46077</v>
      </c>
      <c r="R82" s="19"/>
      <c r="S82" s="52">
        <f t="shared" si="19"/>
        <v>-2070426.1199999999</v>
      </c>
      <c r="T82" s="11"/>
    </row>
    <row r="83" spans="1:20" x14ac:dyDescent="0.2">
      <c r="A83" s="11">
        <v>81</v>
      </c>
      <c r="B83" s="11" t="s">
        <v>111</v>
      </c>
      <c r="C83" s="12">
        <v>15</v>
      </c>
      <c r="D83" s="13">
        <v>6056</v>
      </c>
      <c r="E83" s="14">
        <v>46073</v>
      </c>
      <c r="F83" s="13">
        <v>3378.4</v>
      </c>
      <c r="G83" s="15">
        <f t="shared" si="14"/>
        <v>0.55785997357992079</v>
      </c>
      <c r="H83" s="16">
        <v>420</v>
      </c>
      <c r="I83" s="16"/>
      <c r="J83" s="16">
        <f t="shared" si="15"/>
        <v>1418928</v>
      </c>
      <c r="K83" s="16">
        <f t="shared" si="16"/>
        <v>5891.7</v>
      </c>
      <c r="L83" s="16">
        <f t="shared" si="17"/>
        <v>8025</v>
      </c>
      <c r="M83" s="17">
        <f t="shared" si="18"/>
        <v>1730819.5799999998</v>
      </c>
      <c r="N83" s="11" t="s">
        <v>208</v>
      </c>
      <c r="O83" s="18">
        <v>46077</v>
      </c>
      <c r="P83" s="18"/>
      <c r="Q83" s="100">
        <f t="shared" si="13"/>
        <v>-46077</v>
      </c>
      <c r="R83" s="19"/>
      <c r="S83" s="52">
        <f t="shared" si="19"/>
        <v>-1730819.5799999998</v>
      </c>
      <c r="T83" s="11"/>
    </row>
    <row r="84" spans="1:20" x14ac:dyDescent="0.2">
      <c r="A84" s="11">
        <v>82</v>
      </c>
      <c r="B84" s="11" t="s">
        <v>167</v>
      </c>
      <c r="C84" s="12">
        <v>15</v>
      </c>
      <c r="D84" s="13">
        <v>5629</v>
      </c>
      <c r="E84" s="14">
        <v>46073</v>
      </c>
      <c r="F84" s="13">
        <v>3097.6</v>
      </c>
      <c r="G84" s="15">
        <f t="shared" si="14"/>
        <v>0.55029312488896787</v>
      </c>
      <c r="H84" s="16">
        <v>420</v>
      </c>
      <c r="I84" s="16"/>
      <c r="J84" s="16">
        <f t="shared" si="15"/>
        <v>1300992</v>
      </c>
      <c r="K84" s="16">
        <f t="shared" si="16"/>
        <v>5891.7</v>
      </c>
      <c r="L84" s="16">
        <f t="shared" si="17"/>
        <v>8025</v>
      </c>
      <c r="M84" s="17">
        <f t="shared" si="18"/>
        <v>1588117.02</v>
      </c>
      <c r="N84" s="11" t="s">
        <v>209</v>
      </c>
      <c r="O84" s="18">
        <v>46077</v>
      </c>
      <c r="P84" s="18">
        <v>46080</v>
      </c>
      <c r="Q84" s="100">
        <f t="shared" si="13"/>
        <v>3</v>
      </c>
      <c r="R84" s="19">
        <v>1588117.02</v>
      </c>
      <c r="S84" s="52">
        <f t="shared" si="19"/>
        <v>0</v>
      </c>
      <c r="T84" s="11"/>
    </row>
    <row r="85" spans="1:20" x14ac:dyDescent="0.2">
      <c r="A85" s="11">
        <v>83</v>
      </c>
      <c r="B85" s="11" t="s">
        <v>167</v>
      </c>
      <c r="C85" s="12">
        <v>15</v>
      </c>
      <c r="D85" s="13">
        <v>5306</v>
      </c>
      <c r="E85" s="14">
        <v>46073</v>
      </c>
      <c r="F85" s="13">
        <v>2910.6</v>
      </c>
      <c r="G85" s="15">
        <f t="shared" si="14"/>
        <v>0.54854881266490763</v>
      </c>
      <c r="H85" s="16">
        <v>420</v>
      </c>
      <c r="I85" s="16"/>
      <c r="J85" s="16">
        <f t="shared" si="15"/>
        <v>1222452</v>
      </c>
      <c r="K85" s="16">
        <f t="shared" si="16"/>
        <v>5891.7</v>
      </c>
      <c r="L85" s="16">
        <f t="shared" si="17"/>
        <v>8025</v>
      </c>
      <c r="M85" s="17">
        <f t="shared" si="18"/>
        <v>1493083.6199999999</v>
      </c>
      <c r="N85" s="11" t="s">
        <v>209</v>
      </c>
      <c r="O85" s="18">
        <v>46077</v>
      </c>
      <c r="P85" s="18">
        <v>46080</v>
      </c>
      <c r="Q85" s="100">
        <f t="shared" si="13"/>
        <v>3</v>
      </c>
      <c r="R85" s="19">
        <v>1493083.62</v>
      </c>
      <c r="S85" s="52">
        <f t="shared" si="19"/>
        <v>0</v>
      </c>
      <c r="T85" s="11"/>
    </row>
    <row r="86" spans="1:20" x14ac:dyDescent="0.2">
      <c r="A86" s="11">
        <v>84</v>
      </c>
      <c r="B86" s="11" t="s">
        <v>103</v>
      </c>
      <c r="C86" s="12">
        <v>21</v>
      </c>
      <c r="D86" s="13">
        <v>8105</v>
      </c>
      <c r="E86" s="14">
        <v>46076</v>
      </c>
      <c r="F86" s="13">
        <v>4552.3999999999996</v>
      </c>
      <c r="G86" s="15">
        <f t="shared" si="14"/>
        <v>0.56167797655768037</v>
      </c>
      <c r="H86" s="16">
        <v>420</v>
      </c>
      <c r="I86" s="16"/>
      <c r="J86" s="16">
        <f t="shared" si="15"/>
        <v>1912007.9999999998</v>
      </c>
      <c r="K86" s="16">
        <f t="shared" si="16"/>
        <v>8248.3799999999992</v>
      </c>
      <c r="L86" s="16">
        <f t="shared" si="17"/>
        <v>11235</v>
      </c>
      <c r="M86" s="17">
        <f t="shared" si="18"/>
        <v>2333013.0599999996</v>
      </c>
      <c r="N86" s="11" t="s">
        <v>210</v>
      </c>
      <c r="O86" s="18">
        <v>46077</v>
      </c>
      <c r="P86" s="18">
        <v>46084</v>
      </c>
      <c r="Q86" s="100">
        <f t="shared" si="13"/>
        <v>7</v>
      </c>
      <c r="R86" s="19">
        <v>2333013.06</v>
      </c>
      <c r="S86" s="52">
        <f t="shared" si="19"/>
        <v>0</v>
      </c>
      <c r="T86" s="11"/>
    </row>
    <row r="87" spans="1:20" x14ac:dyDescent="0.2">
      <c r="A87" s="11">
        <v>85</v>
      </c>
      <c r="B87" s="11" t="s">
        <v>110</v>
      </c>
      <c r="C87" s="12">
        <v>18</v>
      </c>
      <c r="D87" s="13">
        <v>6551</v>
      </c>
      <c r="E87" s="14">
        <v>46076</v>
      </c>
      <c r="F87" s="13">
        <v>3838.7</v>
      </c>
      <c r="G87" s="15">
        <f t="shared" si="14"/>
        <v>0.58597160738818499</v>
      </c>
      <c r="H87" s="16">
        <v>420</v>
      </c>
      <c r="I87" s="16"/>
      <c r="J87" s="16">
        <f t="shared" si="15"/>
        <v>1612254</v>
      </c>
      <c r="K87" s="16">
        <f t="shared" si="16"/>
        <v>7070.0399999999991</v>
      </c>
      <c r="L87" s="16">
        <f t="shared" si="17"/>
        <v>9630</v>
      </c>
      <c r="M87" s="17">
        <f t="shared" si="18"/>
        <v>1967527.38</v>
      </c>
      <c r="N87" s="11" t="s">
        <v>211</v>
      </c>
      <c r="O87" s="18">
        <v>46077</v>
      </c>
      <c r="P87" s="18">
        <v>46085</v>
      </c>
      <c r="Q87" s="100">
        <f t="shared" si="13"/>
        <v>8</v>
      </c>
      <c r="R87" s="19">
        <v>1967527.38</v>
      </c>
      <c r="S87" s="52">
        <f t="shared" si="19"/>
        <v>0</v>
      </c>
      <c r="T87" s="11"/>
    </row>
    <row r="88" spans="1:20" x14ac:dyDescent="0.2">
      <c r="A88" s="11">
        <v>86</v>
      </c>
      <c r="B88" s="11" t="s">
        <v>107</v>
      </c>
      <c r="C88" s="12">
        <v>50</v>
      </c>
      <c r="D88" s="13">
        <v>26239</v>
      </c>
      <c r="E88" s="14">
        <v>46077</v>
      </c>
      <c r="F88" s="13">
        <v>15497.2</v>
      </c>
      <c r="G88" s="15">
        <f t="shared" si="14"/>
        <v>0.59061702046571896</v>
      </c>
      <c r="H88" s="16">
        <v>420</v>
      </c>
      <c r="I88" s="16"/>
      <c r="J88" s="16">
        <f t="shared" si="15"/>
        <v>6508824</v>
      </c>
      <c r="K88" s="16">
        <f t="shared" si="16"/>
        <v>19639</v>
      </c>
      <c r="L88" s="16">
        <f t="shared" si="17"/>
        <v>26750</v>
      </c>
      <c r="M88" s="17">
        <f t="shared" si="18"/>
        <v>7922066.04</v>
      </c>
      <c r="N88" s="11" t="s">
        <v>212</v>
      </c>
      <c r="O88" s="18">
        <v>46077</v>
      </c>
      <c r="P88" s="18"/>
      <c r="Q88" s="100">
        <f t="shared" si="13"/>
        <v>-46077</v>
      </c>
      <c r="R88" s="19"/>
      <c r="S88" s="52">
        <f t="shared" si="19"/>
        <v>-7922066.04</v>
      </c>
      <c r="T88" s="11"/>
    </row>
    <row r="89" spans="1:20" x14ac:dyDescent="0.2">
      <c r="A89" s="11">
        <v>87</v>
      </c>
      <c r="B89" s="11" t="s">
        <v>141</v>
      </c>
      <c r="C89" s="12">
        <v>18</v>
      </c>
      <c r="D89" s="13">
        <v>6703</v>
      </c>
      <c r="E89" s="14">
        <v>46077</v>
      </c>
      <c r="F89" s="13">
        <v>3790.6</v>
      </c>
      <c r="G89" s="15">
        <f t="shared" si="14"/>
        <v>0.56550798150082049</v>
      </c>
      <c r="H89" s="16">
        <v>420</v>
      </c>
      <c r="I89" s="16"/>
      <c r="J89" s="16">
        <f t="shared" si="15"/>
        <v>1592052</v>
      </c>
      <c r="K89" s="16">
        <f t="shared" si="16"/>
        <v>7070.0399999999991</v>
      </c>
      <c r="L89" s="16">
        <f t="shared" si="17"/>
        <v>9630</v>
      </c>
      <c r="M89" s="17">
        <f t="shared" si="18"/>
        <v>1943082.96</v>
      </c>
      <c r="N89" s="11" t="s">
        <v>213</v>
      </c>
      <c r="O89" s="18">
        <v>46077</v>
      </c>
      <c r="P89" s="18"/>
      <c r="Q89" s="100">
        <f t="shared" si="13"/>
        <v>-46077</v>
      </c>
      <c r="R89" s="19"/>
      <c r="S89" s="52">
        <f t="shared" si="19"/>
        <v>-1943082.96</v>
      </c>
      <c r="T89" s="11"/>
    </row>
    <row r="90" spans="1:20" x14ac:dyDescent="0.2">
      <c r="A90" s="11">
        <v>88</v>
      </c>
      <c r="B90" s="11" t="s">
        <v>131</v>
      </c>
      <c r="C90" s="12">
        <v>8</v>
      </c>
      <c r="D90" s="13">
        <v>2367</v>
      </c>
      <c r="E90" s="14">
        <v>46078</v>
      </c>
      <c r="F90" s="13">
        <v>1321.4</v>
      </c>
      <c r="G90" s="15">
        <f t="shared" si="14"/>
        <v>0.55825940008449515</v>
      </c>
      <c r="H90" s="16">
        <v>420</v>
      </c>
      <c r="I90" s="16"/>
      <c r="J90" s="16">
        <f t="shared" si="15"/>
        <v>554988</v>
      </c>
      <c r="K90" s="16">
        <f t="shared" si="16"/>
        <v>3142.24</v>
      </c>
      <c r="L90" s="16">
        <f t="shared" si="17"/>
        <v>4280</v>
      </c>
      <c r="M90" s="17">
        <f t="shared" si="18"/>
        <v>678957.72</v>
      </c>
      <c r="N90" s="11" t="s">
        <v>214</v>
      </c>
      <c r="O90" s="18">
        <v>46079</v>
      </c>
      <c r="P90" s="18"/>
      <c r="Q90" s="100">
        <f t="shared" si="13"/>
        <v>-46079</v>
      </c>
      <c r="R90" s="19"/>
      <c r="S90" s="52">
        <f t="shared" si="19"/>
        <v>-678957.72</v>
      </c>
      <c r="T90" s="11"/>
    </row>
    <row r="91" spans="1:20" x14ac:dyDescent="0.2">
      <c r="A91" s="11">
        <v>89</v>
      </c>
      <c r="B91" s="11" t="s">
        <v>110</v>
      </c>
      <c r="C91" s="12">
        <v>7</v>
      </c>
      <c r="D91" s="13">
        <v>2687</v>
      </c>
      <c r="E91" s="14">
        <v>46078</v>
      </c>
      <c r="F91" s="13">
        <v>1494.8</v>
      </c>
      <c r="G91" s="15">
        <f t="shared" si="14"/>
        <v>0.55630815035355419</v>
      </c>
      <c r="H91" s="16">
        <v>420</v>
      </c>
      <c r="I91" s="16"/>
      <c r="J91" s="16">
        <f t="shared" si="15"/>
        <v>627816</v>
      </c>
      <c r="K91" s="16">
        <f t="shared" si="16"/>
        <v>2749.46</v>
      </c>
      <c r="L91" s="16">
        <f t="shared" si="17"/>
        <v>3745</v>
      </c>
      <c r="M91" s="17">
        <f t="shared" si="18"/>
        <v>766151.82</v>
      </c>
      <c r="N91" s="11" t="s">
        <v>215</v>
      </c>
      <c r="O91" s="18">
        <v>46079</v>
      </c>
      <c r="P91" s="18"/>
      <c r="Q91" s="100">
        <f t="shared" si="13"/>
        <v>-46079</v>
      </c>
      <c r="R91" s="19"/>
      <c r="S91" s="52">
        <f t="shared" si="19"/>
        <v>-766151.82</v>
      </c>
      <c r="T91" s="11"/>
    </row>
    <row r="92" spans="1:20" x14ac:dyDescent="0.2">
      <c r="A92" s="11">
        <v>90</v>
      </c>
      <c r="B92" s="11" t="s">
        <v>110</v>
      </c>
      <c r="C92" s="12">
        <v>11</v>
      </c>
      <c r="D92" s="13">
        <v>4591</v>
      </c>
      <c r="E92" s="14">
        <v>46078</v>
      </c>
      <c r="F92" s="13">
        <v>2726</v>
      </c>
      <c r="G92" s="15">
        <f t="shared" si="14"/>
        <v>0.5937704203877151</v>
      </c>
      <c r="H92" s="16">
        <v>420</v>
      </c>
      <c r="I92" s="16"/>
      <c r="J92" s="16">
        <f t="shared" si="15"/>
        <v>1144920</v>
      </c>
      <c r="K92" s="16">
        <f t="shared" si="16"/>
        <v>4320.58</v>
      </c>
      <c r="L92" s="16">
        <f t="shared" si="17"/>
        <v>5885</v>
      </c>
      <c r="M92" s="17">
        <f t="shared" si="18"/>
        <v>1395558.78</v>
      </c>
      <c r="N92" s="11" t="s">
        <v>215</v>
      </c>
      <c r="O92" s="18">
        <v>46079</v>
      </c>
      <c r="P92" s="18"/>
      <c r="Q92" s="100">
        <f t="shared" si="13"/>
        <v>-46079</v>
      </c>
      <c r="R92" s="19"/>
      <c r="S92" s="52">
        <f t="shared" si="19"/>
        <v>-1395558.78</v>
      </c>
      <c r="T92" s="11"/>
    </row>
    <row r="93" spans="1:20" x14ac:dyDescent="0.2">
      <c r="A93" s="11">
        <v>91</v>
      </c>
      <c r="B93" s="11" t="s">
        <v>111</v>
      </c>
      <c r="C93" s="12">
        <v>15</v>
      </c>
      <c r="D93" s="13">
        <v>5784</v>
      </c>
      <c r="E93" s="14">
        <v>46080</v>
      </c>
      <c r="F93" s="13">
        <v>3311.8</v>
      </c>
      <c r="G93" s="15">
        <f t="shared" si="14"/>
        <v>0.57257952973720616</v>
      </c>
      <c r="H93" s="16">
        <v>420</v>
      </c>
      <c r="I93" s="16"/>
      <c r="J93" s="16">
        <f t="shared" si="15"/>
        <v>1390956</v>
      </c>
      <c r="K93" s="16">
        <f t="shared" si="16"/>
        <v>5891.7</v>
      </c>
      <c r="L93" s="16">
        <f t="shared" si="17"/>
        <v>8025</v>
      </c>
      <c r="M93" s="17">
        <f t="shared" si="18"/>
        <v>1696973.46</v>
      </c>
      <c r="N93" s="11" t="s">
        <v>217</v>
      </c>
      <c r="O93" s="18">
        <v>46080</v>
      </c>
      <c r="P93" s="18"/>
      <c r="Q93" s="100">
        <f t="shared" si="13"/>
        <v>-46080</v>
      </c>
      <c r="R93" s="19"/>
      <c r="S93" s="52">
        <f t="shared" si="19"/>
        <v>-1696973.46</v>
      </c>
      <c r="T93" s="11"/>
    </row>
    <row r="94" spans="1:20" x14ac:dyDescent="0.2">
      <c r="A94" s="11">
        <v>92</v>
      </c>
      <c r="B94" s="11" t="s">
        <v>167</v>
      </c>
      <c r="C94" s="12">
        <v>10</v>
      </c>
      <c r="D94" s="13">
        <v>3553</v>
      </c>
      <c r="E94" s="14">
        <v>46080</v>
      </c>
      <c r="F94" s="13">
        <v>2010</v>
      </c>
      <c r="G94" s="15">
        <f t="shared" si="14"/>
        <v>0.56571911061075153</v>
      </c>
      <c r="H94" s="16">
        <v>420</v>
      </c>
      <c r="I94" s="16"/>
      <c r="J94" s="16">
        <f t="shared" si="15"/>
        <v>844200</v>
      </c>
      <c r="K94" s="16">
        <f t="shared" si="16"/>
        <v>3927.7999999999997</v>
      </c>
      <c r="L94" s="16">
        <f t="shared" si="17"/>
        <v>5350</v>
      </c>
      <c r="M94" s="17">
        <f t="shared" si="18"/>
        <v>1030759.8</v>
      </c>
      <c r="N94" s="11" t="s">
        <v>218</v>
      </c>
      <c r="O94" s="18">
        <v>46080</v>
      </c>
      <c r="P94" s="18"/>
      <c r="Q94" s="100">
        <f t="shared" si="13"/>
        <v>-46080</v>
      </c>
      <c r="R94" s="19"/>
      <c r="S94" s="52">
        <f t="shared" si="19"/>
        <v>-1030759.8</v>
      </c>
      <c r="T94" s="11"/>
    </row>
    <row r="95" spans="1:20" x14ac:dyDescent="0.2">
      <c r="A95" s="11">
        <v>93</v>
      </c>
      <c r="B95" s="11" t="s">
        <v>167</v>
      </c>
      <c r="C95" s="12">
        <v>20</v>
      </c>
      <c r="D95" s="13">
        <v>7512</v>
      </c>
      <c r="E95" s="14">
        <v>46080</v>
      </c>
      <c r="F95" s="13">
        <v>4121.3</v>
      </c>
      <c r="G95" s="15">
        <f t="shared" si="14"/>
        <v>0.54862886048988291</v>
      </c>
      <c r="H95" s="16">
        <v>420</v>
      </c>
      <c r="I95" s="16"/>
      <c r="J95" s="16">
        <f t="shared" si="15"/>
        <v>1730946</v>
      </c>
      <c r="K95" s="16">
        <f t="shared" si="16"/>
        <v>7855.5999999999995</v>
      </c>
      <c r="L95" s="16">
        <f t="shared" si="17"/>
        <v>10700</v>
      </c>
      <c r="M95" s="17">
        <f t="shared" si="18"/>
        <v>2113000.2599999998</v>
      </c>
      <c r="N95" s="11" t="s">
        <v>218</v>
      </c>
      <c r="O95" s="18">
        <v>46080</v>
      </c>
      <c r="P95" s="18"/>
      <c r="Q95" s="100">
        <f t="shared" si="13"/>
        <v>-46080</v>
      </c>
      <c r="R95" s="19"/>
      <c r="S95" s="52">
        <f t="shared" si="19"/>
        <v>-2113000.2599999998</v>
      </c>
      <c r="T95" s="11"/>
    </row>
    <row r="96" spans="1:20" x14ac:dyDescent="0.2">
      <c r="A96" s="11">
        <v>94</v>
      </c>
      <c r="B96" s="11" t="s">
        <v>111</v>
      </c>
      <c r="C96" s="12">
        <v>8</v>
      </c>
      <c r="D96" s="13">
        <v>3024</v>
      </c>
      <c r="E96" s="14">
        <v>46080</v>
      </c>
      <c r="F96" s="13">
        <v>1727.9</v>
      </c>
      <c r="G96" s="15">
        <f t="shared" si="14"/>
        <v>0.57139550264550265</v>
      </c>
      <c r="H96" s="16">
        <v>420</v>
      </c>
      <c r="I96" s="16"/>
      <c r="J96" s="16">
        <f t="shared" si="15"/>
        <v>725718</v>
      </c>
      <c r="K96" s="16">
        <f t="shared" si="16"/>
        <v>3142.24</v>
      </c>
      <c r="L96" s="16">
        <f t="shared" si="17"/>
        <v>4280</v>
      </c>
      <c r="M96" s="17">
        <f t="shared" si="18"/>
        <v>885541.02</v>
      </c>
      <c r="N96" s="11" t="s">
        <v>217</v>
      </c>
      <c r="O96" s="18">
        <v>46080</v>
      </c>
      <c r="P96" s="18"/>
      <c r="Q96" s="100">
        <f t="shared" si="13"/>
        <v>-46080</v>
      </c>
      <c r="R96" s="19"/>
      <c r="S96" s="52">
        <f t="shared" si="19"/>
        <v>-885541.02</v>
      </c>
      <c r="T96" s="11"/>
    </row>
    <row r="97" spans="1:20" x14ac:dyDescent="0.2">
      <c r="A97" s="11">
        <v>95</v>
      </c>
      <c r="B97" s="11" t="s">
        <v>107</v>
      </c>
      <c r="C97" s="12">
        <v>15</v>
      </c>
      <c r="D97" s="13">
        <v>6021</v>
      </c>
      <c r="E97" s="14">
        <v>46080</v>
      </c>
      <c r="F97" s="13">
        <v>3367.8</v>
      </c>
      <c r="G97" s="15">
        <f t="shared" si="14"/>
        <v>0.55934230194319878</v>
      </c>
      <c r="H97" s="16">
        <v>420</v>
      </c>
      <c r="I97" s="16"/>
      <c r="J97" s="16">
        <f t="shared" si="15"/>
        <v>1414476</v>
      </c>
      <c r="K97" s="16">
        <f t="shared" si="16"/>
        <v>5891.7</v>
      </c>
      <c r="L97" s="16">
        <f t="shared" si="17"/>
        <v>8025</v>
      </c>
      <c r="M97" s="17">
        <f t="shared" si="18"/>
        <v>1725432.66</v>
      </c>
      <c r="N97" s="11" t="s">
        <v>216</v>
      </c>
      <c r="O97" s="18">
        <v>46080</v>
      </c>
      <c r="P97" s="18"/>
      <c r="Q97" s="100">
        <f t="shared" si="13"/>
        <v>-46080</v>
      </c>
      <c r="R97" s="19"/>
      <c r="S97" s="52">
        <f t="shared" si="19"/>
        <v>-1725432.66</v>
      </c>
      <c r="T97" s="11"/>
    </row>
    <row r="98" spans="1:20" ht="13.5" thickBot="1" x14ac:dyDescent="0.25">
      <c r="A98" s="113">
        <v>96</v>
      </c>
      <c r="B98" s="113" t="s">
        <v>111</v>
      </c>
      <c r="C98" s="114">
        <v>22</v>
      </c>
      <c r="D98" s="115">
        <v>8567</v>
      </c>
      <c r="E98" s="116">
        <v>46080</v>
      </c>
      <c r="F98" s="115">
        <v>4885.3</v>
      </c>
      <c r="G98" s="117">
        <f t="shared" si="14"/>
        <v>0.57024629391852455</v>
      </c>
      <c r="H98" s="118">
        <v>420</v>
      </c>
      <c r="I98" s="118"/>
      <c r="J98" s="118">
        <f t="shared" si="15"/>
        <v>2051826</v>
      </c>
      <c r="K98" s="118">
        <f t="shared" si="16"/>
        <v>8641.16</v>
      </c>
      <c r="L98" s="118">
        <f t="shared" si="17"/>
        <v>11770</v>
      </c>
      <c r="M98" s="119">
        <f t="shared" si="18"/>
        <v>2503120.62</v>
      </c>
      <c r="N98" s="113" t="s">
        <v>217</v>
      </c>
      <c r="O98" s="120">
        <v>46080</v>
      </c>
      <c r="P98" s="120"/>
      <c r="Q98" s="121">
        <f t="shared" si="13"/>
        <v>-46080</v>
      </c>
      <c r="R98" s="122"/>
      <c r="S98" s="123">
        <f t="shared" si="19"/>
        <v>-2503120.62</v>
      </c>
      <c r="T98" s="113"/>
    </row>
    <row r="99" spans="1:20" x14ac:dyDescent="0.2">
      <c r="A99" s="53">
        <v>97</v>
      </c>
      <c r="B99" s="53" t="s">
        <v>110</v>
      </c>
      <c r="C99" s="54">
        <v>18</v>
      </c>
      <c r="D99" s="55">
        <v>4930</v>
      </c>
      <c r="E99" s="56">
        <v>46083</v>
      </c>
      <c r="F99" s="55">
        <v>2665.6</v>
      </c>
      <c r="G99" s="57">
        <f t="shared" si="14"/>
        <v>0.54068965517241374</v>
      </c>
      <c r="H99" s="41">
        <v>500</v>
      </c>
      <c r="I99" s="41"/>
      <c r="J99" s="41">
        <f t="shared" si="15"/>
        <v>1332800</v>
      </c>
      <c r="K99" s="41">
        <f t="shared" si="16"/>
        <v>7070.0399999999991</v>
      </c>
      <c r="L99" s="41">
        <f t="shared" si="17"/>
        <v>9630</v>
      </c>
      <c r="M99" s="58">
        <f t="shared" si="18"/>
        <v>1629388.04</v>
      </c>
      <c r="N99" s="53" t="s">
        <v>219</v>
      </c>
      <c r="O99" s="59">
        <v>46083</v>
      </c>
      <c r="P99" s="59"/>
      <c r="Q99" s="112">
        <f t="shared" si="13"/>
        <v>-46083</v>
      </c>
      <c r="R99" s="60"/>
      <c r="S99" s="61">
        <f t="shared" si="19"/>
        <v>-1629388.04</v>
      </c>
      <c r="T99" s="53"/>
    </row>
    <row r="100" spans="1:20" x14ac:dyDescent="0.2">
      <c r="A100" s="11">
        <v>98</v>
      </c>
      <c r="B100" s="11" t="s">
        <v>96</v>
      </c>
      <c r="C100" s="12">
        <v>44</v>
      </c>
      <c r="D100" s="13">
        <v>16007</v>
      </c>
      <c r="E100" s="14">
        <v>46083</v>
      </c>
      <c r="F100" s="13">
        <v>9281.5</v>
      </c>
      <c r="G100" s="15">
        <f t="shared" si="14"/>
        <v>0.57984006996938842</v>
      </c>
      <c r="H100" s="16">
        <v>500</v>
      </c>
      <c r="I100" s="16"/>
      <c r="J100" s="16">
        <f t="shared" si="15"/>
        <v>4640750</v>
      </c>
      <c r="K100" s="16">
        <f t="shared" si="16"/>
        <v>17282.32</v>
      </c>
      <c r="L100" s="16">
        <f t="shared" si="17"/>
        <v>23540</v>
      </c>
      <c r="M100" s="17">
        <f t="shared" si="18"/>
        <v>5656129.8200000003</v>
      </c>
      <c r="N100" s="11" t="s">
        <v>220</v>
      </c>
      <c r="O100" s="18">
        <v>46083</v>
      </c>
      <c r="P100" s="18"/>
      <c r="Q100" s="100">
        <f t="shared" si="13"/>
        <v>-46083</v>
      </c>
      <c r="R100" s="19"/>
      <c r="S100" s="52">
        <f t="shared" si="19"/>
        <v>-5656129.8200000003</v>
      </c>
      <c r="T100" s="11"/>
    </row>
    <row r="101" spans="1:20" x14ac:dyDescent="0.2">
      <c r="A101" s="11">
        <v>99</v>
      </c>
      <c r="B101" s="11" t="s">
        <v>103</v>
      </c>
      <c r="C101" s="12">
        <v>21</v>
      </c>
      <c r="D101" s="13">
        <v>8416</v>
      </c>
      <c r="E101" s="14">
        <v>46083</v>
      </c>
      <c r="F101" s="13">
        <v>4772.3</v>
      </c>
      <c r="G101" s="15">
        <f t="shared" si="14"/>
        <v>0.56705085551330803</v>
      </c>
      <c r="H101" s="16">
        <v>500</v>
      </c>
      <c r="I101" s="16"/>
      <c r="J101" s="16">
        <f t="shared" si="15"/>
        <v>2386150</v>
      </c>
      <c r="K101" s="16">
        <f t="shared" si="16"/>
        <v>8248.3799999999992</v>
      </c>
      <c r="L101" s="16">
        <f t="shared" si="17"/>
        <v>11235</v>
      </c>
      <c r="M101" s="17">
        <f t="shared" si="18"/>
        <v>2906724.88</v>
      </c>
      <c r="N101" s="11" t="s">
        <v>221</v>
      </c>
      <c r="O101" s="18">
        <v>46083</v>
      </c>
      <c r="P101" s="18"/>
      <c r="Q101" s="100">
        <f t="shared" si="13"/>
        <v>-46083</v>
      </c>
      <c r="R101" s="19"/>
      <c r="S101" s="52">
        <f t="shared" si="19"/>
        <v>-2906724.88</v>
      </c>
      <c r="T101" s="11"/>
    </row>
    <row r="102" spans="1:20" x14ac:dyDescent="0.2">
      <c r="A102" s="11">
        <v>100</v>
      </c>
      <c r="B102" s="11" t="s">
        <v>141</v>
      </c>
      <c r="C102" s="12">
        <v>18</v>
      </c>
      <c r="D102" s="13">
        <v>6219</v>
      </c>
      <c r="E102" s="14">
        <v>46084</v>
      </c>
      <c r="F102" s="13">
        <v>3494.7</v>
      </c>
      <c r="G102" s="15">
        <f t="shared" si="14"/>
        <v>0.5619392185238784</v>
      </c>
      <c r="H102" s="16">
        <v>500</v>
      </c>
      <c r="I102" s="16"/>
      <c r="J102" s="16">
        <f t="shared" si="15"/>
        <v>1747350</v>
      </c>
      <c r="K102" s="16">
        <f t="shared" si="16"/>
        <v>7070.0399999999991</v>
      </c>
      <c r="L102" s="16">
        <f t="shared" si="17"/>
        <v>9630</v>
      </c>
      <c r="M102" s="17">
        <f t="shared" si="18"/>
        <v>2130993.54</v>
      </c>
      <c r="N102" s="11" t="s">
        <v>222</v>
      </c>
      <c r="O102" s="18">
        <v>46084</v>
      </c>
      <c r="P102" s="18"/>
      <c r="Q102" s="100">
        <f t="shared" si="13"/>
        <v>-46084</v>
      </c>
      <c r="R102" s="19"/>
      <c r="S102" s="52">
        <f t="shared" si="19"/>
        <v>-2130993.54</v>
      </c>
      <c r="T102" s="11"/>
    </row>
    <row r="103" spans="1:20" x14ac:dyDescent="0.2">
      <c r="A103" s="11">
        <v>101</v>
      </c>
      <c r="B103" s="11" t="s">
        <v>131</v>
      </c>
      <c r="C103" s="12">
        <v>8</v>
      </c>
      <c r="D103" s="13">
        <v>2542</v>
      </c>
      <c r="E103" s="14">
        <v>46085</v>
      </c>
      <c r="F103" s="13">
        <v>1416.4</v>
      </c>
      <c r="G103" s="15">
        <f t="shared" si="14"/>
        <v>0.5571990558615264</v>
      </c>
      <c r="H103" s="16">
        <v>500</v>
      </c>
      <c r="I103" s="16"/>
      <c r="J103" s="16">
        <f t="shared" si="15"/>
        <v>708200</v>
      </c>
      <c r="K103" s="16">
        <f t="shared" si="16"/>
        <v>3142.24</v>
      </c>
      <c r="L103" s="16">
        <f t="shared" si="17"/>
        <v>4280</v>
      </c>
      <c r="M103" s="17">
        <f t="shared" si="18"/>
        <v>864344.24</v>
      </c>
      <c r="N103" s="11"/>
      <c r="O103" s="18"/>
      <c r="P103" s="18"/>
      <c r="Q103" s="100">
        <f t="shared" si="13"/>
        <v>0</v>
      </c>
      <c r="R103" s="19"/>
      <c r="S103" s="52">
        <f t="shared" si="19"/>
        <v>-864344.24</v>
      </c>
      <c r="T103" s="11"/>
    </row>
    <row r="104" spans="1:20" x14ac:dyDescent="0.2">
      <c r="A104" s="11">
        <v>102</v>
      </c>
      <c r="B104" s="11" t="s">
        <v>110</v>
      </c>
      <c r="C104" s="12">
        <v>12</v>
      </c>
      <c r="D104" s="13">
        <v>5004</v>
      </c>
      <c r="E104" s="14">
        <v>46085</v>
      </c>
      <c r="F104" s="13">
        <v>2884.7</v>
      </c>
      <c r="G104" s="15">
        <f t="shared" si="14"/>
        <v>0.57647881694644276</v>
      </c>
      <c r="H104" s="16">
        <v>500</v>
      </c>
      <c r="I104" s="16"/>
      <c r="J104" s="16">
        <f t="shared" si="15"/>
        <v>1442350</v>
      </c>
      <c r="K104" s="16">
        <f t="shared" si="16"/>
        <v>4713.3599999999997</v>
      </c>
      <c r="L104" s="16">
        <f t="shared" si="17"/>
        <v>6420</v>
      </c>
      <c r="M104" s="17">
        <f t="shared" si="18"/>
        <v>1756376.86</v>
      </c>
      <c r="N104" s="11"/>
      <c r="O104" s="18"/>
      <c r="P104" s="18"/>
      <c r="Q104" s="100">
        <f t="shared" si="13"/>
        <v>0</v>
      </c>
      <c r="R104" s="19"/>
      <c r="S104" s="52">
        <f t="shared" si="19"/>
        <v>-1756376.86</v>
      </c>
      <c r="T104" s="11"/>
    </row>
    <row r="105" spans="1:20" x14ac:dyDescent="0.2">
      <c r="A105" s="11">
        <v>103</v>
      </c>
      <c r="B105" s="11" t="s">
        <v>110</v>
      </c>
      <c r="C105" s="12">
        <v>10</v>
      </c>
      <c r="D105" s="13">
        <v>2921</v>
      </c>
      <c r="E105" s="14">
        <v>46085</v>
      </c>
      <c r="F105" s="13">
        <v>1674.7</v>
      </c>
      <c r="G105" s="15">
        <f t="shared" si="14"/>
        <v>0.57333105100992809</v>
      </c>
      <c r="H105" s="16">
        <v>500</v>
      </c>
      <c r="I105" s="16"/>
      <c r="J105" s="16">
        <f t="shared" si="15"/>
        <v>837350</v>
      </c>
      <c r="K105" s="16">
        <f t="shared" si="16"/>
        <v>3927.7999999999997</v>
      </c>
      <c r="L105" s="16">
        <f t="shared" si="17"/>
        <v>5350</v>
      </c>
      <c r="M105" s="17">
        <f t="shared" si="18"/>
        <v>1022471.3</v>
      </c>
      <c r="N105" s="11"/>
      <c r="O105" s="18"/>
      <c r="P105" s="18"/>
      <c r="Q105" s="100">
        <f t="shared" si="13"/>
        <v>0</v>
      </c>
      <c r="R105" s="19"/>
      <c r="S105" s="52">
        <f t="shared" si="19"/>
        <v>-1022471.3</v>
      </c>
      <c r="T105" s="11"/>
    </row>
    <row r="106" spans="1:20" x14ac:dyDescent="0.2">
      <c r="A106" s="11">
        <v>104</v>
      </c>
      <c r="B106" s="11" t="s">
        <v>107</v>
      </c>
      <c r="C106" s="12">
        <v>20</v>
      </c>
      <c r="D106" s="13">
        <v>8603</v>
      </c>
      <c r="E106" s="14">
        <v>46085</v>
      </c>
      <c r="F106" s="13">
        <v>4976.6000000000004</v>
      </c>
      <c r="G106" s="15">
        <f t="shared" si="14"/>
        <v>0.57847262582819947</v>
      </c>
      <c r="H106" s="16">
        <v>500</v>
      </c>
      <c r="I106" s="16"/>
      <c r="J106" s="16">
        <f t="shared" si="15"/>
        <v>2488300</v>
      </c>
      <c r="K106" s="16">
        <f t="shared" si="16"/>
        <v>7855.5999999999995</v>
      </c>
      <c r="L106" s="16">
        <f t="shared" si="17"/>
        <v>10700</v>
      </c>
      <c r="M106" s="17">
        <f t="shared" si="18"/>
        <v>3029398.6</v>
      </c>
      <c r="N106" s="11"/>
      <c r="O106" s="18"/>
      <c r="P106" s="18"/>
      <c r="Q106" s="100">
        <f t="shared" si="13"/>
        <v>0</v>
      </c>
      <c r="R106" s="19"/>
      <c r="S106" s="52">
        <f t="shared" si="19"/>
        <v>-3029398.6</v>
      </c>
      <c r="T106" s="11"/>
    </row>
    <row r="107" spans="1:20" x14ac:dyDescent="0.2">
      <c r="A107" s="11"/>
      <c r="B107" s="11"/>
      <c r="C107" s="12"/>
      <c r="D107" s="13"/>
      <c r="E107" s="14"/>
      <c r="F107" s="13"/>
      <c r="G107" s="15" t="e">
        <f t="shared" si="14"/>
        <v>#DIV/0!</v>
      </c>
      <c r="H107" s="16"/>
      <c r="I107" s="16"/>
      <c r="J107" s="16">
        <f t="shared" si="15"/>
        <v>0</v>
      </c>
      <c r="K107" s="16">
        <f t="shared" si="16"/>
        <v>0</v>
      </c>
      <c r="L107" s="16">
        <f t="shared" si="17"/>
        <v>0</v>
      </c>
      <c r="M107" s="17">
        <f t="shared" si="18"/>
        <v>0</v>
      </c>
      <c r="N107" s="11"/>
      <c r="O107" s="18"/>
      <c r="P107" s="18"/>
      <c r="Q107" s="100">
        <f t="shared" si="13"/>
        <v>0</v>
      </c>
      <c r="R107" s="19"/>
      <c r="S107" s="52">
        <f t="shared" si="19"/>
        <v>0</v>
      </c>
      <c r="T107" s="11"/>
    </row>
    <row r="108" spans="1:20" x14ac:dyDescent="0.2">
      <c r="A108" s="11"/>
      <c r="B108" s="11"/>
      <c r="C108" s="12"/>
      <c r="D108" s="13"/>
      <c r="E108" s="14"/>
      <c r="F108" s="13"/>
      <c r="G108" s="15" t="e">
        <f t="shared" si="14"/>
        <v>#DIV/0!</v>
      </c>
      <c r="H108" s="16"/>
      <c r="I108" s="16"/>
      <c r="J108" s="16">
        <f t="shared" si="15"/>
        <v>0</v>
      </c>
      <c r="K108" s="16">
        <f t="shared" si="16"/>
        <v>0</v>
      </c>
      <c r="L108" s="16">
        <f t="shared" si="17"/>
        <v>0</v>
      </c>
      <c r="M108" s="17">
        <f t="shared" si="18"/>
        <v>0</v>
      </c>
      <c r="N108" s="11"/>
      <c r="O108" s="18"/>
      <c r="P108" s="18"/>
      <c r="Q108" s="100">
        <f t="shared" si="13"/>
        <v>0</v>
      </c>
      <c r="R108" s="19"/>
      <c r="S108" s="52">
        <f t="shared" si="19"/>
        <v>0</v>
      </c>
      <c r="T108" s="11"/>
    </row>
    <row r="109" spans="1:20" x14ac:dyDescent="0.2">
      <c r="A109" s="11"/>
      <c r="B109" s="11"/>
      <c r="C109" s="12"/>
      <c r="D109" s="13"/>
      <c r="E109" s="14"/>
      <c r="F109" s="13"/>
      <c r="G109" s="15" t="e">
        <f t="shared" si="14"/>
        <v>#DIV/0!</v>
      </c>
      <c r="H109" s="16"/>
      <c r="I109" s="16"/>
      <c r="J109" s="16">
        <f t="shared" si="15"/>
        <v>0</v>
      </c>
      <c r="K109" s="16">
        <f t="shared" si="16"/>
        <v>0</v>
      </c>
      <c r="L109" s="16">
        <f t="shared" si="17"/>
        <v>0</v>
      </c>
      <c r="M109" s="17">
        <f t="shared" si="18"/>
        <v>0</v>
      </c>
      <c r="N109" s="11"/>
      <c r="O109" s="18"/>
      <c r="P109" s="18"/>
      <c r="Q109" s="100">
        <f t="shared" si="13"/>
        <v>0</v>
      </c>
      <c r="R109" s="19"/>
      <c r="S109" s="52">
        <f t="shared" si="19"/>
        <v>0</v>
      </c>
      <c r="T109" s="11"/>
    </row>
    <row r="110" spans="1:20" x14ac:dyDescent="0.2">
      <c r="A110" s="11"/>
      <c r="B110" s="11"/>
      <c r="C110" s="12"/>
      <c r="D110" s="13"/>
      <c r="E110" s="14"/>
      <c r="F110" s="13"/>
      <c r="G110" s="15" t="e">
        <f t="shared" si="14"/>
        <v>#DIV/0!</v>
      </c>
      <c r="H110" s="16"/>
      <c r="I110" s="16"/>
      <c r="J110" s="16">
        <f t="shared" si="15"/>
        <v>0</v>
      </c>
      <c r="K110" s="16">
        <f t="shared" si="16"/>
        <v>0</v>
      </c>
      <c r="L110" s="16">
        <f t="shared" si="17"/>
        <v>0</v>
      </c>
      <c r="M110" s="17">
        <f t="shared" si="18"/>
        <v>0</v>
      </c>
      <c r="N110" s="11"/>
      <c r="O110" s="18"/>
      <c r="P110" s="18"/>
      <c r="Q110" s="100">
        <f t="shared" si="13"/>
        <v>0</v>
      </c>
      <c r="R110" s="19"/>
      <c r="S110" s="52">
        <f t="shared" si="19"/>
        <v>0</v>
      </c>
      <c r="T110" s="11"/>
    </row>
    <row r="111" spans="1:20" x14ac:dyDescent="0.2">
      <c r="A111" s="11"/>
      <c r="B111" s="11"/>
      <c r="C111" s="12"/>
      <c r="D111" s="13"/>
      <c r="E111" s="14"/>
      <c r="F111" s="13"/>
      <c r="G111" s="15" t="e">
        <f t="shared" si="14"/>
        <v>#DIV/0!</v>
      </c>
      <c r="H111" s="16"/>
      <c r="I111" s="16"/>
      <c r="J111" s="16">
        <f t="shared" si="15"/>
        <v>0</v>
      </c>
      <c r="K111" s="16">
        <f t="shared" si="16"/>
        <v>0</v>
      </c>
      <c r="L111" s="16">
        <f t="shared" si="17"/>
        <v>0</v>
      </c>
      <c r="M111" s="17">
        <f t="shared" si="18"/>
        <v>0</v>
      </c>
      <c r="N111" s="11"/>
      <c r="O111" s="18"/>
      <c r="P111" s="18"/>
      <c r="Q111" s="100">
        <f t="shared" si="13"/>
        <v>0</v>
      </c>
      <c r="R111" s="19"/>
      <c r="S111" s="52">
        <f t="shared" si="19"/>
        <v>0</v>
      </c>
      <c r="T111" s="11"/>
    </row>
    <row r="112" spans="1:20" x14ac:dyDescent="0.2">
      <c r="A112" s="11"/>
      <c r="B112" s="11"/>
      <c r="C112" s="12"/>
      <c r="D112" s="13"/>
      <c r="E112" s="14"/>
      <c r="F112" s="13"/>
      <c r="G112" s="15" t="e">
        <f t="shared" si="14"/>
        <v>#DIV/0!</v>
      </c>
      <c r="H112" s="16"/>
      <c r="I112" s="16"/>
      <c r="J112" s="16">
        <f t="shared" si="15"/>
        <v>0</v>
      </c>
      <c r="K112" s="16">
        <f t="shared" si="16"/>
        <v>0</v>
      </c>
      <c r="L112" s="16">
        <f t="shared" si="17"/>
        <v>0</v>
      </c>
      <c r="M112" s="17">
        <f t="shared" si="18"/>
        <v>0</v>
      </c>
      <c r="N112" s="11"/>
      <c r="O112" s="18"/>
      <c r="P112" s="18"/>
      <c r="Q112" s="100">
        <f t="shared" si="13"/>
        <v>0</v>
      </c>
      <c r="R112" s="19"/>
      <c r="S112" s="52">
        <f t="shared" si="19"/>
        <v>0</v>
      </c>
      <c r="T112" s="11"/>
    </row>
    <row r="113" spans="1:20" x14ac:dyDescent="0.2">
      <c r="A113" s="11"/>
      <c r="B113" s="11"/>
      <c r="C113" s="12"/>
      <c r="D113" s="13"/>
      <c r="E113" s="14"/>
      <c r="F113" s="13"/>
      <c r="G113" s="15" t="e">
        <f t="shared" si="14"/>
        <v>#DIV/0!</v>
      </c>
      <c r="H113" s="16"/>
      <c r="I113" s="16"/>
      <c r="J113" s="16">
        <f t="shared" si="15"/>
        <v>0</v>
      </c>
      <c r="K113" s="16">
        <f t="shared" si="16"/>
        <v>0</v>
      </c>
      <c r="L113" s="16">
        <f t="shared" si="17"/>
        <v>0</v>
      </c>
      <c r="M113" s="17">
        <f t="shared" si="18"/>
        <v>0</v>
      </c>
      <c r="N113" s="11"/>
      <c r="O113" s="18"/>
      <c r="P113" s="18"/>
      <c r="Q113" s="100">
        <f t="shared" si="13"/>
        <v>0</v>
      </c>
      <c r="R113" s="19"/>
      <c r="S113" s="52">
        <f t="shared" si="19"/>
        <v>0</v>
      </c>
      <c r="T113" s="11"/>
    </row>
    <row r="114" spans="1:20" x14ac:dyDescent="0.2">
      <c r="A114" s="11"/>
      <c r="B114" s="11"/>
      <c r="C114" s="12"/>
      <c r="D114" s="13"/>
      <c r="E114" s="14"/>
      <c r="F114" s="13"/>
      <c r="G114" s="15" t="e">
        <f t="shared" si="14"/>
        <v>#DIV/0!</v>
      </c>
      <c r="H114" s="16"/>
      <c r="I114" s="16"/>
      <c r="J114" s="16">
        <f t="shared" si="15"/>
        <v>0</v>
      </c>
      <c r="K114" s="16">
        <f t="shared" si="16"/>
        <v>0</v>
      </c>
      <c r="L114" s="16">
        <f t="shared" si="17"/>
        <v>0</v>
      </c>
      <c r="M114" s="17">
        <f t="shared" si="18"/>
        <v>0</v>
      </c>
      <c r="N114" s="11"/>
      <c r="O114" s="18"/>
      <c r="P114" s="18"/>
      <c r="Q114" s="100">
        <f t="shared" si="13"/>
        <v>0</v>
      </c>
      <c r="R114" s="19"/>
      <c r="S114" s="52">
        <f t="shared" si="19"/>
        <v>0</v>
      </c>
      <c r="T114" s="11"/>
    </row>
    <row r="115" spans="1:20" x14ac:dyDescent="0.2">
      <c r="A115" s="11"/>
      <c r="B115" s="11"/>
      <c r="C115" s="12"/>
      <c r="D115" s="13"/>
      <c r="E115" s="14"/>
      <c r="F115" s="13"/>
      <c r="G115" s="15" t="e">
        <f t="shared" si="14"/>
        <v>#DIV/0!</v>
      </c>
      <c r="H115" s="16"/>
      <c r="I115" s="16"/>
      <c r="J115" s="16">
        <f t="shared" si="15"/>
        <v>0</v>
      </c>
      <c r="K115" s="16">
        <f t="shared" si="16"/>
        <v>0</v>
      </c>
      <c r="L115" s="16">
        <f t="shared" si="17"/>
        <v>0</v>
      </c>
      <c r="M115" s="17">
        <f t="shared" si="18"/>
        <v>0</v>
      </c>
      <c r="N115" s="11"/>
      <c r="O115" s="18"/>
      <c r="P115" s="18"/>
      <c r="Q115" s="100">
        <f t="shared" si="13"/>
        <v>0</v>
      </c>
      <c r="R115" s="19"/>
      <c r="S115" s="52">
        <f t="shared" si="19"/>
        <v>0</v>
      </c>
      <c r="T115" s="11"/>
    </row>
    <row r="116" spans="1:20" x14ac:dyDescent="0.2">
      <c r="A116" s="11"/>
      <c r="B116" s="11"/>
      <c r="C116" s="12"/>
      <c r="D116" s="13"/>
      <c r="E116" s="14"/>
      <c r="F116" s="13"/>
      <c r="G116" s="15" t="e">
        <f t="shared" si="14"/>
        <v>#DIV/0!</v>
      </c>
      <c r="H116" s="16"/>
      <c r="I116" s="16"/>
      <c r="J116" s="16">
        <f t="shared" si="15"/>
        <v>0</v>
      </c>
      <c r="K116" s="16">
        <f t="shared" si="16"/>
        <v>0</v>
      </c>
      <c r="L116" s="16">
        <f t="shared" si="17"/>
        <v>0</v>
      </c>
      <c r="M116" s="17">
        <f t="shared" si="18"/>
        <v>0</v>
      </c>
      <c r="N116" s="11"/>
      <c r="O116" s="18"/>
      <c r="P116" s="18"/>
      <c r="Q116" s="100">
        <f t="shared" si="13"/>
        <v>0</v>
      </c>
      <c r="R116" s="19"/>
      <c r="S116" s="52">
        <f t="shared" si="19"/>
        <v>0</v>
      </c>
      <c r="T116" s="11"/>
    </row>
    <row r="117" spans="1:20" x14ac:dyDescent="0.2">
      <c r="A117" s="11"/>
      <c r="B117" s="11"/>
      <c r="C117" s="12"/>
      <c r="D117" s="13"/>
      <c r="E117" s="14"/>
      <c r="F117" s="13"/>
      <c r="G117" s="15" t="e">
        <f t="shared" si="14"/>
        <v>#DIV/0!</v>
      </c>
      <c r="H117" s="16"/>
      <c r="I117" s="16"/>
      <c r="J117" s="16">
        <f t="shared" si="15"/>
        <v>0</v>
      </c>
      <c r="K117" s="16">
        <f t="shared" si="16"/>
        <v>0</v>
      </c>
      <c r="L117" s="16">
        <f t="shared" si="17"/>
        <v>0</v>
      </c>
      <c r="M117" s="17">
        <f t="shared" si="18"/>
        <v>0</v>
      </c>
      <c r="N117" s="11"/>
      <c r="O117" s="18"/>
      <c r="P117" s="18"/>
      <c r="Q117" s="100">
        <f t="shared" si="13"/>
        <v>0</v>
      </c>
      <c r="R117" s="19"/>
      <c r="S117" s="52">
        <f t="shared" si="19"/>
        <v>0</v>
      </c>
      <c r="T117" s="11"/>
    </row>
    <row r="118" spans="1:20" x14ac:dyDescent="0.2">
      <c r="A118" s="11"/>
      <c r="B118" s="11"/>
      <c r="C118" s="12"/>
      <c r="D118" s="13"/>
      <c r="E118" s="14"/>
      <c r="F118" s="13"/>
      <c r="G118" s="15" t="e">
        <f t="shared" si="14"/>
        <v>#DIV/0!</v>
      </c>
      <c r="H118" s="16"/>
      <c r="I118" s="16"/>
      <c r="J118" s="16">
        <f t="shared" si="15"/>
        <v>0</v>
      </c>
      <c r="K118" s="16">
        <f t="shared" si="16"/>
        <v>0</v>
      </c>
      <c r="L118" s="16">
        <f t="shared" si="17"/>
        <v>0</v>
      </c>
      <c r="M118" s="17">
        <f t="shared" si="18"/>
        <v>0</v>
      </c>
      <c r="N118" s="11"/>
      <c r="O118" s="18"/>
      <c r="P118" s="18"/>
      <c r="Q118" s="100">
        <f t="shared" si="13"/>
        <v>0</v>
      </c>
      <c r="R118" s="19"/>
      <c r="S118" s="52">
        <f t="shared" si="19"/>
        <v>0</v>
      </c>
      <c r="T118" s="11"/>
    </row>
    <row r="119" spans="1:20" x14ac:dyDescent="0.2">
      <c r="A119" s="11"/>
      <c r="B119" s="11"/>
      <c r="C119" s="12"/>
      <c r="D119" s="13"/>
      <c r="E119" s="14"/>
      <c r="F119" s="13"/>
      <c r="G119" s="15" t="e">
        <f t="shared" si="14"/>
        <v>#DIV/0!</v>
      </c>
      <c r="H119" s="16"/>
      <c r="I119" s="16"/>
      <c r="J119" s="16">
        <f t="shared" si="15"/>
        <v>0</v>
      </c>
      <c r="K119" s="16">
        <f t="shared" si="16"/>
        <v>0</v>
      </c>
      <c r="L119" s="16">
        <f t="shared" si="17"/>
        <v>0</v>
      </c>
      <c r="M119" s="17">
        <f t="shared" si="18"/>
        <v>0</v>
      </c>
      <c r="N119" s="11"/>
      <c r="O119" s="18"/>
      <c r="P119" s="18"/>
      <c r="Q119" s="100">
        <f t="shared" si="13"/>
        <v>0</v>
      </c>
      <c r="R119" s="19"/>
      <c r="S119" s="52">
        <f t="shared" si="19"/>
        <v>0</v>
      </c>
      <c r="T119" s="11"/>
    </row>
    <row r="120" spans="1:20" x14ac:dyDescent="0.2">
      <c r="A120" s="11"/>
      <c r="B120" s="11"/>
      <c r="C120" s="12"/>
      <c r="D120" s="13"/>
      <c r="E120" s="14"/>
      <c r="F120" s="13"/>
      <c r="G120" s="15" t="e">
        <f t="shared" si="14"/>
        <v>#DIV/0!</v>
      </c>
      <c r="H120" s="16"/>
      <c r="I120" s="16"/>
      <c r="J120" s="16">
        <f t="shared" si="15"/>
        <v>0</v>
      </c>
      <c r="K120" s="16">
        <f t="shared" si="16"/>
        <v>0</v>
      </c>
      <c r="L120" s="16">
        <f t="shared" si="17"/>
        <v>0</v>
      </c>
      <c r="M120" s="17">
        <f t="shared" si="18"/>
        <v>0</v>
      </c>
      <c r="N120" s="11"/>
      <c r="O120" s="18"/>
      <c r="P120" s="18"/>
      <c r="Q120" s="100">
        <f t="shared" si="13"/>
        <v>0</v>
      </c>
      <c r="R120" s="19"/>
      <c r="S120" s="52">
        <f t="shared" si="19"/>
        <v>0</v>
      </c>
      <c r="T120" s="11"/>
    </row>
    <row r="121" spans="1:20" x14ac:dyDescent="0.2">
      <c r="A121" s="11"/>
      <c r="B121" s="11"/>
      <c r="C121" s="12"/>
      <c r="D121" s="13"/>
      <c r="E121" s="14"/>
      <c r="F121" s="13"/>
      <c r="G121" s="15" t="e">
        <f t="shared" si="14"/>
        <v>#DIV/0!</v>
      </c>
      <c r="H121" s="16"/>
      <c r="I121" s="16"/>
      <c r="J121" s="16">
        <f t="shared" si="15"/>
        <v>0</v>
      </c>
      <c r="K121" s="16">
        <f t="shared" si="16"/>
        <v>0</v>
      </c>
      <c r="L121" s="16">
        <f t="shared" si="17"/>
        <v>0</v>
      </c>
      <c r="M121" s="17">
        <f t="shared" si="18"/>
        <v>0</v>
      </c>
      <c r="N121" s="11"/>
      <c r="O121" s="18"/>
      <c r="P121" s="18"/>
      <c r="Q121" s="100">
        <f t="shared" si="13"/>
        <v>0</v>
      </c>
      <c r="R121" s="19"/>
      <c r="S121" s="52">
        <f t="shared" si="19"/>
        <v>0</v>
      </c>
      <c r="T121" s="11"/>
    </row>
    <row r="122" spans="1:20" x14ac:dyDescent="0.2">
      <c r="A122" s="11"/>
      <c r="B122" s="11"/>
      <c r="C122" s="12"/>
      <c r="D122" s="13"/>
      <c r="E122" s="14"/>
      <c r="F122" s="13"/>
      <c r="G122" s="15" t="e">
        <f t="shared" si="14"/>
        <v>#DIV/0!</v>
      </c>
      <c r="H122" s="16"/>
      <c r="I122" s="16"/>
      <c r="J122" s="16">
        <f t="shared" si="15"/>
        <v>0</v>
      </c>
      <c r="K122" s="16">
        <f t="shared" si="16"/>
        <v>0</v>
      </c>
      <c r="L122" s="16">
        <f t="shared" si="17"/>
        <v>0</v>
      </c>
      <c r="M122" s="17">
        <f t="shared" si="18"/>
        <v>0</v>
      </c>
      <c r="N122" s="11"/>
      <c r="O122" s="18"/>
      <c r="P122" s="18"/>
      <c r="Q122" s="100">
        <f t="shared" si="13"/>
        <v>0</v>
      </c>
      <c r="R122" s="19"/>
      <c r="S122" s="52">
        <f t="shared" si="19"/>
        <v>0</v>
      </c>
      <c r="T122" s="11"/>
    </row>
    <row r="123" spans="1:20" x14ac:dyDescent="0.2">
      <c r="A123" s="11"/>
      <c r="B123" s="11"/>
      <c r="C123" s="12"/>
      <c r="D123" s="13"/>
      <c r="E123" s="14"/>
      <c r="F123" s="13"/>
      <c r="G123" s="15" t="e">
        <f t="shared" si="14"/>
        <v>#DIV/0!</v>
      </c>
      <c r="H123" s="16"/>
      <c r="I123" s="16"/>
      <c r="J123" s="16">
        <f t="shared" si="15"/>
        <v>0</v>
      </c>
      <c r="K123" s="16">
        <f t="shared" si="16"/>
        <v>0</v>
      </c>
      <c r="L123" s="16">
        <f t="shared" si="17"/>
        <v>0</v>
      </c>
      <c r="M123" s="17">
        <f t="shared" si="18"/>
        <v>0</v>
      </c>
      <c r="N123" s="11"/>
      <c r="O123" s="18"/>
      <c r="P123" s="18"/>
      <c r="Q123" s="100">
        <f t="shared" si="13"/>
        <v>0</v>
      </c>
      <c r="R123" s="19"/>
      <c r="S123" s="52">
        <f t="shared" si="19"/>
        <v>0</v>
      </c>
      <c r="T123" s="11"/>
    </row>
    <row r="124" spans="1:20" x14ac:dyDescent="0.2">
      <c r="A124" s="11"/>
      <c r="B124" s="11"/>
      <c r="C124" s="12"/>
      <c r="D124" s="13"/>
      <c r="E124" s="14"/>
      <c r="F124" s="13"/>
      <c r="G124" s="15" t="e">
        <f t="shared" si="14"/>
        <v>#DIV/0!</v>
      </c>
      <c r="H124" s="16"/>
      <c r="I124" s="16"/>
      <c r="J124" s="16">
        <f t="shared" si="15"/>
        <v>0</v>
      </c>
      <c r="K124" s="16">
        <f t="shared" si="16"/>
        <v>0</v>
      </c>
      <c r="L124" s="16">
        <f t="shared" si="17"/>
        <v>0</v>
      </c>
      <c r="M124" s="17">
        <f t="shared" si="18"/>
        <v>0</v>
      </c>
      <c r="N124" s="11"/>
      <c r="O124" s="18"/>
      <c r="P124" s="18"/>
      <c r="Q124" s="100">
        <f t="shared" si="13"/>
        <v>0</v>
      </c>
      <c r="R124" s="19"/>
      <c r="S124" s="52">
        <f t="shared" si="19"/>
        <v>0</v>
      </c>
      <c r="T124" s="11"/>
    </row>
    <row r="125" spans="1:20" x14ac:dyDescent="0.2">
      <c r="A125" s="11"/>
      <c r="B125" s="11"/>
      <c r="C125" s="12"/>
      <c r="D125" s="13"/>
      <c r="E125" s="14"/>
      <c r="F125" s="13"/>
      <c r="G125" s="15" t="e">
        <f t="shared" si="14"/>
        <v>#DIV/0!</v>
      </c>
      <c r="H125" s="16"/>
      <c r="I125" s="16"/>
      <c r="J125" s="16">
        <f t="shared" si="15"/>
        <v>0</v>
      </c>
      <c r="K125" s="16">
        <f t="shared" si="16"/>
        <v>0</v>
      </c>
      <c r="L125" s="16">
        <f t="shared" si="17"/>
        <v>0</v>
      </c>
      <c r="M125" s="17">
        <f t="shared" si="18"/>
        <v>0</v>
      </c>
      <c r="N125" s="11"/>
      <c r="O125" s="18"/>
      <c r="P125" s="18"/>
      <c r="Q125" s="100">
        <f t="shared" si="13"/>
        <v>0</v>
      </c>
      <c r="R125" s="19"/>
      <c r="S125" s="52">
        <f t="shared" si="19"/>
        <v>0</v>
      </c>
      <c r="T125" s="11"/>
    </row>
    <row r="126" spans="1:20" x14ac:dyDescent="0.2">
      <c r="A126" s="11"/>
      <c r="B126" s="11"/>
      <c r="C126" s="12"/>
      <c r="D126" s="13"/>
      <c r="E126" s="14"/>
      <c r="F126" s="13"/>
      <c r="G126" s="15" t="e">
        <f t="shared" si="14"/>
        <v>#DIV/0!</v>
      </c>
      <c r="H126" s="16"/>
      <c r="I126" s="16"/>
      <c r="J126" s="16">
        <f t="shared" si="15"/>
        <v>0</v>
      </c>
      <c r="K126" s="16">
        <f t="shared" si="16"/>
        <v>0</v>
      </c>
      <c r="L126" s="16">
        <f t="shared" si="17"/>
        <v>0</v>
      </c>
      <c r="M126" s="17">
        <f t="shared" si="18"/>
        <v>0</v>
      </c>
      <c r="N126" s="11"/>
      <c r="O126" s="18"/>
      <c r="P126" s="18"/>
      <c r="Q126" s="100">
        <f t="shared" si="13"/>
        <v>0</v>
      </c>
      <c r="R126" s="19"/>
      <c r="S126" s="52">
        <f t="shared" si="19"/>
        <v>0</v>
      </c>
      <c r="T126" s="11"/>
    </row>
    <row r="127" spans="1:20" x14ac:dyDescent="0.2">
      <c r="A127" s="11"/>
      <c r="B127" s="11"/>
      <c r="C127" s="12"/>
      <c r="D127" s="13"/>
      <c r="E127" s="14"/>
      <c r="F127" s="13"/>
      <c r="G127" s="15" t="e">
        <f t="shared" si="14"/>
        <v>#DIV/0!</v>
      </c>
      <c r="H127" s="16"/>
      <c r="I127" s="16"/>
      <c r="J127" s="16">
        <f t="shared" si="15"/>
        <v>0</v>
      </c>
      <c r="K127" s="16">
        <f t="shared" si="16"/>
        <v>0</v>
      </c>
      <c r="L127" s="16">
        <f t="shared" si="17"/>
        <v>0</v>
      </c>
      <c r="M127" s="17">
        <f t="shared" si="18"/>
        <v>0</v>
      </c>
      <c r="N127" s="11"/>
      <c r="O127" s="18"/>
      <c r="P127" s="18"/>
      <c r="Q127" s="100">
        <f t="shared" si="13"/>
        <v>0</v>
      </c>
      <c r="R127" s="19"/>
      <c r="S127" s="52">
        <f t="shared" si="19"/>
        <v>0</v>
      </c>
      <c r="T127" s="11"/>
    </row>
    <row r="128" spans="1:20" x14ac:dyDescent="0.2">
      <c r="A128" s="11"/>
      <c r="B128" s="11"/>
      <c r="C128" s="12"/>
      <c r="D128" s="13"/>
      <c r="E128" s="14"/>
      <c r="F128" s="13"/>
      <c r="G128" s="15" t="e">
        <f t="shared" si="14"/>
        <v>#DIV/0!</v>
      </c>
      <c r="H128" s="16"/>
      <c r="I128" s="16"/>
      <c r="J128" s="16">
        <f t="shared" si="15"/>
        <v>0</v>
      </c>
      <c r="K128" s="16">
        <f t="shared" si="16"/>
        <v>0</v>
      </c>
      <c r="L128" s="16">
        <f t="shared" si="17"/>
        <v>0</v>
      </c>
      <c r="M128" s="17">
        <f t="shared" si="18"/>
        <v>0</v>
      </c>
      <c r="N128" s="11"/>
      <c r="O128" s="18"/>
      <c r="P128" s="18"/>
      <c r="Q128" s="100">
        <f t="shared" si="13"/>
        <v>0</v>
      </c>
      <c r="R128" s="19"/>
      <c r="S128" s="52">
        <f t="shared" si="19"/>
        <v>0</v>
      </c>
      <c r="T128" s="11"/>
    </row>
    <row r="129" spans="1:20" x14ac:dyDescent="0.2">
      <c r="A129" s="11"/>
      <c r="B129" s="11"/>
      <c r="C129" s="12"/>
      <c r="D129" s="13"/>
      <c r="E129" s="14"/>
      <c r="F129" s="13"/>
      <c r="G129" s="15" t="e">
        <f t="shared" si="14"/>
        <v>#DIV/0!</v>
      </c>
      <c r="H129" s="16"/>
      <c r="I129" s="16"/>
      <c r="J129" s="16">
        <f t="shared" si="15"/>
        <v>0</v>
      </c>
      <c r="K129" s="16">
        <f t="shared" si="16"/>
        <v>0</v>
      </c>
      <c r="L129" s="16">
        <f t="shared" si="17"/>
        <v>0</v>
      </c>
      <c r="M129" s="17">
        <f t="shared" si="18"/>
        <v>0</v>
      </c>
      <c r="N129" s="11"/>
      <c r="O129" s="18"/>
      <c r="P129" s="18"/>
      <c r="Q129" s="100">
        <f t="shared" si="13"/>
        <v>0</v>
      </c>
      <c r="R129" s="19"/>
      <c r="S129" s="52">
        <f t="shared" si="19"/>
        <v>0</v>
      </c>
      <c r="T129" s="11"/>
    </row>
    <row r="130" spans="1:20" x14ac:dyDescent="0.2">
      <c r="A130" s="11"/>
      <c r="B130" s="11"/>
      <c r="C130" s="12"/>
      <c r="D130" s="13"/>
      <c r="E130" s="14"/>
      <c r="F130" s="13"/>
      <c r="G130" s="15" t="e">
        <f t="shared" si="14"/>
        <v>#DIV/0!</v>
      </c>
      <c r="H130" s="16"/>
      <c r="I130" s="16"/>
      <c r="J130" s="16">
        <f t="shared" si="15"/>
        <v>0</v>
      </c>
      <c r="K130" s="16">
        <f t="shared" si="16"/>
        <v>0</v>
      </c>
      <c r="L130" s="16">
        <f t="shared" si="17"/>
        <v>0</v>
      </c>
      <c r="M130" s="17">
        <f t="shared" si="18"/>
        <v>0</v>
      </c>
      <c r="N130" s="11"/>
      <c r="O130" s="18"/>
      <c r="P130" s="18"/>
      <c r="Q130" s="100">
        <f t="shared" si="13"/>
        <v>0</v>
      </c>
      <c r="R130" s="19"/>
      <c r="S130" s="52">
        <f t="shared" si="19"/>
        <v>0</v>
      </c>
      <c r="T130" s="11"/>
    </row>
    <row r="131" spans="1:20" x14ac:dyDescent="0.2">
      <c r="A131" s="11"/>
      <c r="B131" s="11"/>
      <c r="C131" s="12"/>
      <c r="D131" s="13"/>
      <c r="E131" s="14"/>
      <c r="F131" s="13"/>
      <c r="G131" s="15" t="e">
        <f t="shared" si="14"/>
        <v>#DIV/0!</v>
      </c>
      <c r="H131" s="16"/>
      <c r="I131" s="16"/>
      <c r="J131" s="16">
        <f t="shared" si="15"/>
        <v>0</v>
      </c>
      <c r="K131" s="16">
        <f t="shared" si="16"/>
        <v>0</v>
      </c>
      <c r="L131" s="16">
        <f t="shared" si="17"/>
        <v>0</v>
      </c>
      <c r="M131" s="17">
        <f t="shared" si="18"/>
        <v>0</v>
      </c>
      <c r="N131" s="11"/>
      <c r="O131" s="18"/>
      <c r="P131" s="18"/>
      <c r="Q131" s="100">
        <f t="shared" si="13"/>
        <v>0</v>
      </c>
      <c r="R131" s="19"/>
      <c r="S131" s="52">
        <f t="shared" si="19"/>
        <v>0</v>
      </c>
      <c r="T131" s="11"/>
    </row>
    <row r="132" spans="1:20" x14ac:dyDescent="0.2">
      <c r="A132" s="11"/>
      <c r="B132" s="11"/>
      <c r="C132" s="12"/>
      <c r="D132" s="13"/>
      <c r="E132" s="14"/>
      <c r="F132" s="13"/>
      <c r="G132" s="15" t="e">
        <f t="shared" si="14"/>
        <v>#DIV/0!</v>
      </c>
      <c r="H132" s="16"/>
      <c r="I132" s="16"/>
      <c r="J132" s="16">
        <f t="shared" si="15"/>
        <v>0</v>
      </c>
      <c r="K132" s="16">
        <f t="shared" si="16"/>
        <v>0</v>
      </c>
      <c r="L132" s="16">
        <f t="shared" si="17"/>
        <v>0</v>
      </c>
      <c r="M132" s="17">
        <f t="shared" si="18"/>
        <v>0</v>
      </c>
      <c r="N132" s="11"/>
      <c r="O132" s="18"/>
      <c r="P132" s="18"/>
      <c r="Q132" s="100">
        <f t="shared" si="13"/>
        <v>0</v>
      </c>
      <c r="R132" s="19"/>
      <c r="S132" s="52">
        <f t="shared" si="19"/>
        <v>0</v>
      </c>
      <c r="T132" s="11"/>
    </row>
    <row r="133" spans="1:20" x14ac:dyDescent="0.2">
      <c r="A133" s="11"/>
      <c r="B133" s="11"/>
      <c r="C133" s="12"/>
      <c r="D133" s="13"/>
      <c r="E133" s="14"/>
      <c r="F133" s="13"/>
      <c r="G133" s="15" t="e">
        <f t="shared" si="14"/>
        <v>#DIV/0!</v>
      </c>
      <c r="H133" s="16"/>
      <c r="I133" s="16"/>
      <c r="J133" s="16">
        <f t="shared" si="15"/>
        <v>0</v>
      </c>
      <c r="K133" s="16">
        <f t="shared" si="16"/>
        <v>0</v>
      </c>
      <c r="L133" s="16">
        <f t="shared" si="17"/>
        <v>0</v>
      </c>
      <c r="M133" s="17">
        <f t="shared" si="18"/>
        <v>0</v>
      </c>
      <c r="N133" s="11"/>
      <c r="O133" s="18"/>
      <c r="P133" s="18"/>
      <c r="Q133" s="100">
        <f t="shared" si="13"/>
        <v>0</v>
      </c>
      <c r="R133" s="19"/>
      <c r="S133" s="52">
        <f t="shared" si="19"/>
        <v>0</v>
      </c>
      <c r="T133" s="11"/>
    </row>
    <row r="134" spans="1:20" x14ac:dyDescent="0.2">
      <c r="A134" s="11"/>
      <c r="B134" s="11"/>
      <c r="C134" s="12"/>
      <c r="D134" s="13"/>
      <c r="E134" s="14"/>
      <c r="F134" s="13"/>
      <c r="G134" s="15" t="e">
        <f t="shared" si="14"/>
        <v>#DIV/0!</v>
      </c>
      <c r="H134" s="16"/>
      <c r="I134" s="16"/>
      <c r="J134" s="16">
        <f t="shared" si="15"/>
        <v>0</v>
      </c>
      <c r="K134" s="16">
        <f t="shared" si="16"/>
        <v>0</v>
      </c>
      <c r="L134" s="16">
        <f t="shared" si="17"/>
        <v>0</v>
      </c>
      <c r="M134" s="17">
        <f t="shared" si="18"/>
        <v>0</v>
      </c>
      <c r="N134" s="11"/>
      <c r="O134" s="18"/>
      <c r="P134" s="18"/>
      <c r="Q134" s="100">
        <f t="shared" ref="Q134:Q197" si="20">+P134-O134</f>
        <v>0</v>
      </c>
      <c r="R134" s="19"/>
      <c r="S134" s="52">
        <f t="shared" si="19"/>
        <v>0</v>
      </c>
      <c r="T134" s="11"/>
    </row>
    <row r="135" spans="1:20" x14ac:dyDescent="0.2">
      <c r="A135" s="11"/>
      <c r="B135" s="11"/>
      <c r="C135" s="12"/>
      <c r="D135" s="13"/>
      <c r="E135" s="14"/>
      <c r="F135" s="13"/>
      <c r="G135" s="15" t="e">
        <f t="shared" si="14"/>
        <v>#DIV/0!</v>
      </c>
      <c r="H135" s="16"/>
      <c r="I135" s="16"/>
      <c r="J135" s="16">
        <f t="shared" si="15"/>
        <v>0</v>
      </c>
      <c r="K135" s="16">
        <f t="shared" si="16"/>
        <v>0</v>
      </c>
      <c r="L135" s="16">
        <f t="shared" si="17"/>
        <v>0</v>
      </c>
      <c r="M135" s="17">
        <f t="shared" si="18"/>
        <v>0</v>
      </c>
      <c r="N135" s="11"/>
      <c r="O135" s="18"/>
      <c r="P135" s="18"/>
      <c r="Q135" s="100">
        <f t="shared" si="20"/>
        <v>0</v>
      </c>
      <c r="R135" s="19"/>
      <c r="S135" s="52">
        <f t="shared" si="19"/>
        <v>0</v>
      </c>
      <c r="T135" s="11"/>
    </row>
    <row r="136" spans="1:20" x14ac:dyDescent="0.2">
      <c r="A136" s="11"/>
      <c r="B136" s="11"/>
      <c r="C136" s="12"/>
      <c r="D136" s="13"/>
      <c r="E136" s="14"/>
      <c r="F136" s="13"/>
      <c r="G136" s="15" t="e">
        <f t="shared" si="14"/>
        <v>#DIV/0!</v>
      </c>
      <c r="H136" s="16"/>
      <c r="I136" s="16"/>
      <c r="J136" s="16">
        <f t="shared" si="15"/>
        <v>0</v>
      </c>
      <c r="K136" s="16">
        <f t="shared" si="16"/>
        <v>0</v>
      </c>
      <c r="L136" s="16">
        <f t="shared" si="17"/>
        <v>0</v>
      </c>
      <c r="M136" s="17">
        <f t="shared" si="18"/>
        <v>0</v>
      </c>
      <c r="N136" s="11"/>
      <c r="O136" s="18"/>
      <c r="P136" s="18"/>
      <c r="Q136" s="100">
        <f t="shared" si="20"/>
        <v>0</v>
      </c>
      <c r="R136" s="19"/>
      <c r="S136" s="52">
        <f t="shared" si="19"/>
        <v>0</v>
      </c>
      <c r="T136" s="11"/>
    </row>
    <row r="137" spans="1:20" x14ac:dyDescent="0.2">
      <c r="A137" s="11"/>
      <c r="B137" s="11"/>
      <c r="C137" s="12"/>
      <c r="D137" s="13"/>
      <c r="E137" s="14"/>
      <c r="F137" s="13"/>
      <c r="G137" s="15" t="e">
        <f t="shared" si="14"/>
        <v>#DIV/0!</v>
      </c>
      <c r="H137" s="16"/>
      <c r="I137" s="16"/>
      <c r="J137" s="16">
        <f t="shared" si="15"/>
        <v>0</v>
      </c>
      <c r="K137" s="16">
        <f t="shared" si="16"/>
        <v>0</v>
      </c>
      <c r="L137" s="16">
        <f t="shared" si="17"/>
        <v>0</v>
      </c>
      <c r="M137" s="17">
        <f t="shared" si="18"/>
        <v>0</v>
      </c>
      <c r="N137" s="11"/>
      <c r="O137" s="18"/>
      <c r="P137" s="18"/>
      <c r="Q137" s="100">
        <f t="shared" si="20"/>
        <v>0</v>
      </c>
      <c r="R137" s="19"/>
      <c r="S137" s="52">
        <f t="shared" si="19"/>
        <v>0</v>
      </c>
      <c r="T137" s="11"/>
    </row>
    <row r="138" spans="1:20" x14ac:dyDescent="0.2">
      <c r="A138" s="11"/>
      <c r="B138" s="11"/>
      <c r="C138" s="12"/>
      <c r="D138" s="13"/>
      <c r="E138" s="14"/>
      <c r="F138" s="13"/>
      <c r="G138" s="15" t="e">
        <f t="shared" si="14"/>
        <v>#DIV/0!</v>
      </c>
      <c r="H138" s="16"/>
      <c r="I138" s="16"/>
      <c r="J138" s="16">
        <f t="shared" si="15"/>
        <v>0</v>
      </c>
      <c r="K138" s="16">
        <f t="shared" si="16"/>
        <v>0</v>
      </c>
      <c r="L138" s="16">
        <f t="shared" si="17"/>
        <v>0</v>
      </c>
      <c r="M138" s="17">
        <f t="shared" si="18"/>
        <v>0</v>
      </c>
      <c r="N138" s="11"/>
      <c r="O138" s="18"/>
      <c r="P138" s="18"/>
      <c r="Q138" s="100">
        <f t="shared" si="20"/>
        <v>0</v>
      </c>
      <c r="R138" s="19"/>
      <c r="S138" s="52">
        <f t="shared" si="19"/>
        <v>0</v>
      </c>
      <c r="T138" s="11"/>
    </row>
    <row r="139" spans="1:20" x14ac:dyDescent="0.2">
      <c r="A139" s="11"/>
      <c r="B139" s="11"/>
      <c r="C139" s="12"/>
      <c r="D139" s="13"/>
      <c r="E139" s="14"/>
      <c r="F139" s="13"/>
      <c r="G139" s="15" t="e">
        <f t="shared" si="14"/>
        <v>#DIV/0!</v>
      </c>
      <c r="H139" s="16"/>
      <c r="I139" s="16"/>
      <c r="J139" s="16">
        <f t="shared" si="15"/>
        <v>0</v>
      </c>
      <c r="K139" s="16">
        <f t="shared" si="16"/>
        <v>0</v>
      </c>
      <c r="L139" s="16">
        <f t="shared" si="17"/>
        <v>0</v>
      </c>
      <c r="M139" s="17">
        <f t="shared" si="18"/>
        <v>0</v>
      </c>
      <c r="N139" s="11"/>
      <c r="O139" s="18"/>
      <c r="P139" s="18"/>
      <c r="Q139" s="100">
        <f t="shared" si="20"/>
        <v>0</v>
      </c>
      <c r="R139" s="19"/>
      <c r="S139" s="52">
        <f t="shared" si="19"/>
        <v>0</v>
      </c>
      <c r="T139" s="11"/>
    </row>
    <row r="140" spans="1:20" x14ac:dyDescent="0.2">
      <c r="A140" s="11"/>
      <c r="B140" s="11"/>
      <c r="C140" s="12"/>
      <c r="D140" s="13"/>
      <c r="E140" s="14"/>
      <c r="F140" s="13"/>
      <c r="G140" s="15" t="e">
        <f t="shared" si="14"/>
        <v>#DIV/0!</v>
      </c>
      <c r="H140" s="16"/>
      <c r="I140" s="16"/>
      <c r="J140" s="16">
        <f t="shared" si="15"/>
        <v>0</v>
      </c>
      <c r="K140" s="16">
        <f t="shared" si="16"/>
        <v>0</v>
      </c>
      <c r="L140" s="16">
        <f t="shared" si="17"/>
        <v>0</v>
      </c>
      <c r="M140" s="17">
        <f t="shared" si="18"/>
        <v>0</v>
      </c>
      <c r="N140" s="11"/>
      <c r="O140" s="18"/>
      <c r="P140" s="18"/>
      <c r="Q140" s="100">
        <f t="shared" si="20"/>
        <v>0</v>
      </c>
      <c r="R140" s="19"/>
      <c r="S140" s="52">
        <f t="shared" si="19"/>
        <v>0</v>
      </c>
      <c r="T140" s="11"/>
    </row>
    <row r="141" spans="1:20" x14ac:dyDescent="0.2">
      <c r="A141" s="11"/>
      <c r="B141" s="11"/>
      <c r="C141" s="12"/>
      <c r="D141" s="13"/>
      <c r="E141" s="14"/>
      <c r="F141" s="13"/>
      <c r="G141" s="15" t="e">
        <f t="shared" si="14"/>
        <v>#DIV/0!</v>
      </c>
      <c r="H141" s="16"/>
      <c r="I141" s="16"/>
      <c r="J141" s="16">
        <f t="shared" si="15"/>
        <v>0</v>
      </c>
      <c r="K141" s="16">
        <f t="shared" si="16"/>
        <v>0</v>
      </c>
      <c r="L141" s="16">
        <f t="shared" si="17"/>
        <v>0</v>
      </c>
      <c r="M141" s="17">
        <f t="shared" si="18"/>
        <v>0</v>
      </c>
      <c r="N141" s="11"/>
      <c r="O141" s="18"/>
      <c r="P141" s="18"/>
      <c r="Q141" s="100">
        <f t="shared" si="20"/>
        <v>0</v>
      </c>
      <c r="R141" s="19"/>
      <c r="S141" s="52">
        <f t="shared" si="19"/>
        <v>0</v>
      </c>
      <c r="T141" s="11"/>
    </row>
    <row r="142" spans="1:20" x14ac:dyDescent="0.2">
      <c r="A142" s="11"/>
      <c r="B142" s="11"/>
      <c r="C142" s="12"/>
      <c r="D142" s="13"/>
      <c r="E142" s="14"/>
      <c r="F142" s="13"/>
      <c r="G142" s="15" t="e">
        <f t="shared" ref="G142:G205" si="21">+F142/D142</f>
        <v>#DIV/0!</v>
      </c>
      <c r="H142" s="16"/>
      <c r="I142" s="16"/>
      <c r="J142" s="16">
        <f t="shared" ref="J142:J205" si="22">+H142*F142</f>
        <v>0</v>
      </c>
      <c r="K142" s="16">
        <f t="shared" ref="K142:K205" si="23">$K$2*C142</f>
        <v>0</v>
      </c>
      <c r="L142" s="16">
        <f t="shared" ref="L142:L205" si="24">$L$2*C142</f>
        <v>0</v>
      </c>
      <c r="M142" s="17">
        <f t="shared" ref="M142:M205" si="25">+(J142*1.21)+K142+L142</f>
        <v>0</v>
      </c>
      <c r="N142" s="11"/>
      <c r="O142" s="18"/>
      <c r="P142" s="18"/>
      <c r="Q142" s="100">
        <f t="shared" si="20"/>
        <v>0</v>
      </c>
      <c r="R142" s="19"/>
      <c r="S142" s="52">
        <f t="shared" si="19"/>
        <v>0</v>
      </c>
      <c r="T142" s="11"/>
    </row>
    <row r="143" spans="1:20" x14ac:dyDescent="0.2">
      <c r="A143" s="11"/>
      <c r="B143" s="11"/>
      <c r="C143" s="12"/>
      <c r="D143" s="13"/>
      <c r="E143" s="14"/>
      <c r="F143" s="13"/>
      <c r="G143" s="15" t="e">
        <f t="shared" si="21"/>
        <v>#DIV/0!</v>
      </c>
      <c r="H143" s="16"/>
      <c r="I143" s="16"/>
      <c r="J143" s="16">
        <f t="shared" si="22"/>
        <v>0</v>
      </c>
      <c r="K143" s="16">
        <f t="shared" si="23"/>
        <v>0</v>
      </c>
      <c r="L143" s="16">
        <f t="shared" si="24"/>
        <v>0</v>
      </c>
      <c r="M143" s="17">
        <f t="shared" si="25"/>
        <v>0</v>
      </c>
      <c r="N143" s="11"/>
      <c r="O143" s="18"/>
      <c r="P143" s="18"/>
      <c r="Q143" s="100">
        <f t="shared" si="20"/>
        <v>0</v>
      </c>
      <c r="R143" s="19"/>
      <c r="S143" s="52">
        <f t="shared" si="19"/>
        <v>0</v>
      </c>
      <c r="T143" s="11"/>
    </row>
    <row r="144" spans="1:20" x14ac:dyDescent="0.2">
      <c r="A144" s="11"/>
      <c r="B144" s="11"/>
      <c r="C144" s="12"/>
      <c r="D144" s="13"/>
      <c r="E144" s="14"/>
      <c r="F144" s="13"/>
      <c r="G144" s="15" t="e">
        <f t="shared" si="21"/>
        <v>#DIV/0!</v>
      </c>
      <c r="H144" s="16"/>
      <c r="I144" s="16"/>
      <c r="J144" s="16">
        <f t="shared" si="22"/>
        <v>0</v>
      </c>
      <c r="K144" s="16">
        <f t="shared" si="23"/>
        <v>0</v>
      </c>
      <c r="L144" s="16">
        <f t="shared" si="24"/>
        <v>0</v>
      </c>
      <c r="M144" s="17">
        <f t="shared" si="25"/>
        <v>0</v>
      </c>
      <c r="N144" s="11"/>
      <c r="O144" s="18"/>
      <c r="P144" s="18"/>
      <c r="Q144" s="100">
        <f t="shared" si="20"/>
        <v>0</v>
      </c>
      <c r="R144" s="19"/>
      <c r="S144" s="52">
        <f t="shared" ref="S144:S207" si="26">+R144-M144</f>
        <v>0</v>
      </c>
      <c r="T144" s="11"/>
    </row>
    <row r="145" spans="1:20" x14ac:dyDescent="0.2">
      <c r="A145" s="11"/>
      <c r="B145" s="11"/>
      <c r="C145" s="12"/>
      <c r="D145" s="13"/>
      <c r="E145" s="14"/>
      <c r="F145" s="13"/>
      <c r="G145" s="15" t="e">
        <f t="shared" si="21"/>
        <v>#DIV/0!</v>
      </c>
      <c r="H145" s="16"/>
      <c r="I145" s="16"/>
      <c r="J145" s="16">
        <f t="shared" si="22"/>
        <v>0</v>
      </c>
      <c r="K145" s="16">
        <f t="shared" si="23"/>
        <v>0</v>
      </c>
      <c r="L145" s="16">
        <f t="shared" si="24"/>
        <v>0</v>
      </c>
      <c r="M145" s="17">
        <f t="shared" si="25"/>
        <v>0</v>
      </c>
      <c r="N145" s="11"/>
      <c r="O145" s="18"/>
      <c r="P145" s="18"/>
      <c r="Q145" s="100">
        <f t="shared" si="20"/>
        <v>0</v>
      </c>
      <c r="R145" s="19"/>
      <c r="S145" s="52">
        <f t="shared" si="26"/>
        <v>0</v>
      </c>
      <c r="T145" s="11"/>
    </row>
    <row r="146" spans="1:20" x14ac:dyDescent="0.2">
      <c r="A146" s="11"/>
      <c r="B146" s="11"/>
      <c r="C146" s="12"/>
      <c r="D146" s="13"/>
      <c r="E146" s="14"/>
      <c r="F146" s="13"/>
      <c r="G146" s="15" t="e">
        <f t="shared" si="21"/>
        <v>#DIV/0!</v>
      </c>
      <c r="H146" s="16"/>
      <c r="I146" s="16"/>
      <c r="J146" s="16">
        <f t="shared" si="22"/>
        <v>0</v>
      </c>
      <c r="K146" s="16">
        <f t="shared" si="23"/>
        <v>0</v>
      </c>
      <c r="L146" s="16">
        <f t="shared" si="24"/>
        <v>0</v>
      </c>
      <c r="M146" s="17">
        <f t="shared" si="25"/>
        <v>0</v>
      </c>
      <c r="N146" s="11"/>
      <c r="O146" s="18"/>
      <c r="P146" s="18"/>
      <c r="Q146" s="100">
        <f t="shared" si="20"/>
        <v>0</v>
      </c>
      <c r="R146" s="19"/>
      <c r="S146" s="52">
        <f t="shared" si="26"/>
        <v>0</v>
      </c>
      <c r="T146" s="11"/>
    </row>
    <row r="147" spans="1:20" x14ac:dyDescent="0.2">
      <c r="A147" s="11"/>
      <c r="B147" s="11"/>
      <c r="C147" s="12"/>
      <c r="D147" s="13"/>
      <c r="E147" s="14"/>
      <c r="F147" s="13"/>
      <c r="G147" s="15" t="e">
        <f t="shared" si="21"/>
        <v>#DIV/0!</v>
      </c>
      <c r="H147" s="16"/>
      <c r="I147" s="16"/>
      <c r="J147" s="16">
        <f t="shared" si="22"/>
        <v>0</v>
      </c>
      <c r="K147" s="16">
        <f t="shared" si="23"/>
        <v>0</v>
      </c>
      <c r="L147" s="16">
        <f t="shared" si="24"/>
        <v>0</v>
      </c>
      <c r="M147" s="17">
        <f t="shared" si="25"/>
        <v>0</v>
      </c>
      <c r="N147" s="11"/>
      <c r="O147" s="18"/>
      <c r="P147" s="18"/>
      <c r="Q147" s="100">
        <f t="shared" si="20"/>
        <v>0</v>
      </c>
      <c r="R147" s="19"/>
      <c r="S147" s="52">
        <f t="shared" si="26"/>
        <v>0</v>
      </c>
      <c r="T147" s="11"/>
    </row>
    <row r="148" spans="1:20" x14ac:dyDescent="0.2">
      <c r="A148" s="11"/>
      <c r="B148" s="11"/>
      <c r="C148" s="12"/>
      <c r="D148" s="13"/>
      <c r="E148" s="14"/>
      <c r="F148" s="13"/>
      <c r="G148" s="15" t="e">
        <f t="shared" si="21"/>
        <v>#DIV/0!</v>
      </c>
      <c r="H148" s="16"/>
      <c r="I148" s="16"/>
      <c r="J148" s="16">
        <f t="shared" si="22"/>
        <v>0</v>
      </c>
      <c r="K148" s="16">
        <f t="shared" si="23"/>
        <v>0</v>
      </c>
      <c r="L148" s="16">
        <f t="shared" si="24"/>
        <v>0</v>
      </c>
      <c r="M148" s="17">
        <f t="shared" si="25"/>
        <v>0</v>
      </c>
      <c r="N148" s="11"/>
      <c r="O148" s="18"/>
      <c r="P148" s="18"/>
      <c r="Q148" s="100">
        <f t="shared" si="20"/>
        <v>0</v>
      </c>
      <c r="R148" s="19"/>
      <c r="S148" s="52">
        <f t="shared" si="26"/>
        <v>0</v>
      </c>
      <c r="T148" s="11"/>
    </row>
    <row r="149" spans="1:20" x14ac:dyDescent="0.2">
      <c r="A149" s="11"/>
      <c r="B149" s="11"/>
      <c r="C149" s="12"/>
      <c r="D149" s="13"/>
      <c r="E149" s="14"/>
      <c r="F149" s="13"/>
      <c r="G149" s="15" t="e">
        <f t="shared" si="21"/>
        <v>#DIV/0!</v>
      </c>
      <c r="H149" s="16"/>
      <c r="I149" s="16"/>
      <c r="J149" s="16">
        <f t="shared" si="22"/>
        <v>0</v>
      </c>
      <c r="K149" s="16">
        <f t="shared" si="23"/>
        <v>0</v>
      </c>
      <c r="L149" s="16">
        <f t="shared" si="24"/>
        <v>0</v>
      </c>
      <c r="M149" s="17">
        <f t="shared" si="25"/>
        <v>0</v>
      </c>
      <c r="N149" s="11"/>
      <c r="O149" s="18"/>
      <c r="P149" s="18"/>
      <c r="Q149" s="100">
        <f t="shared" si="20"/>
        <v>0</v>
      </c>
      <c r="R149" s="19"/>
      <c r="S149" s="52">
        <f t="shared" si="26"/>
        <v>0</v>
      </c>
      <c r="T149" s="11"/>
    </row>
    <row r="150" spans="1:20" x14ac:dyDescent="0.2">
      <c r="A150" s="11"/>
      <c r="B150" s="11"/>
      <c r="C150" s="12"/>
      <c r="D150" s="13"/>
      <c r="E150" s="14"/>
      <c r="F150" s="13"/>
      <c r="G150" s="15" t="e">
        <f t="shared" si="21"/>
        <v>#DIV/0!</v>
      </c>
      <c r="H150" s="16"/>
      <c r="I150" s="16"/>
      <c r="J150" s="16">
        <f t="shared" si="22"/>
        <v>0</v>
      </c>
      <c r="K150" s="16">
        <f t="shared" si="23"/>
        <v>0</v>
      </c>
      <c r="L150" s="16">
        <f t="shared" si="24"/>
        <v>0</v>
      </c>
      <c r="M150" s="17">
        <f t="shared" si="25"/>
        <v>0</v>
      </c>
      <c r="N150" s="11"/>
      <c r="O150" s="18"/>
      <c r="P150" s="18"/>
      <c r="Q150" s="100">
        <f t="shared" si="20"/>
        <v>0</v>
      </c>
      <c r="R150" s="19"/>
      <c r="S150" s="52">
        <f t="shared" si="26"/>
        <v>0</v>
      </c>
      <c r="T150" s="11"/>
    </row>
    <row r="151" spans="1:20" x14ac:dyDescent="0.2">
      <c r="A151" s="11"/>
      <c r="B151" s="11"/>
      <c r="C151" s="12"/>
      <c r="D151" s="13"/>
      <c r="E151" s="14"/>
      <c r="F151" s="13"/>
      <c r="G151" s="15" t="e">
        <f t="shared" si="21"/>
        <v>#DIV/0!</v>
      </c>
      <c r="H151" s="16"/>
      <c r="I151" s="16"/>
      <c r="J151" s="16">
        <f t="shared" si="22"/>
        <v>0</v>
      </c>
      <c r="K151" s="16">
        <f t="shared" si="23"/>
        <v>0</v>
      </c>
      <c r="L151" s="16">
        <f t="shared" si="24"/>
        <v>0</v>
      </c>
      <c r="M151" s="17">
        <f t="shared" si="25"/>
        <v>0</v>
      </c>
      <c r="N151" s="11"/>
      <c r="O151" s="18"/>
      <c r="P151" s="18"/>
      <c r="Q151" s="100">
        <f t="shared" si="20"/>
        <v>0</v>
      </c>
      <c r="R151" s="19"/>
      <c r="S151" s="52">
        <f t="shared" si="26"/>
        <v>0</v>
      </c>
      <c r="T151" s="11"/>
    </row>
    <row r="152" spans="1:20" x14ac:dyDescent="0.2">
      <c r="A152" s="11"/>
      <c r="B152" s="11"/>
      <c r="C152" s="12"/>
      <c r="D152" s="13"/>
      <c r="E152" s="14"/>
      <c r="F152" s="13"/>
      <c r="G152" s="15" t="e">
        <f t="shared" si="21"/>
        <v>#DIV/0!</v>
      </c>
      <c r="H152" s="16"/>
      <c r="I152" s="16"/>
      <c r="J152" s="16">
        <f t="shared" si="22"/>
        <v>0</v>
      </c>
      <c r="K152" s="16">
        <f t="shared" si="23"/>
        <v>0</v>
      </c>
      <c r="L152" s="16">
        <f t="shared" si="24"/>
        <v>0</v>
      </c>
      <c r="M152" s="17">
        <f t="shared" si="25"/>
        <v>0</v>
      </c>
      <c r="N152" s="11"/>
      <c r="O152" s="18"/>
      <c r="P152" s="18"/>
      <c r="Q152" s="100">
        <f t="shared" si="20"/>
        <v>0</v>
      </c>
      <c r="R152" s="19"/>
      <c r="S152" s="52">
        <f t="shared" si="26"/>
        <v>0</v>
      </c>
      <c r="T152" s="11"/>
    </row>
    <row r="153" spans="1:20" x14ac:dyDescent="0.2">
      <c r="A153" s="11"/>
      <c r="B153" s="11"/>
      <c r="C153" s="12"/>
      <c r="D153" s="13"/>
      <c r="E153" s="14"/>
      <c r="F153" s="13"/>
      <c r="G153" s="15" t="e">
        <f t="shared" si="21"/>
        <v>#DIV/0!</v>
      </c>
      <c r="H153" s="16"/>
      <c r="I153" s="16"/>
      <c r="J153" s="16">
        <f t="shared" si="22"/>
        <v>0</v>
      </c>
      <c r="K153" s="16">
        <f t="shared" si="23"/>
        <v>0</v>
      </c>
      <c r="L153" s="16">
        <f t="shared" si="24"/>
        <v>0</v>
      </c>
      <c r="M153" s="17">
        <f t="shared" si="25"/>
        <v>0</v>
      </c>
      <c r="N153" s="11"/>
      <c r="O153" s="18"/>
      <c r="P153" s="18"/>
      <c r="Q153" s="100">
        <f t="shared" si="20"/>
        <v>0</v>
      </c>
      <c r="R153" s="19"/>
      <c r="S153" s="52">
        <f t="shared" si="26"/>
        <v>0</v>
      </c>
      <c r="T153" s="11"/>
    </row>
    <row r="154" spans="1:20" x14ac:dyDescent="0.2">
      <c r="A154" s="11"/>
      <c r="B154" s="11"/>
      <c r="C154" s="12"/>
      <c r="D154" s="13"/>
      <c r="E154" s="14"/>
      <c r="F154" s="13"/>
      <c r="G154" s="15" t="e">
        <f t="shared" si="21"/>
        <v>#DIV/0!</v>
      </c>
      <c r="H154" s="16"/>
      <c r="I154" s="16"/>
      <c r="J154" s="16">
        <f t="shared" si="22"/>
        <v>0</v>
      </c>
      <c r="K154" s="16">
        <f t="shared" si="23"/>
        <v>0</v>
      </c>
      <c r="L154" s="16">
        <f t="shared" si="24"/>
        <v>0</v>
      </c>
      <c r="M154" s="17">
        <f t="shared" si="25"/>
        <v>0</v>
      </c>
      <c r="N154" s="11"/>
      <c r="O154" s="18"/>
      <c r="P154" s="18"/>
      <c r="Q154" s="100">
        <f t="shared" si="20"/>
        <v>0</v>
      </c>
      <c r="R154" s="19"/>
      <c r="S154" s="52">
        <f t="shared" si="26"/>
        <v>0</v>
      </c>
      <c r="T154" s="11"/>
    </row>
    <row r="155" spans="1:20" x14ac:dyDescent="0.2">
      <c r="A155" s="11"/>
      <c r="B155" s="11"/>
      <c r="C155" s="12"/>
      <c r="D155" s="13"/>
      <c r="E155" s="14"/>
      <c r="F155" s="13"/>
      <c r="G155" s="15" t="e">
        <f t="shared" si="21"/>
        <v>#DIV/0!</v>
      </c>
      <c r="H155" s="16"/>
      <c r="I155" s="16"/>
      <c r="J155" s="16">
        <f t="shared" si="22"/>
        <v>0</v>
      </c>
      <c r="K155" s="16">
        <f t="shared" si="23"/>
        <v>0</v>
      </c>
      <c r="L155" s="16">
        <f t="shared" si="24"/>
        <v>0</v>
      </c>
      <c r="M155" s="17">
        <f t="shared" si="25"/>
        <v>0</v>
      </c>
      <c r="N155" s="11"/>
      <c r="O155" s="18"/>
      <c r="P155" s="18"/>
      <c r="Q155" s="100">
        <f t="shared" si="20"/>
        <v>0</v>
      </c>
      <c r="R155" s="19"/>
      <c r="S155" s="52">
        <f t="shared" si="26"/>
        <v>0</v>
      </c>
      <c r="T155" s="11"/>
    </row>
    <row r="156" spans="1:20" x14ac:dyDescent="0.2">
      <c r="A156" s="11"/>
      <c r="B156" s="11"/>
      <c r="C156" s="12"/>
      <c r="D156" s="13"/>
      <c r="E156" s="14"/>
      <c r="F156" s="13"/>
      <c r="G156" s="15" t="e">
        <f t="shared" si="21"/>
        <v>#DIV/0!</v>
      </c>
      <c r="H156" s="16"/>
      <c r="I156" s="16"/>
      <c r="J156" s="16">
        <f t="shared" si="22"/>
        <v>0</v>
      </c>
      <c r="K156" s="16">
        <f t="shared" si="23"/>
        <v>0</v>
      </c>
      <c r="L156" s="16">
        <f t="shared" si="24"/>
        <v>0</v>
      </c>
      <c r="M156" s="17">
        <f t="shared" si="25"/>
        <v>0</v>
      </c>
      <c r="N156" s="11"/>
      <c r="O156" s="18"/>
      <c r="P156" s="18"/>
      <c r="Q156" s="100">
        <f t="shared" si="20"/>
        <v>0</v>
      </c>
      <c r="R156" s="19"/>
      <c r="S156" s="52">
        <f t="shared" si="26"/>
        <v>0</v>
      </c>
      <c r="T156" s="11"/>
    </row>
    <row r="157" spans="1:20" x14ac:dyDescent="0.2">
      <c r="A157" s="11"/>
      <c r="B157" s="11"/>
      <c r="C157" s="12"/>
      <c r="D157" s="13"/>
      <c r="E157" s="14"/>
      <c r="F157" s="13"/>
      <c r="G157" s="15" t="e">
        <f t="shared" si="21"/>
        <v>#DIV/0!</v>
      </c>
      <c r="H157" s="16"/>
      <c r="I157" s="16"/>
      <c r="J157" s="16">
        <f t="shared" si="22"/>
        <v>0</v>
      </c>
      <c r="K157" s="16">
        <f t="shared" si="23"/>
        <v>0</v>
      </c>
      <c r="L157" s="16">
        <f t="shared" si="24"/>
        <v>0</v>
      </c>
      <c r="M157" s="17">
        <f t="shared" si="25"/>
        <v>0</v>
      </c>
      <c r="N157" s="11"/>
      <c r="O157" s="18"/>
      <c r="P157" s="18"/>
      <c r="Q157" s="100">
        <f t="shared" si="20"/>
        <v>0</v>
      </c>
      <c r="R157" s="19"/>
      <c r="S157" s="52">
        <f t="shared" si="26"/>
        <v>0</v>
      </c>
      <c r="T157" s="11"/>
    </row>
    <row r="158" spans="1:20" x14ac:dyDescent="0.2">
      <c r="A158" s="11"/>
      <c r="B158" s="11"/>
      <c r="C158" s="12"/>
      <c r="D158" s="13"/>
      <c r="E158" s="14"/>
      <c r="F158" s="13"/>
      <c r="G158" s="15" t="e">
        <f t="shared" si="21"/>
        <v>#DIV/0!</v>
      </c>
      <c r="H158" s="16"/>
      <c r="I158" s="16"/>
      <c r="J158" s="16">
        <f t="shared" si="22"/>
        <v>0</v>
      </c>
      <c r="K158" s="16">
        <f t="shared" si="23"/>
        <v>0</v>
      </c>
      <c r="L158" s="16">
        <f t="shared" si="24"/>
        <v>0</v>
      </c>
      <c r="M158" s="17">
        <f t="shared" si="25"/>
        <v>0</v>
      </c>
      <c r="N158" s="11"/>
      <c r="O158" s="18"/>
      <c r="P158" s="18"/>
      <c r="Q158" s="100">
        <f t="shared" si="20"/>
        <v>0</v>
      </c>
      <c r="R158" s="19"/>
      <c r="S158" s="52">
        <f t="shared" si="26"/>
        <v>0</v>
      </c>
      <c r="T158" s="11"/>
    </row>
    <row r="159" spans="1:20" x14ac:dyDescent="0.2">
      <c r="A159" s="11"/>
      <c r="B159" s="11"/>
      <c r="C159" s="12"/>
      <c r="D159" s="13"/>
      <c r="E159" s="14"/>
      <c r="F159" s="13"/>
      <c r="G159" s="15" t="e">
        <f t="shared" si="21"/>
        <v>#DIV/0!</v>
      </c>
      <c r="H159" s="16"/>
      <c r="I159" s="16"/>
      <c r="J159" s="16">
        <f t="shared" si="22"/>
        <v>0</v>
      </c>
      <c r="K159" s="16">
        <f t="shared" si="23"/>
        <v>0</v>
      </c>
      <c r="L159" s="16">
        <f t="shared" si="24"/>
        <v>0</v>
      </c>
      <c r="M159" s="17">
        <f t="shared" si="25"/>
        <v>0</v>
      </c>
      <c r="N159" s="11"/>
      <c r="O159" s="18"/>
      <c r="P159" s="18"/>
      <c r="Q159" s="100">
        <f t="shared" si="20"/>
        <v>0</v>
      </c>
      <c r="R159" s="19"/>
      <c r="S159" s="52">
        <f t="shared" si="26"/>
        <v>0</v>
      </c>
      <c r="T159" s="11"/>
    </row>
    <row r="160" spans="1:20" x14ac:dyDescent="0.2">
      <c r="A160" s="11"/>
      <c r="B160" s="11"/>
      <c r="C160" s="12"/>
      <c r="D160" s="13"/>
      <c r="E160" s="14"/>
      <c r="F160" s="13"/>
      <c r="G160" s="15" t="e">
        <f t="shared" si="21"/>
        <v>#DIV/0!</v>
      </c>
      <c r="H160" s="16"/>
      <c r="I160" s="16"/>
      <c r="J160" s="16">
        <f t="shared" si="22"/>
        <v>0</v>
      </c>
      <c r="K160" s="16">
        <f t="shared" si="23"/>
        <v>0</v>
      </c>
      <c r="L160" s="16">
        <f t="shared" si="24"/>
        <v>0</v>
      </c>
      <c r="M160" s="17">
        <f t="shared" si="25"/>
        <v>0</v>
      </c>
      <c r="N160" s="11"/>
      <c r="O160" s="18"/>
      <c r="P160" s="18"/>
      <c r="Q160" s="100">
        <f t="shared" si="20"/>
        <v>0</v>
      </c>
      <c r="R160" s="19"/>
      <c r="S160" s="52">
        <f t="shared" si="26"/>
        <v>0</v>
      </c>
      <c r="T160" s="11"/>
    </row>
    <row r="161" spans="1:20" x14ac:dyDescent="0.2">
      <c r="A161" s="11"/>
      <c r="B161" s="11"/>
      <c r="C161" s="12"/>
      <c r="D161" s="13"/>
      <c r="E161" s="14"/>
      <c r="F161" s="13"/>
      <c r="G161" s="15" t="e">
        <f t="shared" si="21"/>
        <v>#DIV/0!</v>
      </c>
      <c r="H161" s="16"/>
      <c r="I161" s="16"/>
      <c r="J161" s="16">
        <f t="shared" si="22"/>
        <v>0</v>
      </c>
      <c r="K161" s="16">
        <f t="shared" si="23"/>
        <v>0</v>
      </c>
      <c r="L161" s="16">
        <f t="shared" si="24"/>
        <v>0</v>
      </c>
      <c r="M161" s="17">
        <f t="shared" si="25"/>
        <v>0</v>
      </c>
      <c r="N161" s="11"/>
      <c r="O161" s="18"/>
      <c r="P161" s="18"/>
      <c r="Q161" s="100">
        <f t="shared" si="20"/>
        <v>0</v>
      </c>
      <c r="R161" s="19"/>
      <c r="S161" s="52">
        <f t="shared" si="26"/>
        <v>0</v>
      </c>
      <c r="T161" s="11"/>
    </row>
    <row r="162" spans="1:20" x14ac:dyDescent="0.2">
      <c r="A162" s="11"/>
      <c r="B162" s="11"/>
      <c r="C162" s="12"/>
      <c r="D162" s="13"/>
      <c r="E162" s="14"/>
      <c r="F162" s="13"/>
      <c r="G162" s="15" t="e">
        <f t="shared" si="21"/>
        <v>#DIV/0!</v>
      </c>
      <c r="H162" s="16"/>
      <c r="I162" s="16"/>
      <c r="J162" s="16">
        <f t="shared" si="22"/>
        <v>0</v>
      </c>
      <c r="K162" s="16">
        <f t="shared" si="23"/>
        <v>0</v>
      </c>
      <c r="L162" s="16">
        <f t="shared" si="24"/>
        <v>0</v>
      </c>
      <c r="M162" s="17">
        <f t="shared" si="25"/>
        <v>0</v>
      </c>
      <c r="N162" s="11"/>
      <c r="O162" s="18"/>
      <c r="P162" s="18"/>
      <c r="Q162" s="100">
        <f t="shared" si="20"/>
        <v>0</v>
      </c>
      <c r="R162" s="19"/>
      <c r="S162" s="52">
        <f t="shared" si="26"/>
        <v>0</v>
      </c>
      <c r="T162" s="11"/>
    </row>
    <row r="163" spans="1:20" x14ac:dyDescent="0.2">
      <c r="A163" s="11"/>
      <c r="B163" s="11"/>
      <c r="C163" s="12"/>
      <c r="D163" s="13"/>
      <c r="E163" s="14"/>
      <c r="F163" s="13"/>
      <c r="G163" s="15" t="e">
        <f t="shared" si="21"/>
        <v>#DIV/0!</v>
      </c>
      <c r="H163" s="16"/>
      <c r="I163" s="16"/>
      <c r="J163" s="16">
        <f t="shared" si="22"/>
        <v>0</v>
      </c>
      <c r="K163" s="16">
        <f t="shared" si="23"/>
        <v>0</v>
      </c>
      <c r="L163" s="16">
        <f t="shared" si="24"/>
        <v>0</v>
      </c>
      <c r="M163" s="17">
        <f t="shared" si="25"/>
        <v>0</v>
      </c>
      <c r="N163" s="11"/>
      <c r="O163" s="18"/>
      <c r="P163" s="18"/>
      <c r="Q163" s="100">
        <f t="shared" si="20"/>
        <v>0</v>
      </c>
      <c r="R163" s="19"/>
      <c r="S163" s="52">
        <f t="shared" si="26"/>
        <v>0</v>
      </c>
      <c r="T163" s="11"/>
    </row>
    <row r="164" spans="1:20" x14ac:dyDescent="0.2">
      <c r="A164" s="11"/>
      <c r="B164" s="11"/>
      <c r="C164" s="12"/>
      <c r="D164" s="13"/>
      <c r="E164" s="14"/>
      <c r="F164" s="13"/>
      <c r="G164" s="15" t="e">
        <f t="shared" si="21"/>
        <v>#DIV/0!</v>
      </c>
      <c r="H164" s="16"/>
      <c r="I164" s="16"/>
      <c r="J164" s="16">
        <f t="shared" si="22"/>
        <v>0</v>
      </c>
      <c r="K164" s="16">
        <f t="shared" si="23"/>
        <v>0</v>
      </c>
      <c r="L164" s="16">
        <f t="shared" si="24"/>
        <v>0</v>
      </c>
      <c r="M164" s="17">
        <f t="shared" si="25"/>
        <v>0</v>
      </c>
      <c r="N164" s="11"/>
      <c r="O164" s="18"/>
      <c r="P164" s="18"/>
      <c r="Q164" s="100">
        <f t="shared" si="20"/>
        <v>0</v>
      </c>
      <c r="R164" s="19"/>
      <c r="S164" s="52">
        <f t="shared" si="26"/>
        <v>0</v>
      </c>
      <c r="T164" s="11"/>
    </row>
    <row r="165" spans="1:20" x14ac:dyDescent="0.2">
      <c r="A165" s="11"/>
      <c r="B165" s="11"/>
      <c r="C165" s="12"/>
      <c r="D165" s="13"/>
      <c r="E165" s="14"/>
      <c r="F165" s="13"/>
      <c r="G165" s="15" t="e">
        <f t="shared" si="21"/>
        <v>#DIV/0!</v>
      </c>
      <c r="H165" s="16"/>
      <c r="I165" s="16"/>
      <c r="J165" s="16">
        <f t="shared" si="22"/>
        <v>0</v>
      </c>
      <c r="K165" s="16">
        <f t="shared" si="23"/>
        <v>0</v>
      </c>
      <c r="L165" s="16">
        <f t="shared" si="24"/>
        <v>0</v>
      </c>
      <c r="M165" s="17">
        <f t="shared" si="25"/>
        <v>0</v>
      </c>
      <c r="N165" s="11"/>
      <c r="O165" s="18"/>
      <c r="P165" s="18"/>
      <c r="Q165" s="100">
        <f t="shared" si="20"/>
        <v>0</v>
      </c>
      <c r="R165" s="19"/>
      <c r="S165" s="52">
        <f t="shared" si="26"/>
        <v>0</v>
      </c>
      <c r="T165" s="11"/>
    </row>
    <row r="166" spans="1:20" x14ac:dyDescent="0.2">
      <c r="A166" s="11"/>
      <c r="B166" s="11"/>
      <c r="C166" s="12"/>
      <c r="D166" s="13"/>
      <c r="E166" s="14"/>
      <c r="F166" s="13"/>
      <c r="G166" s="15" t="e">
        <f t="shared" si="21"/>
        <v>#DIV/0!</v>
      </c>
      <c r="H166" s="16"/>
      <c r="I166" s="16"/>
      <c r="J166" s="16">
        <f t="shared" si="22"/>
        <v>0</v>
      </c>
      <c r="K166" s="16">
        <f t="shared" si="23"/>
        <v>0</v>
      </c>
      <c r="L166" s="16">
        <f t="shared" si="24"/>
        <v>0</v>
      </c>
      <c r="M166" s="17">
        <f t="shared" si="25"/>
        <v>0</v>
      </c>
      <c r="N166" s="11"/>
      <c r="O166" s="18"/>
      <c r="P166" s="18"/>
      <c r="Q166" s="100">
        <f t="shared" si="20"/>
        <v>0</v>
      </c>
      <c r="R166" s="19"/>
      <c r="S166" s="52">
        <f t="shared" si="26"/>
        <v>0</v>
      </c>
      <c r="T166" s="11"/>
    </row>
    <row r="167" spans="1:20" x14ac:dyDescent="0.2">
      <c r="A167" s="11"/>
      <c r="B167" s="11"/>
      <c r="C167" s="12"/>
      <c r="D167" s="13"/>
      <c r="E167" s="14"/>
      <c r="F167" s="13"/>
      <c r="G167" s="15" t="e">
        <f t="shared" si="21"/>
        <v>#DIV/0!</v>
      </c>
      <c r="H167" s="16"/>
      <c r="I167" s="16"/>
      <c r="J167" s="16">
        <f t="shared" si="22"/>
        <v>0</v>
      </c>
      <c r="K167" s="16">
        <f t="shared" si="23"/>
        <v>0</v>
      </c>
      <c r="L167" s="16">
        <f t="shared" si="24"/>
        <v>0</v>
      </c>
      <c r="M167" s="17">
        <f t="shared" si="25"/>
        <v>0</v>
      </c>
      <c r="N167" s="11"/>
      <c r="O167" s="18"/>
      <c r="P167" s="18"/>
      <c r="Q167" s="100">
        <f t="shared" si="20"/>
        <v>0</v>
      </c>
      <c r="R167" s="19"/>
      <c r="S167" s="52">
        <f t="shared" si="26"/>
        <v>0</v>
      </c>
      <c r="T167" s="11"/>
    </row>
    <row r="168" spans="1:20" x14ac:dyDescent="0.2">
      <c r="A168" s="11"/>
      <c r="B168" s="11"/>
      <c r="C168" s="12"/>
      <c r="D168" s="13"/>
      <c r="E168" s="14"/>
      <c r="F168" s="13"/>
      <c r="G168" s="15" t="e">
        <f t="shared" si="21"/>
        <v>#DIV/0!</v>
      </c>
      <c r="H168" s="16"/>
      <c r="I168" s="16"/>
      <c r="J168" s="16">
        <f t="shared" si="22"/>
        <v>0</v>
      </c>
      <c r="K168" s="16">
        <f t="shared" si="23"/>
        <v>0</v>
      </c>
      <c r="L168" s="16">
        <f t="shared" si="24"/>
        <v>0</v>
      </c>
      <c r="M168" s="17">
        <f t="shared" si="25"/>
        <v>0</v>
      </c>
      <c r="N168" s="11"/>
      <c r="O168" s="18"/>
      <c r="P168" s="18"/>
      <c r="Q168" s="100">
        <f t="shared" si="20"/>
        <v>0</v>
      </c>
      <c r="R168" s="19"/>
      <c r="S168" s="52">
        <f t="shared" si="26"/>
        <v>0</v>
      </c>
      <c r="T168" s="11"/>
    </row>
    <row r="169" spans="1:20" x14ac:dyDescent="0.2">
      <c r="A169" s="11"/>
      <c r="B169" s="11"/>
      <c r="C169" s="12"/>
      <c r="D169" s="13"/>
      <c r="E169" s="14"/>
      <c r="F169" s="13"/>
      <c r="G169" s="15" t="e">
        <f t="shared" si="21"/>
        <v>#DIV/0!</v>
      </c>
      <c r="H169" s="16"/>
      <c r="I169" s="16"/>
      <c r="J169" s="16">
        <f t="shared" si="22"/>
        <v>0</v>
      </c>
      <c r="K169" s="16">
        <f t="shared" si="23"/>
        <v>0</v>
      </c>
      <c r="L169" s="16">
        <f t="shared" si="24"/>
        <v>0</v>
      </c>
      <c r="M169" s="17">
        <f t="shared" si="25"/>
        <v>0</v>
      </c>
      <c r="N169" s="11"/>
      <c r="O169" s="18"/>
      <c r="P169" s="18"/>
      <c r="Q169" s="100">
        <f t="shared" si="20"/>
        <v>0</v>
      </c>
      <c r="R169" s="19"/>
      <c r="S169" s="52">
        <f t="shared" si="26"/>
        <v>0</v>
      </c>
      <c r="T169" s="11"/>
    </row>
    <row r="170" spans="1:20" x14ac:dyDescent="0.2">
      <c r="A170" s="11"/>
      <c r="B170" s="11"/>
      <c r="C170" s="12"/>
      <c r="D170" s="13"/>
      <c r="E170" s="14"/>
      <c r="F170" s="13"/>
      <c r="G170" s="15" t="e">
        <f t="shared" si="21"/>
        <v>#DIV/0!</v>
      </c>
      <c r="H170" s="16"/>
      <c r="I170" s="16"/>
      <c r="J170" s="16">
        <f t="shared" si="22"/>
        <v>0</v>
      </c>
      <c r="K170" s="16">
        <f t="shared" si="23"/>
        <v>0</v>
      </c>
      <c r="L170" s="16">
        <f t="shared" si="24"/>
        <v>0</v>
      </c>
      <c r="M170" s="17">
        <f t="shared" si="25"/>
        <v>0</v>
      </c>
      <c r="N170" s="11"/>
      <c r="O170" s="18"/>
      <c r="P170" s="18"/>
      <c r="Q170" s="100">
        <f t="shared" si="20"/>
        <v>0</v>
      </c>
      <c r="R170" s="19"/>
      <c r="S170" s="52">
        <f t="shared" si="26"/>
        <v>0</v>
      </c>
      <c r="T170" s="11"/>
    </row>
    <row r="171" spans="1:20" x14ac:dyDescent="0.2">
      <c r="A171" s="11"/>
      <c r="B171" s="11"/>
      <c r="C171" s="12"/>
      <c r="D171" s="13"/>
      <c r="E171" s="14"/>
      <c r="F171" s="13"/>
      <c r="G171" s="15" t="e">
        <f t="shared" si="21"/>
        <v>#DIV/0!</v>
      </c>
      <c r="H171" s="16"/>
      <c r="I171" s="16"/>
      <c r="J171" s="16">
        <f t="shared" si="22"/>
        <v>0</v>
      </c>
      <c r="K171" s="16">
        <f t="shared" si="23"/>
        <v>0</v>
      </c>
      <c r="L171" s="16">
        <f t="shared" si="24"/>
        <v>0</v>
      </c>
      <c r="M171" s="17">
        <f t="shared" si="25"/>
        <v>0</v>
      </c>
      <c r="N171" s="11"/>
      <c r="O171" s="18"/>
      <c r="P171" s="18"/>
      <c r="Q171" s="100">
        <f t="shared" si="20"/>
        <v>0</v>
      </c>
      <c r="R171" s="19"/>
      <c r="S171" s="52">
        <f t="shared" si="26"/>
        <v>0</v>
      </c>
      <c r="T171" s="11"/>
    </row>
    <row r="172" spans="1:20" x14ac:dyDescent="0.2">
      <c r="A172" s="11"/>
      <c r="B172" s="11"/>
      <c r="C172" s="12"/>
      <c r="D172" s="13"/>
      <c r="E172" s="14"/>
      <c r="F172" s="13"/>
      <c r="G172" s="15" t="e">
        <f t="shared" si="21"/>
        <v>#DIV/0!</v>
      </c>
      <c r="H172" s="16"/>
      <c r="I172" s="16"/>
      <c r="J172" s="16">
        <f t="shared" si="22"/>
        <v>0</v>
      </c>
      <c r="K172" s="16">
        <f t="shared" si="23"/>
        <v>0</v>
      </c>
      <c r="L172" s="16">
        <f t="shared" si="24"/>
        <v>0</v>
      </c>
      <c r="M172" s="17">
        <f t="shared" si="25"/>
        <v>0</v>
      </c>
      <c r="N172" s="11"/>
      <c r="O172" s="18"/>
      <c r="P172" s="18"/>
      <c r="Q172" s="100">
        <f t="shared" si="20"/>
        <v>0</v>
      </c>
      <c r="R172" s="19"/>
      <c r="S172" s="52">
        <f t="shared" si="26"/>
        <v>0</v>
      </c>
      <c r="T172" s="11"/>
    </row>
    <row r="173" spans="1:20" x14ac:dyDescent="0.2">
      <c r="A173" s="11"/>
      <c r="B173" s="11"/>
      <c r="C173" s="12"/>
      <c r="D173" s="13"/>
      <c r="E173" s="14"/>
      <c r="F173" s="13"/>
      <c r="G173" s="15" t="e">
        <f t="shared" si="21"/>
        <v>#DIV/0!</v>
      </c>
      <c r="H173" s="16"/>
      <c r="I173" s="16"/>
      <c r="J173" s="16">
        <f t="shared" si="22"/>
        <v>0</v>
      </c>
      <c r="K173" s="16">
        <f t="shared" si="23"/>
        <v>0</v>
      </c>
      <c r="L173" s="16">
        <f t="shared" si="24"/>
        <v>0</v>
      </c>
      <c r="M173" s="17">
        <f t="shared" si="25"/>
        <v>0</v>
      </c>
      <c r="N173" s="11"/>
      <c r="O173" s="18"/>
      <c r="P173" s="18"/>
      <c r="Q173" s="100">
        <f t="shared" si="20"/>
        <v>0</v>
      </c>
      <c r="R173" s="19"/>
      <c r="S173" s="52">
        <f t="shared" si="26"/>
        <v>0</v>
      </c>
      <c r="T173" s="11"/>
    </row>
    <row r="174" spans="1:20" x14ac:dyDescent="0.2">
      <c r="A174" s="11"/>
      <c r="B174" s="11"/>
      <c r="C174" s="12"/>
      <c r="D174" s="13"/>
      <c r="E174" s="14"/>
      <c r="F174" s="13"/>
      <c r="G174" s="15" t="e">
        <f t="shared" si="21"/>
        <v>#DIV/0!</v>
      </c>
      <c r="H174" s="16"/>
      <c r="I174" s="16"/>
      <c r="J174" s="16">
        <f t="shared" si="22"/>
        <v>0</v>
      </c>
      <c r="K174" s="16">
        <f t="shared" si="23"/>
        <v>0</v>
      </c>
      <c r="L174" s="16">
        <f t="shared" si="24"/>
        <v>0</v>
      </c>
      <c r="M174" s="17">
        <f t="shared" si="25"/>
        <v>0</v>
      </c>
      <c r="N174" s="11"/>
      <c r="O174" s="18"/>
      <c r="P174" s="18"/>
      <c r="Q174" s="100">
        <f t="shared" si="20"/>
        <v>0</v>
      </c>
      <c r="R174" s="19"/>
      <c r="S174" s="52">
        <f t="shared" si="26"/>
        <v>0</v>
      </c>
      <c r="T174" s="11"/>
    </row>
    <row r="175" spans="1:20" x14ac:dyDescent="0.2">
      <c r="A175" s="11"/>
      <c r="B175" s="11"/>
      <c r="C175" s="12"/>
      <c r="D175" s="13"/>
      <c r="E175" s="14"/>
      <c r="F175" s="13"/>
      <c r="G175" s="15" t="e">
        <f t="shared" si="21"/>
        <v>#DIV/0!</v>
      </c>
      <c r="H175" s="16"/>
      <c r="I175" s="16"/>
      <c r="J175" s="16">
        <f t="shared" si="22"/>
        <v>0</v>
      </c>
      <c r="K175" s="16">
        <f t="shared" si="23"/>
        <v>0</v>
      </c>
      <c r="L175" s="16">
        <f t="shared" si="24"/>
        <v>0</v>
      </c>
      <c r="M175" s="17">
        <f t="shared" si="25"/>
        <v>0</v>
      </c>
      <c r="N175" s="11"/>
      <c r="O175" s="18"/>
      <c r="P175" s="18"/>
      <c r="Q175" s="100">
        <f t="shared" si="20"/>
        <v>0</v>
      </c>
      <c r="R175" s="19"/>
      <c r="S175" s="52">
        <f t="shared" si="26"/>
        <v>0</v>
      </c>
      <c r="T175" s="11"/>
    </row>
    <row r="176" spans="1:20" x14ac:dyDescent="0.2">
      <c r="A176" s="11"/>
      <c r="B176" s="11"/>
      <c r="C176" s="12"/>
      <c r="D176" s="13"/>
      <c r="E176" s="14"/>
      <c r="F176" s="13"/>
      <c r="G176" s="15" t="e">
        <f t="shared" si="21"/>
        <v>#DIV/0!</v>
      </c>
      <c r="H176" s="16"/>
      <c r="I176" s="16"/>
      <c r="J176" s="16">
        <f t="shared" si="22"/>
        <v>0</v>
      </c>
      <c r="K176" s="16">
        <f t="shared" si="23"/>
        <v>0</v>
      </c>
      <c r="L176" s="16">
        <f t="shared" si="24"/>
        <v>0</v>
      </c>
      <c r="M176" s="17">
        <f t="shared" si="25"/>
        <v>0</v>
      </c>
      <c r="N176" s="11"/>
      <c r="O176" s="18"/>
      <c r="P176" s="18"/>
      <c r="Q176" s="100">
        <f t="shared" si="20"/>
        <v>0</v>
      </c>
      <c r="R176" s="19"/>
      <c r="S176" s="52">
        <f t="shared" si="26"/>
        <v>0</v>
      </c>
      <c r="T176" s="11"/>
    </row>
    <row r="177" spans="1:20" x14ac:dyDescent="0.2">
      <c r="A177" s="11"/>
      <c r="B177" s="11"/>
      <c r="C177" s="12"/>
      <c r="D177" s="13"/>
      <c r="E177" s="14"/>
      <c r="F177" s="13"/>
      <c r="G177" s="15" t="e">
        <f t="shared" si="21"/>
        <v>#DIV/0!</v>
      </c>
      <c r="H177" s="16"/>
      <c r="I177" s="16"/>
      <c r="J177" s="16">
        <f t="shared" si="22"/>
        <v>0</v>
      </c>
      <c r="K177" s="16">
        <f t="shared" si="23"/>
        <v>0</v>
      </c>
      <c r="L177" s="16">
        <f t="shared" si="24"/>
        <v>0</v>
      </c>
      <c r="M177" s="17">
        <f t="shared" si="25"/>
        <v>0</v>
      </c>
      <c r="N177" s="11"/>
      <c r="O177" s="18"/>
      <c r="P177" s="18"/>
      <c r="Q177" s="100">
        <f t="shared" si="20"/>
        <v>0</v>
      </c>
      <c r="R177" s="19"/>
      <c r="S177" s="52">
        <f t="shared" si="26"/>
        <v>0</v>
      </c>
      <c r="T177" s="11"/>
    </row>
    <row r="178" spans="1:20" x14ac:dyDescent="0.2">
      <c r="A178" s="11"/>
      <c r="B178" s="11"/>
      <c r="C178" s="12"/>
      <c r="D178" s="13"/>
      <c r="E178" s="14"/>
      <c r="F178" s="13"/>
      <c r="G178" s="15" t="e">
        <f t="shared" si="21"/>
        <v>#DIV/0!</v>
      </c>
      <c r="H178" s="16"/>
      <c r="I178" s="16"/>
      <c r="J178" s="16">
        <f t="shared" si="22"/>
        <v>0</v>
      </c>
      <c r="K178" s="16">
        <f t="shared" si="23"/>
        <v>0</v>
      </c>
      <c r="L178" s="16">
        <f t="shared" si="24"/>
        <v>0</v>
      </c>
      <c r="M178" s="17">
        <f t="shared" si="25"/>
        <v>0</v>
      </c>
      <c r="N178" s="11"/>
      <c r="O178" s="18"/>
      <c r="P178" s="18"/>
      <c r="Q178" s="100">
        <f t="shared" si="20"/>
        <v>0</v>
      </c>
      <c r="R178" s="19"/>
      <c r="S178" s="52">
        <f t="shared" si="26"/>
        <v>0</v>
      </c>
      <c r="T178" s="11"/>
    </row>
    <row r="179" spans="1:20" x14ac:dyDescent="0.2">
      <c r="A179" s="11"/>
      <c r="B179" s="11"/>
      <c r="C179" s="12"/>
      <c r="D179" s="13"/>
      <c r="E179" s="14"/>
      <c r="F179" s="13"/>
      <c r="G179" s="15" t="e">
        <f t="shared" si="21"/>
        <v>#DIV/0!</v>
      </c>
      <c r="H179" s="16"/>
      <c r="I179" s="16"/>
      <c r="J179" s="16">
        <f t="shared" si="22"/>
        <v>0</v>
      </c>
      <c r="K179" s="16">
        <f t="shared" si="23"/>
        <v>0</v>
      </c>
      <c r="L179" s="16">
        <f t="shared" si="24"/>
        <v>0</v>
      </c>
      <c r="M179" s="17">
        <f t="shared" si="25"/>
        <v>0</v>
      </c>
      <c r="N179" s="11"/>
      <c r="O179" s="18"/>
      <c r="P179" s="18"/>
      <c r="Q179" s="100">
        <f t="shared" si="20"/>
        <v>0</v>
      </c>
      <c r="R179" s="19"/>
      <c r="S179" s="52">
        <f t="shared" si="26"/>
        <v>0</v>
      </c>
      <c r="T179" s="11"/>
    </row>
    <row r="180" spans="1:20" x14ac:dyDescent="0.2">
      <c r="A180" s="11"/>
      <c r="B180" s="11"/>
      <c r="C180" s="12"/>
      <c r="D180" s="13"/>
      <c r="E180" s="14"/>
      <c r="F180" s="13"/>
      <c r="G180" s="15" t="e">
        <f t="shared" si="21"/>
        <v>#DIV/0!</v>
      </c>
      <c r="H180" s="16"/>
      <c r="I180" s="16"/>
      <c r="J180" s="16">
        <f t="shared" si="22"/>
        <v>0</v>
      </c>
      <c r="K180" s="16">
        <f t="shared" si="23"/>
        <v>0</v>
      </c>
      <c r="L180" s="16">
        <f t="shared" si="24"/>
        <v>0</v>
      </c>
      <c r="M180" s="17">
        <f t="shared" si="25"/>
        <v>0</v>
      </c>
      <c r="N180" s="11"/>
      <c r="O180" s="18"/>
      <c r="P180" s="18"/>
      <c r="Q180" s="100">
        <f t="shared" si="20"/>
        <v>0</v>
      </c>
      <c r="R180" s="19"/>
      <c r="S180" s="52">
        <f t="shared" si="26"/>
        <v>0</v>
      </c>
      <c r="T180" s="11"/>
    </row>
    <row r="181" spans="1:20" x14ac:dyDescent="0.2">
      <c r="A181" s="11"/>
      <c r="B181" s="11"/>
      <c r="C181" s="12"/>
      <c r="D181" s="13"/>
      <c r="E181" s="14"/>
      <c r="F181" s="13"/>
      <c r="G181" s="15" t="e">
        <f t="shared" si="21"/>
        <v>#DIV/0!</v>
      </c>
      <c r="H181" s="16"/>
      <c r="I181" s="16"/>
      <c r="J181" s="16">
        <f t="shared" si="22"/>
        <v>0</v>
      </c>
      <c r="K181" s="16">
        <f t="shared" si="23"/>
        <v>0</v>
      </c>
      <c r="L181" s="16">
        <f t="shared" si="24"/>
        <v>0</v>
      </c>
      <c r="M181" s="17">
        <f t="shared" si="25"/>
        <v>0</v>
      </c>
      <c r="N181" s="11"/>
      <c r="O181" s="18"/>
      <c r="P181" s="18"/>
      <c r="Q181" s="100">
        <f t="shared" si="20"/>
        <v>0</v>
      </c>
      <c r="R181" s="19"/>
      <c r="S181" s="52">
        <f t="shared" si="26"/>
        <v>0</v>
      </c>
      <c r="T181" s="11"/>
    </row>
    <row r="182" spans="1:20" x14ac:dyDescent="0.2">
      <c r="A182" s="11"/>
      <c r="B182" s="11"/>
      <c r="C182" s="12"/>
      <c r="D182" s="13"/>
      <c r="E182" s="14"/>
      <c r="F182" s="13"/>
      <c r="G182" s="15" t="e">
        <f t="shared" si="21"/>
        <v>#DIV/0!</v>
      </c>
      <c r="H182" s="16"/>
      <c r="I182" s="16"/>
      <c r="J182" s="16">
        <f t="shared" si="22"/>
        <v>0</v>
      </c>
      <c r="K182" s="16">
        <f t="shared" si="23"/>
        <v>0</v>
      </c>
      <c r="L182" s="16">
        <f t="shared" si="24"/>
        <v>0</v>
      </c>
      <c r="M182" s="17">
        <f t="shared" si="25"/>
        <v>0</v>
      </c>
      <c r="N182" s="11"/>
      <c r="O182" s="18"/>
      <c r="P182" s="18"/>
      <c r="Q182" s="100">
        <f t="shared" si="20"/>
        <v>0</v>
      </c>
      <c r="R182" s="19"/>
      <c r="S182" s="52">
        <f t="shared" si="26"/>
        <v>0</v>
      </c>
      <c r="T182" s="11"/>
    </row>
    <row r="183" spans="1:20" x14ac:dyDescent="0.2">
      <c r="A183" s="11"/>
      <c r="B183" s="11"/>
      <c r="C183" s="12"/>
      <c r="D183" s="13"/>
      <c r="E183" s="14"/>
      <c r="F183" s="13"/>
      <c r="G183" s="15" t="e">
        <f t="shared" si="21"/>
        <v>#DIV/0!</v>
      </c>
      <c r="H183" s="16"/>
      <c r="I183" s="16"/>
      <c r="J183" s="16">
        <f t="shared" si="22"/>
        <v>0</v>
      </c>
      <c r="K183" s="16">
        <f t="shared" si="23"/>
        <v>0</v>
      </c>
      <c r="L183" s="16">
        <f t="shared" si="24"/>
        <v>0</v>
      </c>
      <c r="M183" s="17">
        <f t="shared" si="25"/>
        <v>0</v>
      </c>
      <c r="N183" s="11"/>
      <c r="O183" s="18"/>
      <c r="P183" s="18"/>
      <c r="Q183" s="100">
        <f t="shared" si="20"/>
        <v>0</v>
      </c>
      <c r="R183" s="19"/>
      <c r="S183" s="52">
        <f t="shared" si="26"/>
        <v>0</v>
      </c>
      <c r="T183" s="11"/>
    </row>
    <row r="184" spans="1:20" x14ac:dyDescent="0.2">
      <c r="A184" s="11"/>
      <c r="B184" s="11"/>
      <c r="C184" s="12"/>
      <c r="D184" s="13"/>
      <c r="E184" s="14"/>
      <c r="F184" s="13"/>
      <c r="G184" s="15" t="e">
        <f t="shared" si="21"/>
        <v>#DIV/0!</v>
      </c>
      <c r="H184" s="16"/>
      <c r="I184" s="16"/>
      <c r="J184" s="16">
        <f t="shared" si="22"/>
        <v>0</v>
      </c>
      <c r="K184" s="16">
        <f t="shared" si="23"/>
        <v>0</v>
      </c>
      <c r="L184" s="16">
        <f t="shared" si="24"/>
        <v>0</v>
      </c>
      <c r="M184" s="17">
        <f t="shared" si="25"/>
        <v>0</v>
      </c>
      <c r="N184" s="11"/>
      <c r="O184" s="18"/>
      <c r="P184" s="18"/>
      <c r="Q184" s="100">
        <f t="shared" si="20"/>
        <v>0</v>
      </c>
      <c r="R184" s="19"/>
      <c r="S184" s="52">
        <f t="shared" si="26"/>
        <v>0</v>
      </c>
      <c r="T184" s="11"/>
    </row>
    <row r="185" spans="1:20" x14ac:dyDescent="0.2">
      <c r="A185" s="11"/>
      <c r="B185" s="11"/>
      <c r="C185" s="12"/>
      <c r="D185" s="13"/>
      <c r="E185" s="14"/>
      <c r="F185" s="13"/>
      <c r="G185" s="15" t="e">
        <f t="shared" si="21"/>
        <v>#DIV/0!</v>
      </c>
      <c r="H185" s="16"/>
      <c r="I185" s="16"/>
      <c r="J185" s="16">
        <f t="shared" si="22"/>
        <v>0</v>
      </c>
      <c r="K185" s="16">
        <f t="shared" si="23"/>
        <v>0</v>
      </c>
      <c r="L185" s="16">
        <f t="shared" si="24"/>
        <v>0</v>
      </c>
      <c r="M185" s="17">
        <f t="shared" si="25"/>
        <v>0</v>
      </c>
      <c r="N185" s="11"/>
      <c r="O185" s="18"/>
      <c r="P185" s="18"/>
      <c r="Q185" s="100">
        <f t="shared" si="20"/>
        <v>0</v>
      </c>
      <c r="R185" s="19"/>
      <c r="S185" s="52">
        <f t="shared" si="26"/>
        <v>0</v>
      </c>
      <c r="T185" s="11"/>
    </row>
    <row r="186" spans="1:20" x14ac:dyDescent="0.2">
      <c r="A186" s="11"/>
      <c r="B186" s="11"/>
      <c r="C186" s="12"/>
      <c r="D186" s="13"/>
      <c r="E186" s="14"/>
      <c r="F186" s="13"/>
      <c r="G186" s="15" t="e">
        <f t="shared" si="21"/>
        <v>#DIV/0!</v>
      </c>
      <c r="H186" s="16"/>
      <c r="I186" s="16"/>
      <c r="J186" s="16">
        <f t="shared" si="22"/>
        <v>0</v>
      </c>
      <c r="K186" s="16">
        <f t="shared" si="23"/>
        <v>0</v>
      </c>
      <c r="L186" s="16">
        <f t="shared" si="24"/>
        <v>0</v>
      </c>
      <c r="M186" s="17">
        <f t="shared" si="25"/>
        <v>0</v>
      </c>
      <c r="N186" s="11"/>
      <c r="O186" s="18"/>
      <c r="P186" s="18"/>
      <c r="Q186" s="100">
        <f t="shared" si="20"/>
        <v>0</v>
      </c>
      <c r="R186" s="19"/>
      <c r="S186" s="52">
        <f t="shared" si="26"/>
        <v>0</v>
      </c>
      <c r="T186" s="11"/>
    </row>
    <row r="187" spans="1:20" x14ac:dyDescent="0.2">
      <c r="A187" s="11"/>
      <c r="B187" s="11"/>
      <c r="C187" s="12"/>
      <c r="D187" s="13"/>
      <c r="E187" s="14"/>
      <c r="F187" s="13"/>
      <c r="G187" s="15" t="e">
        <f t="shared" si="21"/>
        <v>#DIV/0!</v>
      </c>
      <c r="H187" s="16"/>
      <c r="I187" s="16"/>
      <c r="J187" s="16">
        <f t="shared" si="22"/>
        <v>0</v>
      </c>
      <c r="K187" s="16">
        <f t="shared" si="23"/>
        <v>0</v>
      </c>
      <c r="L187" s="16">
        <f t="shared" si="24"/>
        <v>0</v>
      </c>
      <c r="M187" s="17">
        <f t="shared" si="25"/>
        <v>0</v>
      </c>
      <c r="N187" s="11"/>
      <c r="O187" s="18"/>
      <c r="P187" s="18"/>
      <c r="Q187" s="100">
        <f t="shared" si="20"/>
        <v>0</v>
      </c>
      <c r="R187" s="19"/>
      <c r="S187" s="52">
        <f t="shared" si="26"/>
        <v>0</v>
      </c>
      <c r="T187" s="11"/>
    </row>
    <row r="188" spans="1:20" x14ac:dyDescent="0.2">
      <c r="A188" s="11"/>
      <c r="B188" s="11"/>
      <c r="C188" s="12"/>
      <c r="D188" s="13"/>
      <c r="E188" s="14"/>
      <c r="F188" s="13"/>
      <c r="G188" s="15" t="e">
        <f t="shared" si="21"/>
        <v>#DIV/0!</v>
      </c>
      <c r="H188" s="16"/>
      <c r="I188" s="16"/>
      <c r="J188" s="16">
        <f t="shared" si="22"/>
        <v>0</v>
      </c>
      <c r="K188" s="16">
        <f t="shared" si="23"/>
        <v>0</v>
      </c>
      <c r="L188" s="16">
        <f t="shared" si="24"/>
        <v>0</v>
      </c>
      <c r="M188" s="17">
        <f t="shared" si="25"/>
        <v>0</v>
      </c>
      <c r="N188" s="11"/>
      <c r="O188" s="18"/>
      <c r="P188" s="18"/>
      <c r="Q188" s="100">
        <f t="shared" si="20"/>
        <v>0</v>
      </c>
      <c r="R188" s="19"/>
      <c r="S188" s="52">
        <f t="shared" si="26"/>
        <v>0</v>
      </c>
      <c r="T188" s="11"/>
    </row>
    <row r="189" spans="1:20" x14ac:dyDescent="0.2">
      <c r="A189" s="11"/>
      <c r="B189" s="11"/>
      <c r="C189" s="12"/>
      <c r="D189" s="13"/>
      <c r="E189" s="14"/>
      <c r="F189" s="13"/>
      <c r="G189" s="15" t="e">
        <f t="shared" si="21"/>
        <v>#DIV/0!</v>
      </c>
      <c r="H189" s="16"/>
      <c r="I189" s="16"/>
      <c r="J189" s="16">
        <f t="shared" si="22"/>
        <v>0</v>
      </c>
      <c r="K189" s="16">
        <f t="shared" si="23"/>
        <v>0</v>
      </c>
      <c r="L189" s="16">
        <f t="shared" si="24"/>
        <v>0</v>
      </c>
      <c r="M189" s="17">
        <f t="shared" si="25"/>
        <v>0</v>
      </c>
      <c r="N189" s="11"/>
      <c r="O189" s="18"/>
      <c r="P189" s="18"/>
      <c r="Q189" s="100">
        <f t="shared" si="20"/>
        <v>0</v>
      </c>
      <c r="R189" s="19"/>
      <c r="S189" s="52">
        <f t="shared" si="26"/>
        <v>0</v>
      </c>
      <c r="T189" s="11"/>
    </row>
    <row r="190" spans="1:20" x14ac:dyDescent="0.2">
      <c r="A190" s="11"/>
      <c r="B190" s="11"/>
      <c r="C190" s="12"/>
      <c r="D190" s="13"/>
      <c r="E190" s="14"/>
      <c r="F190" s="13"/>
      <c r="G190" s="15" t="e">
        <f t="shared" si="21"/>
        <v>#DIV/0!</v>
      </c>
      <c r="H190" s="16"/>
      <c r="I190" s="16"/>
      <c r="J190" s="16">
        <f t="shared" si="22"/>
        <v>0</v>
      </c>
      <c r="K190" s="16">
        <f t="shared" si="23"/>
        <v>0</v>
      </c>
      <c r="L190" s="16">
        <f t="shared" si="24"/>
        <v>0</v>
      </c>
      <c r="M190" s="17">
        <f t="shared" si="25"/>
        <v>0</v>
      </c>
      <c r="N190" s="11"/>
      <c r="O190" s="18"/>
      <c r="P190" s="18"/>
      <c r="Q190" s="100">
        <f t="shared" si="20"/>
        <v>0</v>
      </c>
      <c r="R190" s="19"/>
      <c r="S190" s="52">
        <f t="shared" si="26"/>
        <v>0</v>
      </c>
      <c r="T190" s="11"/>
    </row>
    <row r="191" spans="1:20" x14ac:dyDescent="0.2">
      <c r="A191" s="11"/>
      <c r="B191" s="11"/>
      <c r="C191" s="12"/>
      <c r="D191" s="13"/>
      <c r="E191" s="14"/>
      <c r="F191" s="13"/>
      <c r="G191" s="15" t="e">
        <f t="shared" si="21"/>
        <v>#DIV/0!</v>
      </c>
      <c r="H191" s="16"/>
      <c r="I191" s="16"/>
      <c r="J191" s="16">
        <f t="shared" si="22"/>
        <v>0</v>
      </c>
      <c r="K191" s="16">
        <f t="shared" si="23"/>
        <v>0</v>
      </c>
      <c r="L191" s="16">
        <f t="shared" si="24"/>
        <v>0</v>
      </c>
      <c r="M191" s="17">
        <f t="shared" si="25"/>
        <v>0</v>
      </c>
      <c r="N191" s="11"/>
      <c r="O191" s="18"/>
      <c r="P191" s="18"/>
      <c r="Q191" s="100">
        <f t="shared" si="20"/>
        <v>0</v>
      </c>
      <c r="R191" s="19"/>
      <c r="S191" s="52">
        <f t="shared" si="26"/>
        <v>0</v>
      </c>
      <c r="T191" s="11"/>
    </row>
    <row r="192" spans="1:20" x14ac:dyDescent="0.2">
      <c r="A192" s="11"/>
      <c r="B192" s="11"/>
      <c r="C192" s="12"/>
      <c r="D192" s="13"/>
      <c r="E192" s="14"/>
      <c r="F192" s="13"/>
      <c r="G192" s="15" t="e">
        <f t="shared" si="21"/>
        <v>#DIV/0!</v>
      </c>
      <c r="H192" s="16"/>
      <c r="I192" s="16"/>
      <c r="J192" s="16">
        <f t="shared" si="22"/>
        <v>0</v>
      </c>
      <c r="K192" s="16">
        <f t="shared" si="23"/>
        <v>0</v>
      </c>
      <c r="L192" s="16">
        <f t="shared" si="24"/>
        <v>0</v>
      </c>
      <c r="M192" s="17">
        <f t="shared" si="25"/>
        <v>0</v>
      </c>
      <c r="N192" s="11"/>
      <c r="O192" s="18"/>
      <c r="P192" s="18"/>
      <c r="Q192" s="100">
        <f t="shared" si="20"/>
        <v>0</v>
      </c>
      <c r="R192" s="19"/>
      <c r="S192" s="52">
        <f t="shared" si="26"/>
        <v>0</v>
      </c>
      <c r="T192" s="11"/>
    </row>
    <row r="193" spans="1:20" x14ac:dyDescent="0.2">
      <c r="A193" s="11"/>
      <c r="B193" s="11"/>
      <c r="C193" s="12"/>
      <c r="D193" s="13"/>
      <c r="E193" s="14"/>
      <c r="F193" s="13"/>
      <c r="G193" s="15" t="e">
        <f t="shared" si="21"/>
        <v>#DIV/0!</v>
      </c>
      <c r="H193" s="16"/>
      <c r="I193" s="16"/>
      <c r="J193" s="16">
        <f t="shared" si="22"/>
        <v>0</v>
      </c>
      <c r="K193" s="16">
        <f t="shared" si="23"/>
        <v>0</v>
      </c>
      <c r="L193" s="16">
        <f t="shared" si="24"/>
        <v>0</v>
      </c>
      <c r="M193" s="17">
        <f t="shared" si="25"/>
        <v>0</v>
      </c>
      <c r="N193" s="11"/>
      <c r="O193" s="18"/>
      <c r="P193" s="18"/>
      <c r="Q193" s="100">
        <f t="shared" si="20"/>
        <v>0</v>
      </c>
      <c r="R193" s="19"/>
      <c r="S193" s="52">
        <f t="shared" si="26"/>
        <v>0</v>
      </c>
      <c r="T193" s="11"/>
    </row>
    <row r="194" spans="1:20" x14ac:dyDescent="0.2">
      <c r="A194" s="11"/>
      <c r="B194" s="11"/>
      <c r="C194" s="12"/>
      <c r="D194" s="13"/>
      <c r="E194" s="14"/>
      <c r="F194" s="13"/>
      <c r="G194" s="15" t="e">
        <f t="shared" si="21"/>
        <v>#DIV/0!</v>
      </c>
      <c r="H194" s="16"/>
      <c r="I194" s="16"/>
      <c r="J194" s="16">
        <f t="shared" si="22"/>
        <v>0</v>
      </c>
      <c r="K194" s="16">
        <f t="shared" si="23"/>
        <v>0</v>
      </c>
      <c r="L194" s="16">
        <f t="shared" si="24"/>
        <v>0</v>
      </c>
      <c r="M194" s="17">
        <f t="shared" si="25"/>
        <v>0</v>
      </c>
      <c r="N194" s="11"/>
      <c r="O194" s="18"/>
      <c r="P194" s="18"/>
      <c r="Q194" s="100">
        <f t="shared" si="20"/>
        <v>0</v>
      </c>
      <c r="R194" s="19"/>
      <c r="S194" s="52">
        <f t="shared" si="26"/>
        <v>0</v>
      </c>
      <c r="T194" s="11"/>
    </row>
    <row r="195" spans="1:20" x14ac:dyDescent="0.2">
      <c r="A195" s="11"/>
      <c r="B195" s="11"/>
      <c r="C195" s="12"/>
      <c r="D195" s="13"/>
      <c r="E195" s="14"/>
      <c r="F195" s="13"/>
      <c r="G195" s="15" t="e">
        <f t="shared" si="21"/>
        <v>#DIV/0!</v>
      </c>
      <c r="H195" s="16"/>
      <c r="I195" s="16"/>
      <c r="J195" s="16">
        <f t="shared" si="22"/>
        <v>0</v>
      </c>
      <c r="K195" s="16">
        <f t="shared" si="23"/>
        <v>0</v>
      </c>
      <c r="L195" s="16">
        <f t="shared" si="24"/>
        <v>0</v>
      </c>
      <c r="M195" s="17">
        <f t="shared" si="25"/>
        <v>0</v>
      </c>
      <c r="N195" s="11"/>
      <c r="O195" s="18"/>
      <c r="P195" s="18"/>
      <c r="Q195" s="100">
        <f t="shared" si="20"/>
        <v>0</v>
      </c>
      <c r="R195" s="19"/>
      <c r="S195" s="52">
        <f t="shared" si="26"/>
        <v>0</v>
      </c>
      <c r="T195" s="11"/>
    </row>
    <row r="196" spans="1:20" x14ac:dyDescent="0.2">
      <c r="A196" s="11"/>
      <c r="B196" s="11"/>
      <c r="C196" s="12"/>
      <c r="D196" s="13"/>
      <c r="E196" s="14"/>
      <c r="F196" s="13"/>
      <c r="G196" s="15" t="e">
        <f t="shared" si="21"/>
        <v>#DIV/0!</v>
      </c>
      <c r="H196" s="16"/>
      <c r="I196" s="16"/>
      <c r="J196" s="16">
        <f t="shared" si="22"/>
        <v>0</v>
      </c>
      <c r="K196" s="16">
        <f t="shared" si="23"/>
        <v>0</v>
      </c>
      <c r="L196" s="16">
        <f t="shared" si="24"/>
        <v>0</v>
      </c>
      <c r="M196" s="17">
        <f t="shared" si="25"/>
        <v>0</v>
      </c>
      <c r="N196" s="11"/>
      <c r="O196" s="18"/>
      <c r="P196" s="18"/>
      <c r="Q196" s="100">
        <f t="shared" si="20"/>
        <v>0</v>
      </c>
      <c r="R196" s="19"/>
      <c r="S196" s="52">
        <f t="shared" si="26"/>
        <v>0</v>
      </c>
      <c r="T196" s="11"/>
    </row>
    <row r="197" spans="1:20" x14ac:dyDescent="0.2">
      <c r="A197" s="11"/>
      <c r="B197" s="11"/>
      <c r="C197" s="12"/>
      <c r="D197" s="13"/>
      <c r="E197" s="14"/>
      <c r="F197" s="13"/>
      <c r="G197" s="15" t="e">
        <f t="shared" si="21"/>
        <v>#DIV/0!</v>
      </c>
      <c r="H197" s="16"/>
      <c r="I197" s="16"/>
      <c r="J197" s="16">
        <f t="shared" si="22"/>
        <v>0</v>
      </c>
      <c r="K197" s="16">
        <f t="shared" si="23"/>
        <v>0</v>
      </c>
      <c r="L197" s="16">
        <f t="shared" si="24"/>
        <v>0</v>
      </c>
      <c r="M197" s="17">
        <f t="shared" si="25"/>
        <v>0</v>
      </c>
      <c r="N197" s="11"/>
      <c r="O197" s="18"/>
      <c r="P197" s="18"/>
      <c r="Q197" s="100">
        <f t="shared" si="20"/>
        <v>0</v>
      </c>
      <c r="R197" s="19"/>
      <c r="S197" s="52">
        <f t="shared" si="26"/>
        <v>0</v>
      </c>
      <c r="T197" s="11"/>
    </row>
    <row r="198" spans="1:20" x14ac:dyDescent="0.2">
      <c r="A198" s="11"/>
      <c r="B198" s="11"/>
      <c r="C198" s="12"/>
      <c r="D198" s="13"/>
      <c r="E198" s="14"/>
      <c r="F198" s="13"/>
      <c r="G198" s="15" t="e">
        <f t="shared" si="21"/>
        <v>#DIV/0!</v>
      </c>
      <c r="H198" s="16"/>
      <c r="I198" s="16"/>
      <c r="J198" s="16">
        <f t="shared" si="22"/>
        <v>0</v>
      </c>
      <c r="K198" s="16">
        <f t="shared" si="23"/>
        <v>0</v>
      </c>
      <c r="L198" s="16">
        <f t="shared" si="24"/>
        <v>0</v>
      </c>
      <c r="M198" s="17">
        <f t="shared" si="25"/>
        <v>0</v>
      </c>
      <c r="N198" s="11"/>
      <c r="O198" s="18"/>
      <c r="P198" s="18"/>
      <c r="Q198" s="100">
        <f t="shared" ref="Q198:Q261" si="27">+P198-O198</f>
        <v>0</v>
      </c>
      <c r="R198" s="19"/>
      <c r="S198" s="52">
        <f t="shared" si="26"/>
        <v>0</v>
      </c>
      <c r="T198" s="11"/>
    </row>
    <row r="199" spans="1:20" x14ac:dyDescent="0.2">
      <c r="A199" s="11"/>
      <c r="B199" s="11"/>
      <c r="C199" s="12"/>
      <c r="D199" s="13"/>
      <c r="E199" s="14"/>
      <c r="F199" s="13"/>
      <c r="G199" s="15" t="e">
        <f t="shared" si="21"/>
        <v>#DIV/0!</v>
      </c>
      <c r="H199" s="16"/>
      <c r="I199" s="16"/>
      <c r="J199" s="16">
        <f t="shared" si="22"/>
        <v>0</v>
      </c>
      <c r="K199" s="16">
        <f t="shared" si="23"/>
        <v>0</v>
      </c>
      <c r="L199" s="16">
        <f t="shared" si="24"/>
        <v>0</v>
      </c>
      <c r="M199" s="17">
        <f t="shared" si="25"/>
        <v>0</v>
      </c>
      <c r="N199" s="11"/>
      <c r="O199" s="18"/>
      <c r="P199" s="18"/>
      <c r="Q199" s="100">
        <f t="shared" si="27"/>
        <v>0</v>
      </c>
      <c r="R199" s="19"/>
      <c r="S199" s="52">
        <f t="shared" si="26"/>
        <v>0</v>
      </c>
      <c r="T199" s="11"/>
    </row>
    <row r="200" spans="1:20" x14ac:dyDescent="0.2">
      <c r="A200" s="11"/>
      <c r="B200" s="11"/>
      <c r="C200" s="12"/>
      <c r="D200" s="13"/>
      <c r="E200" s="14"/>
      <c r="F200" s="13"/>
      <c r="G200" s="15" t="e">
        <f t="shared" si="21"/>
        <v>#DIV/0!</v>
      </c>
      <c r="H200" s="16"/>
      <c r="I200" s="16"/>
      <c r="J200" s="16">
        <f t="shared" si="22"/>
        <v>0</v>
      </c>
      <c r="K200" s="16">
        <f t="shared" si="23"/>
        <v>0</v>
      </c>
      <c r="L200" s="16">
        <f t="shared" si="24"/>
        <v>0</v>
      </c>
      <c r="M200" s="17">
        <f t="shared" si="25"/>
        <v>0</v>
      </c>
      <c r="N200" s="11"/>
      <c r="O200" s="18"/>
      <c r="P200" s="18"/>
      <c r="Q200" s="100">
        <f t="shared" si="27"/>
        <v>0</v>
      </c>
      <c r="R200" s="19"/>
      <c r="S200" s="52">
        <f t="shared" si="26"/>
        <v>0</v>
      </c>
      <c r="T200" s="11"/>
    </row>
    <row r="201" spans="1:20" x14ac:dyDescent="0.2">
      <c r="A201" s="11"/>
      <c r="B201" s="11"/>
      <c r="C201" s="12"/>
      <c r="D201" s="13"/>
      <c r="E201" s="14"/>
      <c r="F201" s="13"/>
      <c r="G201" s="15" t="e">
        <f t="shared" si="21"/>
        <v>#DIV/0!</v>
      </c>
      <c r="H201" s="16"/>
      <c r="I201" s="16"/>
      <c r="J201" s="16">
        <f t="shared" si="22"/>
        <v>0</v>
      </c>
      <c r="K201" s="16">
        <f t="shared" si="23"/>
        <v>0</v>
      </c>
      <c r="L201" s="16">
        <f t="shared" si="24"/>
        <v>0</v>
      </c>
      <c r="M201" s="17">
        <f t="shared" si="25"/>
        <v>0</v>
      </c>
      <c r="N201" s="11"/>
      <c r="O201" s="18"/>
      <c r="P201" s="18"/>
      <c r="Q201" s="100">
        <f t="shared" si="27"/>
        <v>0</v>
      </c>
      <c r="R201" s="19"/>
      <c r="S201" s="52">
        <f t="shared" si="26"/>
        <v>0</v>
      </c>
      <c r="T201" s="11"/>
    </row>
    <row r="202" spans="1:20" x14ac:dyDescent="0.2">
      <c r="A202" s="11"/>
      <c r="B202" s="11"/>
      <c r="C202" s="12"/>
      <c r="D202" s="13"/>
      <c r="E202" s="14"/>
      <c r="F202" s="13"/>
      <c r="G202" s="15" t="e">
        <f t="shared" si="21"/>
        <v>#DIV/0!</v>
      </c>
      <c r="H202" s="16"/>
      <c r="I202" s="16"/>
      <c r="J202" s="16">
        <f t="shared" si="22"/>
        <v>0</v>
      </c>
      <c r="K202" s="16">
        <f t="shared" si="23"/>
        <v>0</v>
      </c>
      <c r="L202" s="16">
        <f t="shared" si="24"/>
        <v>0</v>
      </c>
      <c r="M202" s="17">
        <f t="shared" si="25"/>
        <v>0</v>
      </c>
      <c r="N202" s="11"/>
      <c r="O202" s="18"/>
      <c r="P202" s="18"/>
      <c r="Q202" s="100">
        <f t="shared" si="27"/>
        <v>0</v>
      </c>
      <c r="R202" s="19"/>
      <c r="S202" s="52">
        <f t="shared" si="26"/>
        <v>0</v>
      </c>
      <c r="T202" s="11"/>
    </row>
    <row r="203" spans="1:20" x14ac:dyDescent="0.2">
      <c r="A203" s="11"/>
      <c r="B203" s="11"/>
      <c r="C203" s="12"/>
      <c r="D203" s="13"/>
      <c r="E203" s="14"/>
      <c r="F203" s="13"/>
      <c r="G203" s="15" t="e">
        <f t="shared" si="21"/>
        <v>#DIV/0!</v>
      </c>
      <c r="H203" s="16"/>
      <c r="I203" s="16"/>
      <c r="J203" s="16">
        <f t="shared" si="22"/>
        <v>0</v>
      </c>
      <c r="K203" s="16">
        <f t="shared" si="23"/>
        <v>0</v>
      </c>
      <c r="L203" s="16">
        <f t="shared" si="24"/>
        <v>0</v>
      </c>
      <c r="M203" s="17">
        <f t="shared" si="25"/>
        <v>0</v>
      </c>
      <c r="N203" s="11"/>
      <c r="O203" s="18"/>
      <c r="P203" s="18"/>
      <c r="Q203" s="100">
        <f t="shared" si="27"/>
        <v>0</v>
      </c>
      <c r="R203" s="19"/>
      <c r="S203" s="52">
        <f t="shared" si="26"/>
        <v>0</v>
      </c>
      <c r="T203" s="11"/>
    </row>
    <row r="204" spans="1:20" x14ac:dyDescent="0.2">
      <c r="A204" s="11"/>
      <c r="B204" s="11"/>
      <c r="C204" s="12"/>
      <c r="D204" s="13"/>
      <c r="E204" s="14"/>
      <c r="F204" s="13"/>
      <c r="G204" s="15" t="e">
        <f t="shared" si="21"/>
        <v>#DIV/0!</v>
      </c>
      <c r="H204" s="16"/>
      <c r="I204" s="16"/>
      <c r="J204" s="16">
        <f t="shared" si="22"/>
        <v>0</v>
      </c>
      <c r="K204" s="16">
        <f t="shared" si="23"/>
        <v>0</v>
      </c>
      <c r="L204" s="16">
        <f t="shared" si="24"/>
        <v>0</v>
      </c>
      <c r="M204" s="17">
        <f t="shared" si="25"/>
        <v>0</v>
      </c>
      <c r="N204" s="11"/>
      <c r="O204" s="18"/>
      <c r="P204" s="18"/>
      <c r="Q204" s="100">
        <f t="shared" si="27"/>
        <v>0</v>
      </c>
      <c r="R204" s="19"/>
      <c r="S204" s="52">
        <f t="shared" si="26"/>
        <v>0</v>
      </c>
      <c r="T204" s="11"/>
    </row>
    <row r="205" spans="1:20" x14ac:dyDescent="0.2">
      <c r="A205" s="11"/>
      <c r="B205" s="11"/>
      <c r="C205" s="12"/>
      <c r="D205" s="13"/>
      <c r="E205" s="14"/>
      <c r="F205" s="13"/>
      <c r="G205" s="15" t="e">
        <f t="shared" si="21"/>
        <v>#DIV/0!</v>
      </c>
      <c r="H205" s="16"/>
      <c r="I205" s="16"/>
      <c r="J205" s="16">
        <f t="shared" si="22"/>
        <v>0</v>
      </c>
      <c r="K205" s="16">
        <f t="shared" si="23"/>
        <v>0</v>
      </c>
      <c r="L205" s="16">
        <f t="shared" si="24"/>
        <v>0</v>
      </c>
      <c r="M205" s="17">
        <f t="shared" si="25"/>
        <v>0</v>
      </c>
      <c r="N205" s="11"/>
      <c r="O205" s="18"/>
      <c r="P205" s="18"/>
      <c r="Q205" s="100">
        <f t="shared" si="27"/>
        <v>0</v>
      </c>
      <c r="R205" s="19"/>
      <c r="S205" s="52">
        <f t="shared" si="26"/>
        <v>0</v>
      </c>
      <c r="T205" s="11"/>
    </row>
    <row r="206" spans="1:20" x14ac:dyDescent="0.2">
      <c r="A206" s="11"/>
      <c r="B206" s="11"/>
      <c r="C206" s="12"/>
      <c r="D206" s="13"/>
      <c r="E206" s="14"/>
      <c r="F206" s="13"/>
      <c r="G206" s="15" t="e">
        <f t="shared" ref="G206:G269" si="28">+F206/D206</f>
        <v>#DIV/0!</v>
      </c>
      <c r="H206" s="16"/>
      <c r="I206" s="16"/>
      <c r="J206" s="16">
        <f t="shared" ref="J206:J269" si="29">+H206*F206</f>
        <v>0</v>
      </c>
      <c r="K206" s="16">
        <f t="shared" ref="K206:K269" si="30">$K$2*C206</f>
        <v>0</v>
      </c>
      <c r="L206" s="16">
        <f t="shared" ref="L206:L269" si="31">$L$2*C206</f>
        <v>0</v>
      </c>
      <c r="M206" s="17">
        <f t="shared" ref="M206:M269" si="32">+(J206*1.21)+K206+L206</f>
        <v>0</v>
      </c>
      <c r="N206" s="11"/>
      <c r="O206" s="18"/>
      <c r="P206" s="18"/>
      <c r="Q206" s="100">
        <f t="shared" si="27"/>
        <v>0</v>
      </c>
      <c r="R206" s="19"/>
      <c r="S206" s="52">
        <f t="shared" si="26"/>
        <v>0</v>
      </c>
      <c r="T206" s="11"/>
    </row>
    <row r="207" spans="1:20" x14ac:dyDescent="0.2">
      <c r="A207" s="11"/>
      <c r="B207" s="11"/>
      <c r="C207" s="12"/>
      <c r="D207" s="13"/>
      <c r="E207" s="14"/>
      <c r="F207" s="13"/>
      <c r="G207" s="15" t="e">
        <f t="shared" si="28"/>
        <v>#DIV/0!</v>
      </c>
      <c r="H207" s="16"/>
      <c r="I207" s="16"/>
      <c r="J207" s="16">
        <f t="shared" si="29"/>
        <v>0</v>
      </c>
      <c r="K207" s="16">
        <f t="shared" si="30"/>
        <v>0</v>
      </c>
      <c r="L207" s="16">
        <f t="shared" si="31"/>
        <v>0</v>
      </c>
      <c r="M207" s="17">
        <f t="shared" si="32"/>
        <v>0</v>
      </c>
      <c r="N207" s="11"/>
      <c r="O207" s="18"/>
      <c r="P207" s="18"/>
      <c r="Q207" s="100">
        <f t="shared" si="27"/>
        <v>0</v>
      </c>
      <c r="R207" s="19"/>
      <c r="S207" s="52">
        <f t="shared" si="26"/>
        <v>0</v>
      </c>
      <c r="T207" s="11"/>
    </row>
    <row r="208" spans="1:20" x14ac:dyDescent="0.2">
      <c r="A208" s="11"/>
      <c r="B208" s="11"/>
      <c r="C208" s="12"/>
      <c r="D208" s="13"/>
      <c r="E208" s="14"/>
      <c r="F208" s="13"/>
      <c r="G208" s="15" t="e">
        <f t="shared" si="28"/>
        <v>#DIV/0!</v>
      </c>
      <c r="H208" s="16"/>
      <c r="I208" s="16"/>
      <c r="J208" s="16">
        <f t="shared" si="29"/>
        <v>0</v>
      </c>
      <c r="K208" s="16">
        <f t="shared" si="30"/>
        <v>0</v>
      </c>
      <c r="L208" s="16">
        <f t="shared" si="31"/>
        <v>0</v>
      </c>
      <c r="M208" s="17">
        <f t="shared" si="32"/>
        <v>0</v>
      </c>
      <c r="N208" s="11"/>
      <c r="O208" s="18"/>
      <c r="P208" s="18"/>
      <c r="Q208" s="100">
        <f t="shared" si="27"/>
        <v>0</v>
      </c>
      <c r="R208" s="19"/>
      <c r="S208" s="52">
        <f t="shared" ref="S208:S271" si="33">+R208-M208</f>
        <v>0</v>
      </c>
      <c r="T208" s="11"/>
    </row>
    <row r="209" spans="1:20" x14ac:dyDescent="0.2">
      <c r="A209" s="11"/>
      <c r="B209" s="11"/>
      <c r="C209" s="12"/>
      <c r="D209" s="13"/>
      <c r="E209" s="14"/>
      <c r="F209" s="13"/>
      <c r="G209" s="15" t="e">
        <f t="shared" si="28"/>
        <v>#DIV/0!</v>
      </c>
      <c r="H209" s="16"/>
      <c r="I209" s="16"/>
      <c r="J209" s="16">
        <f t="shared" si="29"/>
        <v>0</v>
      </c>
      <c r="K209" s="16">
        <f t="shared" si="30"/>
        <v>0</v>
      </c>
      <c r="L209" s="16">
        <f t="shared" si="31"/>
        <v>0</v>
      </c>
      <c r="M209" s="17">
        <f t="shared" si="32"/>
        <v>0</v>
      </c>
      <c r="N209" s="11"/>
      <c r="O209" s="18"/>
      <c r="P209" s="18"/>
      <c r="Q209" s="100">
        <f t="shared" si="27"/>
        <v>0</v>
      </c>
      <c r="R209" s="19"/>
      <c r="S209" s="52">
        <f t="shared" si="33"/>
        <v>0</v>
      </c>
      <c r="T209" s="11"/>
    </row>
    <row r="210" spans="1:20" x14ac:dyDescent="0.2">
      <c r="A210" s="11"/>
      <c r="B210" s="11"/>
      <c r="C210" s="12"/>
      <c r="D210" s="13"/>
      <c r="E210" s="14"/>
      <c r="F210" s="13"/>
      <c r="G210" s="15" t="e">
        <f t="shared" si="28"/>
        <v>#DIV/0!</v>
      </c>
      <c r="H210" s="16"/>
      <c r="I210" s="16"/>
      <c r="J210" s="16">
        <f t="shared" si="29"/>
        <v>0</v>
      </c>
      <c r="K210" s="16">
        <f t="shared" si="30"/>
        <v>0</v>
      </c>
      <c r="L210" s="16">
        <f t="shared" si="31"/>
        <v>0</v>
      </c>
      <c r="M210" s="17">
        <f t="shared" si="32"/>
        <v>0</v>
      </c>
      <c r="N210" s="11"/>
      <c r="O210" s="18"/>
      <c r="P210" s="18"/>
      <c r="Q210" s="100">
        <f t="shared" si="27"/>
        <v>0</v>
      </c>
      <c r="R210" s="19"/>
      <c r="S210" s="52">
        <f t="shared" si="33"/>
        <v>0</v>
      </c>
      <c r="T210" s="11"/>
    </row>
    <row r="211" spans="1:20" x14ac:dyDescent="0.2">
      <c r="A211" s="11"/>
      <c r="B211" s="11"/>
      <c r="C211" s="12"/>
      <c r="D211" s="13"/>
      <c r="E211" s="14"/>
      <c r="F211" s="13"/>
      <c r="G211" s="15" t="e">
        <f t="shared" si="28"/>
        <v>#DIV/0!</v>
      </c>
      <c r="H211" s="16"/>
      <c r="I211" s="16"/>
      <c r="J211" s="16">
        <f t="shared" si="29"/>
        <v>0</v>
      </c>
      <c r="K211" s="16">
        <f t="shared" si="30"/>
        <v>0</v>
      </c>
      <c r="L211" s="16">
        <f t="shared" si="31"/>
        <v>0</v>
      </c>
      <c r="M211" s="17">
        <f t="shared" si="32"/>
        <v>0</v>
      </c>
      <c r="N211" s="11"/>
      <c r="O211" s="18"/>
      <c r="P211" s="18"/>
      <c r="Q211" s="100">
        <f t="shared" si="27"/>
        <v>0</v>
      </c>
      <c r="R211" s="19"/>
      <c r="S211" s="52">
        <f t="shared" si="33"/>
        <v>0</v>
      </c>
      <c r="T211" s="11"/>
    </row>
    <row r="212" spans="1:20" x14ac:dyDescent="0.2">
      <c r="A212" s="11"/>
      <c r="B212" s="11"/>
      <c r="C212" s="12"/>
      <c r="D212" s="13"/>
      <c r="E212" s="14"/>
      <c r="F212" s="13"/>
      <c r="G212" s="15" t="e">
        <f t="shared" si="28"/>
        <v>#DIV/0!</v>
      </c>
      <c r="H212" s="16"/>
      <c r="I212" s="16"/>
      <c r="J212" s="16">
        <f t="shared" si="29"/>
        <v>0</v>
      </c>
      <c r="K212" s="16">
        <f t="shared" si="30"/>
        <v>0</v>
      </c>
      <c r="L212" s="16">
        <f t="shared" si="31"/>
        <v>0</v>
      </c>
      <c r="M212" s="17">
        <f t="shared" si="32"/>
        <v>0</v>
      </c>
      <c r="N212" s="11"/>
      <c r="O212" s="18"/>
      <c r="P212" s="18"/>
      <c r="Q212" s="100">
        <f t="shared" si="27"/>
        <v>0</v>
      </c>
      <c r="R212" s="19"/>
      <c r="S212" s="52">
        <f t="shared" si="33"/>
        <v>0</v>
      </c>
      <c r="T212" s="11"/>
    </row>
    <row r="213" spans="1:20" x14ac:dyDescent="0.2">
      <c r="A213" s="11"/>
      <c r="B213" s="11"/>
      <c r="C213" s="12"/>
      <c r="D213" s="13"/>
      <c r="E213" s="14"/>
      <c r="F213" s="13"/>
      <c r="G213" s="15" t="e">
        <f t="shared" si="28"/>
        <v>#DIV/0!</v>
      </c>
      <c r="H213" s="16"/>
      <c r="I213" s="16"/>
      <c r="J213" s="16">
        <f t="shared" si="29"/>
        <v>0</v>
      </c>
      <c r="K213" s="16">
        <f t="shared" si="30"/>
        <v>0</v>
      </c>
      <c r="L213" s="16">
        <f t="shared" si="31"/>
        <v>0</v>
      </c>
      <c r="M213" s="17">
        <f t="shared" si="32"/>
        <v>0</v>
      </c>
      <c r="N213" s="11"/>
      <c r="O213" s="18"/>
      <c r="P213" s="18"/>
      <c r="Q213" s="100">
        <f t="shared" si="27"/>
        <v>0</v>
      </c>
      <c r="R213" s="19"/>
      <c r="S213" s="52">
        <f t="shared" si="33"/>
        <v>0</v>
      </c>
      <c r="T213" s="11"/>
    </row>
    <row r="214" spans="1:20" x14ac:dyDescent="0.2">
      <c r="A214" s="11"/>
      <c r="B214" s="11"/>
      <c r="C214" s="12"/>
      <c r="D214" s="13"/>
      <c r="E214" s="14"/>
      <c r="F214" s="13"/>
      <c r="G214" s="15" t="e">
        <f t="shared" si="28"/>
        <v>#DIV/0!</v>
      </c>
      <c r="H214" s="16"/>
      <c r="I214" s="16"/>
      <c r="J214" s="16">
        <f t="shared" si="29"/>
        <v>0</v>
      </c>
      <c r="K214" s="16">
        <f t="shared" si="30"/>
        <v>0</v>
      </c>
      <c r="L214" s="16">
        <f t="shared" si="31"/>
        <v>0</v>
      </c>
      <c r="M214" s="17">
        <f t="shared" si="32"/>
        <v>0</v>
      </c>
      <c r="N214" s="11"/>
      <c r="O214" s="18"/>
      <c r="P214" s="18"/>
      <c r="Q214" s="100">
        <f t="shared" si="27"/>
        <v>0</v>
      </c>
      <c r="R214" s="19"/>
      <c r="S214" s="52">
        <f t="shared" si="33"/>
        <v>0</v>
      </c>
      <c r="T214" s="11"/>
    </row>
    <row r="215" spans="1:20" x14ac:dyDescent="0.2">
      <c r="A215" s="11"/>
      <c r="B215" s="11"/>
      <c r="C215" s="12"/>
      <c r="D215" s="13"/>
      <c r="E215" s="14"/>
      <c r="F215" s="13"/>
      <c r="G215" s="15" t="e">
        <f t="shared" si="28"/>
        <v>#DIV/0!</v>
      </c>
      <c r="H215" s="16"/>
      <c r="I215" s="16"/>
      <c r="J215" s="16">
        <f t="shared" si="29"/>
        <v>0</v>
      </c>
      <c r="K215" s="16">
        <f t="shared" si="30"/>
        <v>0</v>
      </c>
      <c r="L215" s="16">
        <f t="shared" si="31"/>
        <v>0</v>
      </c>
      <c r="M215" s="17">
        <f t="shared" si="32"/>
        <v>0</v>
      </c>
      <c r="N215" s="11"/>
      <c r="O215" s="18"/>
      <c r="P215" s="18"/>
      <c r="Q215" s="100">
        <f t="shared" si="27"/>
        <v>0</v>
      </c>
      <c r="R215" s="19"/>
      <c r="S215" s="52">
        <f t="shared" si="33"/>
        <v>0</v>
      </c>
      <c r="T215" s="11"/>
    </row>
    <row r="216" spans="1:20" x14ac:dyDescent="0.2">
      <c r="A216" s="11"/>
      <c r="B216" s="11"/>
      <c r="C216" s="12"/>
      <c r="D216" s="13"/>
      <c r="E216" s="14"/>
      <c r="F216" s="13"/>
      <c r="G216" s="15" t="e">
        <f t="shared" si="28"/>
        <v>#DIV/0!</v>
      </c>
      <c r="H216" s="16"/>
      <c r="I216" s="16"/>
      <c r="J216" s="16">
        <f t="shared" si="29"/>
        <v>0</v>
      </c>
      <c r="K216" s="16">
        <f t="shared" si="30"/>
        <v>0</v>
      </c>
      <c r="L216" s="16">
        <f t="shared" si="31"/>
        <v>0</v>
      </c>
      <c r="M216" s="17">
        <f t="shared" si="32"/>
        <v>0</v>
      </c>
      <c r="N216" s="11"/>
      <c r="O216" s="18"/>
      <c r="P216" s="18"/>
      <c r="Q216" s="100">
        <f t="shared" si="27"/>
        <v>0</v>
      </c>
      <c r="R216" s="19"/>
      <c r="S216" s="52">
        <f t="shared" si="33"/>
        <v>0</v>
      </c>
      <c r="T216" s="11"/>
    </row>
    <row r="217" spans="1:20" x14ac:dyDescent="0.2">
      <c r="A217" s="11"/>
      <c r="B217" s="11"/>
      <c r="C217" s="12"/>
      <c r="D217" s="13"/>
      <c r="E217" s="14"/>
      <c r="F217" s="13"/>
      <c r="G217" s="15" t="e">
        <f t="shared" si="28"/>
        <v>#DIV/0!</v>
      </c>
      <c r="H217" s="16"/>
      <c r="I217" s="16"/>
      <c r="J217" s="16">
        <f t="shared" si="29"/>
        <v>0</v>
      </c>
      <c r="K217" s="16">
        <f t="shared" si="30"/>
        <v>0</v>
      </c>
      <c r="L217" s="16">
        <f t="shared" si="31"/>
        <v>0</v>
      </c>
      <c r="M217" s="17">
        <f t="shared" si="32"/>
        <v>0</v>
      </c>
      <c r="N217" s="11"/>
      <c r="O217" s="18"/>
      <c r="P217" s="18"/>
      <c r="Q217" s="100">
        <f t="shared" si="27"/>
        <v>0</v>
      </c>
      <c r="R217" s="19"/>
      <c r="S217" s="52">
        <f t="shared" si="33"/>
        <v>0</v>
      </c>
      <c r="T217" s="11"/>
    </row>
    <row r="218" spans="1:20" x14ac:dyDescent="0.2">
      <c r="A218" s="11"/>
      <c r="B218" s="11"/>
      <c r="C218" s="12"/>
      <c r="D218" s="13"/>
      <c r="E218" s="14"/>
      <c r="F218" s="13"/>
      <c r="G218" s="15" t="e">
        <f t="shared" si="28"/>
        <v>#DIV/0!</v>
      </c>
      <c r="H218" s="16"/>
      <c r="I218" s="16"/>
      <c r="J218" s="16">
        <f t="shared" si="29"/>
        <v>0</v>
      </c>
      <c r="K218" s="16">
        <f t="shared" si="30"/>
        <v>0</v>
      </c>
      <c r="L218" s="16">
        <f t="shared" si="31"/>
        <v>0</v>
      </c>
      <c r="M218" s="17">
        <f t="shared" si="32"/>
        <v>0</v>
      </c>
      <c r="N218" s="11"/>
      <c r="O218" s="18"/>
      <c r="P218" s="18"/>
      <c r="Q218" s="100">
        <f t="shared" si="27"/>
        <v>0</v>
      </c>
      <c r="R218" s="19"/>
      <c r="S218" s="52">
        <f t="shared" si="33"/>
        <v>0</v>
      </c>
      <c r="T218" s="11"/>
    </row>
    <row r="219" spans="1:20" x14ac:dyDescent="0.2">
      <c r="A219" s="11"/>
      <c r="B219" s="11"/>
      <c r="C219" s="12"/>
      <c r="D219" s="13"/>
      <c r="E219" s="14"/>
      <c r="F219" s="13"/>
      <c r="G219" s="15" t="e">
        <f t="shared" si="28"/>
        <v>#DIV/0!</v>
      </c>
      <c r="H219" s="16"/>
      <c r="I219" s="16"/>
      <c r="J219" s="16">
        <f t="shared" si="29"/>
        <v>0</v>
      </c>
      <c r="K219" s="16">
        <f t="shared" si="30"/>
        <v>0</v>
      </c>
      <c r="L219" s="16">
        <f t="shared" si="31"/>
        <v>0</v>
      </c>
      <c r="M219" s="17">
        <f t="shared" si="32"/>
        <v>0</v>
      </c>
      <c r="N219" s="11"/>
      <c r="O219" s="18"/>
      <c r="P219" s="18"/>
      <c r="Q219" s="100">
        <f t="shared" si="27"/>
        <v>0</v>
      </c>
      <c r="R219" s="19"/>
      <c r="S219" s="52">
        <f t="shared" si="33"/>
        <v>0</v>
      </c>
      <c r="T219" s="11"/>
    </row>
    <row r="220" spans="1:20" x14ac:dyDescent="0.2">
      <c r="A220" s="11"/>
      <c r="B220" s="11"/>
      <c r="C220" s="12"/>
      <c r="D220" s="13"/>
      <c r="E220" s="14"/>
      <c r="F220" s="13"/>
      <c r="G220" s="15" t="e">
        <f t="shared" si="28"/>
        <v>#DIV/0!</v>
      </c>
      <c r="H220" s="16"/>
      <c r="I220" s="16"/>
      <c r="J220" s="16">
        <f t="shared" si="29"/>
        <v>0</v>
      </c>
      <c r="K220" s="16">
        <f t="shared" si="30"/>
        <v>0</v>
      </c>
      <c r="L220" s="16">
        <f t="shared" si="31"/>
        <v>0</v>
      </c>
      <c r="M220" s="17">
        <f t="shared" si="32"/>
        <v>0</v>
      </c>
      <c r="N220" s="11"/>
      <c r="O220" s="18"/>
      <c r="P220" s="18"/>
      <c r="Q220" s="100">
        <f t="shared" si="27"/>
        <v>0</v>
      </c>
      <c r="R220" s="19"/>
      <c r="S220" s="52">
        <f t="shared" si="33"/>
        <v>0</v>
      </c>
      <c r="T220" s="11"/>
    </row>
    <row r="221" spans="1:20" x14ac:dyDescent="0.2">
      <c r="A221" s="11"/>
      <c r="B221" s="11"/>
      <c r="C221" s="12"/>
      <c r="D221" s="13"/>
      <c r="E221" s="14"/>
      <c r="F221" s="13"/>
      <c r="G221" s="15" t="e">
        <f t="shared" si="28"/>
        <v>#DIV/0!</v>
      </c>
      <c r="H221" s="16"/>
      <c r="I221" s="16"/>
      <c r="J221" s="16">
        <f t="shared" si="29"/>
        <v>0</v>
      </c>
      <c r="K221" s="16">
        <f t="shared" si="30"/>
        <v>0</v>
      </c>
      <c r="L221" s="16">
        <f t="shared" si="31"/>
        <v>0</v>
      </c>
      <c r="M221" s="17">
        <f t="shared" si="32"/>
        <v>0</v>
      </c>
      <c r="N221" s="11"/>
      <c r="O221" s="18"/>
      <c r="P221" s="18"/>
      <c r="Q221" s="100">
        <f t="shared" si="27"/>
        <v>0</v>
      </c>
      <c r="R221" s="19"/>
      <c r="S221" s="52">
        <f t="shared" si="33"/>
        <v>0</v>
      </c>
      <c r="T221" s="11"/>
    </row>
    <row r="222" spans="1:20" x14ac:dyDescent="0.2">
      <c r="A222" s="11"/>
      <c r="B222" s="11"/>
      <c r="C222" s="12"/>
      <c r="D222" s="13"/>
      <c r="E222" s="14"/>
      <c r="F222" s="13"/>
      <c r="G222" s="15" t="e">
        <f t="shared" si="28"/>
        <v>#DIV/0!</v>
      </c>
      <c r="H222" s="16"/>
      <c r="I222" s="16"/>
      <c r="J222" s="16">
        <f t="shared" si="29"/>
        <v>0</v>
      </c>
      <c r="K222" s="16">
        <f t="shared" si="30"/>
        <v>0</v>
      </c>
      <c r="L222" s="16">
        <f t="shared" si="31"/>
        <v>0</v>
      </c>
      <c r="M222" s="17">
        <f t="shared" si="32"/>
        <v>0</v>
      </c>
      <c r="N222" s="11"/>
      <c r="O222" s="18"/>
      <c r="P222" s="18"/>
      <c r="Q222" s="100">
        <f t="shared" si="27"/>
        <v>0</v>
      </c>
      <c r="R222" s="19"/>
      <c r="S222" s="52">
        <f t="shared" si="33"/>
        <v>0</v>
      </c>
      <c r="T222" s="11"/>
    </row>
    <row r="223" spans="1:20" x14ac:dyDescent="0.2">
      <c r="A223" s="11"/>
      <c r="B223" s="11"/>
      <c r="C223" s="12"/>
      <c r="D223" s="13"/>
      <c r="E223" s="14"/>
      <c r="F223" s="13"/>
      <c r="G223" s="15" t="e">
        <f t="shared" si="28"/>
        <v>#DIV/0!</v>
      </c>
      <c r="H223" s="16"/>
      <c r="I223" s="16"/>
      <c r="J223" s="16">
        <f t="shared" si="29"/>
        <v>0</v>
      </c>
      <c r="K223" s="16">
        <f t="shared" si="30"/>
        <v>0</v>
      </c>
      <c r="L223" s="16">
        <f t="shared" si="31"/>
        <v>0</v>
      </c>
      <c r="M223" s="17">
        <f t="shared" si="32"/>
        <v>0</v>
      </c>
      <c r="N223" s="11"/>
      <c r="O223" s="18"/>
      <c r="P223" s="18"/>
      <c r="Q223" s="100">
        <f t="shared" si="27"/>
        <v>0</v>
      </c>
      <c r="R223" s="19"/>
      <c r="S223" s="52">
        <f t="shared" si="33"/>
        <v>0</v>
      </c>
      <c r="T223" s="11"/>
    </row>
    <row r="224" spans="1:20" x14ac:dyDescent="0.2">
      <c r="A224" s="11"/>
      <c r="B224" s="11"/>
      <c r="C224" s="12"/>
      <c r="D224" s="13"/>
      <c r="E224" s="14"/>
      <c r="F224" s="13"/>
      <c r="G224" s="15" t="e">
        <f t="shared" si="28"/>
        <v>#DIV/0!</v>
      </c>
      <c r="H224" s="16"/>
      <c r="I224" s="16"/>
      <c r="J224" s="16">
        <f t="shared" si="29"/>
        <v>0</v>
      </c>
      <c r="K224" s="16">
        <f t="shared" si="30"/>
        <v>0</v>
      </c>
      <c r="L224" s="16">
        <f t="shared" si="31"/>
        <v>0</v>
      </c>
      <c r="M224" s="17">
        <f t="shared" si="32"/>
        <v>0</v>
      </c>
      <c r="N224" s="11"/>
      <c r="O224" s="18"/>
      <c r="P224" s="18"/>
      <c r="Q224" s="100">
        <f t="shared" si="27"/>
        <v>0</v>
      </c>
      <c r="R224" s="19"/>
      <c r="S224" s="52">
        <f t="shared" si="33"/>
        <v>0</v>
      </c>
      <c r="T224" s="11"/>
    </row>
    <row r="225" spans="1:20" x14ac:dyDescent="0.2">
      <c r="A225" s="11"/>
      <c r="B225" s="11"/>
      <c r="C225" s="12"/>
      <c r="D225" s="13"/>
      <c r="E225" s="14"/>
      <c r="F225" s="13"/>
      <c r="G225" s="15" t="e">
        <f t="shared" si="28"/>
        <v>#DIV/0!</v>
      </c>
      <c r="H225" s="16"/>
      <c r="I225" s="16"/>
      <c r="J225" s="16">
        <f t="shared" si="29"/>
        <v>0</v>
      </c>
      <c r="K225" s="16">
        <f t="shared" si="30"/>
        <v>0</v>
      </c>
      <c r="L225" s="16">
        <f t="shared" si="31"/>
        <v>0</v>
      </c>
      <c r="M225" s="17">
        <f t="shared" si="32"/>
        <v>0</v>
      </c>
      <c r="N225" s="11"/>
      <c r="O225" s="18"/>
      <c r="P225" s="18"/>
      <c r="Q225" s="100">
        <f t="shared" si="27"/>
        <v>0</v>
      </c>
      <c r="R225" s="19"/>
      <c r="S225" s="52">
        <f t="shared" si="33"/>
        <v>0</v>
      </c>
      <c r="T225" s="11"/>
    </row>
    <row r="226" spans="1:20" x14ac:dyDescent="0.2">
      <c r="A226" s="11"/>
      <c r="B226" s="11"/>
      <c r="C226" s="12"/>
      <c r="D226" s="13"/>
      <c r="E226" s="14"/>
      <c r="F226" s="13"/>
      <c r="G226" s="15" t="e">
        <f t="shared" si="28"/>
        <v>#DIV/0!</v>
      </c>
      <c r="H226" s="16"/>
      <c r="I226" s="16"/>
      <c r="J226" s="16">
        <f t="shared" si="29"/>
        <v>0</v>
      </c>
      <c r="K226" s="16">
        <f t="shared" si="30"/>
        <v>0</v>
      </c>
      <c r="L226" s="16">
        <f t="shared" si="31"/>
        <v>0</v>
      </c>
      <c r="M226" s="17">
        <f t="shared" si="32"/>
        <v>0</v>
      </c>
      <c r="N226" s="11"/>
      <c r="O226" s="18"/>
      <c r="P226" s="18"/>
      <c r="Q226" s="100">
        <f t="shared" si="27"/>
        <v>0</v>
      </c>
      <c r="R226" s="19"/>
      <c r="S226" s="52">
        <f t="shared" si="33"/>
        <v>0</v>
      </c>
      <c r="T226" s="11"/>
    </row>
    <row r="227" spans="1:20" x14ac:dyDescent="0.2">
      <c r="A227" s="11"/>
      <c r="B227" s="11"/>
      <c r="C227" s="12"/>
      <c r="D227" s="13"/>
      <c r="E227" s="14"/>
      <c r="F227" s="13"/>
      <c r="G227" s="15" t="e">
        <f t="shared" si="28"/>
        <v>#DIV/0!</v>
      </c>
      <c r="H227" s="16"/>
      <c r="I227" s="16"/>
      <c r="J227" s="16">
        <f t="shared" si="29"/>
        <v>0</v>
      </c>
      <c r="K227" s="16">
        <f t="shared" si="30"/>
        <v>0</v>
      </c>
      <c r="L227" s="16">
        <f t="shared" si="31"/>
        <v>0</v>
      </c>
      <c r="M227" s="17">
        <f t="shared" si="32"/>
        <v>0</v>
      </c>
      <c r="N227" s="11"/>
      <c r="O227" s="18"/>
      <c r="P227" s="18"/>
      <c r="Q227" s="100">
        <f t="shared" si="27"/>
        <v>0</v>
      </c>
      <c r="R227" s="19"/>
      <c r="S227" s="52">
        <f t="shared" si="33"/>
        <v>0</v>
      </c>
      <c r="T227" s="11"/>
    </row>
    <row r="228" spans="1:20" x14ac:dyDescent="0.2">
      <c r="A228" s="11"/>
      <c r="B228" s="11"/>
      <c r="C228" s="12"/>
      <c r="D228" s="13"/>
      <c r="E228" s="14"/>
      <c r="F228" s="13"/>
      <c r="G228" s="15" t="e">
        <f t="shared" si="28"/>
        <v>#DIV/0!</v>
      </c>
      <c r="H228" s="16"/>
      <c r="I228" s="16"/>
      <c r="J228" s="16">
        <f t="shared" si="29"/>
        <v>0</v>
      </c>
      <c r="K228" s="16">
        <f t="shared" si="30"/>
        <v>0</v>
      </c>
      <c r="L228" s="16">
        <f t="shared" si="31"/>
        <v>0</v>
      </c>
      <c r="M228" s="17">
        <f t="shared" si="32"/>
        <v>0</v>
      </c>
      <c r="N228" s="11"/>
      <c r="O228" s="18"/>
      <c r="P228" s="18"/>
      <c r="Q228" s="100">
        <f t="shared" si="27"/>
        <v>0</v>
      </c>
      <c r="R228" s="19"/>
      <c r="S228" s="52">
        <f t="shared" si="33"/>
        <v>0</v>
      </c>
      <c r="T228" s="11"/>
    </row>
    <row r="229" spans="1:20" x14ac:dyDescent="0.2">
      <c r="A229" s="11"/>
      <c r="B229" s="11"/>
      <c r="C229" s="12"/>
      <c r="D229" s="13"/>
      <c r="E229" s="14"/>
      <c r="F229" s="13"/>
      <c r="G229" s="15" t="e">
        <f t="shared" si="28"/>
        <v>#DIV/0!</v>
      </c>
      <c r="H229" s="16"/>
      <c r="I229" s="16"/>
      <c r="J229" s="16">
        <f t="shared" si="29"/>
        <v>0</v>
      </c>
      <c r="K229" s="16">
        <f t="shared" si="30"/>
        <v>0</v>
      </c>
      <c r="L229" s="16">
        <f t="shared" si="31"/>
        <v>0</v>
      </c>
      <c r="M229" s="17">
        <f t="shared" si="32"/>
        <v>0</v>
      </c>
      <c r="N229" s="11"/>
      <c r="O229" s="18"/>
      <c r="P229" s="18"/>
      <c r="Q229" s="100">
        <f t="shared" si="27"/>
        <v>0</v>
      </c>
      <c r="R229" s="19"/>
      <c r="S229" s="52">
        <f t="shared" si="33"/>
        <v>0</v>
      </c>
      <c r="T229" s="11"/>
    </row>
    <row r="230" spans="1:20" x14ac:dyDescent="0.2">
      <c r="A230" s="11"/>
      <c r="B230" s="11"/>
      <c r="C230" s="12"/>
      <c r="D230" s="13"/>
      <c r="E230" s="14"/>
      <c r="F230" s="13"/>
      <c r="G230" s="15" t="e">
        <f t="shared" si="28"/>
        <v>#DIV/0!</v>
      </c>
      <c r="H230" s="16"/>
      <c r="I230" s="16"/>
      <c r="J230" s="16">
        <f t="shared" si="29"/>
        <v>0</v>
      </c>
      <c r="K230" s="16">
        <f t="shared" si="30"/>
        <v>0</v>
      </c>
      <c r="L230" s="16">
        <f t="shared" si="31"/>
        <v>0</v>
      </c>
      <c r="M230" s="17">
        <f t="shared" si="32"/>
        <v>0</v>
      </c>
      <c r="N230" s="11"/>
      <c r="O230" s="18"/>
      <c r="P230" s="18"/>
      <c r="Q230" s="100">
        <f t="shared" si="27"/>
        <v>0</v>
      </c>
      <c r="R230" s="19"/>
      <c r="S230" s="52">
        <f t="shared" si="33"/>
        <v>0</v>
      </c>
      <c r="T230" s="11"/>
    </row>
    <row r="231" spans="1:20" x14ac:dyDescent="0.2">
      <c r="A231" s="11"/>
      <c r="B231" s="11"/>
      <c r="C231" s="12"/>
      <c r="D231" s="13"/>
      <c r="E231" s="14"/>
      <c r="F231" s="13"/>
      <c r="G231" s="15" t="e">
        <f t="shared" si="28"/>
        <v>#DIV/0!</v>
      </c>
      <c r="H231" s="16"/>
      <c r="I231" s="16"/>
      <c r="J231" s="16">
        <f t="shared" si="29"/>
        <v>0</v>
      </c>
      <c r="K231" s="16">
        <f t="shared" si="30"/>
        <v>0</v>
      </c>
      <c r="L231" s="16">
        <f t="shared" si="31"/>
        <v>0</v>
      </c>
      <c r="M231" s="17">
        <f t="shared" si="32"/>
        <v>0</v>
      </c>
      <c r="N231" s="11"/>
      <c r="O231" s="18"/>
      <c r="P231" s="18"/>
      <c r="Q231" s="100">
        <f t="shared" si="27"/>
        <v>0</v>
      </c>
      <c r="R231" s="19"/>
      <c r="S231" s="52">
        <f t="shared" si="33"/>
        <v>0</v>
      </c>
      <c r="T231" s="11"/>
    </row>
    <row r="232" spans="1:20" x14ac:dyDescent="0.2">
      <c r="A232" s="11"/>
      <c r="B232" s="11"/>
      <c r="C232" s="12"/>
      <c r="D232" s="13"/>
      <c r="E232" s="14"/>
      <c r="F232" s="13"/>
      <c r="G232" s="15" t="e">
        <f t="shared" si="28"/>
        <v>#DIV/0!</v>
      </c>
      <c r="H232" s="16"/>
      <c r="I232" s="16"/>
      <c r="J232" s="16">
        <f t="shared" si="29"/>
        <v>0</v>
      </c>
      <c r="K232" s="16">
        <f t="shared" si="30"/>
        <v>0</v>
      </c>
      <c r="L232" s="16">
        <f t="shared" si="31"/>
        <v>0</v>
      </c>
      <c r="M232" s="17">
        <f t="shared" si="32"/>
        <v>0</v>
      </c>
      <c r="N232" s="11"/>
      <c r="O232" s="18"/>
      <c r="P232" s="18"/>
      <c r="Q232" s="100">
        <f t="shared" si="27"/>
        <v>0</v>
      </c>
      <c r="R232" s="19"/>
      <c r="S232" s="52">
        <f t="shared" si="33"/>
        <v>0</v>
      </c>
      <c r="T232" s="11"/>
    </row>
    <row r="233" spans="1:20" x14ac:dyDescent="0.2">
      <c r="A233" s="11"/>
      <c r="B233" s="11"/>
      <c r="C233" s="12"/>
      <c r="D233" s="13"/>
      <c r="E233" s="14"/>
      <c r="F233" s="13"/>
      <c r="G233" s="15" t="e">
        <f t="shared" si="28"/>
        <v>#DIV/0!</v>
      </c>
      <c r="H233" s="16"/>
      <c r="I233" s="16"/>
      <c r="J233" s="16">
        <f t="shared" si="29"/>
        <v>0</v>
      </c>
      <c r="K233" s="16">
        <f t="shared" si="30"/>
        <v>0</v>
      </c>
      <c r="L233" s="16">
        <f t="shared" si="31"/>
        <v>0</v>
      </c>
      <c r="M233" s="17">
        <f t="shared" si="32"/>
        <v>0</v>
      </c>
      <c r="N233" s="11"/>
      <c r="O233" s="18"/>
      <c r="P233" s="18"/>
      <c r="Q233" s="100">
        <f t="shared" si="27"/>
        <v>0</v>
      </c>
      <c r="R233" s="19"/>
      <c r="S233" s="52">
        <f t="shared" si="33"/>
        <v>0</v>
      </c>
      <c r="T233" s="11"/>
    </row>
    <row r="234" spans="1:20" x14ac:dyDescent="0.2">
      <c r="A234" s="11"/>
      <c r="B234" s="11"/>
      <c r="C234" s="12"/>
      <c r="D234" s="13"/>
      <c r="E234" s="14"/>
      <c r="F234" s="13"/>
      <c r="G234" s="15" t="e">
        <f t="shared" si="28"/>
        <v>#DIV/0!</v>
      </c>
      <c r="H234" s="16"/>
      <c r="I234" s="16"/>
      <c r="J234" s="16">
        <f t="shared" si="29"/>
        <v>0</v>
      </c>
      <c r="K234" s="16">
        <f t="shared" si="30"/>
        <v>0</v>
      </c>
      <c r="L234" s="16">
        <f t="shared" si="31"/>
        <v>0</v>
      </c>
      <c r="M234" s="17">
        <f t="shared" si="32"/>
        <v>0</v>
      </c>
      <c r="N234" s="11"/>
      <c r="O234" s="18"/>
      <c r="P234" s="18"/>
      <c r="Q234" s="100">
        <f t="shared" si="27"/>
        <v>0</v>
      </c>
      <c r="R234" s="19"/>
      <c r="S234" s="52">
        <f t="shared" si="33"/>
        <v>0</v>
      </c>
      <c r="T234" s="11"/>
    </row>
    <row r="235" spans="1:20" x14ac:dyDescent="0.2">
      <c r="A235" s="11"/>
      <c r="B235" s="11"/>
      <c r="C235" s="12"/>
      <c r="D235" s="13"/>
      <c r="E235" s="14"/>
      <c r="F235" s="13"/>
      <c r="G235" s="15" t="e">
        <f t="shared" si="28"/>
        <v>#DIV/0!</v>
      </c>
      <c r="H235" s="16"/>
      <c r="I235" s="16"/>
      <c r="J235" s="16">
        <f t="shared" si="29"/>
        <v>0</v>
      </c>
      <c r="K235" s="16">
        <f t="shared" si="30"/>
        <v>0</v>
      </c>
      <c r="L235" s="16">
        <f t="shared" si="31"/>
        <v>0</v>
      </c>
      <c r="M235" s="17">
        <f t="shared" si="32"/>
        <v>0</v>
      </c>
      <c r="N235" s="11"/>
      <c r="O235" s="18"/>
      <c r="P235" s="18"/>
      <c r="Q235" s="100">
        <f t="shared" si="27"/>
        <v>0</v>
      </c>
      <c r="R235" s="19"/>
      <c r="S235" s="52">
        <f t="shared" si="33"/>
        <v>0</v>
      </c>
      <c r="T235" s="11"/>
    </row>
    <row r="236" spans="1:20" x14ac:dyDescent="0.2">
      <c r="A236" s="11"/>
      <c r="B236" s="11"/>
      <c r="C236" s="12"/>
      <c r="D236" s="13"/>
      <c r="E236" s="14"/>
      <c r="F236" s="13"/>
      <c r="G236" s="15" t="e">
        <f t="shared" si="28"/>
        <v>#DIV/0!</v>
      </c>
      <c r="H236" s="16"/>
      <c r="I236" s="16"/>
      <c r="J236" s="16">
        <f t="shared" si="29"/>
        <v>0</v>
      </c>
      <c r="K236" s="16">
        <f t="shared" si="30"/>
        <v>0</v>
      </c>
      <c r="L236" s="16">
        <f t="shared" si="31"/>
        <v>0</v>
      </c>
      <c r="M236" s="17">
        <f t="shared" si="32"/>
        <v>0</v>
      </c>
      <c r="N236" s="11"/>
      <c r="O236" s="18"/>
      <c r="P236" s="18"/>
      <c r="Q236" s="100">
        <f t="shared" si="27"/>
        <v>0</v>
      </c>
      <c r="R236" s="19"/>
      <c r="S236" s="52">
        <f t="shared" si="33"/>
        <v>0</v>
      </c>
      <c r="T236" s="11"/>
    </row>
    <row r="237" spans="1:20" x14ac:dyDescent="0.2">
      <c r="A237" s="11"/>
      <c r="B237" s="11"/>
      <c r="C237" s="12"/>
      <c r="D237" s="13"/>
      <c r="E237" s="14"/>
      <c r="F237" s="13"/>
      <c r="G237" s="15" t="e">
        <f t="shared" si="28"/>
        <v>#DIV/0!</v>
      </c>
      <c r="H237" s="16"/>
      <c r="I237" s="16"/>
      <c r="J237" s="16">
        <f t="shared" si="29"/>
        <v>0</v>
      </c>
      <c r="K237" s="16">
        <f t="shared" si="30"/>
        <v>0</v>
      </c>
      <c r="L237" s="16">
        <f t="shared" si="31"/>
        <v>0</v>
      </c>
      <c r="M237" s="17">
        <f t="shared" si="32"/>
        <v>0</v>
      </c>
      <c r="N237" s="11"/>
      <c r="O237" s="18"/>
      <c r="P237" s="18"/>
      <c r="Q237" s="100">
        <f t="shared" si="27"/>
        <v>0</v>
      </c>
      <c r="R237" s="19"/>
      <c r="S237" s="52">
        <f t="shared" si="33"/>
        <v>0</v>
      </c>
      <c r="T237" s="11"/>
    </row>
    <row r="238" spans="1:20" x14ac:dyDescent="0.2">
      <c r="A238" s="11"/>
      <c r="B238" s="11"/>
      <c r="C238" s="12"/>
      <c r="D238" s="13"/>
      <c r="E238" s="14"/>
      <c r="F238" s="13"/>
      <c r="G238" s="15" t="e">
        <f t="shared" si="28"/>
        <v>#DIV/0!</v>
      </c>
      <c r="H238" s="16"/>
      <c r="I238" s="16"/>
      <c r="J238" s="16">
        <f t="shared" si="29"/>
        <v>0</v>
      </c>
      <c r="K238" s="16">
        <f t="shared" si="30"/>
        <v>0</v>
      </c>
      <c r="L238" s="16">
        <f t="shared" si="31"/>
        <v>0</v>
      </c>
      <c r="M238" s="17">
        <f t="shared" si="32"/>
        <v>0</v>
      </c>
      <c r="N238" s="11"/>
      <c r="O238" s="18"/>
      <c r="P238" s="18"/>
      <c r="Q238" s="100">
        <f t="shared" si="27"/>
        <v>0</v>
      </c>
      <c r="R238" s="19"/>
      <c r="S238" s="52">
        <f t="shared" si="33"/>
        <v>0</v>
      </c>
      <c r="T238" s="11"/>
    </row>
    <row r="239" spans="1:20" x14ac:dyDescent="0.2">
      <c r="A239" s="11"/>
      <c r="B239" s="11"/>
      <c r="C239" s="12"/>
      <c r="D239" s="13"/>
      <c r="E239" s="14"/>
      <c r="F239" s="13"/>
      <c r="G239" s="15" t="e">
        <f t="shared" si="28"/>
        <v>#DIV/0!</v>
      </c>
      <c r="H239" s="16"/>
      <c r="I239" s="16"/>
      <c r="J239" s="16">
        <f t="shared" si="29"/>
        <v>0</v>
      </c>
      <c r="K239" s="16">
        <f t="shared" si="30"/>
        <v>0</v>
      </c>
      <c r="L239" s="16">
        <f t="shared" si="31"/>
        <v>0</v>
      </c>
      <c r="M239" s="17">
        <f t="shared" si="32"/>
        <v>0</v>
      </c>
      <c r="N239" s="11"/>
      <c r="O239" s="18"/>
      <c r="P239" s="18"/>
      <c r="Q239" s="100">
        <f t="shared" si="27"/>
        <v>0</v>
      </c>
      <c r="R239" s="19"/>
      <c r="S239" s="52">
        <f t="shared" si="33"/>
        <v>0</v>
      </c>
      <c r="T239" s="11"/>
    </row>
    <row r="240" spans="1:20" x14ac:dyDescent="0.2">
      <c r="A240" s="11"/>
      <c r="B240" s="11"/>
      <c r="C240" s="12"/>
      <c r="D240" s="13"/>
      <c r="E240" s="14"/>
      <c r="F240" s="13"/>
      <c r="G240" s="15" t="e">
        <f t="shared" si="28"/>
        <v>#DIV/0!</v>
      </c>
      <c r="H240" s="16"/>
      <c r="I240" s="16"/>
      <c r="J240" s="16">
        <f t="shared" si="29"/>
        <v>0</v>
      </c>
      <c r="K240" s="16">
        <f t="shared" si="30"/>
        <v>0</v>
      </c>
      <c r="L240" s="16">
        <f t="shared" si="31"/>
        <v>0</v>
      </c>
      <c r="M240" s="17">
        <f t="shared" si="32"/>
        <v>0</v>
      </c>
      <c r="N240" s="11"/>
      <c r="O240" s="18"/>
      <c r="P240" s="18"/>
      <c r="Q240" s="100">
        <f t="shared" si="27"/>
        <v>0</v>
      </c>
      <c r="R240" s="19"/>
      <c r="S240" s="52">
        <f t="shared" si="33"/>
        <v>0</v>
      </c>
      <c r="T240" s="11"/>
    </row>
    <row r="241" spans="1:20" x14ac:dyDescent="0.2">
      <c r="A241" s="11"/>
      <c r="B241" s="11"/>
      <c r="C241" s="12"/>
      <c r="D241" s="13"/>
      <c r="E241" s="14"/>
      <c r="F241" s="13"/>
      <c r="G241" s="15" t="e">
        <f t="shared" si="28"/>
        <v>#DIV/0!</v>
      </c>
      <c r="H241" s="16"/>
      <c r="I241" s="16"/>
      <c r="J241" s="16">
        <f t="shared" si="29"/>
        <v>0</v>
      </c>
      <c r="K241" s="16">
        <f t="shared" si="30"/>
        <v>0</v>
      </c>
      <c r="L241" s="16">
        <f t="shared" si="31"/>
        <v>0</v>
      </c>
      <c r="M241" s="17">
        <f t="shared" si="32"/>
        <v>0</v>
      </c>
      <c r="N241" s="11"/>
      <c r="O241" s="18"/>
      <c r="P241" s="18"/>
      <c r="Q241" s="100">
        <f t="shared" si="27"/>
        <v>0</v>
      </c>
      <c r="R241" s="19"/>
      <c r="S241" s="52">
        <f t="shared" si="33"/>
        <v>0</v>
      </c>
      <c r="T241" s="11"/>
    </row>
    <row r="242" spans="1:20" x14ac:dyDescent="0.2">
      <c r="A242" s="11"/>
      <c r="B242" s="11"/>
      <c r="C242" s="12"/>
      <c r="D242" s="13"/>
      <c r="E242" s="14"/>
      <c r="F242" s="13"/>
      <c r="G242" s="15" t="e">
        <f t="shared" si="28"/>
        <v>#DIV/0!</v>
      </c>
      <c r="H242" s="16"/>
      <c r="I242" s="16"/>
      <c r="J242" s="16">
        <f t="shared" si="29"/>
        <v>0</v>
      </c>
      <c r="K242" s="16">
        <f t="shared" si="30"/>
        <v>0</v>
      </c>
      <c r="L242" s="16">
        <f t="shared" si="31"/>
        <v>0</v>
      </c>
      <c r="M242" s="17">
        <f t="shared" si="32"/>
        <v>0</v>
      </c>
      <c r="N242" s="11"/>
      <c r="O242" s="18"/>
      <c r="P242" s="18"/>
      <c r="Q242" s="100">
        <f t="shared" si="27"/>
        <v>0</v>
      </c>
      <c r="R242" s="19"/>
      <c r="S242" s="52">
        <f t="shared" si="33"/>
        <v>0</v>
      </c>
      <c r="T242" s="11"/>
    </row>
    <row r="243" spans="1:20" x14ac:dyDescent="0.2">
      <c r="A243" s="11"/>
      <c r="B243" s="11"/>
      <c r="C243" s="12"/>
      <c r="D243" s="13"/>
      <c r="E243" s="14"/>
      <c r="F243" s="13"/>
      <c r="G243" s="15" t="e">
        <f t="shared" si="28"/>
        <v>#DIV/0!</v>
      </c>
      <c r="H243" s="16"/>
      <c r="I243" s="16"/>
      <c r="J243" s="16">
        <f t="shared" si="29"/>
        <v>0</v>
      </c>
      <c r="K243" s="16">
        <f t="shared" si="30"/>
        <v>0</v>
      </c>
      <c r="L243" s="16">
        <f t="shared" si="31"/>
        <v>0</v>
      </c>
      <c r="M243" s="17">
        <f t="shared" si="32"/>
        <v>0</v>
      </c>
      <c r="N243" s="11"/>
      <c r="O243" s="18"/>
      <c r="P243" s="18"/>
      <c r="Q243" s="100">
        <f t="shared" si="27"/>
        <v>0</v>
      </c>
      <c r="R243" s="19"/>
      <c r="S243" s="52">
        <f t="shared" si="33"/>
        <v>0</v>
      </c>
      <c r="T243" s="11"/>
    </row>
    <row r="244" spans="1:20" x14ac:dyDescent="0.2">
      <c r="A244" s="11"/>
      <c r="B244" s="11"/>
      <c r="C244" s="12"/>
      <c r="D244" s="13"/>
      <c r="E244" s="14"/>
      <c r="F244" s="13"/>
      <c r="G244" s="15" t="e">
        <f t="shared" si="28"/>
        <v>#DIV/0!</v>
      </c>
      <c r="H244" s="16"/>
      <c r="I244" s="16"/>
      <c r="J244" s="16">
        <f t="shared" si="29"/>
        <v>0</v>
      </c>
      <c r="K244" s="16">
        <f t="shared" si="30"/>
        <v>0</v>
      </c>
      <c r="L244" s="16">
        <f t="shared" si="31"/>
        <v>0</v>
      </c>
      <c r="M244" s="17">
        <f t="shared" si="32"/>
        <v>0</v>
      </c>
      <c r="N244" s="11"/>
      <c r="O244" s="18"/>
      <c r="P244" s="18"/>
      <c r="Q244" s="100">
        <f t="shared" si="27"/>
        <v>0</v>
      </c>
      <c r="R244" s="19"/>
      <c r="S244" s="52">
        <f t="shared" si="33"/>
        <v>0</v>
      </c>
      <c r="T244" s="11"/>
    </row>
    <row r="245" spans="1:20" x14ac:dyDescent="0.2">
      <c r="A245" s="11"/>
      <c r="B245" s="11"/>
      <c r="C245" s="12"/>
      <c r="D245" s="13"/>
      <c r="E245" s="14"/>
      <c r="F245" s="13"/>
      <c r="G245" s="15" t="e">
        <f t="shared" si="28"/>
        <v>#DIV/0!</v>
      </c>
      <c r="H245" s="16"/>
      <c r="I245" s="16"/>
      <c r="J245" s="16">
        <f t="shared" si="29"/>
        <v>0</v>
      </c>
      <c r="K245" s="16">
        <f t="shared" si="30"/>
        <v>0</v>
      </c>
      <c r="L245" s="16">
        <f t="shared" si="31"/>
        <v>0</v>
      </c>
      <c r="M245" s="17">
        <f t="shared" si="32"/>
        <v>0</v>
      </c>
      <c r="N245" s="11"/>
      <c r="O245" s="18"/>
      <c r="P245" s="18"/>
      <c r="Q245" s="100">
        <f t="shared" si="27"/>
        <v>0</v>
      </c>
      <c r="R245" s="19"/>
      <c r="S245" s="52">
        <f t="shared" si="33"/>
        <v>0</v>
      </c>
      <c r="T245" s="11"/>
    </row>
    <row r="246" spans="1:20" x14ac:dyDescent="0.2">
      <c r="A246" s="11"/>
      <c r="B246" s="11"/>
      <c r="C246" s="12"/>
      <c r="D246" s="13"/>
      <c r="E246" s="14"/>
      <c r="F246" s="13"/>
      <c r="G246" s="15" t="e">
        <f t="shared" si="28"/>
        <v>#DIV/0!</v>
      </c>
      <c r="H246" s="16"/>
      <c r="I246" s="16"/>
      <c r="J246" s="16">
        <f t="shared" si="29"/>
        <v>0</v>
      </c>
      <c r="K246" s="16">
        <f t="shared" si="30"/>
        <v>0</v>
      </c>
      <c r="L246" s="16">
        <f t="shared" si="31"/>
        <v>0</v>
      </c>
      <c r="M246" s="17">
        <f t="shared" si="32"/>
        <v>0</v>
      </c>
      <c r="N246" s="11"/>
      <c r="O246" s="18"/>
      <c r="P246" s="18"/>
      <c r="Q246" s="100">
        <f t="shared" si="27"/>
        <v>0</v>
      </c>
      <c r="R246" s="19"/>
      <c r="S246" s="52">
        <f t="shared" si="33"/>
        <v>0</v>
      </c>
      <c r="T246" s="11"/>
    </row>
    <row r="247" spans="1:20" x14ac:dyDescent="0.2">
      <c r="A247" s="11"/>
      <c r="B247" s="11"/>
      <c r="C247" s="12"/>
      <c r="D247" s="13"/>
      <c r="E247" s="14"/>
      <c r="F247" s="13"/>
      <c r="G247" s="15" t="e">
        <f t="shared" si="28"/>
        <v>#DIV/0!</v>
      </c>
      <c r="H247" s="16"/>
      <c r="I247" s="16"/>
      <c r="J247" s="16">
        <f t="shared" si="29"/>
        <v>0</v>
      </c>
      <c r="K247" s="16">
        <f t="shared" si="30"/>
        <v>0</v>
      </c>
      <c r="L247" s="16">
        <f t="shared" si="31"/>
        <v>0</v>
      </c>
      <c r="M247" s="17">
        <f t="shared" si="32"/>
        <v>0</v>
      </c>
      <c r="N247" s="11"/>
      <c r="O247" s="18"/>
      <c r="P247" s="18"/>
      <c r="Q247" s="100">
        <f t="shared" si="27"/>
        <v>0</v>
      </c>
      <c r="R247" s="19"/>
      <c r="S247" s="52">
        <f t="shared" si="33"/>
        <v>0</v>
      </c>
      <c r="T247" s="11"/>
    </row>
    <row r="248" spans="1:20" x14ac:dyDescent="0.2">
      <c r="A248" s="11"/>
      <c r="B248" s="11"/>
      <c r="C248" s="12"/>
      <c r="D248" s="13"/>
      <c r="E248" s="14"/>
      <c r="F248" s="13"/>
      <c r="G248" s="15" t="e">
        <f t="shared" si="28"/>
        <v>#DIV/0!</v>
      </c>
      <c r="H248" s="16"/>
      <c r="I248" s="16"/>
      <c r="J248" s="16">
        <f t="shared" si="29"/>
        <v>0</v>
      </c>
      <c r="K248" s="16">
        <f t="shared" si="30"/>
        <v>0</v>
      </c>
      <c r="L248" s="16">
        <f t="shared" si="31"/>
        <v>0</v>
      </c>
      <c r="M248" s="17">
        <f t="shared" si="32"/>
        <v>0</v>
      </c>
      <c r="N248" s="11"/>
      <c r="O248" s="18"/>
      <c r="P248" s="18"/>
      <c r="Q248" s="100">
        <f t="shared" si="27"/>
        <v>0</v>
      </c>
      <c r="R248" s="19"/>
      <c r="S248" s="52">
        <f t="shared" si="33"/>
        <v>0</v>
      </c>
      <c r="T248" s="11"/>
    </row>
    <row r="249" spans="1:20" x14ac:dyDescent="0.2">
      <c r="A249" s="11"/>
      <c r="B249" s="11"/>
      <c r="C249" s="12"/>
      <c r="D249" s="13"/>
      <c r="E249" s="14"/>
      <c r="F249" s="13"/>
      <c r="G249" s="15" t="e">
        <f t="shared" si="28"/>
        <v>#DIV/0!</v>
      </c>
      <c r="H249" s="16"/>
      <c r="I249" s="16"/>
      <c r="J249" s="16">
        <f t="shared" si="29"/>
        <v>0</v>
      </c>
      <c r="K249" s="16">
        <f t="shared" si="30"/>
        <v>0</v>
      </c>
      <c r="L249" s="16">
        <f t="shared" si="31"/>
        <v>0</v>
      </c>
      <c r="M249" s="17">
        <f t="shared" si="32"/>
        <v>0</v>
      </c>
      <c r="N249" s="11"/>
      <c r="O249" s="18"/>
      <c r="P249" s="18"/>
      <c r="Q249" s="100">
        <f t="shared" si="27"/>
        <v>0</v>
      </c>
      <c r="R249" s="19"/>
      <c r="S249" s="52">
        <f t="shared" si="33"/>
        <v>0</v>
      </c>
      <c r="T249" s="11"/>
    </row>
    <row r="250" spans="1:20" x14ac:dyDescent="0.2">
      <c r="A250" s="11"/>
      <c r="B250" s="11"/>
      <c r="C250" s="12"/>
      <c r="D250" s="13"/>
      <c r="E250" s="14"/>
      <c r="F250" s="13"/>
      <c r="G250" s="15" t="e">
        <f t="shared" si="28"/>
        <v>#DIV/0!</v>
      </c>
      <c r="H250" s="16"/>
      <c r="I250" s="16"/>
      <c r="J250" s="16">
        <f t="shared" si="29"/>
        <v>0</v>
      </c>
      <c r="K250" s="16">
        <f t="shared" si="30"/>
        <v>0</v>
      </c>
      <c r="L250" s="16">
        <f t="shared" si="31"/>
        <v>0</v>
      </c>
      <c r="M250" s="17">
        <f t="shared" si="32"/>
        <v>0</v>
      </c>
      <c r="N250" s="11"/>
      <c r="O250" s="18"/>
      <c r="P250" s="18"/>
      <c r="Q250" s="100">
        <f t="shared" si="27"/>
        <v>0</v>
      </c>
      <c r="R250" s="19"/>
      <c r="S250" s="52">
        <f t="shared" si="33"/>
        <v>0</v>
      </c>
      <c r="T250" s="11"/>
    </row>
    <row r="251" spans="1:20" x14ac:dyDescent="0.2">
      <c r="A251" s="11"/>
      <c r="B251" s="11"/>
      <c r="C251" s="12"/>
      <c r="D251" s="13"/>
      <c r="E251" s="14"/>
      <c r="F251" s="13"/>
      <c r="G251" s="15" t="e">
        <f t="shared" si="28"/>
        <v>#DIV/0!</v>
      </c>
      <c r="H251" s="16"/>
      <c r="I251" s="16"/>
      <c r="J251" s="16">
        <f t="shared" si="29"/>
        <v>0</v>
      </c>
      <c r="K251" s="16">
        <f t="shared" si="30"/>
        <v>0</v>
      </c>
      <c r="L251" s="16">
        <f t="shared" si="31"/>
        <v>0</v>
      </c>
      <c r="M251" s="17">
        <f t="shared" si="32"/>
        <v>0</v>
      </c>
      <c r="N251" s="11"/>
      <c r="O251" s="18"/>
      <c r="P251" s="18"/>
      <c r="Q251" s="100">
        <f t="shared" si="27"/>
        <v>0</v>
      </c>
      <c r="R251" s="19"/>
      <c r="S251" s="52">
        <f t="shared" si="33"/>
        <v>0</v>
      </c>
      <c r="T251" s="11"/>
    </row>
    <row r="252" spans="1:20" x14ac:dyDescent="0.2">
      <c r="A252" s="11"/>
      <c r="B252" s="11"/>
      <c r="C252" s="12"/>
      <c r="D252" s="13"/>
      <c r="E252" s="14"/>
      <c r="F252" s="13"/>
      <c r="G252" s="15" t="e">
        <f t="shared" si="28"/>
        <v>#DIV/0!</v>
      </c>
      <c r="H252" s="16"/>
      <c r="I252" s="16"/>
      <c r="J252" s="16">
        <f t="shared" si="29"/>
        <v>0</v>
      </c>
      <c r="K252" s="16">
        <f t="shared" si="30"/>
        <v>0</v>
      </c>
      <c r="L252" s="16">
        <f t="shared" si="31"/>
        <v>0</v>
      </c>
      <c r="M252" s="17">
        <f t="shared" si="32"/>
        <v>0</v>
      </c>
      <c r="N252" s="11"/>
      <c r="O252" s="18"/>
      <c r="P252" s="18"/>
      <c r="Q252" s="100">
        <f t="shared" si="27"/>
        <v>0</v>
      </c>
      <c r="R252" s="19"/>
      <c r="S252" s="52">
        <f t="shared" si="33"/>
        <v>0</v>
      </c>
      <c r="T252" s="11"/>
    </row>
    <row r="253" spans="1:20" x14ac:dyDescent="0.2">
      <c r="A253" s="11"/>
      <c r="B253" s="11"/>
      <c r="C253" s="12"/>
      <c r="D253" s="13"/>
      <c r="E253" s="14"/>
      <c r="F253" s="13"/>
      <c r="G253" s="15" t="e">
        <f t="shared" si="28"/>
        <v>#DIV/0!</v>
      </c>
      <c r="H253" s="16"/>
      <c r="I253" s="16"/>
      <c r="J253" s="16">
        <f t="shared" si="29"/>
        <v>0</v>
      </c>
      <c r="K253" s="16">
        <f t="shared" si="30"/>
        <v>0</v>
      </c>
      <c r="L253" s="16">
        <f t="shared" si="31"/>
        <v>0</v>
      </c>
      <c r="M253" s="17">
        <f t="shared" si="32"/>
        <v>0</v>
      </c>
      <c r="N253" s="11"/>
      <c r="O253" s="18"/>
      <c r="P253" s="18"/>
      <c r="Q253" s="100">
        <f t="shared" si="27"/>
        <v>0</v>
      </c>
      <c r="R253" s="19"/>
      <c r="S253" s="52">
        <f t="shared" si="33"/>
        <v>0</v>
      </c>
      <c r="T253" s="11"/>
    </row>
    <row r="254" spans="1:20" x14ac:dyDescent="0.2">
      <c r="A254" s="11"/>
      <c r="B254" s="11"/>
      <c r="C254" s="12"/>
      <c r="D254" s="13"/>
      <c r="E254" s="14"/>
      <c r="F254" s="13"/>
      <c r="G254" s="15" t="e">
        <f t="shared" si="28"/>
        <v>#DIV/0!</v>
      </c>
      <c r="H254" s="16"/>
      <c r="I254" s="16"/>
      <c r="J254" s="16">
        <f t="shared" si="29"/>
        <v>0</v>
      </c>
      <c r="K254" s="16">
        <f t="shared" si="30"/>
        <v>0</v>
      </c>
      <c r="L254" s="16">
        <f t="shared" si="31"/>
        <v>0</v>
      </c>
      <c r="M254" s="17">
        <f t="shared" si="32"/>
        <v>0</v>
      </c>
      <c r="N254" s="11"/>
      <c r="O254" s="18"/>
      <c r="P254" s="18"/>
      <c r="Q254" s="100">
        <f t="shared" si="27"/>
        <v>0</v>
      </c>
      <c r="R254" s="19"/>
      <c r="S254" s="52">
        <f t="shared" si="33"/>
        <v>0</v>
      </c>
      <c r="T254" s="11"/>
    </row>
    <row r="255" spans="1:20" x14ac:dyDescent="0.2">
      <c r="A255" s="11"/>
      <c r="B255" s="11"/>
      <c r="C255" s="12"/>
      <c r="D255" s="13"/>
      <c r="E255" s="14"/>
      <c r="F255" s="13"/>
      <c r="G255" s="15" t="e">
        <f t="shared" si="28"/>
        <v>#DIV/0!</v>
      </c>
      <c r="H255" s="16"/>
      <c r="I255" s="16"/>
      <c r="J255" s="16">
        <f t="shared" si="29"/>
        <v>0</v>
      </c>
      <c r="K255" s="16">
        <f t="shared" si="30"/>
        <v>0</v>
      </c>
      <c r="L255" s="16">
        <f t="shared" si="31"/>
        <v>0</v>
      </c>
      <c r="M255" s="17">
        <f t="shared" si="32"/>
        <v>0</v>
      </c>
      <c r="N255" s="11"/>
      <c r="O255" s="18"/>
      <c r="P255" s="18"/>
      <c r="Q255" s="100">
        <f t="shared" si="27"/>
        <v>0</v>
      </c>
      <c r="R255" s="19"/>
      <c r="S255" s="52">
        <f t="shared" si="33"/>
        <v>0</v>
      </c>
      <c r="T255" s="11"/>
    </row>
    <row r="256" spans="1:20" x14ac:dyDescent="0.2">
      <c r="A256" s="11"/>
      <c r="B256" s="11"/>
      <c r="C256" s="12"/>
      <c r="D256" s="13"/>
      <c r="E256" s="14"/>
      <c r="F256" s="13"/>
      <c r="G256" s="15" t="e">
        <f t="shared" si="28"/>
        <v>#DIV/0!</v>
      </c>
      <c r="H256" s="16"/>
      <c r="I256" s="16"/>
      <c r="J256" s="16">
        <f t="shared" si="29"/>
        <v>0</v>
      </c>
      <c r="K256" s="16">
        <f t="shared" si="30"/>
        <v>0</v>
      </c>
      <c r="L256" s="16">
        <f t="shared" si="31"/>
        <v>0</v>
      </c>
      <c r="M256" s="17">
        <f t="shared" si="32"/>
        <v>0</v>
      </c>
      <c r="N256" s="11"/>
      <c r="O256" s="18"/>
      <c r="P256" s="18"/>
      <c r="Q256" s="100">
        <f t="shared" si="27"/>
        <v>0</v>
      </c>
      <c r="R256" s="19"/>
      <c r="S256" s="52">
        <f t="shared" si="33"/>
        <v>0</v>
      </c>
      <c r="T256" s="11"/>
    </row>
    <row r="257" spans="1:20" x14ac:dyDescent="0.2">
      <c r="A257" s="11"/>
      <c r="B257" s="11"/>
      <c r="C257" s="12"/>
      <c r="D257" s="13"/>
      <c r="E257" s="14"/>
      <c r="F257" s="13"/>
      <c r="G257" s="15" t="e">
        <f t="shared" si="28"/>
        <v>#DIV/0!</v>
      </c>
      <c r="H257" s="16"/>
      <c r="I257" s="16"/>
      <c r="J257" s="16">
        <f t="shared" si="29"/>
        <v>0</v>
      </c>
      <c r="K257" s="16">
        <f t="shared" si="30"/>
        <v>0</v>
      </c>
      <c r="L257" s="16">
        <f t="shared" si="31"/>
        <v>0</v>
      </c>
      <c r="M257" s="17">
        <f t="shared" si="32"/>
        <v>0</v>
      </c>
      <c r="N257" s="11"/>
      <c r="O257" s="18"/>
      <c r="P257" s="18"/>
      <c r="Q257" s="100">
        <f t="shared" si="27"/>
        <v>0</v>
      </c>
      <c r="R257" s="19"/>
      <c r="S257" s="52">
        <f t="shared" si="33"/>
        <v>0</v>
      </c>
      <c r="T257" s="11"/>
    </row>
    <row r="258" spans="1:20" x14ac:dyDescent="0.2">
      <c r="A258" s="11"/>
      <c r="B258" s="11"/>
      <c r="C258" s="12"/>
      <c r="D258" s="13"/>
      <c r="E258" s="14"/>
      <c r="F258" s="13"/>
      <c r="G258" s="15" t="e">
        <f t="shared" si="28"/>
        <v>#DIV/0!</v>
      </c>
      <c r="H258" s="16"/>
      <c r="I258" s="16"/>
      <c r="J258" s="16">
        <f t="shared" si="29"/>
        <v>0</v>
      </c>
      <c r="K258" s="16">
        <f t="shared" si="30"/>
        <v>0</v>
      </c>
      <c r="L258" s="16">
        <f t="shared" si="31"/>
        <v>0</v>
      </c>
      <c r="M258" s="17">
        <f t="shared" si="32"/>
        <v>0</v>
      </c>
      <c r="N258" s="11"/>
      <c r="O258" s="18"/>
      <c r="P258" s="18"/>
      <c r="Q258" s="100">
        <f t="shared" si="27"/>
        <v>0</v>
      </c>
      <c r="R258" s="19"/>
      <c r="S258" s="52">
        <f t="shared" si="33"/>
        <v>0</v>
      </c>
      <c r="T258" s="11"/>
    </row>
    <row r="259" spans="1:20" x14ac:dyDescent="0.2">
      <c r="A259" s="11"/>
      <c r="B259" s="11"/>
      <c r="C259" s="12"/>
      <c r="D259" s="13"/>
      <c r="E259" s="14"/>
      <c r="F259" s="13"/>
      <c r="G259" s="15" t="e">
        <f t="shared" si="28"/>
        <v>#DIV/0!</v>
      </c>
      <c r="H259" s="16"/>
      <c r="I259" s="16"/>
      <c r="J259" s="16">
        <f t="shared" si="29"/>
        <v>0</v>
      </c>
      <c r="K259" s="16">
        <f t="shared" si="30"/>
        <v>0</v>
      </c>
      <c r="L259" s="16">
        <f t="shared" si="31"/>
        <v>0</v>
      </c>
      <c r="M259" s="17">
        <f t="shared" si="32"/>
        <v>0</v>
      </c>
      <c r="N259" s="11"/>
      <c r="O259" s="18"/>
      <c r="P259" s="18"/>
      <c r="Q259" s="100">
        <f t="shared" si="27"/>
        <v>0</v>
      </c>
      <c r="R259" s="19"/>
      <c r="S259" s="52">
        <f t="shared" si="33"/>
        <v>0</v>
      </c>
      <c r="T259" s="11"/>
    </row>
    <row r="260" spans="1:20" x14ac:dyDescent="0.2">
      <c r="A260" s="11"/>
      <c r="B260" s="11"/>
      <c r="C260" s="12"/>
      <c r="D260" s="13"/>
      <c r="E260" s="14"/>
      <c r="F260" s="13"/>
      <c r="G260" s="15" t="e">
        <f t="shared" si="28"/>
        <v>#DIV/0!</v>
      </c>
      <c r="H260" s="16"/>
      <c r="I260" s="16"/>
      <c r="J260" s="16">
        <f t="shared" si="29"/>
        <v>0</v>
      </c>
      <c r="K260" s="16">
        <f t="shared" si="30"/>
        <v>0</v>
      </c>
      <c r="L260" s="16">
        <f t="shared" si="31"/>
        <v>0</v>
      </c>
      <c r="M260" s="17">
        <f t="shared" si="32"/>
        <v>0</v>
      </c>
      <c r="N260" s="11"/>
      <c r="O260" s="18"/>
      <c r="P260" s="18"/>
      <c r="Q260" s="100">
        <f t="shared" si="27"/>
        <v>0</v>
      </c>
      <c r="R260" s="19"/>
      <c r="S260" s="52">
        <f t="shared" si="33"/>
        <v>0</v>
      </c>
      <c r="T260" s="11"/>
    </row>
    <row r="261" spans="1:20" x14ac:dyDescent="0.2">
      <c r="A261" s="11"/>
      <c r="B261" s="11"/>
      <c r="C261" s="12"/>
      <c r="D261" s="13"/>
      <c r="E261" s="14"/>
      <c r="F261" s="13"/>
      <c r="G261" s="15" t="e">
        <f t="shared" si="28"/>
        <v>#DIV/0!</v>
      </c>
      <c r="H261" s="16"/>
      <c r="I261" s="16"/>
      <c r="J261" s="16">
        <f t="shared" si="29"/>
        <v>0</v>
      </c>
      <c r="K261" s="16">
        <f t="shared" si="30"/>
        <v>0</v>
      </c>
      <c r="L261" s="16">
        <f t="shared" si="31"/>
        <v>0</v>
      </c>
      <c r="M261" s="17">
        <f t="shared" si="32"/>
        <v>0</v>
      </c>
      <c r="N261" s="11"/>
      <c r="O261" s="18"/>
      <c r="P261" s="18"/>
      <c r="Q261" s="100">
        <f t="shared" si="27"/>
        <v>0</v>
      </c>
      <c r="R261" s="19"/>
      <c r="S261" s="52">
        <f t="shared" si="33"/>
        <v>0</v>
      </c>
      <c r="T261" s="11"/>
    </row>
    <row r="262" spans="1:20" x14ac:dyDescent="0.2">
      <c r="A262" s="11"/>
      <c r="B262" s="11"/>
      <c r="C262" s="12"/>
      <c r="D262" s="13"/>
      <c r="E262" s="14"/>
      <c r="F262" s="13"/>
      <c r="G262" s="15" t="e">
        <f t="shared" si="28"/>
        <v>#DIV/0!</v>
      </c>
      <c r="H262" s="16"/>
      <c r="I262" s="16"/>
      <c r="J262" s="16">
        <f t="shared" si="29"/>
        <v>0</v>
      </c>
      <c r="K262" s="16">
        <f t="shared" si="30"/>
        <v>0</v>
      </c>
      <c r="L262" s="16">
        <f t="shared" si="31"/>
        <v>0</v>
      </c>
      <c r="M262" s="17">
        <f t="shared" si="32"/>
        <v>0</v>
      </c>
      <c r="N262" s="11"/>
      <c r="O262" s="18"/>
      <c r="P262" s="18"/>
      <c r="Q262" s="100">
        <f t="shared" ref="Q262:Q325" si="34">+P262-O262</f>
        <v>0</v>
      </c>
      <c r="R262" s="19"/>
      <c r="S262" s="52">
        <f t="shared" si="33"/>
        <v>0</v>
      </c>
      <c r="T262" s="11"/>
    </row>
    <row r="263" spans="1:20" x14ac:dyDescent="0.2">
      <c r="A263" s="11"/>
      <c r="B263" s="11"/>
      <c r="C263" s="12"/>
      <c r="D263" s="13"/>
      <c r="E263" s="14"/>
      <c r="F263" s="13"/>
      <c r="G263" s="15" t="e">
        <f t="shared" si="28"/>
        <v>#DIV/0!</v>
      </c>
      <c r="H263" s="16"/>
      <c r="I263" s="16"/>
      <c r="J263" s="16">
        <f t="shared" si="29"/>
        <v>0</v>
      </c>
      <c r="K263" s="16">
        <f t="shared" si="30"/>
        <v>0</v>
      </c>
      <c r="L263" s="16">
        <f t="shared" si="31"/>
        <v>0</v>
      </c>
      <c r="M263" s="17">
        <f t="shared" si="32"/>
        <v>0</v>
      </c>
      <c r="N263" s="11"/>
      <c r="O263" s="18"/>
      <c r="P263" s="18"/>
      <c r="Q263" s="100">
        <f t="shared" si="34"/>
        <v>0</v>
      </c>
      <c r="R263" s="19"/>
      <c r="S263" s="52">
        <f t="shared" si="33"/>
        <v>0</v>
      </c>
      <c r="T263" s="11"/>
    </row>
    <row r="264" spans="1:20" x14ac:dyDescent="0.2">
      <c r="A264" s="11"/>
      <c r="B264" s="11"/>
      <c r="C264" s="12"/>
      <c r="D264" s="13"/>
      <c r="E264" s="14"/>
      <c r="F264" s="13"/>
      <c r="G264" s="15" t="e">
        <f t="shared" si="28"/>
        <v>#DIV/0!</v>
      </c>
      <c r="H264" s="16"/>
      <c r="I264" s="16"/>
      <c r="J264" s="16">
        <f t="shared" si="29"/>
        <v>0</v>
      </c>
      <c r="K264" s="16">
        <f t="shared" si="30"/>
        <v>0</v>
      </c>
      <c r="L264" s="16">
        <f t="shared" si="31"/>
        <v>0</v>
      </c>
      <c r="M264" s="17">
        <f t="shared" si="32"/>
        <v>0</v>
      </c>
      <c r="N264" s="11"/>
      <c r="O264" s="18"/>
      <c r="P264" s="18"/>
      <c r="Q264" s="100">
        <f t="shared" si="34"/>
        <v>0</v>
      </c>
      <c r="R264" s="19"/>
      <c r="S264" s="52">
        <f t="shared" si="33"/>
        <v>0</v>
      </c>
      <c r="T264" s="11"/>
    </row>
    <row r="265" spans="1:20" x14ac:dyDescent="0.2">
      <c r="A265" s="11"/>
      <c r="B265" s="11"/>
      <c r="C265" s="12"/>
      <c r="D265" s="13"/>
      <c r="E265" s="14"/>
      <c r="F265" s="13"/>
      <c r="G265" s="15" t="e">
        <f t="shared" si="28"/>
        <v>#DIV/0!</v>
      </c>
      <c r="H265" s="16"/>
      <c r="I265" s="16"/>
      <c r="J265" s="16">
        <f t="shared" si="29"/>
        <v>0</v>
      </c>
      <c r="K265" s="16">
        <f t="shared" si="30"/>
        <v>0</v>
      </c>
      <c r="L265" s="16">
        <f t="shared" si="31"/>
        <v>0</v>
      </c>
      <c r="M265" s="17">
        <f t="shared" si="32"/>
        <v>0</v>
      </c>
      <c r="N265" s="11"/>
      <c r="O265" s="18"/>
      <c r="P265" s="18"/>
      <c r="Q265" s="100">
        <f t="shared" si="34"/>
        <v>0</v>
      </c>
      <c r="R265" s="19"/>
      <c r="S265" s="52">
        <f t="shared" si="33"/>
        <v>0</v>
      </c>
      <c r="T265" s="11"/>
    </row>
    <row r="266" spans="1:20" x14ac:dyDescent="0.2">
      <c r="A266" s="11"/>
      <c r="B266" s="11"/>
      <c r="C266" s="12"/>
      <c r="D266" s="13"/>
      <c r="E266" s="14"/>
      <c r="F266" s="13"/>
      <c r="G266" s="15" t="e">
        <f t="shared" si="28"/>
        <v>#DIV/0!</v>
      </c>
      <c r="H266" s="16"/>
      <c r="I266" s="16"/>
      <c r="J266" s="16">
        <f t="shared" si="29"/>
        <v>0</v>
      </c>
      <c r="K266" s="16">
        <f t="shared" si="30"/>
        <v>0</v>
      </c>
      <c r="L266" s="16">
        <f t="shared" si="31"/>
        <v>0</v>
      </c>
      <c r="M266" s="17">
        <f t="shared" si="32"/>
        <v>0</v>
      </c>
      <c r="N266" s="11"/>
      <c r="O266" s="18"/>
      <c r="P266" s="18"/>
      <c r="Q266" s="100">
        <f t="shared" si="34"/>
        <v>0</v>
      </c>
      <c r="R266" s="19"/>
      <c r="S266" s="52">
        <f t="shared" si="33"/>
        <v>0</v>
      </c>
      <c r="T266" s="11"/>
    </row>
    <row r="267" spans="1:20" x14ac:dyDescent="0.2">
      <c r="A267" s="11"/>
      <c r="B267" s="11"/>
      <c r="C267" s="12"/>
      <c r="D267" s="13"/>
      <c r="E267" s="14"/>
      <c r="F267" s="13"/>
      <c r="G267" s="15" t="e">
        <f t="shared" si="28"/>
        <v>#DIV/0!</v>
      </c>
      <c r="H267" s="16"/>
      <c r="I267" s="16"/>
      <c r="J267" s="16">
        <f t="shared" si="29"/>
        <v>0</v>
      </c>
      <c r="K267" s="16">
        <f t="shared" si="30"/>
        <v>0</v>
      </c>
      <c r="L267" s="16">
        <f t="shared" si="31"/>
        <v>0</v>
      </c>
      <c r="M267" s="17">
        <f t="shared" si="32"/>
        <v>0</v>
      </c>
      <c r="N267" s="11"/>
      <c r="O267" s="18"/>
      <c r="P267" s="18"/>
      <c r="Q267" s="100">
        <f t="shared" si="34"/>
        <v>0</v>
      </c>
      <c r="R267" s="19"/>
      <c r="S267" s="52">
        <f t="shared" si="33"/>
        <v>0</v>
      </c>
      <c r="T267" s="11"/>
    </row>
    <row r="268" spans="1:20" x14ac:dyDescent="0.2">
      <c r="A268" s="11"/>
      <c r="B268" s="11"/>
      <c r="C268" s="12"/>
      <c r="D268" s="13"/>
      <c r="E268" s="14"/>
      <c r="F268" s="13"/>
      <c r="G268" s="15" t="e">
        <f t="shared" si="28"/>
        <v>#DIV/0!</v>
      </c>
      <c r="H268" s="16"/>
      <c r="I268" s="16"/>
      <c r="J268" s="16">
        <f t="shared" si="29"/>
        <v>0</v>
      </c>
      <c r="K268" s="16">
        <f t="shared" si="30"/>
        <v>0</v>
      </c>
      <c r="L268" s="16">
        <f t="shared" si="31"/>
        <v>0</v>
      </c>
      <c r="M268" s="17">
        <f t="shared" si="32"/>
        <v>0</v>
      </c>
      <c r="N268" s="11"/>
      <c r="O268" s="18"/>
      <c r="P268" s="18"/>
      <c r="Q268" s="100">
        <f t="shared" si="34"/>
        <v>0</v>
      </c>
      <c r="R268" s="19"/>
      <c r="S268" s="52">
        <f t="shared" si="33"/>
        <v>0</v>
      </c>
      <c r="T268" s="11"/>
    </row>
    <row r="269" spans="1:20" x14ac:dyDescent="0.2">
      <c r="A269" s="11"/>
      <c r="B269" s="11"/>
      <c r="C269" s="12"/>
      <c r="D269" s="13"/>
      <c r="E269" s="14"/>
      <c r="F269" s="13"/>
      <c r="G269" s="15" t="e">
        <f t="shared" si="28"/>
        <v>#DIV/0!</v>
      </c>
      <c r="H269" s="16"/>
      <c r="I269" s="16"/>
      <c r="J269" s="16">
        <f t="shared" si="29"/>
        <v>0</v>
      </c>
      <c r="K269" s="16">
        <f t="shared" si="30"/>
        <v>0</v>
      </c>
      <c r="L269" s="16">
        <f t="shared" si="31"/>
        <v>0</v>
      </c>
      <c r="M269" s="17">
        <f t="shared" si="32"/>
        <v>0</v>
      </c>
      <c r="N269" s="11"/>
      <c r="O269" s="18"/>
      <c r="P269" s="18"/>
      <c r="Q269" s="100">
        <f t="shared" si="34"/>
        <v>0</v>
      </c>
      <c r="R269" s="19"/>
      <c r="S269" s="52">
        <f t="shared" si="33"/>
        <v>0</v>
      </c>
      <c r="T269" s="11"/>
    </row>
    <row r="270" spans="1:20" x14ac:dyDescent="0.2">
      <c r="A270" s="11"/>
      <c r="B270" s="11"/>
      <c r="C270" s="12"/>
      <c r="D270" s="13"/>
      <c r="E270" s="14"/>
      <c r="F270" s="13"/>
      <c r="G270" s="15" t="e">
        <f t="shared" ref="G270:G333" si="35">+F270/D270</f>
        <v>#DIV/0!</v>
      </c>
      <c r="H270" s="16"/>
      <c r="I270" s="16"/>
      <c r="J270" s="16">
        <f t="shared" ref="J270:J333" si="36">+H270*F270</f>
        <v>0</v>
      </c>
      <c r="K270" s="16">
        <f t="shared" ref="K270:K333" si="37">$K$2*C270</f>
        <v>0</v>
      </c>
      <c r="L270" s="16">
        <f t="shared" ref="L270:L333" si="38">$L$2*C270</f>
        <v>0</v>
      </c>
      <c r="M270" s="17">
        <f t="shared" ref="M270:M333" si="39">+(J270*1.21)+K270+L270</f>
        <v>0</v>
      </c>
      <c r="N270" s="11"/>
      <c r="O270" s="18"/>
      <c r="P270" s="18"/>
      <c r="Q270" s="100">
        <f t="shared" si="34"/>
        <v>0</v>
      </c>
      <c r="R270" s="19"/>
      <c r="S270" s="52">
        <f t="shared" si="33"/>
        <v>0</v>
      </c>
      <c r="T270" s="11"/>
    </row>
    <row r="271" spans="1:20" x14ac:dyDescent="0.2">
      <c r="A271" s="11"/>
      <c r="B271" s="11"/>
      <c r="C271" s="12"/>
      <c r="D271" s="13"/>
      <c r="E271" s="14"/>
      <c r="F271" s="13"/>
      <c r="G271" s="15" t="e">
        <f t="shared" si="35"/>
        <v>#DIV/0!</v>
      </c>
      <c r="H271" s="16"/>
      <c r="I271" s="16"/>
      <c r="J271" s="16">
        <f t="shared" si="36"/>
        <v>0</v>
      </c>
      <c r="K271" s="16">
        <f t="shared" si="37"/>
        <v>0</v>
      </c>
      <c r="L271" s="16">
        <f t="shared" si="38"/>
        <v>0</v>
      </c>
      <c r="M271" s="17">
        <f t="shared" si="39"/>
        <v>0</v>
      </c>
      <c r="N271" s="11"/>
      <c r="O271" s="18"/>
      <c r="P271" s="18"/>
      <c r="Q271" s="100">
        <f t="shared" si="34"/>
        <v>0</v>
      </c>
      <c r="R271" s="19"/>
      <c r="S271" s="52">
        <f t="shared" si="33"/>
        <v>0</v>
      </c>
      <c r="T271" s="11"/>
    </row>
    <row r="272" spans="1:20" x14ac:dyDescent="0.2">
      <c r="A272" s="11"/>
      <c r="B272" s="11"/>
      <c r="C272" s="12"/>
      <c r="D272" s="13"/>
      <c r="E272" s="14"/>
      <c r="F272" s="13"/>
      <c r="G272" s="15" t="e">
        <f t="shared" si="35"/>
        <v>#DIV/0!</v>
      </c>
      <c r="H272" s="16"/>
      <c r="I272" s="16"/>
      <c r="J272" s="16">
        <f t="shared" si="36"/>
        <v>0</v>
      </c>
      <c r="K272" s="16">
        <f t="shared" si="37"/>
        <v>0</v>
      </c>
      <c r="L272" s="16">
        <f t="shared" si="38"/>
        <v>0</v>
      </c>
      <c r="M272" s="17">
        <f t="shared" si="39"/>
        <v>0</v>
      </c>
      <c r="N272" s="11"/>
      <c r="O272" s="18"/>
      <c r="P272" s="18"/>
      <c r="Q272" s="100">
        <f t="shared" si="34"/>
        <v>0</v>
      </c>
      <c r="R272" s="19"/>
      <c r="S272" s="52">
        <f t="shared" ref="S272:S335" si="40">+R272-M272</f>
        <v>0</v>
      </c>
      <c r="T272" s="11"/>
    </row>
    <row r="273" spans="1:20" x14ac:dyDescent="0.2">
      <c r="A273" s="11"/>
      <c r="B273" s="11"/>
      <c r="C273" s="12"/>
      <c r="D273" s="13"/>
      <c r="E273" s="14"/>
      <c r="F273" s="13"/>
      <c r="G273" s="15" t="e">
        <f t="shared" si="35"/>
        <v>#DIV/0!</v>
      </c>
      <c r="H273" s="16"/>
      <c r="I273" s="16"/>
      <c r="J273" s="16">
        <f t="shared" si="36"/>
        <v>0</v>
      </c>
      <c r="K273" s="16">
        <f t="shared" si="37"/>
        <v>0</v>
      </c>
      <c r="L273" s="16">
        <f t="shared" si="38"/>
        <v>0</v>
      </c>
      <c r="M273" s="17">
        <f t="shared" si="39"/>
        <v>0</v>
      </c>
      <c r="N273" s="11"/>
      <c r="O273" s="18"/>
      <c r="P273" s="18"/>
      <c r="Q273" s="100">
        <f t="shared" si="34"/>
        <v>0</v>
      </c>
      <c r="R273" s="19"/>
      <c r="S273" s="52">
        <f t="shared" si="40"/>
        <v>0</v>
      </c>
      <c r="T273" s="11"/>
    </row>
    <row r="274" spans="1:20" x14ac:dyDescent="0.2">
      <c r="A274" s="11"/>
      <c r="B274" s="11"/>
      <c r="C274" s="12"/>
      <c r="D274" s="13"/>
      <c r="E274" s="14"/>
      <c r="F274" s="13"/>
      <c r="G274" s="15" t="e">
        <f t="shared" si="35"/>
        <v>#DIV/0!</v>
      </c>
      <c r="H274" s="16"/>
      <c r="I274" s="16"/>
      <c r="J274" s="16">
        <f t="shared" si="36"/>
        <v>0</v>
      </c>
      <c r="K274" s="16">
        <f t="shared" si="37"/>
        <v>0</v>
      </c>
      <c r="L274" s="16">
        <f t="shared" si="38"/>
        <v>0</v>
      </c>
      <c r="M274" s="17">
        <f t="shared" si="39"/>
        <v>0</v>
      </c>
      <c r="N274" s="11"/>
      <c r="O274" s="18"/>
      <c r="P274" s="18"/>
      <c r="Q274" s="100">
        <f t="shared" si="34"/>
        <v>0</v>
      </c>
      <c r="R274" s="19"/>
      <c r="S274" s="52">
        <f t="shared" si="40"/>
        <v>0</v>
      </c>
      <c r="T274" s="11"/>
    </row>
    <row r="275" spans="1:20" x14ac:dyDescent="0.2">
      <c r="A275" s="11"/>
      <c r="B275" s="11"/>
      <c r="C275" s="12"/>
      <c r="D275" s="13"/>
      <c r="E275" s="14"/>
      <c r="F275" s="13"/>
      <c r="G275" s="15" t="e">
        <f t="shared" si="35"/>
        <v>#DIV/0!</v>
      </c>
      <c r="H275" s="16"/>
      <c r="I275" s="16"/>
      <c r="J275" s="16">
        <f t="shared" si="36"/>
        <v>0</v>
      </c>
      <c r="K275" s="16">
        <f t="shared" si="37"/>
        <v>0</v>
      </c>
      <c r="L275" s="16">
        <f t="shared" si="38"/>
        <v>0</v>
      </c>
      <c r="M275" s="17">
        <f t="shared" si="39"/>
        <v>0</v>
      </c>
      <c r="N275" s="11"/>
      <c r="O275" s="18"/>
      <c r="P275" s="18"/>
      <c r="Q275" s="100">
        <f t="shared" si="34"/>
        <v>0</v>
      </c>
      <c r="R275" s="19"/>
      <c r="S275" s="52">
        <f t="shared" si="40"/>
        <v>0</v>
      </c>
      <c r="T275" s="11"/>
    </row>
    <row r="276" spans="1:20" x14ac:dyDescent="0.2">
      <c r="A276" s="11"/>
      <c r="B276" s="11"/>
      <c r="C276" s="12"/>
      <c r="D276" s="13"/>
      <c r="E276" s="14"/>
      <c r="F276" s="13"/>
      <c r="G276" s="15" t="e">
        <f t="shared" si="35"/>
        <v>#DIV/0!</v>
      </c>
      <c r="H276" s="16"/>
      <c r="I276" s="16"/>
      <c r="J276" s="16">
        <f t="shared" si="36"/>
        <v>0</v>
      </c>
      <c r="K276" s="16">
        <f t="shared" si="37"/>
        <v>0</v>
      </c>
      <c r="L276" s="16">
        <f t="shared" si="38"/>
        <v>0</v>
      </c>
      <c r="M276" s="17">
        <f t="shared" si="39"/>
        <v>0</v>
      </c>
      <c r="N276" s="11"/>
      <c r="O276" s="18"/>
      <c r="P276" s="18"/>
      <c r="Q276" s="100">
        <f t="shared" si="34"/>
        <v>0</v>
      </c>
      <c r="R276" s="19"/>
      <c r="S276" s="52">
        <f t="shared" si="40"/>
        <v>0</v>
      </c>
      <c r="T276" s="11"/>
    </row>
    <row r="277" spans="1:20" x14ac:dyDescent="0.2">
      <c r="A277" s="11"/>
      <c r="B277" s="11"/>
      <c r="C277" s="12"/>
      <c r="D277" s="13"/>
      <c r="E277" s="14"/>
      <c r="F277" s="13"/>
      <c r="G277" s="15" t="e">
        <f t="shared" si="35"/>
        <v>#DIV/0!</v>
      </c>
      <c r="H277" s="16"/>
      <c r="I277" s="16"/>
      <c r="J277" s="16">
        <f t="shared" si="36"/>
        <v>0</v>
      </c>
      <c r="K277" s="16">
        <f t="shared" si="37"/>
        <v>0</v>
      </c>
      <c r="L277" s="16">
        <f t="shared" si="38"/>
        <v>0</v>
      </c>
      <c r="M277" s="17">
        <f t="shared" si="39"/>
        <v>0</v>
      </c>
      <c r="N277" s="11"/>
      <c r="O277" s="18"/>
      <c r="P277" s="18"/>
      <c r="Q277" s="100">
        <f t="shared" si="34"/>
        <v>0</v>
      </c>
      <c r="R277" s="19"/>
      <c r="S277" s="52">
        <f t="shared" si="40"/>
        <v>0</v>
      </c>
      <c r="T277" s="11"/>
    </row>
    <row r="278" spans="1:20" x14ac:dyDescent="0.2">
      <c r="A278" s="11"/>
      <c r="B278" s="11"/>
      <c r="C278" s="12"/>
      <c r="D278" s="13"/>
      <c r="E278" s="14"/>
      <c r="F278" s="13"/>
      <c r="G278" s="15" t="e">
        <f t="shared" si="35"/>
        <v>#DIV/0!</v>
      </c>
      <c r="H278" s="16"/>
      <c r="I278" s="16"/>
      <c r="J278" s="16">
        <f t="shared" si="36"/>
        <v>0</v>
      </c>
      <c r="K278" s="16">
        <f t="shared" si="37"/>
        <v>0</v>
      </c>
      <c r="L278" s="16">
        <f t="shared" si="38"/>
        <v>0</v>
      </c>
      <c r="M278" s="17">
        <f t="shared" si="39"/>
        <v>0</v>
      </c>
      <c r="N278" s="11"/>
      <c r="O278" s="18"/>
      <c r="P278" s="18"/>
      <c r="Q278" s="100">
        <f t="shared" si="34"/>
        <v>0</v>
      </c>
      <c r="R278" s="19"/>
      <c r="S278" s="52">
        <f t="shared" si="40"/>
        <v>0</v>
      </c>
      <c r="T278" s="11"/>
    </row>
    <row r="279" spans="1:20" x14ac:dyDescent="0.2">
      <c r="A279" s="11"/>
      <c r="B279" s="11"/>
      <c r="C279" s="12"/>
      <c r="D279" s="13"/>
      <c r="E279" s="14"/>
      <c r="F279" s="13"/>
      <c r="G279" s="15" t="e">
        <f t="shared" si="35"/>
        <v>#DIV/0!</v>
      </c>
      <c r="H279" s="16"/>
      <c r="I279" s="16"/>
      <c r="J279" s="16">
        <f t="shared" si="36"/>
        <v>0</v>
      </c>
      <c r="K279" s="16">
        <f t="shared" si="37"/>
        <v>0</v>
      </c>
      <c r="L279" s="16">
        <f t="shared" si="38"/>
        <v>0</v>
      </c>
      <c r="M279" s="17">
        <f t="shared" si="39"/>
        <v>0</v>
      </c>
      <c r="N279" s="11"/>
      <c r="O279" s="18"/>
      <c r="P279" s="18"/>
      <c r="Q279" s="100">
        <f t="shared" si="34"/>
        <v>0</v>
      </c>
      <c r="R279" s="19"/>
      <c r="S279" s="52">
        <f t="shared" si="40"/>
        <v>0</v>
      </c>
      <c r="T279" s="11"/>
    </row>
    <row r="280" spans="1:20" x14ac:dyDescent="0.2">
      <c r="A280" s="11"/>
      <c r="B280" s="11"/>
      <c r="C280" s="12"/>
      <c r="D280" s="13"/>
      <c r="E280" s="14"/>
      <c r="F280" s="13"/>
      <c r="G280" s="15" t="e">
        <f t="shared" si="35"/>
        <v>#DIV/0!</v>
      </c>
      <c r="H280" s="16"/>
      <c r="I280" s="16"/>
      <c r="J280" s="16">
        <f t="shared" si="36"/>
        <v>0</v>
      </c>
      <c r="K280" s="16">
        <f t="shared" si="37"/>
        <v>0</v>
      </c>
      <c r="L280" s="16">
        <f t="shared" si="38"/>
        <v>0</v>
      </c>
      <c r="M280" s="17">
        <f t="shared" si="39"/>
        <v>0</v>
      </c>
      <c r="N280" s="11"/>
      <c r="O280" s="18"/>
      <c r="P280" s="18"/>
      <c r="Q280" s="100">
        <f t="shared" si="34"/>
        <v>0</v>
      </c>
      <c r="R280" s="19"/>
      <c r="S280" s="52">
        <f t="shared" si="40"/>
        <v>0</v>
      </c>
      <c r="T280" s="11"/>
    </row>
    <row r="281" spans="1:20" x14ac:dyDescent="0.2">
      <c r="A281" s="11"/>
      <c r="B281" s="11"/>
      <c r="C281" s="12"/>
      <c r="D281" s="13"/>
      <c r="E281" s="14"/>
      <c r="F281" s="13"/>
      <c r="G281" s="15" t="e">
        <f t="shared" si="35"/>
        <v>#DIV/0!</v>
      </c>
      <c r="H281" s="16"/>
      <c r="I281" s="16"/>
      <c r="J281" s="16">
        <f t="shared" si="36"/>
        <v>0</v>
      </c>
      <c r="K281" s="16">
        <f t="shared" si="37"/>
        <v>0</v>
      </c>
      <c r="L281" s="16">
        <f t="shared" si="38"/>
        <v>0</v>
      </c>
      <c r="M281" s="17">
        <f t="shared" si="39"/>
        <v>0</v>
      </c>
      <c r="N281" s="11"/>
      <c r="O281" s="18"/>
      <c r="P281" s="18"/>
      <c r="Q281" s="100">
        <f t="shared" si="34"/>
        <v>0</v>
      </c>
      <c r="R281" s="19"/>
      <c r="S281" s="52">
        <f t="shared" si="40"/>
        <v>0</v>
      </c>
      <c r="T281" s="11"/>
    </row>
    <row r="282" spans="1:20" x14ac:dyDescent="0.2">
      <c r="A282" s="11"/>
      <c r="B282" s="11"/>
      <c r="C282" s="12"/>
      <c r="D282" s="13"/>
      <c r="E282" s="14"/>
      <c r="F282" s="13"/>
      <c r="G282" s="15" t="e">
        <f t="shared" si="35"/>
        <v>#DIV/0!</v>
      </c>
      <c r="H282" s="16"/>
      <c r="I282" s="16"/>
      <c r="J282" s="16">
        <f t="shared" si="36"/>
        <v>0</v>
      </c>
      <c r="K282" s="16">
        <f t="shared" si="37"/>
        <v>0</v>
      </c>
      <c r="L282" s="16">
        <f t="shared" si="38"/>
        <v>0</v>
      </c>
      <c r="M282" s="17">
        <f t="shared" si="39"/>
        <v>0</v>
      </c>
      <c r="N282" s="11"/>
      <c r="O282" s="18"/>
      <c r="P282" s="18"/>
      <c r="Q282" s="100">
        <f t="shared" si="34"/>
        <v>0</v>
      </c>
      <c r="R282" s="19"/>
      <c r="S282" s="52">
        <f t="shared" si="40"/>
        <v>0</v>
      </c>
      <c r="T282" s="11"/>
    </row>
    <row r="283" spans="1:20" x14ac:dyDescent="0.2">
      <c r="A283" s="11"/>
      <c r="B283" s="11"/>
      <c r="C283" s="12"/>
      <c r="D283" s="13"/>
      <c r="E283" s="14"/>
      <c r="F283" s="13"/>
      <c r="G283" s="15" t="e">
        <f t="shared" si="35"/>
        <v>#DIV/0!</v>
      </c>
      <c r="H283" s="16"/>
      <c r="I283" s="16"/>
      <c r="J283" s="16">
        <f t="shared" si="36"/>
        <v>0</v>
      </c>
      <c r="K283" s="16">
        <f t="shared" si="37"/>
        <v>0</v>
      </c>
      <c r="L283" s="16">
        <f t="shared" si="38"/>
        <v>0</v>
      </c>
      <c r="M283" s="17">
        <f t="shared" si="39"/>
        <v>0</v>
      </c>
      <c r="N283" s="11"/>
      <c r="O283" s="18"/>
      <c r="P283" s="18"/>
      <c r="Q283" s="100">
        <f t="shared" si="34"/>
        <v>0</v>
      </c>
      <c r="R283" s="19"/>
      <c r="S283" s="52">
        <f t="shared" si="40"/>
        <v>0</v>
      </c>
      <c r="T283" s="11"/>
    </row>
    <row r="284" spans="1:20" x14ac:dyDescent="0.2">
      <c r="A284" s="11"/>
      <c r="B284" s="11"/>
      <c r="C284" s="12"/>
      <c r="D284" s="13"/>
      <c r="E284" s="14"/>
      <c r="F284" s="13"/>
      <c r="G284" s="15" t="e">
        <f t="shared" si="35"/>
        <v>#DIV/0!</v>
      </c>
      <c r="H284" s="16"/>
      <c r="I284" s="16"/>
      <c r="J284" s="16">
        <f t="shared" si="36"/>
        <v>0</v>
      </c>
      <c r="K284" s="16">
        <f t="shared" si="37"/>
        <v>0</v>
      </c>
      <c r="L284" s="16">
        <f t="shared" si="38"/>
        <v>0</v>
      </c>
      <c r="M284" s="17">
        <f t="shared" si="39"/>
        <v>0</v>
      </c>
      <c r="N284" s="11"/>
      <c r="O284" s="18"/>
      <c r="P284" s="18"/>
      <c r="Q284" s="100">
        <f t="shared" si="34"/>
        <v>0</v>
      </c>
      <c r="R284" s="19"/>
      <c r="S284" s="52">
        <f t="shared" si="40"/>
        <v>0</v>
      </c>
      <c r="T284" s="11"/>
    </row>
    <row r="285" spans="1:20" x14ac:dyDescent="0.2">
      <c r="A285" s="11"/>
      <c r="B285" s="11"/>
      <c r="C285" s="12"/>
      <c r="D285" s="13"/>
      <c r="E285" s="14"/>
      <c r="F285" s="13"/>
      <c r="G285" s="15" t="e">
        <f t="shared" si="35"/>
        <v>#DIV/0!</v>
      </c>
      <c r="H285" s="16"/>
      <c r="I285" s="16"/>
      <c r="J285" s="16">
        <f t="shared" si="36"/>
        <v>0</v>
      </c>
      <c r="K285" s="16">
        <f t="shared" si="37"/>
        <v>0</v>
      </c>
      <c r="L285" s="16">
        <f t="shared" si="38"/>
        <v>0</v>
      </c>
      <c r="M285" s="17">
        <f t="shared" si="39"/>
        <v>0</v>
      </c>
      <c r="N285" s="11"/>
      <c r="O285" s="18"/>
      <c r="P285" s="18"/>
      <c r="Q285" s="100">
        <f t="shared" si="34"/>
        <v>0</v>
      </c>
      <c r="R285" s="19"/>
      <c r="S285" s="52">
        <f t="shared" si="40"/>
        <v>0</v>
      </c>
      <c r="T285" s="11"/>
    </row>
    <row r="286" spans="1:20" x14ac:dyDescent="0.2">
      <c r="A286" s="11"/>
      <c r="B286" s="11"/>
      <c r="C286" s="12"/>
      <c r="D286" s="13"/>
      <c r="E286" s="14"/>
      <c r="F286" s="13"/>
      <c r="G286" s="15" t="e">
        <f t="shared" si="35"/>
        <v>#DIV/0!</v>
      </c>
      <c r="H286" s="16"/>
      <c r="I286" s="16"/>
      <c r="J286" s="16">
        <f t="shared" si="36"/>
        <v>0</v>
      </c>
      <c r="K286" s="16">
        <f t="shared" si="37"/>
        <v>0</v>
      </c>
      <c r="L286" s="16">
        <f t="shared" si="38"/>
        <v>0</v>
      </c>
      <c r="M286" s="17">
        <f t="shared" si="39"/>
        <v>0</v>
      </c>
      <c r="N286" s="11"/>
      <c r="O286" s="18"/>
      <c r="P286" s="18"/>
      <c r="Q286" s="100">
        <f t="shared" si="34"/>
        <v>0</v>
      </c>
      <c r="R286" s="19"/>
      <c r="S286" s="52">
        <f t="shared" si="40"/>
        <v>0</v>
      </c>
      <c r="T286" s="11"/>
    </row>
    <row r="287" spans="1:20" x14ac:dyDescent="0.2">
      <c r="A287" s="11"/>
      <c r="B287" s="11"/>
      <c r="C287" s="12"/>
      <c r="D287" s="13"/>
      <c r="E287" s="14"/>
      <c r="F287" s="13"/>
      <c r="G287" s="15" t="e">
        <f t="shared" si="35"/>
        <v>#DIV/0!</v>
      </c>
      <c r="H287" s="16"/>
      <c r="I287" s="16"/>
      <c r="J287" s="16">
        <f t="shared" si="36"/>
        <v>0</v>
      </c>
      <c r="K287" s="16">
        <f t="shared" si="37"/>
        <v>0</v>
      </c>
      <c r="L287" s="16">
        <f t="shared" si="38"/>
        <v>0</v>
      </c>
      <c r="M287" s="17">
        <f t="shared" si="39"/>
        <v>0</v>
      </c>
      <c r="N287" s="11"/>
      <c r="O287" s="18"/>
      <c r="P287" s="18"/>
      <c r="Q287" s="100">
        <f t="shared" si="34"/>
        <v>0</v>
      </c>
      <c r="R287" s="19"/>
      <c r="S287" s="52">
        <f t="shared" si="40"/>
        <v>0</v>
      </c>
      <c r="T287" s="11"/>
    </row>
    <row r="288" spans="1:20" x14ac:dyDescent="0.2">
      <c r="A288" s="11"/>
      <c r="B288" s="11"/>
      <c r="C288" s="12"/>
      <c r="D288" s="13"/>
      <c r="E288" s="14"/>
      <c r="F288" s="13"/>
      <c r="G288" s="15" t="e">
        <f t="shared" si="35"/>
        <v>#DIV/0!</v>
      </c>
      <c r="H288" s="16"/>
      <c r="I288" s="16"/>
      <c r="J288" s="16">
        <f t="shared" si="36"/>
        <v>0</v>
      </c>
      <c r="K288" s="16">
        <f t="shared" si="37"/>
        <v>0</v>
      </c>
      <c r="L288" s="16">
        <f t="shared" si="38"/>
        <v>0</v>
      </c>
      <c r="M288" s="17">
        <f t="shared" si="39"/>
        <v>0</v>
      </c>
      <c r="N288" s="11"/>
      <c r="O288" s="18"/>
      <c r="P288" s="18"/>
      <c r="Q288" s="100">
        <f t="shared" si="34"/>
        <v>0</v>
      </c>
      <c r="R288" s="19"/>
      <c r="S288" s="52">
        <f t="shared" si="40"/>
        <v>0</v>
      </c>
      <c r="T288" s="11"/>
    </row>
    <row r="289" spans="1:20" x14ac:dyDescent="0.2">
      <c r="A289" s="11"/>
      <c r="B289" s="11"/>
      <c r="C289" s="12"/>
      <c r="D289" s="13"/>
      <c r="E289" s="14"/>
      <c r="F289" s="13"/>
      <c r="G289" s="15" t="e">
        <f t="shared" si="35"/>
        <v>#DIV/0!</v>
      </c>
      <c r="H289" s="16"/>
      <c r="I289" s="16"/>
      <c r="J289" s="16">
        <f t="shared" si="36"/>
        <v>0</v>
      </c>
      <c r="K289" s="16">
        <f t="shared" si="37"/>
        <v>0</v>
      </c>
      <c r="L289" s="16">
        <f t="shared" si="38"/>
        <v>0</v>
      </c>
      <c r="M289" s="17">
        <f t="shared" si="39"/>
        <v>0</v>
      </c>
      <c r="N289" s="11"/>
      <c r="O289" s="18"/>
      <c r="P289" s="18"/>
      <c r="Q289" s="100">
        <f t="shared" si="34"/>
        <v>0</v>
      </c>
      <c r="R289" s="19"/>
      <c r="S289" s="52">
        <f t="shared" si="40"/>
        <v>0</v>
      </c>
      <c r="T289" s="11"/>
    </row>
    <row r="290" spans="1:20" x14ac:dyDescent="0.2">
      <c r="A290" s="11"/>
      <c r="B290" s="11"/>
      <c r="C290" s="12"/>
      <c r="D290" s="13"/>
      <c r="E290" s="14"/>
      <c r="F290" s="13"/>
      <c r="G290" s="15" t="e">
        <f t="shared" si="35"/>
        <v>#DIV/0!</v>
      </c>
      <c r="H290" s="16"/>
      <c r="I290" s="16"/>
      <c r="J290" s="16">
        <f t="shared" si="36"/>
        <v>0</v>
      </c>
      <c r="K290" s="16">
        <f t="shared" si="37"/>
        <v>0</v>
      </c>
      <c r="L290" s="16">
        <f t="shared" si="38"/>
        <v>0</v>
      </c>
      <c r="M290" s="17">
        <f t="shared" si="39"/>
        <v>0</v>
      </c>
      <c r="N290" s="11"/>
      <c r="O290" s="18"/>
      <c r="P290" s="18"/>
      <c r="Q290" s="100">
        <f t="shared" si="34"/>
        <v>0</v>
      </c>
      <c r="R290" s="19"/>
      <c r="S290" s="52">
        <f t="shared" si="40"/>
        <v>0</v>
      </c>
      <c r="T290" s="11"/>
    </row>
    <row r="291" spans="1:20" x14ac:dyDescent="0.2">
      <c r="A291" s="11"/>
      <c r="B291" s="11"/>
      <c r="C291" s="12"/>
      <c r="D291" s="13"/>
      <c r="E291" s="14"/>
      <c r="F291" s="13"/>
      <c r="G291" s="15" t="e">
        <f t="shared" si="35"/>
        <v>#DIV/0!</v>
      </c>
      <c r="H291" s="16"/>
      <c r="I291" s="16"/>
      <c r="J291" s="16">
        <f t="shared" si="36"/>
        <v>0</v>
      </c>
      <c r="K291" s="16">
        <f t="shared" si="37"/>
        <v>0</v>
      </c>
      <c r="L291" s="16">
        <f t="shared" si="38"/>
        <v>0</v>
      </c>
      <c r="M291" s="17">
        <f t="shared" si="39"/>
        <v>0</v>
      </c>
      <c r="N291" s="11"/>
      <c r="O291" s="18"/>
      <c r="P291" s="18"/>
      <c r="Q291" s="100">
        <f t="shared" si="34"/>
        <v>0</v>
      </c>
      <c r="R291" s="19"/>
      <c r="S291" s="52">
        <f t="shared" si="40"/>
        <v>0</v>
      </c>
      <c r="T291" s="11"/>
    </row>
    <row r="292" spans="1:20" x14ac:dyDescent="0.2">
      <c r="A292" s="11"/>
      <c r="B292" s="11"/>
      <c r="C292" s="12"/>
      <c r="D292" s="13"/>
      <c r="E292" s="14"/>
      <c r="F292" s="13"/>
      <c r="G292" s="15" t="e">
        <f t="shared" si="35"/>
        <v>#DIV/0!</v>
      </c>
      <c r="H292" s="16"/>
      <c r="I292" s="16"/>
      <c r="J292" s="16">
        <f t="shared" si="36"/>
        <v>0</v>
      </c>
      <c r="K292" s="16">
        <f t="shared" si="37"/>
        <v>0</v>
      </c>
      <c r="L292" s="16">
        <f t="shared" si="38"/>
        <v>0</v>
      </c>
      <c r="M292" s="17">
        <f t="shared" si="39"/>
        <v>0</v>
      </c>
      <c r="N292" s="11"/>
      <c r="O292" s="18"/>
      <c r="P292" s="18"/>
      <c r="Q292" s="100">
        <f t="shared" si="34"/>
        <v>0</v>
      </c>
      <c r="R292" s="19"/>
      <c r="S292" s="52">
        <f t="shared" si="40"/>
        <v>0</v>
      </c>
      <c r="T292" s="11"/>
    </row>
    <row r="293" spans="1:20" x14ac:dyDescent="0.2">
      <c r="A293" s="11"/>
      <c r="B293" s="11"/>
      <c r="C293" s="12"/>
      <c r="D293" s="13"/>
      <c r="E293" s="14"/>
      <c r="F293" s="13"/>
      <c r="G293" s="15" t="e">
        <f t="shared" si="35"/>
        <v>#DIV/0!</v>
      </c>
      <c r="H293" s="16"/>
      <c r="I293" s="16"/>
      <c r="J293" s="16">
        <f t="shared" si="36"/>
        <v>0</v>
      </c>
      <c r="K293" s="16">
        <f t="shared" si="37"/>
        <v>0</v>
      </c>
      <c r="L293" s="16">
        <f t="shared" si="38"/>
        <v>0</v>
      </c>
      <c r="M293" s="17">
        <f t="shared" si="39"/>
        <v>0</v>
      </c>
      <c r="N293" s="11"/>
      <c r="O293" s="18"/>
      <c r="P293" s="18"/>
      <c r="Q293" s="100">
        <f t="shared" si="34"/>
        <v>0</v>
      </c>
      <c r="R293" s="19"/>
      <c r="S293" s="52">
        <f t="shared" si="40"/>
        <v>0</v>
      </c>
      <c r="T293" s="11"/>
    </row>
    <row r="294" spans="1:20" x14ac:dyDescent="0.2">
      <c r="A294" s="11"/>
      <c r="B294" s="11"/>
      <c r="C294" s="12"/>
      <c r="D294" s="13"/>
      <c r="E294" s="14"/>
      <c r="F294" s="13"/>
      <c r="G294" s="15" t="e">
        <f t="shared" si="35"/>
        <v>#DIV/0!</v>
      </c>
      <c r="H294" s="16"/>
      <c r="I294" s="16"/>
      <c r="J294" s="16">
        <f t="shared" si="36"/>
        <v>0</v>
      </c>
      <c r="K294" s="16">
        <f t="shared" si="37"/>
        <v>0</v>
      </c>
      <c r="L294" s="16">
        <f t="shared" si="38"/>
        <v>0</v>
      </c>
      <c r="M294" s="17">
        <f t="shared" si="39"/>
        <v>0</v>
      </c>
      <c r="N294" s="11"/>
      <c r="O294" s="18"/>
      <c r="P294" s="18"/>
      <c r="Q294" s="100">
        <f t="shared" si="34"/>
        <v>0</v>
      </c>
      <c r="R294" s="19"/>
      <c r="S294" s="52">
        <f t="shared" si="40"/>
        <v>0</v>
      </c>
      <c r="T294" s="11"/>
    </row>
    <row r="295" spans="1:20" x14ac:dyDescent="0.2">
      <c r="A295" s="11"/>
      <c r="B295" s="11"/>
      <c r="C295" s="12"/>
      <c r="D295" s="13"/>
      <c r="E295" s="14"/>
      <c r="F295" s="13"/>
      <c r="G295" s="15" t="e">
        <f t="shared" si="35"/>
        <v>#DIV/0!</v>
      </c>
      <c r="H295" s="16"/>
      <c r="I295" s="16"/>
      <c r="J295" s="16">
        <f t="shared" si="36"/>
        <v>0</v>
      </c>
      <c r="K295" s="16">
        <f t="shared" si="37"/>
        <v>0</v>
      </c>
      <c r="L295" s="16">
        <f t="shared" si="38"/>
        <v>0</v>
      </c>
      <c r="M295" s="17">
        <f t="shared" si="39"/>
        <v>0</v>
      </c>
      <c r="N295" s="11"/>
      <c r="O295" s="18"/>
      <c r="P295" s="18"/>
      <c r="Q295" s="100">
        <f t="shared" si="34"/>
        <v>0</v>
      </c>
      <c r="R295" s="19"/>
      <c r="S295" s="52">
        <f t="shared" si="40"/>
        <v>0</v>
      </c>
      <c r="T295" s="11"/>
    </row>
    <row r="296" spans="1:20" x14ac:dyDescent="0.2">
      <c r="A296" s="11"/>
      <c r="B296" s="11"/>
      <c r="C296" s="12"/>
      <c r="D296" s="13"/>
      <c r="E296" s="14"/>
      <c r="F296" s="13"/>
      <c r="G296" s="15" t="e">
        <f t="shared" si="35"/>
        <v>#DIV/0!</v>
      </c>
      <c r="H296" s="16"/>
      <c r="I296" s="16"/>
      <c r="J296" s="16">
        <f t="shared" si="36"/>
        <v>0</v>
      </c>
      <c r="K296" s="16">
        <f t="shared" si="37"/>
        <v>0</v>
      </c>
      <c r="L296" s="16">
        <f t="shared" si="38"/>
        <v>0</v>
      </c>
      <c r="M296" s="17">
        <f t="shared" si="39"/>
        <v>0</v>
      </c>
      <c r="N296" s="11"/>
      <c r="O296" s="18"/>
      <c r="P296" s="18"/>
      <c r="Q296" s="100">
        <f t="shared" si="34"/>
        <v>0</v>
      </c>
      <c r="R296" s="19"/>
      <c r="S296" s="52">
        <f t="shared" si="40"/>
        <v>0</v>
      </c>
      <c r="T296" s="11"/>
    </row>
    <row r="297" spans="1:20" x14ac:dyDescent="0.2">
      <c r="A297" s="11"/>
      <c r="B297" s="11"/>
      <c r="C297" s="12"/>
      <c r="D297" s="13"/>
      <c r="E297" s="14"/>
      <c r="F297" s="13"/>
      <c r="G297" s="15" t="e">
        <f t="shared" si="35"/>
        <v>#DIV/0!</v>
      </c>
      <c r="H297" s="16"/>
      <c r="I297" s="16"/>
      <c r="J297" s="16">
        <f t="shared" si="36"/>
        <v>0</v>
      </c>
      <c r="K297" s="16">
        <f t="shared" si="37"/>
        <v>0</v>
      </c>
      <c r="L297" s="16">
        <f t="shared" si="38"/>
        <v>0</v>
      </c>
      <c r="M297" s="17">
        <f t="shared" si="39"/>
        <v>0</v>
      </c>
      <c r="N297" s="11"/>
      <c r="O297" s="18"/>
      <c r="P297" s="18"/>
      <c r="Q297" s="100">
        <f t="shared" si="34"/>
        <v>0</v>
      </c>
      <c r="R297" s="19"/>
      <c r="S297" s="52">
        <f t="shared" si="40"/>
        <v>0</v>
      </c>
      <c r="T297" s="11"/>
    </row>
    <row r="298" spans="1:20" x14ac:dyDescent="0.2">
      <c r="A298" s="11"/>
      <c r="B298" s="11"/>
      <c r="C298" s="12"/>
      <c r="D298" s="13"/>
      <c r="E298" s="14"/>
      <c r="F298" s="13"/>
      <c r="G298" s="15" t="e">
        <f t="shared" si="35"/>
        <v>#DIV/0!</v>
      </c>
      <c r="H298" s="16"/>
      <c r="I298" s="16"/>
      <c r="J298" s="16">
        <f t="shared" si="36"/>
        <v>0</v>
      </c>
      <c r="K298" s="16">
        <f t="shared" si="37"/>
        <v>0</v>
      </c>
      <c r="L298" s="16">
        <f t="shared" si="38"/>
        <v>0</v>
      </c>
      <c r="M298" s="17">
        <f t="shared" si="39"/>
        <v>0</v>
      </c>
      <c r="N298" s="11"/>
      <c r="O298" s="18"/>
      <c r="P298" s="18"/>
      <c r="Q298" s="100">
        <f t="shared" si="34"/>
        <v>0</v>
      </c>
      <c r="R298" s="19"/>
      <c r="S298" s="52">
        <f t="shared" si="40"/>
        <v>0</v>
      </c>
      <c r="T298" s="11"/>
    </row>
    <row r="299" spans="1:20" x14ac:dyDescent="0.2">
      <c r="A299" s="11"/>
      <c r="B299" s="11"/>
      <c r="C299" s="12"/>
      <c r="D299" s="13"/>
      <c r="E299" s="14"/>
      <c r="F299" s="13"/>
      <c r="G299" s="15" t="e">
        <f t="shared" si="35"/>
        <v>#DIV/0!</v>
      </c>
      <c r="H299" s="16"/>
      <c r="I299" s="16"/>
      <c r="J299" s="16">
        <f t="shared" si="36"/>
        <v>0</v>
      </c>
      <c r="K299" s="16">
        <f t="shared" si="37"/>
        <v>0</v>
      </c>
      <c r="L299" s="16">
        <f t="shared" si="38"/>
        <v>0</v>
      </c>
      <c r="M299" s="17">
        <f t="shared" si="39"/>
        <v>0</v>
      </c>
      <c r="N299" s="11"/>
      <c r="O299" s="18"/>
      <c r="P299" s="18"/>
      <c r="Q299" s="100">
        <f t="shared" si="34"/>
        <v>0</v>
      </c>
      <c r="R299" s="19"/>
      <c r="S299" s="52">
        <f t="shared" si="40"/>
        <v>0</v>
      </c>
      <c r="T299" s="11"/>
    </row>
    <row r="300" spans="1:20" x14ac:dyDescent="0.2">
      <c r="A300" s="11"/>
      <c r="B300" s="11"/>
      <c r="C300" s="12"/>
      <c r="D300" s="13"/>
      <c r="E300" s="14"/>
      <c r="F300" s="13"/>
      <c r="G300" s="15" t="e">
        <f t="shared" si="35"/>
        <v>#DIV/0!</v>
      </c>
      <c r="H300" s="16"/>
      <c r="I300" s="16"/>
      <c r="J300" s="16">
        <f t="shared" si="36"/>
        <v>0</v>
      </c>
      <c r="K300" s="16">
        <f t="shared" si="37"/>
        <v>0</v>
      </c>
      <c r="L300" s="16">
        <f t="shared" si="38"/>
        <v>0</v>
      </c>
      <c r="M300" s="17">
        <f t="shared" si="39"/>
        <v>0</v>
      </c>
      <c r="N300" s="11"/>
      <c r="O300" s="18"/>
      <c r="P300" s="18"/>
      <c r="Q300" s="100">
        <f t="shared" si="34"/>
        <v>0</v>
      </c>
      <c r="R300" s="19"/>
      <c r="S300" s="52">
        <f t="shared" si="40"/>
        <v>0</v>
      </c>
      <c r="T300" s="11"/>
    </row>
    <row r="301" spans="1:20" x14ac:dyDescent="0.2">
      <c r="A301" s="11"/>
      <c r="B301" s="11"/>
      <c r="C301" s="12"/>
      <c r="D301" s="13"/>
      <c r="E301" s="14"/>
      <c r="F301" s="13"/>
      <c r="G301" s="15" t="e">
        <f t="shared" si="35"/>
        <v>#DIV/0!</v>
      </c>
      <c r="H301" s="16"/>
      <c r="I301" s="16"/>
      <c r="J301" s="16">
        <f t="shared" si="36"/>
        <v>0</v>
      </c>
      <c r="K301" s="16">
        <f t="shared" si="37"/>
        <v>0</v>
      </c>
      <c r="L301" s="16">
        <f t="shared" si="38"/>
        <v>0</v>
      </c>
      <c r="M301" s="17">
        <f t="shared" si="39"/>
        <v>0</v>
      </c>
      <c r="N301" s="11"/>
      <c r="O301" s="18"/>
      <c r="P301" s="18"/>
      <c r="Q301" s="100">
        <f t="shared" si="34"/>
        <v>0</v>
      </c>
      <c r="R301" s="19"/>
      <c r="S301" s="52">
        <f t="shared" si="40"/>
        <v>0</v>
      </c>
      <c r="T301" s="11"/>
    </row>
    <row r="302" spans="1:20" x14ac:dyDescent="0.2">
      <c r="A302" s="11"/>
      <c r="B302" s="11"/>
      <c r="C302" s="12"/>
      <c r="D302" s="13"/>
      <c r="E302" s="14"/>
      <c r="F302" s="13"/>
      <c r="G302" s="15" t="e">
        <f t="shared" si="35"/>
        <v>#DIV/0!</v>
      </c>
      <c r="H302" s="16"/>
      <c r="I302" s="16"/>
      <c r="J302" s="16">
        <f t="shared" si="36"/>
        <v>0</v>
      </c>
      <c r="K302" s="16">
        <f t="shared" si="37"/>
        <v>0</v>
      </c>
      <c r="L302" s="16">
        <f t="shared" si="38"/>
        <v>0</v>
      </c>
      <c r="M302" s="17">
        <f t="shared" si="39"/>
        <v>0</v>
      </c>
      <c r="N302" s="11"/>
      <c r="O302" s="18"/>
      <c r="P302" s="18"/>
      <c r="Q302" s="100">
        <f t="shared" si="34"/>
        <v>0</v>
      </c>
      <c r="R302" s="19"/>
      <c r="S302" s="52">
        <f t="shared" si="40"/>
        <v>0</v>
      </c>
      <c r="T302" s="11"/>
    </row>
    <row r="303" spans="1:20" x14ac:dyDescent="0.2">
      <c r="A303" s="11"/>
      <c r="B303" s="11"/>
      <c r="C303" s="12"/>
      <c r="D303" s="13"/>
      <c r="E303" s="14"/>
      <c r="F303" s="13"/>
      <c r="G303" s="15" t="e">
        <f t="shared" si="35"/>
        <v>#DIV/0!</v>
      </c>
      <c r="H303" s="16"/>
      <c r="I303" s="16"/>
      <c r="J303" s="16">
        <f t="shared" si="36"/>
        <v>0</v>
      </c>
      <c r="K303" s="16">
        <f t="shared" si="37"/>
        <v>0</v>
      </c>
      <c r="L303" s="16">
        <f t="shared" si="38"/>
        <v>0</v>
      </c>
      <c r="M303" s="17">
        <f t="shared" si="39"/>
        <v>0</v>
      </c>
      <c r="N303" s="11"/>
      <c r="O303" s="18"/>
      <c r="P303" s="18"/>
      <c r="Q303" s="100">
        <f t="shared" si="34"/>
        <v>0</v>
      </c>
      <c r="R303" s="19"/>
      <c r="S303" s="52">
        <f t="shared" si="40"/>
        <v>0</v>
      </c>
      <c r="T303" s="11"/>
    </row>
    <row r="304" spans="1:20" x14ac:dyDescent="0.2">
      <c r="A304" s="11"/>
      <c r="B304" s="11"/>
      <c r="C304" s="12"/>
      <c r="D304" s="13"/>
      <c r="E304" s="14"/>
      <c r="F304" s="13"/>
      <c r="G304" s="15" t="e">
        <f t="shared" si="35"/>
        <v>#DIV/0!</v>
      </c>
      <c r="H304" s="16"/>
      <c r="I304" s="16"/>
      <c r="J304" s="16">
        <f t="shared" si="36"/>
        <v>0</v>
      </c>
      <c r="K304" s="16">
        <f t="shared" si="37"/>
        <v>0</v>
      </c>
      <c r="L304" s="16">
        <f t="shared" si="38"/>
        <v>0</v>
      </c>
      <c r="M304" s="17">
        <f t="shared" si="39"/>
        <v>0</v>
      </c>
      <c r="N304" s="11"/>
      <c r="O304" s="18"/>
      <c r="P304" s="18"/>
      <c r="Q304" s="100">
        <f t="shared" si="34"/>
        <v>0</v>
      </c>
      <c r="R304" s="19"/>
      <c r="S304" s="52">
        <f t="shared" si="40"/>
        <v>0</v>
      </c>
      <c r="T304" s="11"/>
    </row>
    <row r="305" spans="1:20" x14ac:dyDescent="0.2">
      <c r="A305" s="11"/>
      <c r="B305" s="11"/>
      <c r="C305" s="12"/>
      <c r="D305" s="13"/>
      <c r="E305" s="14"/>
      <c r="F305" s="13"/>
      <c r="G305" s="15" t="e">
        <f t="shared" si="35"/>
        <v>#DIV/0!</v>
      </c>
      <c r="H305" s="16"/>
      <c r="I305" s="16"/>
      <c r="J305" s="16">
        <f t="shared" si="36"/>
        <v>0</v>
      </c>
      <c r="K305" s="16">
        <f t="shared" si="37"/>
        <v>0</v>
      </c>
      <c r="L305" s="16">
        <f t="shared" si="38"/>
        <v>0</v>
      </c>
      <c r="M305" s="17">
        <f t="shared" si="39"/>
        <v>0</v>
      </c>
      <c r="N305" s="11"/>
      <c r="O305" s="18"/>
      <c r="P305" s="18"/>
      <c r="Q305" s="100">
        <f t="shared" si="34"/>
        <v>0</v>
      </c>
      <c r="R305" s="19"/>
      <c r="S305" s="52">
        <f t="shared" si="40"/>
        <v>0</v>
      </c>
      <c r="T305" s="11"/>
    </row>
    <row r="306" spans="1:20" x14ac:dyDescent="0.2">
      <c r="A306" s="11"/>
      <c r="B306" s="11"/>
      <c r="C306" s="12"/>
      <c r="D306" s="13"/>
      <c r="E306" s="14"/>
      <c r="F306" s="13"/>
      <c r="G306" s="15" t="e">
        <f t="shared" si="35"/>
        <v>#DIV/0!</v>
      </c>
      <c r="H306" s="16"/>
      <c r="I306" s="16"/>
      <c r="J306" s="16">
        <f t="shared" si="36"/>
        <v>0</v>
      </c>
      <c r="K306" s="16">
        <f t="shared" si="37"/>
        <v>0</v>
      </c>
      <c r="L306" s="16">
        <f t="shared" si="38"/>
        <v>0</v>
      </c>
      <c r="M306" s="17">
        <f t="shared" si="39"/>
        <v>0</v>
      </c>
      <c r="N306" s="11"/>
      <c r="O306" s="18"/>
      <c r="P306" s="18"/>
      <c r="Q306" s="100">
        <f t="shared" si="34"/>
        <v>0</v>
      </c>
      <c r="R306" s="19"/>
      <c r="S306" s="52">
        <f t="shared" si="40"/>
        <v>0</v>
      </c>
      <c r="T306" s="11"/>
    </row>
    <row r="307" spans="1:20" x14ac:dyDescent="0.2">
      <c r="A307" s="11"/>
      <c r="B307" s="11"/>
      <c r="C307" s="12"/>
      <c r="D307" s="13"/>
      <c r="E307" s="14"/>
      <c r="F307" s="13"/>
      <c r="G307" s="15" t="e">
        <f t="shared" si="35"/>
        <v>#DIV/0!</v>
      </c>
      <c r="H307" s="16"/>
      <c r="I307" s="16"/>
      <c r="J307" s="16">
        <f t="shared" si="36"/>
        <v>0</v>
      </c>
      <c r="K307" s="16">
        <f t="shared" si="37"/>
        <v>0</v>
      </c>
      <c r="L307" s="16">
        <f t="shared" si="38"/>
        <v>0</v>
      </c>
      <c r="M307" s="17">
        <f t="shared" si="39"/>
        <v>0</v>
      </c>
      <c r="N307" s="11"/>
      <c r="O307" s="18"/>
      <c r="P307" s="18"/>
      <c r="Q307" s="100">
        <f t="shared" si="34"/>
        <v>0</v>
      </c>
      <c r="R307" s="19"/>
      <c r="S307" s="52">
        <f t="shared" si="40"/>
        <v>0</v>
      </c>
      <c r="T307" s="11"/>
    </row>
    <row r="308" spans="1:20" x14ac:dyDescent="0.2">
      <c r="A308" s="11"/>
      <c r="B308" s="11"/>
      <c r="C308" s="12"/>
      <c r="D308" s="13"/>
      <c r="E308" s="14"/>
      <c r="F308" s="13"/>
      <c r="G308" s="15" t="e">
        <f t="shared" si="35"/>
        <v>#DIV/0!</v>
      </c>
      <c r="H308" s="16"/>
      <c r="I308" s="16"/>
      <c r="J308" s="16">
        <f t="shared" si="36"/>
        <v>0</v>
      </c>
      <c r="K308" s="16">
        <f t="shared" si="37"/>
        <v>0</v>
      </c>
      <c r="L308" s="16">
        <f t="shared" si="38"/>
        <v>0</v>
      </c>
      <c r="M308" s="17">
        <f t="shared" si="39"/>
        <v>0</v>
      </c>
      <c r="N308" s="11"/>
      <c r="O308" s="18"/>
      <c r="P308" s="18"/>
      <c r="Q308" s="100">
        <f t="shared" si="34"/>
        <v>0</v>
      </c>
      <c r="R308" s="19"/>
      <c r="S308" s="52">
        <f t="shared" si="40"/>
        <v>0</v>
      </c>
      <c r="T308" s="11"/>
    </row>
    <row r="309" spans="1:20" x14ac:dyDescent="0.2">
      <c r="A309" s="11"/>
      <c r="B309" s="11"/>
      <c r="C309" s="12"/>
      <c r="D309" s="13"/>
      <c r="E309" s="14"/>
      <c r="F309" s="13"/>
      <c r="G309" s="15" t="e">
        <f t="shared" si="35"/>
        <v>#DIV/0!</v>
      </c>
      <c r="H309" s="16"/>
      <c r="I309" s="16"/>
      <c r="J309" s="16">
        <f t="shared" si="36"/>
        <v>0</v>
      </c>
      <c r="K309" s="16">
        <f t="shared" si="37"/>
        <v>0</v>
      </c>
      <c r="L309" s="16">
        <f t="shared" si="38"/>
        <v>0</v>
      </c>
      <c r="M309" s="17">
        <f t="shared" si="39"/>
        <v>0</v>
      </c>
      <c r="N309" s="11"/>
      <c r="O309" s="18"/>
      <c r="P309" s="18"/>
      <c r="Q309" s="100">
        <f t="shared" si="34"/>
        <v>0</v>
      </c>
      <c r="R309" s="19"/>
      <c r="S309" s="52">
        <f t="shared" si="40"/>
        <v>0</v>
      </c>
      <c r="T309" s="11"/>
    </row>
    <row r="310" spans="1:20" x14ac:dyDescent="0.2">
      <c r="A310" s="11"/>
      <c r="B310" s="11"/>
      <c r="C310" s="12"/>
      <c r="D310" s="13"/>
      <c r="E310" s="14"/>
      <c r="F310" s="13"/>
      <c r="G310" s="15" t="e">
        <f t="shared" si="35"/>
        <v>#DIV/0!</v>
      </c>
      <c r="H310" s="16"/>
      <c r="I310" s="16"/>
      <c r="J310" s="16">
        <f t="shared" si="36"/>
        <v>0</v>
      </c>
      <c r="K310" s="16">
        <f t="shared" si="37"/>
        <v>0</v>
      </c>
      <c r="L310" s="16">
        <f t="shared" si="38"/>
        <v>0</v>
      </c>
      <c r="M310" s="17">
        <f t="shared" si="39"/>
        <v>0</v>
      </c>
      <c r="N310" s="11"/>
      <c r="O310" s="18"/>
      <c r="P310" s="18"/>
      <c r="Q310" s="100">
        <f t="shared" si="34"/>
        <v>0</v>
      </c>
      <c r="R310" s="19"/>
      <c r="S310" s="52">
        <f t="shared" si="40"/>
        <v>0</v>
      </c>
      <c r="T310" s="11"/>
    </row>
    <row r="311" spans="1:20" x14ac:dyDescent="0.2">
      <c r="A311" s="11"/>
      <c r="B311" s="11"/>
      <c r="C311" s="12"/>
      <c r="D311" s="13"/>
      <c r="E311" s="14"/>
      <c r="F311" s="13"/>
      <c r="G311" s="15" t="e">
        <f t="shared" si="35"/>
        <v>#DIV/0!</v>
      </c>
      <c r="H311" s="16"/>
      <c r="I311" s="16"/>
      <c r="J311" s="16">
        <f t="shared" si="36"/>
        <v>0</v>
      </c>
      <c r="K311" s="16">
        <f t="shared" si="37"/>
        <v>0</v>
      </c>
      <c r="L311" s="16">
        <f t="shared" si="38"/>
        <v>0</v>
      </c>
      <c r="M311" s="17">
        <f t="shared" si="39"/>
        <v>0</v>
      </c>
      <c r="N311" s="11"/>
      <c r="O311" s="18"/>
      <c r="P311" s="18"/>
      <c r="Q311" s="100">
        <f t="shared" si="34"/>
        <v>0</v>
      </c>
      <c r="R311" s="19"/>
      <c r="S311" s="52">
        <f t="shared" si="40"/>
        <v>0</v>
      </c>
      <c r="T311" s="11"/>
    </row>
    <row r="312" spans="1:20" x14ac:dyDescent="0.2">
      <c r="A312" s="11"/>
      <c r="B312" s="11"/>
      <c r="C312" s="12"/>
      <c r="D312" s="13"/>
      <c r="E312" s="14"/>
      <c r="F312" s="13"/>
      <c r="G312" s="15" t="e">
        <f t="shared" si="35"/>
        <v>#DIV/0!</v>
      </c>
      <c r="H312" s="16"/>
      <c r="I312" s="16"/>
      <c r="J312" s="16">
        <f t="shared" si="36"/>
        <v>0</v>
      </c>
      <c r="K312" s="16">
        <f t="shared" si="37"/>
        <v>0</v>
      </c>
      <c r="L312" s="16">
        <f t="shared" si="38"/>
        <v>0</v>
      </c>
      <c r="M312" s="17">
        <f t="shared" si="39"/>
        <v>0</v>
      </c>
      <c r="N312" s="11"/>
      <c r="O312" s="18"/>
      <c r="P312" s="18"/>
      <c r="Q312" s="100">
        <f t="shared" si="34"/>
        <v>0</v>
      </c>
      <c r="R312" s="19"/>
      <c r="S312" s="52">
        <f t="shared" si="40"/>
        <v>0</v>
      </c>
      <c r="T312" s="11"/>
    </row>
    <row r="313" spans="1:20" x14ac:dyDescent="0.2">
      <c r="A313" s="11"/>
      <c r="B313" s="11"/>
      <c r="C313" s="12"/>
      <c r="D313" s="13"/>
      <c r="E313" s="14"/>
      <c r="F313" s="13"/>
      <c r="G313" s="15" t="e">
        <f t="shared" si="35"/>
        <v>#DIV/0!</v>
      </c>
      <c r="H313" s="16"/>
      <c r="I313" s="16"/>
      <c r="J313" s="16">
        <f t="shared" si="36"/>
        <v>0</v>
      </c>
      <c r="K313" s="16">
        <f t="shared" si="37"/>
        <v>0</v>
      </c>
      <c r="L313" s="16">
        <f t="shared" si="38"/>
        <v>0</v>
      </c>
      <c r="M313" s="17">
        <f t="shared" si="39"/>
        <v>0</v>
      </c>
      <c r="N313" s="11"/>
      <c r="O313" s="18"/>
      <c r="P313" s="18"/>
      <c r="Q313" s="100">
        <f t="shared" si="34"/>
        <v>0</v>
      </c>
      <c r="R313" s="19"/>
      <c r="S313" s="52">
        <f t="shared" si="40"/>
        <v>0</v>
      </c>
      <c r="T313" s="11"/>
    </row>
    <row r="314" spans="1:20" x14ac:dyDescent="0.2">
      <c r="A314" s="11"/>
      <c r="B314" s="11"/>
      <c r="C314" s="12"/>
      <c r="D314" s="13"/>
      <c r="E314" s="14"/>
      <c r="F314" s="13"/>
      <c r="G314" s="15" t="e">
        <f t="shared" si="35"/>
        <v>#DIV/0!</v>
      </c>
      <c r="H314" s="16"/>
      <c r="I314" s="16"/>
      <c r="J314" s="16">
        <f t="shared" si="36"/>
        <v>0</v>
      </c>
      <c r="K314" s="16">
        <f t="shared" si="37"/>
        <v>0</v>
      </c>
      <c r="L314" s="16">
        <f t="shared" si="38"/>
        <v>0</v>
      </c>
      <c r="M314" s="17">
        <f t="shared" si="39"/>
        <v>0</v>
      </c>
      <c r="N314" s="11"/>
      <c r="O314" s="18"/>
      <c r="P314" s="18"/>
      <c r="Q314" s="100">
        <f t="shared" si="34"/>
        <v>0</v>
      </c>
      <c r="R314" s="19"/>
      <c r="S314" s="52">
        <f t="shared" si="40"/>
        <v>0</v>
      </c>
      <c r="T314" s="11"/>
    </row>
    <row r="315" spans="1:20" x14ac:dyDescent="0.2">
      <c r="A315" s="11"/>
      <c r="B315" s="11"/>
      <c r="C315" s="12"/>
      <c r="D315" s="13"/>
      <c r="E315" s="14"/>
      <c r="F315" s="13"/>
      <c r="G315" s="15" t="e">
        <f t="shared" si="35"/>
        <v>#DIV/0!</v>
      </c>
      <c r="H315" s="16"/>
      <c r="I315" s="16"/>
      <c r="J315" s="16">
        <f t="shared" si="36"/>
        <v>0</v>
      </c>
      <c r="K315" s="16">
        <f t="shared" si="37"/>
        <v>0</v>
      </c>
      <c r="L315" s="16">
        <f t="shared" si="38"/>
        <v>0</v>
      </c>
      <c r="M315" s="17">
        <f t="shared" si="39"/>
        <v>0</v>
      </c>
      <c r="N315" s="11"/>
      <c r="O315" s="18"/>
      <c r="P315" s="18"/>
      <c r="Q315" s="100">
        <f t="shared" si="34"/>
        <v>0</v>
      </c>
      <c r="R315" s="19"/>
      <c r="S315" s="52">
        <f t="shared" si="40"/>
        <v>0</v>
      </c>
      <c r="T315" s="11"/>
    </row>
    <row r="316" spans="1:20" x14ac:dyDescent="0.2">
      <c r="A316" s="11"/>
      <c r="B316" s="11"/>
      <c r="C316" s="12"/>
      <c r="D316" s="13"/>
      <c r="E316" s="14"/>
      <c r="F316" s="13"/>
      <c r="G316" s="15" t="e">
        <f t="shared" si="35"/>
        <v>#DIV/0!</v>
      </c>
      <c r="H316" s="16"/>
      <c r="I316" s="16"/>
      <c r="J316" s="16">
        <f t="shared" si="36"/>
        <v>0</v>
      </c>
      <c r="K316" s="16">
        <f t="shared" si="37"/>
        <v>0</v>
      </c>
      <c r="L316" s="16">
        <f t="shared" si="38"/>
        <v>0</v>
      </c>
      <c r="M316" s="17">
        <f t="shared" si="39"/>
        <v>0</v>
      </c>
      <c r="N316" s="11"/>
      <c r="O316" s="18"/>
      <c r="P316" s="18"/>
      <c r="Q316" s="100">
        <f t="shared" si="34"/>
        <v>0</v>
      </c>
      <c r="R316" s="19"/>
      <c r="S316" s="52">
        <f t="shared" si="40"/>
        <v>0</v>
      </c>
      <c r="T316" s="11"/>
    </row>
    <row r="317" spans="1:20" x14ac:dyDescent="0.2">
      <c r="A317" s="11"/>
      <c r="B317" s="11"/>
      <c r="C317" s="12"/>
      <c r="D317" s="13"/>
      <c r="E317" s="14"/>
      <c r="F317" s="13"/>
      <c r="G317" s="15" t="e">
        <f t="shared" si="35"/>
        <v>#DIV/0!</v>
      </c>
      <c r="H317" s="16"/>
      <c r="I317" s="16"/>
      <c r="J317" s="16">
        <f t="shared" si="36"/>
        <v>0</v>
      </c>
      <c r="K317" s="16">
        <f t="shared" si="37"/>
        <v>0</v>
      </c>
      <c r="L317" s="16">
        <f t="shared" si="38"/>
        <v>0</v>
      </c>
      <c r="M317" s="17">
        <f t="shared" si="39"/>
        <v>0</v>
      </c>
      <c r="N317" s="11"/>
      <c r="O317" s="18"/>
      <c r="P317" s="18"/>
      <c r="Q317" s="100">
        <f t="shared" si="34"/>
        <v>0</v>
      </c>
      <c r="R317" s="19"/>
      <c r="S317" s="52">
        <f t="shared" si="40"/>
        <v>0</v>
      </c>
      <c r="T317" s="11"/>
    </row>
    <row r="318" spans="1:20" x14ac:dyDescent="0.2">
      <c r="A318" s="11"/>
      <c r="B318" s="11"/>
      <c r="C318" s="12"/>
      <c r="D318" s="13"/>
      <c r="E318" s="14"/>
      <c r="F318" s="13"/>
      <c r="G318" s="15" t="e">
        <f t="shared" si="35"/>
        <v>#DIV/0!</v>
      </c>
      <c r="H318" s="16"/>
      <c r="I318" s="16"/>
      <c r="J318" s="16">
        <f t="shared" si="36"/>
        <v>0</v>
      </c>
      <c r="K318" s="16">
        <f t="shared" si="37"/>
        <v>0</v>
      </c>
      <c r="L318" s="16">
        <f t="shared" si="38"/>
        <v>0</v>
      </c>
      <c r="M318" s="17">
        <f t="shared" si="39"/>
        <v>0</v>
      </c>
      <c r="N318" s="11"/>
      <c r="O318" s="18"/>
      <c r="P318" s="18"/>
      <c r="Q318" s="100">
        <f t="shared" si="34"/>
        <v>0</v>
      </c>
      <c r="R318" s="19"/>
      <c r="S318" s="52">
        <f t="shared" si="40"/>
        <v>0</v>
      </c>
      <c r="T318" s="11"/>
    </row>
    <row r="319" spans="1:20" x14ac:dyDescent="0.2">
      <c r="A319" s="11"/>
      <c r="B319" s="11"/>
      <c r="C319" s="12"/>
      <c r="D319" s="13"/>
      <c r="E319" s="14"/>
      <c r="F319" s="13"/>
      <c r="G319" s="15" t="e">
        <f t="shared" si="35"/>
        <v>#DIV/0!</v>
      </c>
      <c r="H319" s="16"/>
      <c r="I319" s="16"/>
      <c r="J319" s="16">
        <f t="shared" si="36"/>
        <v>0</v>
      </c>
      <c r="K319" s="16">
        <f t="shared" si="37"/>
        <v>0</v>
      </c>
      <c r="L319" s="16">
        <f t="shared" si="38"/>
        <v>0</v>
      </c>
      <c r="M319" s="17">
        <f t="shared" si="39"/>
        <v>0</v>
      </c>
      <c r="N319" s="11"/>
      <c r="O319" s="18"/>
      <c r="P319" s="18"/>
      <c r="Q319" s="100">
        <f t="shared" si="34"/>
        <v>0</v>
      </c>
      <c r="R319" s="19"/>
      <c r="S319" s="52">
        <f t="shared" si="40"/>
        <v>0</v>
      </c>
      <c r="T319" s="11"/>
    </row>
    <row r="320" spans="1:20" x14ac:dyDescent="0.2">
      <c r="A320" s="11"/>
      <c r="B320" s="11"/>
      <c r="C320" s="12"/>
      <c r="D320" s="13"/>
      <c r="E320" s="14"/>
      <c r="F320" s="13"/>
      <c r="G320" s="15" t="e">
        <f t="shared" si="35"/>
        <v>#DIV/0!</v>
      </c>
      <c r="H320" s="16"/>
      <c r="I320" s="16"/>
      <c r="J320" s="16">
        <f t="shared" si="36"/>
        <v>0</v>
      </c>
      <c r="K320" s="16">
        <f t="shared" si="37"/>
        <v>0</v>
      </c>
      <c r="L320" s="16">
        <f t="shared" si="38"/>
        <v>0</v>
      </c>
      <c r="M320" s="17">
        <f t="shared" si="39"/>
        <v>0</v>
      </c>
      <c r="N320" s="11"/>
      <c r="O320" s="18"/>
      <c r="P320" s="18"/>
      <c r="Q320" s="100">
        <f t="shared" si="34"/>
        <v>0</v>
      </c>
      <c r="R320" s="19"/>
      <c r="S320" s="52">
        <f t="shared" si="40"/>
        <v>0</v>
      </c>
      <c r="T320" s="11"/>
    </row>
    <row r="321" spans="1:20" x14ac:dyDescent="0.2">
      <c r="A321" s="11"/>
      <c r="B321" s="11"/>
      <c r="C321" s="12"/>
      <c r="D321" s="13"/>
      <c r="E321" s="14"/>
      <c r="F321" s="13"/>
      <c r="G321" s="15" t="e">
        <f t="shared" si="35"/>
        <v>#DIV/0!</v>
      </c>
      <c r="H321" s="16"/>
      <c r="I321" s="16"/>
      <c r="J321" s="16">
        <f t="shared" si="36"/>
        <v>0</v>
      </c>
      <c r="K321" s="16">
        <f t="shared" si="37"/>
        <v>0</v>
      </c>
      <c r="L321" s="16">
        <f t="shared" si="38"/>
        <v>0</v>
      </c>
      <c r="M321" s="17">
        <f t="shared" si="39"/>
        <v>0</v>
      </c>
      <c r="N321" s="11"/>
      <c r="O321" s="18"/>
      <c r="P321" s="18"/>
      <c r="Q321" s="100">
        <f t="shared" si="34"/>
        <v>0</v>
      </c>
      <c r="R321" s="19"/>
      <c r="S321" s="52">
        <f t="shared" si="40"/>
        <v>0</v>
      </c>
      <c r="T321" s="11"/>
    </row>
    <row r="322" spans="1:20" x14ac:dyDescent="0.2">
      <c r="A322" s="11"/>
      <c r="B322" s="11"/>
      <c r="C322" s="12"/>
      <c r="D322" s="13"/>
      <c r="E322" s="14"/>
      <c r="F322" s="13"/>
      <c r="G322" s="15" t="e">
        <f t="shared" si="35"/>
        <v>#DIV/0!</v>
      </c>
      <c r="H322" s="16"/>
      <c r="I322" s="16"/>
      <c r="J322" s="16">
        <f t="shared" si="36"/>
        <v>0</v>
      </c>
      <c r="K322" s="16">
        <f t="shared" si="37"/>
        <v>0</v>
      </c>
      <c r="L322" s="16">
        <f t="shared" si="38"/>
        <v>0</v>
      </c>
      <c r="M322" s="17">
        <f t="shared" si="39"/>
        <v>0</v>
      </c>
      <c r="N322" s="11"/>
      <c r="O322" s="18"/>
      <c r="P322" s="18"/>
      <c r="Q322" s="100">
        <f t="shared" si="34"/>
        <v>0</v>
      </c>
      <c r="R322" s="19"/>
      <c r="S322" s="52">
        <f t="shared" si="40"/>
        <v>0</v>
      </c>
      <c r="T322" s="11"/>
    </row>
    <row r="323" spans="1:20" x14ac:dyDescent="0.2">
      <c r="A323" s="11"/>
      <c r="B323" s="11"/>
      <c r="C323" s="12"/>
      <c r="D323" s="13"/>
      <c r="E323" s="14"/>
      <c r="F323" s="13"/>
      <c r="G323" s="15" t="e">
        <f t="shared" si="35"/>
        <v>#DIV/0!</v>
      </c>
      <c r="H323" s="16"/>
      <c r="I323" s="16"/>
      <c r="J323" s="16">
        <f t="shared" si="36"/>
        <v>0</v>
      </c>
      <c r="K323" s="16">
        <f t="shared" si="37"/>
        <v>0</v>
      </c>
      <c r="L323" s="16">
        <f t="shared" si="38"/>
        <v>0</v>
      </c>
      <c r="M323" s="17">
        <f t="shared" si="39"/>
        <v>0</v>
      </c>
      <c r="N323" s="11"/>
      <c r="O323" s="18"/>
      <c r="P323" s="18"/>
      <c r="Q323" s="100">
        <f t="shared" si="34"/>
        <v>0</v>
      </c>
      <c r="R323" s="19"/>
      <c r="S323" s="52">
        <f t="shared" si="40"/>
        <v>0</v>
      </c>
      <c r="T323" s="11"/>
    </row>
    <row r="324" spans="1:20" x14ac:dyDescent="0.2">
      <c r="A324" s="11"/>
      <c r="B324" s="11"/>
      <c r="C324" s="12"/>
      <c r="D324" s="13"/>
      <c r="E324" s="14"/>
      <c r="F324" s="13"/>
      <c r="G324" s="15" t="e">
        <f t="shared" si="35"/>
        <v>#DIV/0!</v>
      </c>
      <c r="H324" s="16"/>
      <c r="I324" s="16"/>
      <c r="J324" s="16">
        <f t="shared" si="36"/>
        <v>0</v>
      </c>
      <c r="K324" s="16">
        <f t="shared" si="37"/>
        <v>0</v>
      </c>
      <c r="L324" s="16">
        <f t="shared" si="38"/>
        <v>0</v>
      </c>
      <c r="M324" s="17">
        <f t="shared" si="39"/>
        <v>0</v>
      </c>
      <c r="N324" s="11"/>
      <c r="O324" s="18"/>
      <c r="P324" s="18"/>
      <c r="Q324" s="100">
        <f t="shared" si="34"/>
        <v>0</v>
      </c>
      <c r="R324" s="19"/>
      <c r="S324" s="52">
        <f t="shared" si="40"/>
        <v>0</v>
      </c>
      <c r="T324" s="11"/>
    </row>
    <row r="325" spans="1:20" x14ac:dyDescent="0.2">
      <c r="A325" s="11"/>
      <c r="B325" s="11"/>
      <c r="C325" s="12"/>
      <c r="D325" s="13"/>
      <c r="E325" s="14"/>
      <c r="F325" s="13"/>
      <c r="G325" s="15" t="e">
        <f t="shared" si="35"/>
        <v>#DIV/0!</v>
      </c>
      <c r="H325" s="16"/>
      <c r="I325" s="16"/>
      <c r="J325" s="16">
        <f t="shared" si="36"/>
        <v>0</v>
      </c>
      <c r="K325" s="16">
        <f t="shared" si="37"/>
        <v>0</v>
      </c>
      <c r="L325" s="16">
        <f t="shared" si="38"/>
        <v>0</v>
      </c>
      <c r="M325" s="17">
        <f t="shared" si="39"/>
        <v>0</v>
      </c>
      <c r="N325" s="11"/>
      <c r="O325" s="18"/>
      <c r="P325" s="18"/>
      <c r="Q325" s="100">
        <f t="shared" si="34"/>
        <v>0</v>
      </c>
      <c r="R325" s="19"/>
      <c r="S325" s="52">
        <f t="shared" si="40"/>
        <v>0</v>
      </c>
      <c r="T325" s="11"/>
    </row>
    <row r="326" spans="1:20" x14ac:dyDescent="0.2">
      <c r="A326" s="11"/>
      <c r="B326" s="11"/>
      <c r="C326" s="12"/>
      <c r="D326" s="13"/>
      <c r="E326" s="14"/>
      <c r="F326" s="13"/>
      <c r="G326" s="15" t="e">
        <f t="shared" si="35"/>
        <v>#DIV/0!</v>
      </c>
      <c r="H326" s="16"/>
      <c r="I326" s="16"/>
      <c r="J326" s="16">
        <f t="shared" si="36"/>
        <v>0</v>
      </c>
      <c r="K326" s="16">
        <f t="shared" si="37"/>
        <v>0</v>
      </c>
      <c r="L326" s="16">
        <f t="shared" si="38"/>
        <v>0</v>
      </c>
      <c r="M326" s="17">
        <f t="shared" si="39"/>
        <v>0</v>
      </c>
      <c r="N326" s="11"/>
      <c r="O326" s="18"/>
      <c r="P326" s="18"/>
      <c r="Q326" s="100">
        <f t="shared" ref="Q326:Q389" si="41">+P326-O326</f>
        <v>0</v>
      </c>
      <c r="R326" s="19"/>
      <c r="S326" s="52">
        <f t="shared" si="40"/>
        <v>0</v>
      </c>
      <c r="T326" s="11"/>
    </row>
    <row r="327" spans="1:20" x14ac:dyDescent="0.2">
      <c r="A327" s="11"/>
      <c r="B327" s="11"/>
      <c r="C327" s="12"/>
      <c r="D327" s="13"/>
      <c r="E327" s="14"/>
      <c r="F327" s="13"/>
      <c r="G327" s="15" t="e">
        <f t="shared" si="35"/>
        <v>#DIV/0!</v>
      </c>
      <c r="H327" s="16"/>
      <c r="I327" s="16"/>
      <c r="J327" s="16">
        <f t="shared" si="36"/>
        <v>0</v>
      </c>
      <c r="K327" s="16">
        <f t="shared" si="37"/>
        <v>0</v>
      </c>
      <c r="L327" s="16">
        <f t="shared" si="38"/>
        <v>0</v>
      </c>
      <c r="M327" s="17">
        <f t="shared" si="39"/>
        <v>0</v>
      </c>
      <c r="N327" s="11"/>
      <c r="O327" s="18"/>
      <c r="P327" s="18"/>
      <c r="Q327" s="100">
        <f t="shared" si="41"/>
        <v>0</v>
      </c>
      <c r="R327" s="19"/>
      <c r="S327" s="52">
        <f t="shared" si="40"/>
        <v>0</v>
      </c>
      <c r="T327" s="11"/>
    </row>
    <row r="328" spans="1:20" x14ac:dyDescent="0.2">
      <c r="A328" s="11"/>
      <c r="B328" s="11"/>
      <c r="C328" s="12"/>
      <c r="D328" s="13"/>
      <c r="E328" s="14"/>
      <c r="F328" s="13"/>
      <c r="G328" s="15" t="e">
        <f t="shared" si="35"/>
        <v>#DIV/0!</v>
      </c>
      <c r="H328" s="16"/>
      <c r="I328" s="16"/>
      <c r="J328" s="16">
        <f t="shared" si="36"/>
        <v>0</v>
      </c>
      <c r="K328" s="16">
        <f t="shared" si="37"/>
        <v>0</v>
      </c>
      <c r="L328" s="16">
        <f t="shared" si="38"/>
        <v>0</v>
      </c>
      <c r="M328" s="17">
        <f t="shared" si="39"/>
        <v>0</v>
      </c>
      <c r="N328" s="11"/>
      <c r="O328" s="18"/>
      <c r="P328" s="18"/>
      <c r="Q328" s="100">
        <f t="shared" si="41"/>
        <v>0</v>
      </c>
      <c r="R328" s="19"/>
      <c r="S328" s="52">
        <f t="shared" si="40"/>
        <v>0</v>
      </c>
      <c r="T328" s="11"/>
    </row>
    <row r="329" spans="1:20" x14ac:dyDescent="0.2">
      <c r="A329" s="11"/>
      <c r="B329" s="11"/>
      <c r="C329" s="12"/>
      <c r="D329" s="13"/>
      <c r="E329" s="14"/>
      <c r="F329" s="13"/>
      <c r="G329" s="15" t="e">
        <f t="shared" si="35"/>
        <v>#DIV/0!</v>
      </c>
      <c r="H329" s="16"/>
      <c r="I329" s="16"/>
      <c r="J329" s="16">
        <f t="shared" si="36"/>
        <v>0</v>
      </c>
      <c r="K329" s="16">
        <f t="shared" si="37"/>
        <v>0</v>
      </c>
      <c r="L329" s="16">
        <f t="shared" si="38"/>
        <v>0</v>
      </c>
      <c r="M329" s="17">
        <f t="shared" si="39"/>
        <v>0</v>
      </c>
      <c r="N329" s="11"/>
      <c r="O329" s="18"/>
      <c r="P329" s="18"/>
      <c r="Q329" s="100">
        <f t="shared" si="41"/>
        <v>0</v>
      </c>
      <c r="R329" s="19"/>
      <c r="S329" s="52">
        <f t="shared" si="40"/>
        <v>0</v>
      </c>
      <c r="T329" s="11"/>
    </row>
    <row r="330" spans="1:20" x14ac:dyDescent="0.2">
      <c r="A330" s="11"/>
      <c r="B330" s="11"/>
      <c r="C330" s="12"/>
      <c r="D330" s="13"/>
      <c r="E330" s="14"/>
      <c r="F330" s="13"/>
      <c r="G330" s="15" t="e">
        <f t="shared" si="35"/>
        <v>#DIV/0!</v>
      </c>
      <c r="H330" s="16"/>
      <c r="I330" s="16"/>
      <c r="J330" s="16">
        <f t="shared" si="36"/>
        <v>0</v>
      </c>
      <c r="K330" s="16">
        <f t="shared" si="37"/>
        <v>0</v>
      </c>
      <c r="L330" s="16">
        <f t="shared" si="38"/>
        <v>0</v>
      </c>
      <c r="M330" s="17">
        <f t="shared" si="39"/>
        <v>0</v>
      </c>
      <c r="N330" s="11"/>
      <c r="O330" s="18"/>
      <c r="P330" s="18"/>
      <c r="Q330" s="100">
        <f t="shared" si="41"/>
        <v>0</v>
      </c>
      <c r="R330" s="19"/>
      <c r="S330" s="52">
        <f t="shared" si="40"/>
        <v>0</v>
      </c>
      <c r="T330" s="11"/>
    </row>
    <row r="331" spans="1:20" x14ac:dyDescent="0.2">
      <c r="A331" s="11"/>
      <c r="B331" s="11"/>
      <c r="C331" s="12"/>
      <c r="D331" s="13"/>
      <c r="E331" s="14"/>
      <c r="F331" s="13"/>
      <c r="G331" s="15" t="e">
        <f t="shared" si="35"/>
        <v>#DIV/0!</v>
      </c>
      <c r="H331" s="16"/>
      <c r="I331" s="16"/>
      <c r="J331" s="16">
        <f t="shared" si="36"/>
        <v>0</v>
      </c>
      <c r="K331" s="16">
        <f t="shared" si="37"/>
        <v>0</v>
      </c>
      <c r="L331" s="16">
        <f t="shared" si="38"/>
        <v>0</v>
      </c>
      <c r="M331" s="17">
        <f t="shared" si="39"/>
        <v>0</v>
      </c>
      <c r="N331" s="11"/>
      <c r="O331" s="18"/>
      <c r="P331" s="18"/>
      <c r="Q331" s="100">
        <f t="shared" si="41"/>
        <v>0</v>
      </c>
      <c r="R331" s="19"/>
      <c r="S331" s="52">
        <f t="shared" si="40"/>
        <v>0</v>
      </c>
      <c r="T331" s="11"/>
    </row>
    <row r="332" spans="1:20" x14ac:dyDescent="0.2">
      <c r="A332" s="11"/>
      <c r="B332" s="11"/>
      <c r="C332" s="12"/>
      <c r="D332" s="13"/>
      <c r="E332" s="14"/>
      <c r="F332" s="13"/>
      <c r="G332" s="15" t="e">
        <f t="shared" si="35"/>
        <v>#DIV/0!</v>
      </c>
      <c r="H332" s="16"/>
      <c r="I332" s="16"/>
      <c r="J332" s="16">
        <f t="shared" si="36"/>
        <v>0</v>
      </c>
      <c r="K332" s="16">
        <f t="shared" si="37"/>
        <v>0</v>
      </c>
      <c r="L332" s="16">
        <f t="shared" si="38"/>
        <v>0</v>
      </c>
      <c r="M332" s="17">
        <f t="shared" si="39"/>
        <v>0</v>
      </c>
      <c r="N332" s="11"/>
      <c r="O332" s="18"/>
      <c r="P332" s="18"/>
      <c r="Q332" s="100">
        <f t="shared" si="41"/>
        <v>0</v>
      </c>
      <c r="R332" s="19"/>
      <c r="S332" s="52">
        <f t="shared" si="40"/>
        <v>0</v>
      </c>
      <c r="T332" s="11"/>
    </row>
    <row r="333" spans="1:20" x14ac:dyDescent="0.2">
      <c r="A333" s="11"/>
      <c r="B333" s="11"/>
      <c r="C333" s="12"/>
      <c r="D333" s="13"/>
      <c r="E333" s="14"/>
      <c r="F333" s="13"/>
      <c r="G333" s="15" t="e">
        <f t="shared" si="35"/>
        <v>#DIV/0!</v>
      </c>
      <c r="H333" s="16"/>
      <c r="I333" s="16"/>
      <c r="J333" s="16">
        <f t="shared" si="36"/>
        <v>0</v>
      </c>
      <c r="K333" s="16">
        <f t="shared" si="37"/>
        <v>0</v>
      </c>
      <c r="L333" s="16">
        <f t="shared" si="38"/>
        <v>0</v>
      </c>
      <c r="M333" s="17">
        <f t="shared" si="39"/>
        <v>0</v>
      </c>
      <c r="N333" s="11"/>
      <c r="O333" s="18"/>
      <c r="P333" s="18"/>
      <c r="Q333" s="100">
        <f t="shared" si="41"/>
        <v>0</v>
      </c>
      <c r="R333" s="19"/>
      <c r="S333" s="52">
        <f t="shared" si="40"/>
        <v>0</v>
      </c>
      <c r="T333" s="11"/>
    </row>
    <row r="334" spans="1:20" x14ac:dyDescent="0.2">
      <c r="A334" s="11"/>
      <c r="B334" s="11"/>
      <c r="C334" s="12"/>
      <c r="D334" s="13"/>
      <c r="E334" s="14"/>
      <c r="F334" s="13"/>
      <c r="G334" s="15" t="e">
        <f t="shared" ref="G334:G397" si="42">+F334/D334</f>
        <v>#DIV/0!</v>
      </c>
      <c r="H334" s="16"/>
      <c r="I334" s="16"/>
      <c r="J334" s="16">
        <f t="shared" ref="J334:J397" si="43">+H334*F334</f>
        <v>0</v>
      </c>
      <c r="K334" s="16">
        <f t="shared" ref="K334:K397" si="44">$K$2*C334</f>
        <v>0</v>
      </c>
      <c r="L334" s="16">
        <f t="shared" ref="L334:L397" si="45">$L$2*C334</f>
        <v>0</v>
      </c>
      <c r="M334" s="17">
        <f t="shared" ref="M334:M397" si="46">+(J334*1.21)+K334+L334</f>
        <v>0</v>
      </c>
      <c r="N334" s="11"/>
      <c r="O334" s="18"/>
      <c r="P334" s="18"/>
      <c r="Q334" s="100">
        <f t="shared" si="41"/>
        <v>0</v>
      </c>
      <c r="R334" s="19"/>
      <c r="S334" s="52">
        <f t="shared" si="40"/>
        <v>0</v>
      </c>
      <c r="T334" s="11"/>
    </row>
    <row r="335" spans="1:20" x14ac:dyDescent="0.2">
      <c r="A335" s="11"/>
      <c r="B335" s="11"/>
      <c r="C335" s="12"/>
      <c r="D335" s="13"/>
      <c r="E335" s="14"/>
      <c r="F335" s="13"/>
      <c r="G335" s="15" t="e">
        <f t="shared" si="42"/>
        <v>#DIV/0!</v>
      </c>
      <c r="H335" s="16"/>
      <c r="I335" s="16"/>
      <c r="J335" s="16">
        <f t="shared" si="43"/>
        <v>0</v>
      </c>
      <c r="K335" s="16">
        <f t="shared" si="44"/>
        <v>0</v>
      </c>
      <c r="L335" s="16">
        <f t="shared" si="45"/>
        <v>0</v>
      </c>
      <c r="M335" s="17">
        <f t="shared" si="46"/>
        <v>0</v>
      </c>
      <c r="N335" s="11"/>
      <c r="O335" s="18"/>
      <c r="P335" s="18"/>
      <c r="Q335" s="100">
        <f t="shared" si="41"/>
        <v>0</v>
      </c>
      <c r="R335" s="19"/>
      <c r="S335" s="52">
        <f t="shared" si="40"/>
        <v>0</v>
      </c>
      <c r="T335" s="11"/>
    </row>
    <row r="336" spans="1:20" x14ac:dyDescent="0.2">
      <c r="A336" s="11"/>
      <c r="B336" s="11"/>
      <c r="C336" s="12"/>
      <c r="D336" s="13"/>
      <c r="E336" s="14"/>
      <c r="F336" s="13"/>
      <c r="G336" s="15" t="e">
        <f t="shared" si="42"/>
        <v>#DIV/0!</v>
      </c>
      <c r="H336" s="16"/>
      <c r="I336" s="16"/>
      <c r="J336" s="16">
        <f t="shared" si="43"/>
        <v>0</v>
      </c>
      <c r="K336" s="16">
        <f t="shared" si="44"/>
        <v>0</v>
      </c>
      <c r="L336" s="16">
        <f t="shared" si="45"/>
        <v>0</v>
      </c>
      <c r="M336" s="17">
        <f t="shared" si="46"/>
        <v>0</v>
      </c>
      <c r="N336" s="11"/>
      <c r="O336" s="18"/>
      <c r="P336" s="18"/>
      <c r="Q336" s="100">
        <f t="shared" si="41"/>
        <v>0</v>
      </c>
      <c r="R336" s="19"/>
      <c r="S336" s="52">
        <f t="shared" ref="S336:S399" si="47">+R336-M336</f>
        <v>0</v>
      </c>
      <c r="T336" s="11"/>
    </row>
    <row r="337" spans="1:20" x14ac:dyDescent="0.2">
      <c r="A337" s="11"/>
      <c r="B337" s="11"/>
      <c r="C337" s="12"/>
      <c r="D337" s="13"/>
      <c r="E337" s="14"/>
      <c r="F337" s="13"/>
      <c r="G337" s="15" t="e">
        <f t="shared" si="42"/>
        <v>#DIV/0!</v>
      </c>
      <c r="H337" s="16"/>
      <c r="I337" s="16"/>
      <c r="J337" s="16">
        <f t="shared" si="43"/>
        <v>0</v>
      </c>
      <c r="K337" s="16">
        <f t="shared" si="44"/>
        <v>0</v>
      </c>
      <c r="L337" s="16">
        <f t="shared" si="45"/>
        <v>0</v>
      </c>
      <c r="M337" s="17">
        <f t="shared" si="46"/>
        <v>0</v>
      </c>
      <c r="N337" s="11"/>
      <c r="O337" s="18"/>
      <c r="P337" s="18"/>
      <c r="Q337" s="100">
        <f t="shared" si="41"/>
        <v>0</v>
      </c>
      <c r="R337" s="19"/>
      <c r="S337" s="52">
        <f t="shared" si="47"/>
        <v>0</v>
      </c>
      <c r="T337" s="11"/>
    </row>
    <row r="338" spans="1:20" x14ac:dyDescent="0.2">
      <c r="A338" s="11"/>
      <c r="B338" s="11"/>
      <c r="C338" s="12"/>
      <c r="D338" s="13"/>
      <c r="E338" s="14"/>
      <c r="F338" s="13"/>
      <c r="G338" s="15" t="e">
        <f t="shared" si="42"/>
        <v>#DIV/0!</v>
      </c>
      <c r="H338" s="16"/>
      <c r="I338" s="16"/>
      <c r="J338" s="16">
        <f t="shared" si="43"/>
        <v>0</v>
      </c>
      <c r="K338" s="16">
        <f t="shared" si="44"/>
        <v>0</v>
      </c>
      <c r="L338" s="16">
        <f t="shared" si="45"/>
        <v>0</v>
      </c>
      <c r="M338" s="17">
        <f t="shared" si="46"/>
        <v>0</v>
      </c>
      <c r="N338" s="11"/>
      <c r="O338" s="18"/>
      <c r="P338" s="18"/>
      <c r="Q338" s="100">
        <f t="shared" si="41"/>
        <v>0</v>
      </c>
      <c r="R338" s="19"/>
      <c r="S338" s="52">
        <f t="shared" si="47"/>
        <v>0</v>
      </c>
      <c r="T338" s="11"/>
    </row>
    <row r="339" spans="1:20" x14ac:dyDescent="0.2">
      <c r="A339" s="11"/>
      <c r="B339" s="11"/>
      <c r="C339" s="12"/>
      <c r="D339" s="13"/>
      <c r="E339" s="14"/>
      <c r="F339" s="13"/>
      <c r="G339" s="15" t="e">
        <f t="shared" si="42"/>
        <v>#DIV/0!</v>
      </c>
      <c r="H339" s="16"/>
      <c r="I339" s="16"/>
      <c r="J339" s="16">
        <f t="shared" si="43"/>
        <v>0</v>
      </c>
      <c r="K339" s="16">
        <f t="shared" si="44"/>
        <v>0</v>
      </c>
      <c r="L339" s="16">
        <f t="shared" si="45"/>
        <v>0</v>
      </c>
      <c r="M339" s="17">
        <f t="shared" si="46"/>
        <v>0</v>
      </c>
      <c r="N339" s="11"/>
      <c r="O339" s="18"/>
      <c r="P339" s="18"/>
      <c r="Q339" s="100">
        <f t="shared" si="41"/>
        <v>0</v>
      </c>
      <c r="R339" s="19"/>
      <c r="S339" s="52">
        <f t="shared" si="47"/>
        <v>0</v>
      </c>
      <c r="T339" s="11"/>
    </row>
    <row r="340" spans="1:20" x14ac:dyDescent="0.2">
      <c r="A340" s="11"/>
      <c r="B340" s="11"/>
      <c r="C340" s="12"/>
      <c r="D340" s="13"/>
      <c r="E340" s="14"/>
      <c r="F340" s="13"/>
      <c r="G340" s="15" t="e">
        <f t="shared" si="42"/>
        <v>#DIV/0!</v>
      </c>
      <c r="H340" s="16"/>
      <c r="I340" s="16"/>
      <c r="J340" s="16">
        <f t="shared" si="43"/>
        <v>0</v>
      </c>
      <c r="K340" s="16">
        <f t="shared" si="44"/>
        <v>0</v>
      </c>
      <c r="L340" s="16">
        <f t="shared" si="45"/>
        <v>0</v>
      </c>
      <c r="M340" s="17">
        <f t="shared" si="46"/>
        <v>0</v>
      </c>
      <c r="N340" s="11"/>
      <c r="O340" s="18"/>
      <c r="P340" s="18"/>
      <c r="Q340" s="100">
        <f t="shared" si="41"/>
        <v>0</v>
      </c>
      <c r="R340" s="19"/>
      <c r="S340" s="52">
        <f t="shared" si="47"/>
        <v>0</v>
      </c>
      <c r="T340" s="11"/>
    </row>
    <row r="341" spans="1:20" x14ac:dyDescent="0.2">
      <c r="A341" s="11"/>
      <c r="B341" s="11"/>
      <c r="C341" s="12"/>
      <c r="D341" s="13"/>
      <c r="E341" s="14"/>
      <c r="F341" s="13"/>
      <c r="G341" s="15" t="e">
        <f t="shared" si="42"/>
        <v>#DIV/0!</v>
      </c>
      <c r="H341" s="16"/>
      <c r="I341" s="16"/>
      <c r="J341" s="16">
        <f t="shared" si="43"/>
        <v>0</v>
      </c>
      <c r="K341" s="16">
        <f t="shared" si="44"/>
        <v>0</v>
      </c>
      <c r="L341" s="16">
        <f t="shared" si="45"/>
        <v>0</v>
      </c>
      <c r="M341" s="17">
        <f t="shared" si="46"/>
        <v>0</v>
      </c>
      <c r="N341" s="11"/>
      <c r="O341" s="18"/>
      <c r="P341" s="18"/>
      <c r="Q341" s="100">
        <f t="shared" si="41"/>
        <v>0</v>
      </c>
      <c r="R341" s="19"/>
      <c r="S341" s="52">
        <f t="shared" si="47"/>
        <v>0</v>
      </c>
      <c r="T341" s="11"/>
    </row>
    <row r="342" spans="1:20" x14ac:dyDescent="0.2">
      <c r="A342" s="11"/>
      <c r="B342" s="11"/>
      <c r="C342" s="12"/>
      <c r="D342" s="13"/>
      <c r="E342" s="14"/>
      <c r="F342" s="13"/>
      <c r="G342" s="15" t="e">
        <f t="shared" si="42"/>
        <v>#DIV/0!</v>
      </c>
      <c r="H342" s="16"/>
      <c r="I342" s="16"/>
      <c r="J342" s="16">
        <f t="shared" si="43"/>
        <v>0</v>
      </c>
      <c r="K342" s="16">
        <f t="shared" si="44"/>
        <v>0</v>
      </c>
      <c r="L342" s="16">
        <f t="shared" si="45"/>
        <v>0</v>
      </c>
      <c r="M342" s="17">
        <f t="shared" si="46"/>
        <v>0</v>
      </c>
      <c r="N342" s="11"/>
      <c r="O342" s="18"/>
      <c r="P342" s="18"/>
      <c r="Q342" s="100">
        <f t="shared" si="41"/>
        <v>0</v>
      </c>
      <c r="R342" s="19"/>
      <c r="S342" s="52">
        <f t="shared" si="47"/>
        <v>0</v>
      </c>
      <c r="T342" s="11"/>
    </row>
    <row r="343" spans="1:20" x14ac:dyDescent="0.2">
      <c r="A343" s="11"/>
      <c r="B343" s="11"/>
      <c r="C343" s="12"/>
      <c r="D343" s="13"/>
      <c r="E343" s="14"/>
      <c r="F343" s="13"/>
      <c r="G343" s="15" t="e">
        <f t="shared" si="42"/>
        <v>#DIV/0!</v>
      </c>
      <c r="H343" s="16"/>
      <c r="I343" s="16"/>
      <c r="J343" s="16">
        <f t="shared" si="43"/>
        <v>0</v>
      </c>
      <c r="K343" s="16">
        <f t="shared" si="44"/>
        <v>0</v>
      </c>
      <c r="L343" s="16">
        <f t="shared" si="45"/>
        <v>0</v>
      </c>
      <c r="M343" s="17">
        <f t="shared" si="46"/>
        <v>0</v>
      </c>
      <c r="N343" s="11"/>
      <c r="O343" s="18"/>
      <c r="P343" s="18"/>
      <c r="Q343" s="100">
        <f t="shared" si="41"/>
        <v>0</v>
      </c>
      <c r="R343" s="19"/>
      <c r="S343" s="52">
        <f t="shared" si="47"/>
        <v>0</v>
      </c>
      <c r="T343" s="11"/>
    </row>
    <row r="344" spans="1:20" x14ac:dyDescent="0.2">
      <c r="A344" s="11"/>
      <c r="B344" s="11"/>
      <c r="C344" s="12"/>
      <c r="D344" s="13"/>
      <c r="E344" s="14"/>
      <c r="F344" s="13"/>
      <c r="G344" s="15" t="e">
        <f t="shared" si="42"/>
        <v>#DIV/0!</v>
      </c>
      <c r="H344" s="16"/>
      <c r="I344" s="16"/>
      <c r="J344" s="16">
        <f t="shared" si="43"/>
        <v>0</v>
      </c>
      <c r="K344" s="16">
        <f t="shared" si="44"/>
        <v>0</v>
      </c>
      <c r="L344" s="16">
        <f t="shared" si="45"/>
        <v>0</v>
      </c>
      <c r="M344" s="17">
        <f t="shared" si="46"/>
        <v>0</v>
      </c>
      <c r="N344" s="11"/>
      <c r="O344" s="18"/>
      <c r="P344" s="18"/>
      <c r="Q344" s="100">
        <f t="shared" si="41"/>
        <v>0</v>
      </c>
      <c r="R344" s="19"/>
      <c r="S344" s="52">
        <f t="shared" si="47"/>
        <v>0</v>
      </c>
      <c r="T344" s="11"/>
    </row>
    <row r="345" spans="1:20" x14ac:dyDescent="0.2">
      <c r="A345" s="11"/>
      <c r="B345" s="11"/>
      <c r="C345" s="12"/>
      <c r="D345" s="13"/>
      <c r="E345" s="14"/>
      <c r="F345" s="13"/>
      <c r="G345" s="15" t="e">
        <f t="shared" si="42"/>
        <v>#DIV/0!</v>
      </c>
      <c r="H345" s="16"/>
      <c r="I345" s="16"/>
      <c r="J345" s="16">
        <f t="shared" si="43"/>
        <v>0</v>
      </c>
      <c r="K345" s="16">
        <f t="shared" si="44"/>
        <v>0</v>
      </c>
      <c r="L345" s="16">
        <f t="shared" si="45"/>
        <v>0</v>
      </c>
      <c r="M345" s="17">
        <f t="shared" si="46"/>
        <v>0</v>
      </c>
      <c r="N345" s="11"/>
      <c r="O345" s="18"/>
      <c r="P345" s="18"/>
      <c r="Q345" s="100">
        <f t="shared" si="41"/>
        <v>0</v>
      </c>
      <c r="R345" s="19"/>
      <c r="S345" s="52">
        <f t="shared" si="47"/>
        <v>0</v>
      </c>
      <c r="T345" s="11"/>
    </row>
    <row r="346" spans="1:20" x14ac:dyDescent="0.2">
      <c r="A346" s="11"/>
      <c r="B346" s="11"/>
      <c r="C346" s="12"/>
      <c r="D346" s="13"/>
      <c r="E346" s="14"/>
      <c r="F346" s="13"/>
      <c r="G346" s="15" t="e">
        <f t="shared" si="42"/>
        <v>#DIV/0!</v>
      </c>
      <c r="H346" s="16"/>
      <c r="I346" s="16"/>
      <c r="J346" s="16">
        <f t="shared" si="43"/>
        <v>0</v>
      </c>
      <c r="K346" s="16">
        <f t="shared" si="44"/>
        <v>0</v>
      </c>
      <c r="L346" s="16">
        <f t="shared" si="45"/>
        <v>0</v>
      </c>
      <c r="M346" s="17">
        <f t="shared" si="46"/>
        <v>0</v>
      </c>
      <c r="N346" s="11"/>
      <c r="O346" s="18"/>
      <c r="P346" s="18"/>
      <c r="Q346" s="100">
        <f t="shared" si="41"/>
        <v>0</v>
      </c>
      <c r="R346" s="19"/>
      <c r="S346" s="52">
        <f t="shared" si="47"/>
        <v>0</v>
      </c>
      <c r="T346" s="11"/>
    </row>
    <row r="347" spans="1:20" x14ac:dyDescent="0.2">
      <c r="A347" s="11"/>
      <c r="B347" s="11"/>
      <c r="C347" s="12"/>
      <c r="D347" s="13"/>
      <c r="E347" s="14"/>
      <c r="F347" s="13"/>
      <c r="G347" s="15" t="e">
        <f t="shared" si="42"/>
        <v>#DIV/0!</v>
      </c>
      <c r="H347" s="16"/>
      <c r="I347" s="16"/>
      <c r="J347" s="16">
        <f t="shared" si="43"/>
        <v>0</v>
      </c>
      <c r="K347" s="16">
        <f t="shared" si="44"/>
        <v>0</v>
      </c>
      <c r="L347" s="16">
        <f t="shared" si="45"/>
        <v>0</v>
      </c>
      <c r="M347" s="17">
        <f t="shared" si="46"/>
        <v>0</v>
      </c>
      <c r="N347" s="11"/>
      <c r="O347" s="18"/>
      <c r="P347" s="18"/>
      <c r="Q347" s="100">
        <f t="shared" si="41"/>
        <v>0</v>
      </c>
      <c r="R347" s="19"/>
      <c r="S347" s="52">
        <f t="shared" si="47"/>
        <v>0</v>
      </c>
      <c r="T347" s="11"/>
    </row>
    <row r="348" spans="1:20" x14ac:dyDescent="0.2">
      <c r="A348" s="11"/>
      <c r="B348" s="11"/>
      <c r="C348" s="12"/>
      <c r="D348" s="13"/>
      <c r="E348" s="14"/>
      <c r="F348" s="13"/>
      <c r="G348" s="15" t="e">
        <f t="shared" si="42"/>
        <v>#DIV/0!</v>
      </c>
      <c r="H348" s="16"/>
      <c r="I348" s="16"/>
      <c r="J348" s="16">
        <f t="shared" si="43"/>
        <v>0</v>
      </c>
      <c r="K348" s="16">
        <f t="shared" si="44"/>
        <v>0</v>
      </c>
      <c r="L348" s="16">
        <f t="shared" si="45"/>
        <v>0</v>
      </c>
      <c r="M348" s="17">
        <f t="shared" si="46"/>
        <v>0</v>
      </c>
      <c r="N348" s="11"/>
      <c r="O348" s="18"/>
      <c r="P348" s="18"/>
      <c r="Q348" s="100">
        <f t="shared" si="41"/>
        <v>0</v>
      </c>
      <c r="R348" s="19"/>
      <c r="S348" s="52">
        <f t="shared" si="47"/>
        <v>0</v>
      </c>
      <c r="T348" s="11"/>
    </row>
    <row r="349" spans="1:20" x14ac:dyDescent="0.2">
      <c r="A349" s="11"/>
      <c r="B349" s="11"/>
      <c r="C349" s="12"/>
      <c r="D349" s="13"/>
      <c r="E349" s="14"/>
      <c r="F349" s="13"/>
      <c r="G349" s="15" t="e">
        <f t="shared" si="42"/>
        <v>#DIV/0!</v>
      </c>
      <c r="H349" s="16"/>
      <c r="I349" s="16"/>
      <c r="J349" s="16">
        <f t="shared" si="43"/>
        <v>0</v>
      </c>
      <c r="K349" s="16">
        <f t="shared" si="44"/>
        <v>0</v>
      </c>
      <c r="L349" s="16">
        <f t="shared" si="45"/>
        <v>0</v>
      </c>
      <c r="M349" s="17">
        <f t="shared" si="46"/>
        <v>0</v>
      </c>
      <c r="N349" s="11"/>
      <c r="O349" s="18"/>
      <c r="P349" s="18"/>
      <c r="Q349" s="100">
        <f t="shared" si="41"/>
        <v>0</v>
      </c>
      <c r="R349" s="19"/>
      <c r="S349" s="52">
        <f t="shared" si="47"/>
        <v>0</v>
      </c>
      <c r="T349" s="11"/>
    </row>
    <row r="350" spans="1:20" x14ac:dyDescent="0.2">
      <c r="A350" s="11"/>
      <c r="B350" s="11"/>
      <c r="C350" s="12"/>
      <c r="D350" s="13"/>
      <c r="E350" s="14"/>
      <c r="F350" s="13"/>
      <c r="G350" s="15" t="e">
        <f t="shared" si="42"/>
        <v>#DIV/0!</v>
      </c>
      <c r="H350" s="16"/>
      <c r="I350" s="16"/>
      <c r="J350" s="16">
        <f t="shared" si="43"/>
        <v>0</v>
      </c>
      <c r="K350" s="16">
        <f t="shared" si="44"/>
        <v>0</v>
      </c>
      <c r="L350" s="16">
        <f t="shared" si="45"/>
        <v>0</v>
      </c>
      <c r="M350" s="17">
        <f t="shared" si="46"/>
        <v>0</v>
      </c>
      <c r="N350" s="11"/>
      <c r="O350" s="18"/>
      <c r="P350" s="18"/>
      <c r="Q350" s="100">
        <f t="shared" si="41"/>
        <v>0</v>
      </c>
      <c r="R350" s="19"/>
      <c r="S350" s="52">
        <f t="shared" si="47"/>
        <v>0</v>
      </c>
      <c r="T350" s="11"/>
    </row>
    <row r="351" spans="1:20" x14ac:dyDescent="0.2">
      <c r="A351" s="11"/>
      <c r="B351" s="11"/>
      <c r="C351" s="12"/>
      <c r="D351" s="13"/>
      <c r="E351" s="14"/>
      <c r="F351" s="13"/>
      <c r="G351" s="15" t="e">
        <f t="shared" si="42"/>
        <v>#DIV/0!</v>
      </c>
      <c r="H351" s="16"/>
      <c r="I351" s="16"/>
      <c r="J351" s="16">
        <f t="shared" si="43"/>
        <v>0</v>
      </c>
      <c r="K351" s="16">
        <f t="shared" si="44"/>
        <v>0</v>
      </c>
      <c r="L351" s="16">
        <f t="shared" si="45"/>
        <v>0</v>
      </c>
      <c r="M351" s="17">
        <f t="shared" si="46"/>
        <v>0</v>
      </c>
      <c r="N351" s="11"/>
      <c r="O351" s="18"/>
      <c r="P351" s="18"/>
      <c r="Q351" s="100">
        <f t="shared" si="41"/>
        <v>0</v>
      </c>
      <c r="R351" s="19"/>
      <c r="S351" s="52">
        <f t="shared" si="47"/>
        <v>0</v>
      </c>
      <c r="T351" s="11"/>
    </row>
    <row r="352" spans="1:20" x14ac:dyDescent="0.2">
      <c r="A352" s="11"/>
      <c r="B352" s="11"/>
      <c r="C352" s="12"/>
      <c r="D352" s="13"/>
      <c r="E352" s="14"/>
      <c r="F352" s="13"/>
      <c r="G352" s="15" t="e">
        <f t="shared" si="42"/>
        <v>#DIV/0!</v>
      </c>
      <c r="H352" s="16"/>
      <c r="I352" s="16"/>
      <c r="J352" s="16">
        <f t="shared" si="43"/>
        <v>0</v>
      </c>
      <c r="K352" s="16">
        <f t="shared" si="44"/>
        <v>0</v>
      </c>
      <c r="L352" s="16">
        <f t="shared" si="45"/>
        <v>0</v>
      </c>
      <c r="M352" s="17">
        <f t="shared" si="46"/>
        <v>0</v>
      </c>
      <c r="N352" s="11"/>
      <c r="O352" s="18"/>
      <c r="P352" s="18"/>
      <c r="Q352" s="100">
        <f t="shared" si="41"/>
        <v>0</v>
      </c>
      <c r="R352" s="19"/>
      <c r="S352" s="52">
        <f t="shared" si="47"/>
        <v>0</v>
      </c>
      <c r="T352" s="11"/>
    </row>
    <row r="353" spans="1:20" x14ac:dyDescent="0.2">
      <c r="A353" s="11"/>
      <c r="B353" s="11"/>
      <c r="C353" s="12"/>
      <c r="D353" s="13"/>
      <c r="E353" s="14"/>
      <c r="F353" s="13"/>
      <c r="G353" s="15" t="e">
        <f t="shared" si="42"/>
        <v>#DIV/0!</v>
      </c>
      <c r="H353" s="16"/>
      <c r="I353" s="16"/>
      <c r="J353" s="16">
        <f t="shared" si="43"/>
        <v>0</v>
      </c>
      <c r="K353" s="16">
        <f t="shared" si="44"/>
        <v>0</v>
      </c>
      <c r="L353" s="16">
        <f t="shared" si="45"/>
        <v>0</v>
      </c>
      <c r="M353" s="17">
        <f t="shared" si="46"/>
        <v>0</v>
      </c>
      <c r="N353" s="11"/>
      <c r="O353" s="18"/>
      <c r="P353" s="18"/>
      <c r="Q353" s="100">
        <f t="shared" si="41"/>
        <v>0</v>
      </c>
      <c r="R353" s="19"/>
      <c r="S353" s="52">
        <f t="shared" si="47"/>
        <v>0</v>
      </c>
      <c r="T353" s="11"/>
    </row>
    <row r="354" spans="1:20" x14ac:dyDescent="0.2">
      <c r="A354" s="11"/>
      <c r="B354" s="11"/>
      <c r="C354" s="12"/>
      <c r="D354" s="13"/>
      <c r="E354" s="14"/>
      <c r="F354" s="13"/>
      <c r="G354" s="15" t="e">
        <f t="shared" si="42"/>
        <v>#DIV/0!</v>
      </c>
      <c r="H354" s="16"/>
      <c r="I354" s="16"/>
      <c r="J354" s="16">
        <f t="shared" si="43"/>
        <v>0</v>
      </c>
      <c r="K354" s="16">
        <f t="shared" si="44"/>
        <v>0</v>
      </c>
      <c r="L354" s="16">
        <f t="shared" si="45"/>
        <v>0</v>
      </c>
      <c r="M354" s="17">
        <f t="shared" si="46"/>
        <v>0</v>
      </c>
      <c r="N354" s="11"/>
      <c r="O354" s="18"/>
      <c r="P354" s="18"/>
      <c r="Q354" s="100">
        <f t="shared" si="41"/>
        <v>0</v>
      </c>
      <c r="R354" s="19"/>
      <c r="S354" s="52">
        <f t="shared" si="47"/>
        <v>0</v>
      </c>
      <c r="T354" s="11"/>
    </row>
    <row r="355" spans="1:20" x14ac:dyDescent="0.2">
      <c r="A355" s="11"/>
      <c r="B355" s="11"/>
      <c r="C355" s="12"/>
      <c r="D355" s="13"/>
      <c r="E355" s="14"/>
      <c r="F355" s="13"/>
      <c r="G355" s="15" t="e">
        <f t="shared" si="42"/>
        <v>#DIV/0!</v>
      </c>
      <c r="H355" s="16"/>
      <c r="I355" s="16"/>
      <c r="J355" s="16">
        <f t="shared" si="43"/>
        <v>0</v>
      </c>
      <c r="K355" s="16">
        <f t="shared" si="44"/>
        <v>0</v>
      </c>
      <c r="L355" s="16">
        <f t="shared" si="45"/>
        <v>0</v>
      </c>
      <c r="M355" s="17">
        <f t="shared" si="46"/>
        <v>0</v>
      </c>
      <c r="N355" s="11"/>
      <c r="O355" s="18"/>
      <c r="P355" s="18"/>
      <c r="Q355" s="100">
        <f t="shared" si="41"/>
        <v>0</v>
      </c>
      <c r="R355" s="19"/>
      <c r="S355" s="52">
        <f t="shared" si="47"/>
        <v>0</v>
      </c>
      <c r="T355" s="11"/>
    </row>
    <row r="356" spans="1:20" x14ac:dyDescent="0.2">
      <c r="A356" s="11"/>
      <c r="B356" s="11"/>
      <c r="C356" s="12"/>
      <c r="D356" s="13"/>
      <c r="E356" s="14"/>
      <c r="F356" s="13"/>
      <c r="G356" s="15" t="e">
        <f t="shared" si="42"/>
        <v>#DIV/0!</v>
      </c>
      <c r="H356" s="16"/>
      <c r="I356" s="16"/>
      <c r="J356" s="16">
        <f t="shared" si="43"/>
        <v>0</v>
      </c>
      <c r="K356" s="16">
        <f t="shared" si="44"/>
        <v>0</v>
      </c>
      <c r="L356" s="16">
        <f t="shared" si="45"/>
        <v>0</v>
      </c>
      <c r="M356" s="17">
        <f t="shared" si="46"/>
        <v>0</v>
      </c>
      <c r="N356" s="11"/>
      <c r="O356" s="18"/>
      <c r="P356" s="18"/>
      <c r="Q356" s="100">
        <f t="shared" si="41"/>
        <v>0</v>
      </c>
      <c r="R356" s="19"/>
      <c r="S356" s="52">
        <f t="shared" si="47"/>
        <v>0</v>
      </c>
      <c r="T356" s="11"/>
    </row>
    <row r="357" spans="1:20" x14ac:dyDescent="0.2">
      <c r="A357" s="11"/>
      <c r="B357" s="11"/>
      <c r="C357" s="12"/>
      <c r="D357" s="13"/>
      <c r="E357" s="14"/>
      <c r="F357" s="13"/>
      <c r="G357" s="15" t="e">
        <f t="shared" si="42"/>
        <v>#DIV/0!</v>
      </c>
      <c r="H357" s="16"/>
      <c r="I357" s="16"/>
      <c r="J357" s="16">
        <f t="shared" si="43"/>
        <v>0</v>
      </c>
      <c r="K357" s="16">
        <f t="shared" si="44"/>
        <v>0</v>
      </c>
      <c r="L357" s="16">
        <f t="shared" si="45"/>
        <v>0</v>
      </c>
      <c r="M357" s="17">
        <f t="shared" si="46"/>
        <v>0</v>
      </c>
      <c r="N357" s="11"/>
      <c r="O357" s="18"/>
      <c r="P357" s="18"/>
      <c r="Q357" s="100">
        <f t="shared" si="41"/>
        <v>0</v>
      </c>
      <c r="R357" s="19"/>
      <c r="S357" s="52">
        <f t="shared" si="47"/>
        <v>0</v>
      </c>
      <c r="T357" s="11"/>
    </row>
    <row r="358" spans="1:20" x14ac:dyDescent="0.2">
      <c r="A358" s="11"/>
      <c r="B358" s="11"/>
      <c r="C358" s="12"/>
      <c r="D358" s="13"/>
      <c r="E358" s="14"/>
      <c r="F358" s="13"/>
      <c r="G358" s="15" t="e">
        <f t="shared" si="42"/>
        <v>#DIV/0!</v>
      </c>
      <c r="H358" s="16"/>
      <c r="I358" s="16"/>
      <c r="J358" s="16">
        <f t="shared" si="43"/>
        <v>0</v>
      </c>
      <c r="K358" s="16">
        <f t="shared" si="44"/>
        <v>0</v>
      </c>
      <c r="L358" s="16">
        <f t="shared" si="45"/>
        <v>0</v>
      </c>
      <c r="M358" s="17">
        <f t="shared" si="46"/>
        <v>0</v>
      </c>
      <c r="N358" s="11"/>
      <c r="O358" s="18"/>
      <c r="P358" s="18"/>
      <c r="Q358" s="100">
        <f t="shared" si="41"/>
        <v>0</v>
      </c>
      <c r="R358" s="19"/>
      <c r="S358" s="52">
        <f t="shared" si="47"/>
        <v>0</v>
      </c>
      <c r="T358" s="11"/>
    </row>
    <row r="359" spans="1:20" x14ac:dyDescent="0.2">
      <c r="A359" s="11"/>
      <c r="B359" s="11"/>
      <c r="C359" s="12"/>
      <c r="D359" s="13"/>
      <c r="E359" s="14"/>
      <c r="F359" s="13"/>
      <c r="G359" s="15" t="e">
        <f t="shared" si="42"/>
        <v>#DIV/0!</v>
      </c>
      <c r="H359" s="16"/>
      <c r="I359" s="16"/>
      <c r="J359" s="16">
        <f t="shared" si="43"/>
        <v>0</v>
      </c>
      <c r="K359" s="16">
        <f t="shared" si="44"/>
        <v>0</v>
      </c>
      <c r="L359" s="16">
        <f t="shared" si="45"/>
        <v>0</v>
      </c>
      <c r="M359" s="17">
        <f t="shared" si="46"/>
        <v>0</v>
      </c>
      <c r="N359" s="11"/>
      <c r="O359" s="18"/>
      <c r="P359" s="18"/>
      <c r="Q359" s="100">
        <f t="shared" si="41"/>
        <v>0</v>
      </c>
      <c r="R359" s="19"/>
      <c r="S359" s="52">
        <f t="shared" si="47"/>
        <v>0</v>
      </c>
      <c r="T359" s="11"/>
    </row>
    <row r="360" spans="1:20" x14ac:dyDescent="0.2">
      <c r="A360" s="11"/>
      <c r="B360" s="11"/>
      <c r="C360" s="12"/>
      <c r="D360" s="13"/>
      <c r="E360" s="14"/>
      <c r="F360" s="13"/>
      <c r="G360" s="15" t="e">
        <f t="shared" si="42"/>
        <v>#DIV/0!</v>
      </c>
      <c r="H360" s="16"/>
      <c r="I360" s="16"/>
      <c r="J360" s="16">
        <f t="shared" si="43"/>
        <v>0</v>
      </c>
      <c r="K360" s="16">
        <f t="shared" si="44"/>
        <v>0</v>
      </c>
      <c r="L360" s="16">
        <f t="shared" si="45"/>
        <v>0</v>
      </c>
      <c r="M360" s="17">
        <f t="shared" si="46"/>
        <v>0</v>
      </c>
      <c r="N360" s="11"/>
      <c r="O360" s="18"/>
      <c r="P360" s="18"/>
      <c r="Q360" s="100">
        <f t="shared" si="41"/>
        <v>0</v>
      </c>
      <c r="R360" s="19"/>
      <c r="S360" s="52">
        <f t="shared" si="47"/>
        <v>0</v>
      </c>
      <c r="T360" s="11"/>
    </row>
    <row r="361" spans="1:20" x14ac:dyDescent="0.2">
      <c r="A361" s="11"/>
      <c r="B361" s="11"/>
      <c r="C361" s="12"/>
      <c r="D361" s="13"/>
      <c r="E361" s="14"/>
      <c r="F361" s="13"/>
      <c r="G361" s="15" t="e">
        <f t="shared" si="42"/>
        <v>#DIV/0!</v>
      </c>
      <c r="H361" s="16"/>
      <c r="I361" s="16"/>
      <c r="J361" s="16">
        <f t="shared" si="43"/>
        <v>0</v>
      </c>
      <c r="K361" s="16">
        <f t="shared" si="44"/>
        <v>0</v>
      </c>
      <c r="L361" s="16">
        <f t="shared" si="45"/>
        <v>0</v>
      </c>
      <c r="M361" s="17">
        <f t="shared" si="46"/>
        <v>0</v>
      </c>
      <c r="N361" s="11"/>
      <c r="O361" s="18"/>
      <c r="P361" s="18"/>
      <c r="Q361" s="100">
        <f t="shared" si="41"/>
        <v>0</v>
      </c>
      <c r="R361" s="19"/>
      <c r="S361" s="52">
        <f t="shared" si="47"/>
        <v>0</v>
      </c>
      <c r="T361" s="11"/>
    </row>
    <row r="362" spans="1:20" x14ac:dyDescent="0.2">
      <c r="A362" s="11"/>
      <c r="B362" s="11"/>
      <c r="C362" s="12"/>
      <c r="D362" s="13"/>
      <c r="E362" s="14"/>
      <c r="F362" s="13"/>
      <c r="G362" s="15" t="e">
        <f t="shared" si="42"/>
        <v>#DIV/0!</v>
      </c>
      <c r="H362" s="16"/>
      <c r="I362" s="16"/>
      <c r="J362" s="16">
        <f t="shared" si="43"/>
        <v>0</v>
      </c>
      <c r="K362" s="16">
        <f t="shared" si="44"/>
        <v>0</v>
      </c>
      <c r="L362" s="16">
        <f t="shared" si="45"/>
        <v>0</v>
      </c>
      <c r="M362" s="17">
        <f t="shared" si="46"/>
        <v>0</v>
      </c>
      <c r="N362" s="11"/>
      <c r="O362" s="18"/>
      <c r="P362" s="18"/>
      <c r="Q362" s="100">
        <f t="shared" si="41"/>
        <v>0</v>
      </c>
      <c r="R362" s="19"/>
      <c r="S362" s="52">
        <f t="shared" si="47"/>
        <v>0</v>
      </c>
      <c r="T362" s="11"/>
    </row>
    <row r="363" spans="1:20" x14ac:dyDescent="0.2">
      <c r="A363" s="11"/>
      <c r="B363" s="11"/>
      <c r="C363" s="12"/>
      <c r="D363" s="13"/>
      <c r="E363" s="14"/>
      <c r="F363" s="13"/>
      <c r="G363" s="15" t="e">
        <f t="shared" si="42"/>
        <v>#DIV/0!</v>
      </c>
      <c r="H363" s="16"/>
      <c r="I363" s="16"/>
      <c r="J363" s="16">
        <f t="shared" si="43"/>
        <v>0</v>
      </c>
      <c r="K363" s="16">
        <f t="shared" si="44"/>
        <v>0</v>
      </c>
      <c r="L363" s="16">
        <f t="shared" si="45"/>
        <v>0</v>
      </c>
      <c r="M363" s="17">
        <f t="shared" si="46"/>
        <v>0</v>
      </c>
      <c r="N363" s="11"/>
      <c r="O363" s="18"/>
      <c r="P363" s="18"/>
      <c r="Q363" s="100">
        <f t="shared" si="41"/>
        <v>0</v>
      </c>
      <c r="R363" s="19"/>
      <c r="S363" s="52">
        <f t="shared" si="47"/>
        <v>0</v>
      </c>
      <c r="T363" s="11"/>
    </row>
    <row r="364" spans="1:20" x14ac:dyDescent="0.2">
      <c r="A364" s="11"/>
      <c r="B364" s="11"/>
      <c r="C364" s="12"/>
      <c r="D364" s="13"/>
      <c r="E364" s="14"/>
      <c r="F364" s="13"/>
      <c r="G364" s="15" t="e">
        <f t="shared" si="42"/>
        <v>#DIV/0!</v>
      </c>
      <c r="H364" s="16"/>
      <c r="I364" s="16"/>
      <c r="J364" s="16">
        <f t="shared" si="43"/>
        <v>0</v>
      </c>
      <c r="K364" s="16">
        <f t="shared" si="44"/>
        <v>0</v>
      </c>
      <c r="L364" s="16">
        <f t="shared" si="45"/>
        <v>0</v>
      </c>
      <c r="M364" s="17">
        <f t="shared" si="46"/>
        <v>0</v>
      </c>
      <c r="N364" s="11"/>
      <c r="O364" s="18"/>
      <c r="P364" s="18"/>
      <c r="Q364" s="100">
        <f t="shared" si="41"/>
        <v>0</v>
      </c>
      <c r="R364" s="19"/>
      <c r="S364" s="52">
        <f t="shared" si="47"/>
        <v>0</v>
      </c>
      <c r="T364" s="11"/>
    </row>
    <row r="365" spans="1:20" x14ac:dyDescent="0.2">
      <c r="A365" s="11"/>
      <c r="B365" s="11"/>
      <c r="C365" s="12"/>
      <c r="D365" s="13"/>
      <c r="E365" s="14"/>
      <c r="F365" s="13"/>
      <c r="G365" s="15" t="e">
        <f t="shared" si="42"/>
        <v>#DIV/0!</v>
      </c>
      <c r="H365" s="16"/>
      <c r="I365" s="16"/>
      <c r="J365" s="16">
        <f t="shared" si="43"/>
        <v>0</v>
      </c>
      <c r="K365" s="16">
        <f t="shared" si="44"/>
        <v>0</v>
      </c>
      <c r="L365" s="16">
        <f t="shared" si="45"/>
        <v>0</v>
      </c>
      <c r="M365" s="17">
        <f t="shared" si="46"/>
        <v>0</v>
      </c>
      <c r="N365" s="11"/>
      <c r="O365" s="18"/>
      <c r="P365" s="18"/>
      <c r="Q365" s="100">
        <f t="shared" si="41"/>
        <v>0</v>
      </c>
      <c r="R365" s="19"/>
      <c r="S365" s="52">
        <f t="shared" si="47"/>
        <v>0</v>
      </c>
      <c r="T365" s="11"/>
    </row>
    <row r="366" spans="1:20" x14ac:dyDescent="0.2">
      <c r="A366" s="11"/>
      <c r="B366" s="11"/>
      <c r="C366" s="12"/>
      <c r="D366" s="13"/>
      <c r="E366" s="14"/>
      <c r="F366" s="13"/>
      <c r="G366" s="15" t="e">
        <f t="shared" si="42"/>
        <v>#DIV/0!</v>
      </c>
      <c r="H366" s="16"/>
      <c r="I366" s="16"/>
      <c r="J366" s="16">
        <f t="shared" si="43"/>
        <v>0</v>
      </c>
      <c r="K366" s="16">
        <f t="shared" si="44"/>
        <v>0</v>
      </c>
      <c r="L366" s="16">
        <f t="shared" si="45"/>
        <v>0</v>
      </c>
      <c r="M366" s="17">
        <f t="shared" si="46"/>
        <v>0</v>
      </c>
      <c r="N366" s="11"/>
      <c r="O366" s="18"/>
      <c r="P366" s="18"/>
      <c r="Q366" s="100">
        <f t="shared" si="41"/>
        <v>0</v>
      </c>
      <c r="R366" s="19"/>
      <c r="S366" s="52">
        <f t="shared" si="47"/>
        <v>0</v>
      </c>
      <c r="T366" s="11"/>
    </row>
    <row r="367" spans="1:20" x14ac:dyDescent="0.2">
      <c r="A367" s="11"/>
      <c r="B367" s="11"/>
      <c r="C367" s="12"/>
      <c r="D367" s="13"/>
      <c r="E367" s="14"/>
      <c r="F367" s="13"/>
      <c r="G367" s="15" t="e">
        <f t="shared" si="42"/>
        <v>#DIV/0!</v>
      </c>
      <c r="H367" s="16"/>
      <c r="I367" s="16"/>
      <c r="J367" s="16">
        <f t="shared" si="43"/>
        <v>0</v>
      </c>
      <c r="K367" s="16">
        <f t="shared" si="44"/>
        <v>0</v>
      </c>
      <c r="L367" s="16">
        <f t="shared" si="45"/>
        <v>0</v>
      </c>
      <c r="M367" s="17">
        <f t="shared" si="46"/>
        <v>0</v>
      </c>
      <c r="N367" s="11"/>
      <c r="O367" s="18"/>
      <c r="P367" s="18"/>
      <c r="Q367" s="100">
        <f t="shared" si="41"/>
        <v>0</v>
      </c>
      <c r="R367" s="19"/>
      <c r="S367" s="52">
        <f t="shared" si="47"/>
        <v>0</v>
      </c>
      <c r="T367" s="11"/>
    </row>
    <row r="368" spans="1:20" x14ac:dyDescent="0.2">
      <c r="A368" s="11"/>
      <c r="B368" s="11"/>
      <c r="C368" s="12"/>
      <c r="D368" s="13"/>
      <c r="E368" s="14"/>
      <c r="F368" s="13"/>
      <c r="G368" s="15" t="e">
        <f t="shared" si="42"/>
        <v>#DIV/0!</v>
      </c>
      <c r="H368" s="16"/>
      <c r="I368" s="16"/>
      <c r="J368" s="16">
        <f t="shared" si="43"/>
        <v>0</v>
      </c>
      <c r="K368" s="16">
        <f t="shared" si="44"/>
        <v>0</v>
      </c>
      <c r="L368" s="16">
        <f t="shared" si="45"/>
        <v>0</v>
      </c>
      <c r="M368" s="17">
        <f t="shared" si="46"/>
        <v>0</v>
      </c>
      <c r="N368" s="11"/>
      <c r="O368" s="18"/>
      <c r="P368" s="18"/>
      <c r="Q368" s="100">
        <f t="shared" si="41"/>
        <v>0</v>
      </c>
      <c r="R368" s="19"/>
      <c r="S368" s="52">
        <f t="shared" si="47"/>
        <v>0</v>
      </c>
      <c r="T368" s="11"/>
    </row>
    <row r="369" spans="1:20" x14ac:dyDescent="0.2">
      <c r="A369" s="11"/>
      <c r="B369" s="11"/>
      <c r="C369" s="12"/>
      <c r="D369" s="13"/>
      <c r="E369" s="14"/>
      <c r="F369" s="13"/>
      <c r="G369" s="15" t="e">
        <f t="shared" si="42"/>
        <v>#DIV/0!</v>
      </c>
      <c r="H369" s="16"/>
      <c r="I369" s="16"/>
      <c r="J369" s="16">
        <f t="shared" si="43"/>
        <v>0</v>
      </c>
      <c r="K369" s="16">
        <f t="shared" si="44"/>
        <v>0</v>
      </c>
      <c r="L369" s="16">
        <f t="shared" si="45"/>
        <v>0</v>
      </c>
      <c r="M369" s="17">
        <f t="shared" si="46"/>
        <v>0</v>
      </c>
      <c r="N369" s="11"/>
      <c r="O369" s="18"/>
      <c r="P369" s="18"/>
      <c r="Q369" s="100">
        <f t="shared" si="41"/>
        <v>0</v>
      </c>
      <c r="R369" s="19"/>
      <c r="S369" s="52">
        <f t="shared" si="47"/>
        <v>0</v>
      </c>
      <c r="T369" s="11"/>
    </row>
    <row r="370" spans="1:20" x14ac:dyDescent="0.2">
      <c r="A370" s="11"/>
      <c r="B370" s="11"/>
      <c r="C370" s="12"/>
      <c r="D370" s="13"/>
      <c r="E370" s="14"/>
      <c r="F370" s="13"/>
      <c r="G370" s="15" t="e">
        <f t="shared" si="42"/>
        <v>#DIV/0!</v>
      </c>
      <c r="H370" s="16"/>
      <c r="I370" s="16"/>
      <c r="J370" s="16">
        <f t="shared" si="43"/>
        <v>0</v>
      </c>
      <c r="K370" s="16">
        <f t="shared" si="44"/>
        <v>0</v>
      </c>
      <c r="L370" s="16">
        <f t="shared" si="45"/>
        <v>0</v>
      </c>
      <c r="M370" s="17">
        <f t="shared" si="46"/>
        <v>0</v>
      </c>
      <c r="N370" s="11"/>
      <c r="O370" s="18"/>
      <c r="P370" s="18"/>
      <c r="Q370" s="100">
        <f t="shared" si="41"/>
        <v>0</v>
      </c>
      <c r="R370" s="19"/>
      <c r="S370" s="52">
        <f t="shared" si="47"/>
        <v>0</v>
      </c>
      <c r="T370" s="11"/>
    </row>
    <row r="371" spans="1:20" x14ac:dyDescent="0.2">
      <c r="A371" s="11"/>
      <c r="B371" s="11"/>
      <c r="C371" s="12"/>
      <c r="D371" s="13"/>
      <c r="E371" s="14"/>
      <c r="F371" s="13"/>
      <c r="G371" s="15" t="e">
        <f t="shared" si="42"/>
        <v>#DIV/0!</v>
      </c>
      <c r="H371" s="16"/>
      <c r="I371" s="16"/>
      <c r="J371" s="16">
        <f t="shared" si="43"/>
        <v>0</v>
      </c>
      <c r="K371" s="16">
        <f t="shared" si="44"/>
        <v>0</v>
      </c>
      <c r="L371" s="16">
        <f t="shared" si="45"/>
        <v>0</v>
      </c>
      <c r="M371" s="17">
        <f t="shared" si="46"/>
        <v>0</v>
      </c>
      <c r="N371" s="11"/>
      <c r="O371" s="18"/>
      <c r="P371" s="18"/>
      <c r="Q371" s="100">
        <f t="shared" si="41"/>
        <v>0</v>
      </c>
      <c r="R371" s="19"/>
      <c r="S371" s="52">
        <f t="shared" si="47"/>
        <v>0</v>
      </c>
      <c r="T371" s="11"/>
    </row>
    <row r="372" spans="1:20" x14ac:dyDescent="0.2">
      <c r="A372" s="11"/>
      <c r="B372" s="11"/>
      <c r="C372" s="12"/>
      <c r="D372" s="13"/>
      <c r="E372" s="14"/>
      <c r="F372" s="13"/>
      <c r="G372" s="15" t="e">
        <f t="shared" si="42"/>
        <v>#DIV/0!</v>
      </c>
      <c r="H372" s="16"/>
      <c r="I372" s="16"/>
      <c r="J372" s="16">
        <f t="shared" si="43"/>
        <v>0</v>
      </c>
      <c r="K372" s="16">
        <f t="shared" si="44"/>
        <v>0</v>
      </c>
      <c r="L372" s="16">
        <f t="shared" si="45"/>
        <v>0</v>
      </c>
      <c r="M372" s="17">
        <f t="shared" si="46"/>
        <v>0</v>
      </c>
      <c r="N372" s="11"/>
      <c r="O372" s="18"/>
      <c r="P372" s="18"/>
      <c r="Q372" s="100">
        <f t="shared" si="41"/>
        <v>0</v>
      </c>
      <c r="R372" s="19"/>
      <c r="S372" s="52">
        <f t="shared" si="47"/>
        <v>0</v>
      </c>
      <c r="T372" s="11"/>
    </row>
    <row r="373" spans="1:20" x14ac:dyDescent="0.2">
      <c r="A373" s="11"/>
      <c r="B373" s="11"/>
      <c r="C373" s="12"/>
      <c r="D373" s="13"/>
      <c r="E373" s="14"/>
      <c r="F373" s="13"/>
      <c r="G373" s="15" t="e">
        <f t="shared" si="42"/>
        <v>#DIV/0!</v>
      </c>
      <c r="H373" s="16"/>
      <c r="I373" s="16"/>
      <c r="J373" s="16">
        <f t="shared" si="43"/>
        <v>0</v>
      </c>
      <c r="K373" s="16">
        <f t="shared" si="44"/>
        <v>0</v>
      </c>
      <c r="L373" s="16">
        <f t="shared" si="45"/>
        <v>0</v>
      </c>
      <c r="M373" s="17">
        <f t="shared" si="46"/>
        <v>0</v>
      </c>
      <c r="N373" s="11"/>
      <c r="O373" s="18"/>
      <c r="P373" s="18"/>
      <c r="Q373" s="100">
        <f t="shared" si="41"/>
        <v>0</v>
      </c>
      <c r="R373" s="19"/>
      <c r="S373" s="52">
        <f t="shared" si="47"/>
        <v>0</v>
      </c>
      <c r="T373" s="11"/>
    </row>
    <row r="374" spans="1:20" x14ac:dyDescent="0.2">
      <c r="A374" s="11"/>
      <c r="B374" s="11"/>
      <c r="C374" s="12"/>
      <c r="D374" s="13"/>
      <c r="E374" s="14"/>
      <c r="F374" s="13"/>
      <c r="G374" s="15" t="e">
        <f t="shared" si="42"/>
        <v>#DIV/0!</v>
      </c>
      <c r="H374" s="16"/>
      <c r="I374" s="16"/>
      <c r="J374" s="16">
        <f t="shared" si="43"/>
        <v>0</v>
      </c>
      <c r="K374" s="16">
        <f t="shared" si="44"/>
        <v>0</v>
      </c>
      <c r="L374" s="16">
        <f t="shared" si="45"/>
        <v>0</v>
      </c>
      <c r="M374" s="17">
        <f t="shared" si="46"/>
        <v>0</v>
      </c>
      <c r="N374" s="11"/>
      <c r="O374" s="18"/>
      <c r="P374" s="18"/>
      <c r="Q374" s="100">
        <f t="shared" si="41"/>
        <v>0</v>
      </c>
      <c r="R374" s="19"/>
      <c r="S374" s="52">
        <f t="shared" si="47"/>
        <v>0</v>
      </c>
      <c r="T374" s="11"/>
    </row>
    <row r="375" spans="1:20" x14ac:dyDescent="0.2">
      <c r="A375" s="11"/>
      <c r="B375" s="11"/>
      <c r="C375" s="12"/>
      <c r="D375" s="13"/>
      <c r="E375" s="14"/>
      <c r="F375" s="13"/>
      <c r="G375" s="15" t="e">
        <f t="shared" si="42"/>
        <v>#DIV/0!</v>
      </c>
      <c r="H375" s="16"/>
      <c r="I375" s="16"/>
      <c r="J375" s="16">
        <f t="shared" si="43"/>
        <v>0</v>
      </c>
      <c r="K375" s="16">
        <f t="shared" si="44"/>
        <v>0</v>
      </c>
      <c r="L375" s="16">
        <f t="shared" si="45"/>
        <v>0</v>
      </c>
      <c r="M375" s="17">
        <f t="shared" si="46"/>
        <v>0</v>
      </c>
      <c r="N375" s="11"/>
      <c r="O375" s="18"/>
      <c r="P375" s="18"/>
      <c r="Q375" s="100">
        <f t="shared" si="41"/>
        <v>0</v>
      </c>
      <c r="R375" s="19"/>
      <c r="S375" s="52">
        <f t="shared" si="47"/>
        <v>0</v>
      </c>
      <c r="T375" s="11"/>
    </row>
    <row r="376" spans="1:20" x14ac:dyDescent="0.2">
      <c r="A376" s="11"/>
      <c r="B376" s="11"/>
      <c r="C376" s="12"/>
      <c r="D376" s="13"/>
      <c r="E376" s="14"/>
      <c r="F376" s="13"/>
      <c r="G376" s="15" t="e">
        <f t="shared" si="42"/>
        <v>#DIV/0!</v>
      </c>
      <c r="H376" s="16"/>
      <c r="I376" s="16"/>
      <c r="J376" s="16">
        <f t="shared" si="43"/>
        <v>0</v>
      </c>
      <c r="K376" s="16">
        <f t="shared" si="44"/>
        <v>0</v>
      </c>
      <c r="L376" s="16">
        <f t="shared" si="45"/>
        <v>0</v>
      </c>
      <c r="M376" s="17">
        <f t="shared" si="46"/>
        <v>0</v>
      </c>
      <c r="N376" s="11"/>
      <c r="O376" s="18"/>
      <c r="P376" s="18"/>
      <c r="Q376" s="100">
        <f t="shared" si="41"/>
        <v>0</v>
      </c>
      <c r="R376" s="19"/>
      <c r="S376" s="52">
        <f t="shared" si="47"/>
        <v>0</v>
      </c>
      <c r="T376" s="11"/>
    </row>
    <row r="377" spans="1:20" x14ac:dyDescent="0.2">
      <c r="A377" s="11"/>
      <c r="B377" s="11"/>
      <c r="C377" s="12"/>
      <c r="D377" s="13"/>
      <c r="E377" s="14"/>
      <c r="F377" s="13"/>
      <c r="G377" s="15" t="e">
        <f t="shared" si="42"/>
        <v>#DIV/0!</v>
      </c>
      <c r="H377" s="16"/>
      <c r="I377" s="16"/>
      <c r="J377" s="16">
        <f t="shared" si="43"/>
        <v>0</v>
      </c>
      <c r="K377" s="16">
        <f t="shared" si="44"/>
        <v>0</v>
      </c>
      <c r="L377" s="16">
        <f t="shared" si="45"/>
        <v>0</v>
      </c>
      <c r="M377" s="17">
        <f t="shared" si="46"/>
        <v>0</v>
      </c>
      <c r="N377" s="11"/>
      <c r="O377" s="18"/>
      <c r="P377" s="18"/>
      <c r="Q377" s="100">
        <f t="shared" si="41"/>
        <v>0</v>
      </c>
      <c r="R377" s="19"/>
      <c r="S377" s="52">
        <f t="shared" si="47"/>
        <v>0</v>
      </c>
      <c r="T377" s="11"/>
    </row>
    <row r="378" spans="1:20" x14ac:dyDescent="0.2">
      <c r="A378" s="11"/>
      <c r="B378" s="11"/>
      <c r="C378" s="12"/>
      <c r="D378" s="13"/>
      <c r="E378" s="14"/>
      <c r="F378" s="13"/>
      <c r="G378" s="15" t="e">
        <f t="shared" si="42"/>
        <v>#DIV/0!</v>
      </c>
      <c r="H378" s="16"/>
      <c r="I378" s="16"/>
      <c r="J378" s="16">
        <f t="shared" si="43"/>
        <v>0</v>
      </c>
      <c r="K378" s="16">
        <f t="shared" si="44"/>
        <v>0</v>
      </c>
      <c r="L378" s="16">
        <f t="shared" si="45"/>
        <v>0</v>
      </c>
      <c r="M378" s="17">
        <f t="shared" si="46"/>
        <v>0</v>
      </c>
      <c r="N378" s="11"/>
      <c r="O378" s="18"/>
      <c r="P378" s="18"/>
      <c r="Q378" s="100">
        <f t="shared" si="41"/>
        <v>0</v>
      </c>
      <c r="R378" s="19"/>
      <c r="S378" s="52">
        <f t="shared" si="47"/>
        <v>0</v>
      </c>
      <c r="T378" s="11"/>
    </row>
    <row r="379" spans="1:20" x14ac:dyDescent="0.2">
      <c r="A379" s="11"/>
      <c r="B379" s="11"/>
      <c r="C379" s="12"/>
      <c r="D379" s="13"/>
      <c r="E379" s="14"/>
      <c r="F379" s="13"/>
      <c r="G379" s="15" t="e">
        <f t="shared" si="42"/>
        <v>#DIV/0!</v>
      </c>
      <c r="H379" s="16"/>
      <c r="I379" s="16"/>
      <c r="J379" s="16">
        <f t="shared" si="43"/>
        <v>0</v>
      </c>
      <c r="K379" s="16">
        <f t="shared" si="44"/>
        <v>0</v>
      </c>
      <c r="L379" s="16">
        <f t="shared" si="45"/>
        <v>0</v>
      </c>
      <c r="M379" s="17">
        <f t="shared" si="46"/>
        <v>0</v>
      </c>
      <c r="N379" s="11"/>
      <c r="O379" s="18"/>
      <c r="P379" s="18"/>
      <c r="Q379" s="100">
        <f t="shared" si="41"/>
        <v>0</v>
      </c>
      <c r="R379" s="19"/>
      <c r="S379" s="52">
        <f t="shared" si="47"/>
        <v>0</v>
      </c>
      <c r="T379" s="11"/>
    </row>
    <row r="380" spans="1:20" x14ac:dyDescent="0.2">
      <c r="A380" s="11"/>
      <c r="B380" s="11"/>
      <c r="C380" s="12"/>
      <c r="D380" s="13"/>
      <c r="E380" s="14"/>
      <c r="F380" s="13"/>
      <c r="G380" s="15" t="e">
        <f t="shared" si="42"/>
        <v>#DIV/0!</v>
      </c>
      <c r="H380" s="16"/>
      <c r="I380" s="16"/>
      <c r="J380" s="16">
        <f t="shared" si="43"/>
        <v>0</v>
      </c>
      <c r="K380" s="16">
        <f t="shared" si="44"/>
        <v>0</v>
      </c>
      <c r="L380" s="16">
        <f t="shared" si="45"/>
        <v>0</v>
      </c>
      <c r="M380" s="17">
        <f t="shared" si="46"/>
        <v>0</v>
      </c>
      <c r="N380" s="11"/>
      <c r="O380" s="18"/>
      <c r="P380" s="18"/>
      <c r="Q380" s="100">
        <f t="shared" si="41"/>
        <v>0</v>
      </c>
      <c r="R380" s="19"/>
      <c r="S380" s="52">
        <f t="shared" si="47"/>
        <v>0</v>
      </c>
      <c r="T380" s="11"/>
    </row>
    <row r="381" spans="1:20" x14ac:dyDescent="0.2">
      <c r="A381" s="11"/>
      <c r="B381" s="11"/>
      <c r="C381" s="12"/>
      <c r="D381" s="13"/>
      <c r="E381" s="14"/>
      <c r="F381" s="13"/>
      <c r="G381" s="15" t="e">
        <f t="shared" si="42"/>
        <v>#DIV/0!</v>
      </c>
      <c r="H381" s="16"/>
      <c r="I381" s="16"/>
      <c r="J381" s="16">
        <f t="shared" si="43"/>
        <v>0</v>
      </c>
      <c r="K381" s="16">
        <f t="shared" si="44"/>
        <v>0</v>
      </c>
      <c r="L381" s="16">
        <f t="shared" si="45"/>
        <v>0</v>
      </c>
      <c r="M381" s="17">
        <f t="shared" si="46"/>
        <v>0</v>
      </c>
      <c r="N381" s="11"/>
      <c r="O381" s="18"/>
      <c r="P381" s="18"/>
      <c r="Q381" s="100">
        <f t="shared" si="41"/>
        <v>0</v>
      </c>
      <c r="R381" s="19"/>
      <c r="S381" s="52">
        <f t="shared" si="47"/>
        <v>0</v>
      </c>
      <c r="T381" s="11"/>
    </row>
    <row r="382" spans="1:20" x14ac:dyDescent="0.2">
      <c r="A382" s="11"/>
      <c r="B382" s="11"/>
      <c r="C382" s="12"/>
      <c r="D382" s="13"/>
      <c r="E382" s="14"/>
      <c r="F382" s="13"/>
      <c r="G382" s="15" t="e">
        <f t="shared" si="42"/>
        <v>#DIV/0!</v>
      </c>
      <c r="H382" s="16"/>
      <c r="I382" s="16"/>
      <c r="J382" s="16">
        <f t="shared" si="43"/>
        <v>0</v>
      </c>
      <c r="K382" s="16">
        <f t="shared" si="44"/>
        <v>0</v>
      </c>
      <c r="L382" s="16">
        <f t="shared" si="45"/>
        <v>0</v>
      </c>
      <c r="M382" s="17">
        <f t="shared" si="46"/>
        <v>0</v>
      </c>
      <c r="N382" s="11"/>
      <c r="O382" s="18"/>
      <c r="P382" s="18"/>
      <c r="Q382" s="100">
        <f t="shared" si="41"/>
        <v>0</v>
      </c>
      <c r="R382" s="19"/>
      <c r="S382" s="52">
        <f t="shared" si="47"/>
        <v>0</v>
      </c>
      <c r="T382" s="11"/>
    </row>
    <row r="383" spans="1:20" x14ac:dyDescent="0.2">
      <c r="A383" s="11"/>
      <c r="B383" s="11"/>
      <c r="C383" s="12"/>
      <c r="D383" s="13"/>
      <c r="E383" s="14"/>
      <c r="F383" s="13"/>
      <c r="G383" s="15" t="e">
        <f t="shared" si="42"/>
        <v>#DIV/0!</v>
      </c>
      <c r="H383" s="16"/>
      <c r="I383" s="16"/>
      <c r="J383" s="16">
        <f t="shared" si="43"/>
        <v>0</v>
      </c>
      <c r="K383" s="16">
        <f t="shared" si="44"/>
        <v>0</v>
      </c>
      <c r="L383" s="16">
        <f t="shared" si="45"/>
        <v>0</v>
      </c>
      <c r="M383" s="17">
        <f t="shared" si="46"/>
        <v>0</v>
      </c>
      <c r="N383" s="11"/>
      <c r="O383" s="18"/>
      <c r="P383" s="18"/>
      <c r="Q383" s="100">
        <f t="shared" si="41"/>
        <v>0</v>
      </c>
      <c r="R383" s="19"/>
      <c r="S383" s="52">
        <f t="shared" si="47"/>
        <v>0</v>
      </c>
      <c r="T383" s="11"/>
    </row>
    <row r="384" spans="1:20" x14ac:dyDescent="0.2">
      <c r="A384" s="11"/>
      <c r="B384" s="11"/>
      <c r="C384" s="12"/>
      <c r="D384" s="13"/>
      <c r="E384" s="14"/>
      <c r="F384" s="13"/>
      <c r="G384" s="15" t="e">
        <f t="shared" si="42"/>
        <v>#DIV/0!</v>
      </c>
      <c r="H384" s="16"/>
      <c r="I384" s="16"/>
      <c r="J384" s="16">
        <f t="shared" si="43"/>
        <v>0</v>
      </c>
      <c r="K384" s="16">
        <f t="shared" si="44"/>
        <v>0</v>
      </c>
      <c r="L384" s="16">
        <f t="shared" si="45"/>
        <v>0</v>
      </c>
      <c r="M384" s="17">
        <f t="shared" si="46"/>
        <v>0</v>
      </c>
      <c r="N384" s="11"/>
      <c r="O384" s="18"/>
      <c r="P384" s="18"/>
      <c r="Q384" s="100">
        <f t="shared" si="41"/>
        <v>0</v>
      </c>
      <c r="R384" s="19"/>
      <c r="S384" s="52">
        <f t="shared" si="47"/>
        <v>0</v>
      </c>
      <c r="T384" s="11"/>
    </row>
    <row r="385" spans="1:20" x14ac:dyDescent="0.2">
      <c r="A385" s="11"/>
      <c r="B385" s="11"/>
      <c r="C385" s="12"/>
      <c r="D385" s="13"/>
      <c r="E385" s="14"/>
      <c r="F385" s="13"/>
      <c r="G385" s="15" t="e">
        <f t="shared" si="42"/>
        <v>#DIV/0!</v>
      </c>
      <c r="H385" s="16"/>
      <c r="I385" s="16"/>
      <c r="J385" s="16">
        <f t="shared" si="43"/>
        <v>0</v>
      </c>
      <c r="K385" s="16">
        <f t="shared" si="44"/>
        <v>0</v>
      </c>
      <c r="L385" s="16">
        <f t="shared" si="45"/>
        <v>0</v>
      </c>
      <c r="M385" s="17">
        <f t="shared" si="46"/>
        <v>0</v>
      </c>
      <c r="N385" s="11"/>
      <c r="O385" s="18"/>
      <c r="P385" s="18"/>
      <c r="Q385" s="100">
        <f t="shared" si="41"/>
        <v>0</v>
      </c>
      <c r="R385" s="19"/>
      <c r="S385" s="52">
        <f t="shared" si="47"/>
        <v>0</v>
      </c>
      <c r="T385" s="11"/>
    </row>
    <row r="386" spans="1:20" x14ac:dyDescent="0.2">
      <c r="A386" s="11"/>
      <c r="B386" s="11"/>
      <c r="C386" s="12"/>
      <c r="D386" s="13"/>
      <c r="E386" s="14"/>
      <c r="F386" s="13"/>
      <c r="G386" s="15" t="e">
        <f t="shared" si="42"/>
        <v>#DIV/0!</v>
      </c>
      <c r="H386" s="16"/>
      <c r="I386" s="16"/>
      <c r="J386" s="16">
        <f t="shared" si="43"/>
        <v>0</v>
      </c>
      <c r="K386" s="16">
        <f t="shared" si="44"/>
        <v>0</v>
      </c>
      <c r="L386" s="16">
        <f t="shared" si="45"/>
        <v>0</v>
      </c>
      <c r="M386" s="17">
        <f t="shared" si="46"/>
        <v>0</v>
      </c>
      <c r="N386" s="11"/>
      <c r="O386" s="18"/>
      <c r="P386" s="18"/>
      <c r="Q386" s="100">
        <f t="shared" si="41"/>
        <v>0</v>
      </c>
      <c r="R386" s="19"/>
      <c r="S386" s="52">
        <f t="shared" si="47"/>
        <v>0</v>
      </c>
      <c r="T386" s="11"/>
    </row>
    <row r="387" spans="1:20" x14ac:dyDescent="0.2">
      <c r="A387" s="11"/>
      <c r="B387" s="11"/>
      <c r="C387" s="12"/>
      <c r="D387" s="13"/>
      <c r="E387" s="14"/>
      <c r="F387" s="13"/>
      <c r="G387" s="15" t="e">
        <f t="shared" si="42"/>
        <v>#DIV/0!</v>
      </c>
      <c r="H387" s="16"/>
      <c r="I387" s="16"/>
      <c r="J387" s="16">
        <f t="shared" si="43"/>
        <v>0</v>
      </c>
      <c r="K387" s="16">
        <f t="shared" si="44"/>
        <v>0</v>
      </c>
      <c r="L387" s="16">
        <f t="shared" si="45"/>
        <v>0</v>
      </c>
      <c r="M387" s="17">
        <f t="shared" si="46"/>
        <v>0</v>
      </c>
      <c r="N387" s="11"/>
      <c r="O387" s="18"/>
      <c r="P387" s="18"/>
      <c r="Q387" s="100">
        <f t="shared" si="41"/>
        <v>0</v>
      </c>
      <c r="R387" s="19"/>
      <c r="S387" s="52">
        <f t="shared" si="47"/>
        <v>0</v>
      </c>
      <c r="T387" s="11"/>
    </row>
    <row r="388" spans="1:20" x14ac:dyDescent="0.2">
      <c r="A388" s="11"/>
      <c r="B388" s="11"/>
      <c r="C388" s="12"/>
      <c r="D388" s="13"/>
      <c r="E388" s="14"/>
      <c r="F388" s="13"/>
      <c r="G388" s="15" t="e">
        <f t="shared" si="42"/>
        <v>#DIV/0!</v>
      </c>
      <c r="H388" s="16"/>
      <c r="I388" s="16"/>
      <c r="J388" s="16">
        <f t="shared" si="43"/>
        <v>0</v>
      </c>
      <c r="K388" s="16">
        <f t="shared" si="44"/>
        <v>0</v>
      </c>
      <c r="L388" s="16">
        <f t="shared" si="45"/>
        <v>0</v>
      </c>
      <c r="M388" s="17">
        <f t="shared" si="46"/>
        <v>0</v>
      </c>
      <c r="N388" s="11"/>
      <c r="O388" s="18"/>
      <c r="P388" s="18"/>
      <c r="Q388" s="100">
        <f t="shared" si="41"/>
        <v>0</v>
      </c>
      <c r="R388" s="19"/>
      <c r="S388" s="52">
        <f t="shared" si="47"/>
        <v>0</v>
      </c>
      <c r="T388" s="11"/>
    </row>
    <row r="389" spans="1:20" x14ac:dyDescent="0.2">
      <c r="A389" s="11"/>
      <c r="B389" s="11"/>
      <c r="C389" s="12"/>
      <c r="D389" s="13"/>
      <c r="E389" s="14"/>
      <c r="F389" s="13"/>
      <c r="G389" s="15" t="e">
        <f t="shared" si="42"/>
        <v>#DIV/0!</v>
      </c>
      <c r="H389" s="16"/>
      <c r="I389" s="16"/>
      <c r="J389" s="16">
        <f t="shared" si="43"/>
        <v>0</v>
      </c>
      <c r="K389" s="16">
        <f t="shared" si="44"/>
        <v>0</v>
      </c>
      <c r="L389" s="16">
        <f t="shared" si="45"/>
        <v>0</v>
      </c>
      <c r="M389" s="17">
        <f t="shared" si="46"/>
        <v>0</v>
      </c>
      <c r="N389" s="11"/>
      <c r="O389" s="18"/>
      <c r="P389" s="18"/>
      <c r="Q389" s="100">
        <f t="shared" si="41"/>
        <v>0</v>
      </c>
      <c r="R389" s="19"/>
      <c r="S389" s="52">
        <f t="shared" si="47"/>
        <v>0</v>
      </c>
      <c r="T389" s="11"/>
    </row>
    <row r="390" spans="1:20" x14ac:dyDescent="0.2">
      <c r="A390" s="11"/>
      <c r="B390" s="11"/>
      <c r="C390" s="12"/>
      <c r="D390" s="13"/>
      <c r="E390" s="14"/>
      <c r="F390" s="13"/>
      <c r="G390" s="15" t="e">
        <f t="shared" si="42"/>
        <v>#DIV/0!</v>
      </c>
      <c r="H390" s="16"/>
      <c r="I390" s="16"/>
      <c r="J390" s="16">
        <f t="shared" si="43"/>
        <v>0</v>
      </c>
      <c r="K390" s="16">
        <f t="shared" si="44"/>
        <v>0</v>
      </c>
      <c r="L390" s="16">
        <f t="shared" si="45"/>
        <v>0</v>
      </c>
      <c r="M390" s="17">
        <f t="shared" si="46"/>
        <v>0</v>
      </c>
      <c r="N390" s="11"/>
      <c r="O390" s="18"/>
      <c r="P390" s="18"/>
      <c r="Q390" s="100">
        <f t="shared" ref="Q390:Q453" si="48">+P390-O390</f>
        <v>0</v>
      </c>
      <c r="R390" s="19"/>
      <c r="S390" s="52">
        <f t="shared" si="47"/>
        <v>0</v>
      </c>
      <c r="T390" s="11"/>
    </row>
    <row r="391" spans="1:20" x14ac:dyDescent="0.2">
      <c r="A391" s="11"/>
      <c r="B391" s="11"/>
      <c r="C391" s="12"/>
      <c r="D391" s="13"/>
      <c r="E391" s="14"/>
      <c r="F391" s="13"/>
      <c r="G391" s="15" t="e">
        <f t="shared" si="42"/>
        <v>#DIV/0!</v>
      </c>
      <c r="H391" s="16"/>
      <c r="I391" s="16"/>
      <c r="J391" s="16">
        <f t="shared" si="43"/>
        <v>0</v>
      </c>
      <c r="K391" s="16">
        <f t="shared" si="44"/>
        <v>0</v>
      </c>
      <c r="L391" s="16">
        <f t="shared" si="45"/>
        <v>0</v>
      </c>
      <c r="M391" s="17">
        <f t="shared" si="46"/>
        <v>0</v>
      </c>
      <c r="N391" s="11"/>
      <c r="O391" s="18"/>
      <c r="P391" s="18"/>
      <c r="Q391" s="100">
        <f t="shared" si="48"/>
        <v>0</v>
      </c>
      <c r="R391" s="19"/>
      <c r="S391" s="52">
        <f t="shared" si="47"/>
        <v>0</v>
      </c>
      <c r="T391" s="11"/>
    </row>
    <row r="392" spans="1:20" x14ac:dyDescent="0.2">
      <c r="A392" s="11"/>
      <c r="B392" s="11"/>
      <c r="C392" s="12"/>
      <c r="D392" s="13"/>
      <c r="E392" s="14"/>
      <c r="F392" s="13"/>
      <c r="G392" s="15" t="e">
        <f t="shared" si="42"/>
        <v>#DIV/0!</v>
      </c>
      <c r="H392" s="16"/>
      <c r="I392" s="16"/>
      <c r="J392" s="16">
        <f t="shared" si="43"/>
        <v>0</v>
      </c>
      <c r="K392" s="16">
        <f t="shared" si="44"/>
        <v>0</v>
      </c>
      <c r="L392" s="16">
        <f t="shared" si="45"/>
        <v>0</v>
      </c>
      <c r="M392" s="17">
        <f t="shared" si="46"/>
        <v>0</v>
      </c>
      <c r="N392" s="11"/>
      <c r="O392" s="18"/>
      <c r="P392" s="18"/>
      <c r="Q392" s="100">
        <f t="shared" si="48"/>
        <v>0</v>
      </c>
      <c r="R392" s="19"/>
      <c r="S392" s="52">
        <f t="shared" si="47"/>
        <v>0</v>
      </c>
      <c r="T392" s="11"/>
    </row>
    <row r="393" spans="1:20" x14ac:dyDescent="0.2">
      <c r="A393" s="11"/>
      <c r="B393" s="11"/>
      <c r="C393" s="12"/>
      <c r="D393" s="13"/>
      <c r="E393" s="14"/>
      <c r="F393" s="13"/>
      <c r="G393" s="15" t="e">
        <f t="shared" si="42"/>
        <v>#DIV/0!</v>
      </c>
      <c r="H393" s="16"/>
      <c r="I393" s="16"/>
      <c r="J393" s="16">
        <f t="shared" si="43"/>
        <v>0</v>
      </c>
      <c r="K393" s="16">
        <f t="shared" si="44"/>
        <v>0</v>
      </c>
      <c r="L393" s="16">
        <f t="shared" si="45"/>
        <v>0</v>
      </c>
      <c r="M393" s="17">
        <f t="shared" si="46"/>
        <v>0</v>
      </c>
      <c r="N393" s="11"/>
      <c r="O393" s="18"/>
      <c r="P393" s="18"/>
      <c r="Q393" s="100">
        <f t="shared" si="48"/>
        <v>0</v>
      </c>
      <c r="R393" s="19"/>
      <c r="S393" s="52">
        <f t="shared" si="47"/>
        <v>0</v>
      </c>
      <c r="T393" s="11"/>
    </row>
    <row r="394" spans="1:20" x14ac:dyDescent="0.2">
      <c r="A394" s="11"/>
      <c r="B394" s="11"/>
      <c r="C394" s="12"/>
      <c r="D394" s="13"/>
      <c r="E394" s="14"/>
      <c r="F394" s="13"/>
      <c r="G394" s="15" t="e">
        <f t="shared" si="42"/>
        <v>#DIV/0!</v>
      </c>
      <c r="H394" s="16"/>
      <c r="I394" s="16"/>
      <c r="J394" s="16">
        <f t="shared" si="43"/>
        <v>0</v>
      </c>
      <c r="K394" s="16">
        <f t="shared" si="44"/>
        <v>0</v>
      </c>
      <c r="L394" s="16">
        <f t="shared" si="45"/>
        <v>0</v>
      </c>
      <c r="M394" s="17">
        <f t="shared" si="46"/>
        <v>0</v>
      </c>
      <c r="N394" s="11"/>
      <c r="O394" s="18"/>
      <c r="P394" s="18"/>
      <c r="Q394" s="100">
        <f t="shared" si="48"/>
        <v>0</v>
      </c>
      <c r="R394" s="19"/>
      <c r="S394" s="52">
        <f t="shared" si="47"/>
        <v>0</v>
      </c>
      <c r="T394" s="11"/>
    </row>
    <row r="395" spans="1:20" x14ac:dyDescent="0.2">
      <c r="A395" s="11"/>
      <c r="B395" s="11"/>
      <c r="C395" s="12"/>
      <c r="D395" s="13"/>
      <c r="E395" s="14"/>
      <c r="F395" s="13"/>
      <c r="G395" s="15" t="e">
        <f t="shared" si="42"/>
        <v>#DIV/0!</v>
      </c>
      <c r="H395" s="16"/>
      <c r="I395" s="16"/>
      <c r="J395" s="16">
        <f t="shared" si="43"/>
        <v>0</v>
      </c>
      <c r="K395" s="16">
        <f t="shared" si="44"/>
        <v>0</v>
      </c>
      <c r="L395" s="16">
        <f t="shared" si="45"/>
        <v>0</v>
      </c>
      <c r="M395" s="17">
        <f t="shared" si="46"/>
        <v>0</v>
      </c>
      <c r="N395" s="11"/>
      <c r="O395" s="18"/>
      <c r="P395" s="18"/>
      <c r="Q395" s="100">
        <f t="shared" si="48"/>
        <v>0</v>
      </c>
      <c r="R395" s="19"/>
      <c r="S395" s="52">
        <f t="shared" si="47"/>
        <v>0</v>
      </c>
      <c r="T395" s="11"/>
    </row>
    <row r="396" spans="1:20" x14ac:dyDescent="0.2">
      <c r="A396" s="11"/>
      <c r="B396" s="11"/>
      <c r="C396" s="12"/>
      <c r="D396" s="13"/>
      <c r="E396" s="14"/>
      <c r="F396" s="13"/>
      <c r="G396" s="15" t="e">
        <f t="shared" si="42"/>
        <v>#DIV/0!</v>
      </c>
      <c r="H396" s="16"/>
      <c r="I396" s="16"/>
      <c r="J396" s="16">
        <f t="shared" si="43"/>
        <v>0</v>
      </c>
      <c r="K396" s="16">
        <f t="shared" si="44"/>
        <v>0</v>
      </c>
      <c r="L396" s="16">
        <f t="shared" si="45"/>
        <v>0</v>
      </c>
      <c r="M396" s="17">
        <f t="shared" si="46"/>
        <v>0</v>
      </c>
      <c r="N396" s="11"/>
      <c r="O396" s="18"/>
      <c r="P396" s="18"/>
      <c r="Q396" s="100">
        <f t="shared" si="48"/>
        <v>0</v>
      </c>
      <c r="R396" s="19"/>
      <c r="S396" s="52">
        <f t="shared" si="47"/>
        <v>0</v>
      </c>
      <c r="T396" s="11"/>
    </row>
    <row r="397" spans="1:20" x14ac:dyDescent="0.2">
      <c r="A397" s="11"/>
      <c r="B397" s="11"/>
      <c r="C397" s="12"/>
      <c r="D397" s="13"/>
      <c r="E397" s="14"/>
      <c r="F397" s="13"/>
      <c r="G397" s="15" t="e">
        <f t="shared" si="42"/>
        <v>#DIV/0!</v>
      </c>
      <c r="H397" s="16"/>
      <c r="I397" s="16"/>
      <c r="J397" s="16">
        <f t="shared" si="43"/>
        <v>0</v>
      </c>
      <c r="K397" s="16">
        <f t="shared" si="44"/>
        <v>0</v>
      </c>
      <c r="L397" s="16">
        <f t="shared" si="45"/>
        <v>0</v>
      </c>
      <c r="M397" s="17">
        <f t="shared" si="46"/>
        <v>0</v>
      </c>
      <c r="N397" s="11"/>
      <c r="O397" s="18"/>
      <c r="P397" s="18"/>
      <c r="Q397" s="100">
        <f t="shared" si="48"/>
        <v>0</v>
      </c>
      <c r="R397" s="19"/>
      <c r="S397" s="52">
        <f t="shared" si="47"/>
        <v>0</v>
      </c>
      <c r="T397" s="11"/>
    </row>
    <row r="398" spans="1:20" x14ac:dyDescent="0.2">
      <c r="A398" s="11"/>
      <c r="B398" s="11"/>
      <c r="C398" s="12"/>
      <c r="D398" s="13"/>
      <c r="E398" s="14"/>
      <c r="F398" s="13"/>
      <c r="G398" s="15" t="e">
        <f t="shared" ref="G398:G461" si="49">+F398/D398</f>
        <v>#DIV/0!</v>
      </c>
      <c r="H398" s="16"/>
      <c r="I398" s="16"/>
      <c r="J398" s="16">
        <f t="shared" ref="J398:J461" si="50">+H398*F398</f>
        <v>0</v>
      </c>
      <c r="K398" s="16">
        <f t="shared" ref="K398:K461" si="51">$K$2*C398</f>
        <v>0</v>
      </c>
      <c r="L398" s="16">
        <f t="shared" ref="L398:L461" si="52">$L$2*C398</f>
        <v>0</v>
      </c>
      <c r="M398" s="17">
        <f t="shared" ref="M398:M461" si="53">+(J398*1.21)+K398+L398</f>
        <v>0</v>
      </c>
      <c r="N398" s="11"/>
      <c r="O398" s="18"/>
      <c r="P398" s="18"/>
      <c r="Q398" s="100">
        <f t="shared" si="48"/>
        <v>0</v>
      </c>
      <c r="R398" s="19"/>
      <c r="S398" s="52">
        <f t="shared" si="47"/>
        <v>0</v>
      </c>
      <c r="T398" s="11"/>
    </row>
    <row r="399" spans="1:20" x14ac:dyDescent="0.2">
      <c r="A399" s="11"/>
      <c r="B399" s="11"/>
      <c r="C399" s="12"/>
      <c r="D399" s="13"/>
      <c r="E399" s="14"/>
      <c r="F399" s="13"/>
      <c r="G399" s="15" t="e">
        <f t="shared" si="49"/>
        <v>#DIV/0!</v>
      </c>
      <c r="H399" s="16"/>
      <c r="I399" s="16"/>
      <c r="J399" s="16">
        <f t="shared" si="50"/>
        <v>0</v>
      </c>
      <c r="K399" s="16">
        <f t="shared" si="51"/>
        <v>0</v>
      </c>
      <c r="L399" s="16">
        <f t="shared" si="52"/>
        <v>0</v>
      </c>
      <c r="M399" s="17">
        <f t="shared" si="53"/>
        <v>0</v>
      </c>
      <c r="N399" s="11"/>
      <c r="O399" s="18"/>
      <c r="P399" s="18"/>
      <c r="Q399" s="100">
        <f t="shared" si="48"/>
        <v>0</v>
      </c>
      <c r="R399" s="19"/>
      <c r="S399" s="52">
        <f t="shared" si="47"/>
        <v>0</v>
      </c>
      <c r="T399" s="11"/>
    </row>
    <row r="400" spans="1:20" x14ac:dyDescent="0.2">
      <c r="A400" s="11"/>
      <c r="B400" s="11"/>
      <c r="C400" s="12"/>
      <c r="D400" s="13"/>
      <c r="E400" s="14"/>
      <c r="F400" s="13"/>
      <c r="G400" s="15" t="e">
        <f t="shared" si="49"/>
        <v>#DIV/0!</v>
      </c>
      <c r="H400" s="16"/>
      <c r="I400" s="16"/>
      <c r="J400" s="16">
        <f t="shared" si="50"/>
        <v>0</v>
      </c>
      <c r="K400" s="16">
        <f t="shared" si="51"/>
        <v>0</v>
      </c>
      <c r="L400" s="16">
        <f t="shared" si="52"/>
        <v>0</v>
      </c>
      <c r="M400" s="17">
        <f t="shared" si="53"/>
        <v>0</v>
      </c>
      <c r="N400" s="11"/>
      <c r="O400" s="18"/>
      <c r="P400" s="18"/>
      <c r="Q400" s="100">
        <f t="shared" si="48"/>
        <v>0</v>
      </c>
      <c r="R400" s="19"/>
      <c r="S400" s="52">
        <f t="shared" ref="S400:S463" si="54">+R400-M400</f>
        <v>0</v>
      </c>
      <c r="T400" s="11"/>
    </row>
    <row r="401" spans="1:20" x14ac:dyDescent="0.2">
      <c r="A401" s="11"/>
      <c r="B401" s="11"/>
      <c r="C401" s="12"/>
      <c r="D401" s="13"/>
      <c r="E401" s="14"/>
      <c r="F401" s="13"/>
      <c r="G401" s="15" t="e">
        <f t="shared" si="49"/>
        <v>#DIV/0!</v>
      </c>
      <c r="H401" s="16"/>
      <c r="I401" s="16"/>
      <c r="J401" s="16">
        <f t="shared" si="50"/>
        <v>0</v>
      </c>
      <c r="K401" s="16">
        <f t="shared" si="51"/>
        <v>0</v>
      </c>
      <c r="L401" s="16">
        <f t="shared" si="52"/>
        <v>0</v>
      </c>
      <c r="M401" s="17">
        <f t="shared" si="53"/>
        <v>0</v>
      </c>
      <c r="N401" s="11"/>
      <c r="O401" s="18"/>
      <c r="P401" s="18"/>
      <c r="Q401" s="100">
        <f t="shared" si="48"/>
        <v>0</v>
      </c>
      <c r="R401" s="19"/>
      <c r="S401" s="52">
        <f t="shared" si="54"/>
        <v>0</v>
      </c>
      <c r="T401" s="11"/>
    </row>
    <row r="402" spans="1:20" x14ac:dyDescent="0.2">
      <c r="A402" s="11"/>
      <c r="B402" s="11"/>
      <c r="C402" s="12"/>
      <c r="D402" s="13"/>
      <c r="E402" s="14"/>
      <c r="F402" s="13"/>
      <c r="G402" s="15" t="e">
        <f t="shared" si="49"/>
        <v>#DIV/0!</v>
      </c>
      <c r="H402" s="16"/>
      <c r="I402" s="16"/>
      <c r="J402" s="16">
        <f t="shared" si="50"/>
        <v>0</v>
      </c>
      <c r="K402" s="16">
        <f t="shared" si="51"/>
        <v>0</v>
      </c>
      <c r="L402" s="16">
        <f t="shared" si="52"/>
        <v>0</v>
      </c>
      <c r="M402" s="17">
        <f t="shared" si="53"/>
        <v>0</v>
      </c>
      <c r="N402" s="11"/>
      <c r="O402" s="18"/>
      <c r="P402" s="18"/>
      <c r="Q402" s="100">
        <f t="shared" si="48"/>
        <v>0</v>
      </c>
      <c r="R402" s="19"/>
      <c r="S402" s="52">
        <f t="shared" si="54"/>
        <v>0</v>
      </c>
      <c r="T402" s="11"/>
    </row>
    <row r="403" spans="1:20" x14ac:dyDescent="0.2">
      <c r="A403" s="11"/>
      <c r="B403" s="11"/>
      <c r="C403" s="12"/>
      <c r="D403" s="13"/>
      <c r="E403" s="14"/>
      <c r="F403" s="13"/>
      <c r="G403" s="15" t="e">
        <f t="shared" si="49"/>
        <v>#DIV/0!</v>
      </c>
      <c r="H403" s="16"/>
      <c r="I403" s="16"/>
      <c r="J403" s="16">
        <f t="shared" si="50"/>
        <v>0</v>
      </c>
      <c r="K403" s="16">
        <f t="shared" si="51"/>
        <v>0</v>
      </c>
      <c r="L403" s="16">
        <f t="shared" si="52"/>
        <v>0</v>
      </c>
      <c r="M403" s="17">
        <f t="shared" si="53"/>
        <v>0</v>
      </c>
      <c r="N403" s="11"/>
      <c r="O403" s="18"/>
      <c r="P403" s="18"/>
      <c r="Q403" s="100">
        <f t="shared" si="48"/>
        <v>0</v>
      </c>
      <c r="R403" s="19"/>
      <c r="S403" s="52">
        <f t="shared" si="54"/>
        <v>0</v>
      </c>
      <c r="T403" s="11"/>
    </row>
    <row r="404" spans="1:20" x14ac:dyDescent="0.2">
      <c r="A404" s="11"/>
      <c r="B404" s="11"/>
      <c r="C404" s="12"/>
      <c r="D404" s="13"/>
      <c r="E404" s="14"/>
      <c r="F404" s="13"/>
      <c r="G404" s="15" t="e">
        <f t="shared" si="49"/>
        <v>#DIV/0!</v>
      </c>
      <c r="H404" s="16"/>
      <c r="I404" s="16"/>
      <c r="J404" s="16">
        <f t="shared" si="50"/>
        <v>0</v>
      </c>
      <c r="K404" s="16">
        <f t="shared" si="51"/>
        <v>0</v>
      </c>
      <c r="L404" s="16">
        <f t="shared" si="52"/>
        <v>0</v>
      </c>
      <c r="M404" s="17">
        <f t="shared" si="53"/>
        <v>0</v>
      </c>
      <c r="N404" s="11"/>
      <c r="O404" s="18"/>
      <c r="P404" s="18"/>
      <c r="Q404" s="100">
        <f t="shared" si="48"/>
        <v>0</v>
      </c>
      <c r="R404" s="19"/>
      <c r="S404" s="52">
        <f t="shared" si="54"/>
        <v>0</v>
      </c>
      <c r="T404" s="11"/>
    </row>
    <row r="405" spans="1:20" x14ac:dyDescent="0.2">
      <c r="A405" s="11"/>
      <c r="B405" s="11"/>
      <c r="C405" s="12"/>
      <c r="D405" s="13"/>
      <c r="E405" s="14"/>
      <c r="F405" s="13"/>
      <c r="G405" s="15" t="e">
        <f t="shared" si="49"/>
        <v>#DIV/0!</v>
      </c>
      <c r="H405" s="16"/>
      <c r="I405" s="16"/>
      <c r="J405" s="16">
        <f t="shared" si="50"/>
        <v>0</v>
      </c>
      <c r="K405" s="16">
        <f t="shared" si="51"/>
        <v>0</v>
      </c>
      <c r="L405" s="16">
        <f t="shared" si="52"/>
        <v>0</v>
      </c>
      <c r="M405" s="17">
        <f t="shared" si="53"/>
        <v>0</v>
      </c>
      <c r="N405" s="11"/>
      <c r="O405" s="18"/>
      <c r="P405" s="18"/>
      <c r="Q405" s="100">
        <f t="shared" si="48"/>
        <v>0</v>
      </c>
      <c r="R405" s="19"/>
      <c r="S405" s="52">
        <f t="shared" si="54"/>
        <v>0</v>
      </c>
      <c r="T405" s="11"/>
    </row>
    <row r="406" spans="1:20" x14ac:dyDescent="0.2">
      <c r="A406" s="11"/>
      <c r="B406" s="11"/>
      <c r="C406" s="12"/>
      <c r="D406" s="13"/>
      <c r="E406" s="14"/>
      <c r="F406" s="13"/>
      <c r="G406" s="15" t="e">
        <f t="shared" si="49"/>
        <v>#DIV/0!</v>
      </c>
      <c r="H406" s="16"/>
      <c r="I406" s="16"/>
      <c r="J406" s="16">
        <f t="shared" si="50"/>
        <v>0</v>
      </c>
      <c r="K406" s="16">
        <f t="shared" si="51"/>
        <v>0</v>
      </c>
      <c r="L406" s="16">
        <f t="shared" si="52"/>
        <v>0</v>
      </c>
      <c r="M406" s="17">
        <f t="shared" si="53"/>
        <v>0</v>
      </c>
      <c r="N406" s="11"/>
      <c r="O406" s="18"/>
      <c r="P406" s="18"/>
      <c r="Q406" s="100">
        <f t="shared" si="48"/>
        <v>0</v>
      </c>
      <c r="R406" s="19"/>
      <c r="S406" s="52">
        <f t="shared" si="54"/>
        <v>0</v>
      </c>
      <c r="T406" s="11"/>
    </row>
    <row r="407" spans="1:20" x14ac:dyDescent="0.2">
      <c r="A407" s="11"/>
      <c r="B407" s="11"/>
      <c r="C407" s="12"/>
      <c r="D407" s="13"/>
      <c r="E407" s="14"/>
      <c r="F407" s="13"/>
      <c r="G407" s="15" t="e">
        <f t="shared" si="49"/>
        <v>#DIV/0!</v>
      </c>
      <c r="H407" s="16"/>
      <c r="I407" s="16"/>
      <c r="J407" s="16">
        <f t="shared" si="50"/>
        <v>0</v>
      </c>
      <c r="K407" s="16">
        <f t="shared" si="51"/>
        <v>0</v>
      </c>
      <c r="L407" s="16">
        <f t="shared" si="52"/>
        <v>0</v>
      </c>
      <c r="M407" s="17">
        <f t="shared" si="53"/>
        <v>0</v>
      </c>
      <c r="N407" s="11"/>
      <c r="O407" s="18"/>
      <c r="P407" s="18"/>
      <c r="Q407" s="100">
        <f t="shared" si="48"/>
        <v>0</v>
      </c>
      <c r="R407" s="19"/>
      <c r="S407" s="52">
        <f t="shared" si="54"/>
        <v>0</v>
      </c>
      <c r="T407" s="11"/>
    </row>
    <row r="408" spans="1:20" x14ac:dyDescent="0.2">
      <c r="A408" s="11"/>
      <c r="B408" s="11"/>
      <c r="C408" s="12"/>
      <c r="D408" s="13"/>
      <c r="E408" s="14"/>
      <c r="F408" s="13"/>
      <c r="G408" s="15" t="e">
        <f t="shared" si="49"/>
        <v>#DIV/0!</v>
      </c>
      <c r="H408" s="16"/>
      <c r="I408" s="16"/>
      <c r="J408" s="16">
        <f t="shared" si="50"/>
        <v>0</v>
      </c>
      <c r="K408" s="16">
        <f t="shared" si="51"/>
        <v>0</v>
      </c>
      <c r="L408" s="16">
        <f t="shared" si="52"/>
        <v>0</v>
      </c>
      <c r="M408" s="17">
        <f t="shared" si="53"/>
        <v>0</v>
      </c>
      <c r="N408" s="11"/>
      <c r="O408" s="18"/>
      <c r="P408" s="18"/>
      <c r="Q408" s="100">
        <f t="shared" si="48"/>
        <v>0</v>
      </c>
      <c r="R408" s="19"/>
      <c r="S408" s="52">
        <f t="shared" si="54"/>
        <v>0</v>
      </c>
      <c r="T408" s="11"/>
    </row>
    <row r="409" spans="1:20" x14ac:dyDescent="0.2">
      <c r="A409" s="11"/>
      <c r="B409" s="11"/>
      <c r="C409" s="12"/>
      <c r="D409" s="13"/>
      <c r="E409" s="14"/>
      <c r="F409" s="13"/>
      <c r="G409" s="15" t="e">
        <f t="shared" si="49"/>
        <v>#DIV/0!</v>
      </c>
      <c r="H409" s="16"/>
      <c r="I409" s="16"/>
      <c r="J409" s="16">
        <f t="shared" si="50"/>
        <v>0</v>
      </c>
      <c r="K409" s="16">
        <f t="shared" si="51"/>
        <v>0</v>
      </c>
      <c r="L409" s="16">
        <f t="shared" si="52"/>
        <v>0</v>
      </c>
      <c r="M409" s="17">
        <f t="shared" si="53"/>
        <v>0</v>
      </c>
      <c r="N409" s="11"/>
      <c r="O409" s="18"/>
      <c r="P409" s="18"/>
      <c r="Q409" s="100">
        <f t="shared" si="48"/>
        <v>0</v>
      </c>
      <c r="R409" s="19"/>
      <c r="S409" s="52">
        <f t="shared" si="54"/>
        <v>0</v>
      </c>
      <c r="T409" s="11"/>
    </row>
    <row r="410" spans="1:20" x14ac:dyDescent="0.2">
      <c r="A410" s="11"/>
      <c r="B410" s="11"/>
      <c r="C410" s="12"/>
      <c r="D410" s="13"/>
      <c r="E410" s="14"/>
      <c r="F410" s="13"/>
      <c r="G410" s="15" t="e">
        <f t="shared" si="49"/>
        <v>#DIV/0!</v>
      </c>
      <c r="H410" s="16"/>
      <c r="I410" s="16"/>
      <c r="J410" s="16">
        <f t="shared" si="50"/>
        <v>0</v>
      </c>
      <c r="K410" s="16">
        <f t="shared" si="51"/>
        <v>0</v>
      </c>
      <c r="L410" s="16">
        <f t="shared" si="52"/>
        <v>0</v>
      </c>
      <c r="M410" s="17">
        <f t="shared" si="53"/>
        <v>0</v>
      </c>
      <c r="N410" s="11"/>
      <c r="O410" s="18"/>
      <c r="P410" s="18"/>
      <c r="Q410" s="100">
        <f t="shared" si="48"/>
        <v>0</v>
      </c>
      <c r="R410" s="19"/>
      <c r="S410" s="52">
        <f t="shared" si="54"/>
        <v>0</v>
      </c>
      <c r="T410" s="11"/>
    </row>
    <row r="411" spans="1:20" x14ac:dyDescent="0.2">
      <c r="A411" s="11"/>
      <c r="B411" s="11"/>
      <c r="C411" s="12"/>
      <c r="D411" s="13"/>
      <c r="E411" s="14"/>
      <c r="F411" s="13"/>
      <c r="G411" s="15" t="e">
        <f t="shared" si="49"/>
        <v>#DIV/0!</v>
      </c>
      <c r="H411" s="16"/>
      <c r="I411" s="16"/>
      <c r="J411" s="16">
        <f t="shared" si="50"/>
        <v>0</v>
      </c>
      <c r="K411" s="16">
        <f t="shared" si="51"/>
        <v>0</v>
      </c>
      <c r="L411" s="16">
        <f t="shared" si="52"/>
        <v>0</v>
      </c>
      <c r="M411" s="17">
        <f t="shared" si="53"/>
        <v>0</v>
      </c>
      <c r="N411" s="11"/>
      <c r="O411" s="18"/>
      <c r="P411" s="18"/>
      <c r="Q411" s="100">
        <f t="shared" si="48"/>
        <v>0</v>
      </c>
      <c r="R411" s="19"/>
      <c r="S411" s="52">
        <f t="shared" si="54"/>
        <v>0</v>
      </c>
      <c r="T411" s="11"/>
    </row>
    <row r="412" spans="1:20" x14ac:dyDescent="0.2">
      <c r="A412" s="11"/>
      <c r="B412" s="11"/>
      <c r="C412" s="12"/>
      <c r="D412" s="13"/>
      <c r="E412" s="14"/>
      <c r="F412" s="13"/>
      <c r="G412" s="15" t="e">
        <f t="shared" si="49"/>
        <v>#DIV/0!</v>
      </c>
      <c r="H412" s="16"/>
      <c r="I412" s="16"/>
      <c r="J412" s="16">
        <f t="shared" si="50"/>
        <v>0</v>
      </c>
      <c r="K412" s="16">
        <f t="shared" si="51"/>
        <v>0</v>
      </c>
      <c r="L412" s="16">
        <f t="shared" si="52"/>
        <v>0</v>
      </c>
      <c r="M412" s="17">
        <f t="shared" si="53"/>
        <v>0</v>
      </c>
      <c r="N412" s="11"/>
      <c r="O412" s="18"/>
      <c r="P412" s="18"/>
      <c r="Q412" s="100">
        <f t="shared" si="48"/>
        <v>0</v>
      </c>
      <c r="R412" s="19"/>
      <c r="S412" s="52">
        <f t="shared" si="54"/>
        <v>0</v>
      </c>
      <c r="T412" s="11"/>
    </row>
    <row r="413" spans="1:20" x14ac:dyDescent="0.2">
      <c r="A413" s="11"/>
      <c r="B413" s="11"/>
      <c r="C413" s="12"/>
      <c r="D413" s="13"/>
      <c r="E413" s="14"/>
      <c r="F413" s="13"/>
      <c r="G413" s="15" t="e">
        <f t="shared" si="49"/>
        <v>#DIV/0!</v>
      </c>
      <c r="H413" s="16"/>
      <c r="I413" s="16"/>
      <c r="J413" s="16">
        <f t="shared" si="50"/>
        <v>0</v>
      </c>
      <c r="K413" s="16">
        <f t="shared" si="51"/>
        <v>0</v>
      </c>
      <c r="L413" s="16">
        <f t="shared" si="52"/>
        <v>0</v>
      </c>
      <c r="M413" s="17">
        <f t="shared" si="53"/>
        <v>0</v>
      </c>
      <c r="N413" s="11"/>
      <c r="O413" s="18"/>
      <c r="P413" s="18"/>
      <c r="Q413" s="100">
        <f t="shared" si="48"/>
        <v>0</v>
      </c>
      <c r="R413" s="19"/>
      <c r="S413" s="52">
        <f t="shared" si="54"/>
        <v>0</v>
      </c>
      <c r="T413" s="11"/>
    </row>
    <row r="414" spans="1:20" x14ac:dyDescent="0.2">
      <c r="A414" s="11"/>
      <c r="B414" s="11"/>
      <c r="C414" s="12"/>
      <c r="D414" s="13"/>
      <c r="E414" s="14"/>
      <c r="F414" s="13"/>
      <c r="G414" s="15" t="e">
        <f t="shared" si="49"/>
        <v>#DIV/0!</v>
      </c>
      <c r="H414" s="16"/>
      <c r="I414" s="16"/>
      <c r="J414" s="16">
        <f t="shared" si="50"/>
        <v>0</v>
      </c>
      <c r="K414" s="16">
        <f t="shared" si="51"/>
        <v>0</v>
      </c>
      <c r="L414" s="16">
        <f t="shared" si="52"/>
        <v>0</v>
      </c>
      <c r="M414" s="17">
        <f t="shared" si="53"/>
        <v>0</v>
      </c>
      <c r="N414" s="11"/>
      <c r="O414" s="18"/>
      <c r="P414" s="18"/>
      <c r="Q414" s="100">
        <f t="shared" si="48"/>
        <v>0</v>
      </c>
      <c r="R414" s="19"/>
      <c r="S414" s="52">
        <f t="shared" si="54"/>
        <v>0</v>
      </c>
      <c r="T414" s="11"/>
    </row>
    <row r="415" spans="1:20" x14ac:dyDescent="0.2">
      <c r="A415" s="11"/>
      <c r="B415" s="11"/>
      <c r="C415" s="12"/>
      <c r="D415" s="13"/>
      <c r="E415" s="14"/>
      <c r="F415" s="13"/>
      <c r="G415" s="15" t="e">
        <f t="shared" si="49"/>
        <v>#DIV/0!</v>
      </c>
      <c r="H415" s="16"/>
      <c r="I415" s="16"/>
      <c r="J415" s="16">
        <f t="shared" si="50"/>
        <v>0</v>
      </c>
      <c r="K415" s="16">
        <f t="shared" si="51"/>
        <v>0</v>
      </c>
      <c r="L415" s="16">
        <f t="shared" si="52"/>
        <v>0</v>
      </c>
      <c r="M415" s="17">
        <f t="shared" si="53"/>
        <v>0</v>
      </c>
      <c r="N415" s="11"/>
      <c r="O415" s="18"/>
      <c r="P415" s="18"/>
      <c r="Q415" s="100">
        <f t="shared" si="48"/>
        <v>0</v>
      </c>
      <c r="R415" s="19"/>
      <c r="S415" s="52">
        <f t="shared" si="54"/>
        <v>0</v>
      </c>
      <c r="T415" s="11"/>
    </row>
    <row r="416" spans="1:20" x14ac:dyDescent="0.2">
      <c r="A416" s="11"/>
      <c r="B416" s="11"/>
      <c r="C416" s="12"/>
      <c r="D416" s="13"/>
      <c r="E416" s="14"/>
      <c r="F416" s="13"/>
      <c r="G416" s="15" t="e">
        <f t="shared" si="49"/>
        <v>#DIV/0!</v>
      </c>
      <c r="H416" s="16"/>
      <c r="I416" s="16"/>
      <c r="J416" s="16">
        <f t="shared" si="50"/>
        <v>0</v>
      </c>
      <c r="K416" s="16">
        <f t="shared" si="51"/>
        <v>0</v>
      </c>
      <c r="L416" s="16">
        <f t="shared" si="52"/>
        <v>0</v>
      </c>
      <c r="M416" s="17">
        <f t="shared" si="53"/>
        <v>0</v>
      </c>
      <c r="N416" s="11"/>
      <c r="O416" s="18"/>
      <c r="P416" s="18"/>
      <c r="Q416" s="100">
        <f t="shared" si="48"/>
        <v>0</v>
      </c>
      <c r="R416" s="19"/>
      <c r="S416" s="52">
        <f t="shared" si="54"/>
        <v>0</v>
      </c>
      <c r="T416" s="11"/>
    </row>
    <row r="417" spans="1:20" x14ac:dyDescent="0.2">
      <c r="A417" s="11"/>
      <c r="B417" s="11"/>
      <c r="C417" s="12"/>
      <c r="D417" s="13"/>
      <c r="E417" s="14"/>
      <c r="F417" s="13"/>
      <c r="G417" s="15" t="e">
        <f t="shared" si="49"/>
        <v>#DIV/0!</v>
      </c>
      <c r="H417" s="16"/>
      <c r="I417" s="16"/>
      <c r="J417" s="16">
        <f t="shared" si="50"/>
        <v>0</v>
      </c>
      <c r="K417" s="16">
        <f t="shared" si="51"/>
        <v>0</v>
      </c>
      <c r="L417" s="16">
        <f t="shared" si="52"/>
        <v>0</v>
      </c>
      <c r="M417" s="17">
        <f t="shared" si="53"/>
        <v>0</v>
      </c>
      <c r="N417" s="11"/>
      <c r="O417" s="18"/>
      <c r="P417" s="18"/>
      <c r="Q417" s="100">
        <f t="shared" si="48"/>
        <v>0</v>
      </c>
      <c r="R417" s="19"/>
      <c r="S417" s="52">
        <f t="shared" si="54"/>
        <v>0</v>
      </c>
      <c r="T417" s="11"/>
    </row>
    <row r="418" spans="1:20" x14ac:dyDescent="0.2">
      <c r="A418" s="11"/>
      <c r="B418" s="11"/>
      <c r="C418" s="12"/>
      <c r="D418" s="13"/>
      <c r="E418" s="14"/>
      <c r="F418" s="13"/>
      <c r="G418" s="15" t="e">
        <f t="shared" si="49"/>
        <v>#DIV/0!</v>
      </c>
      <c r="H418" s="16"/>
      <c r="I418" s="16"/>
      <c r="J418" s="16">
        <f t="shared" si="50"/>
        <v>0</v>
      </c>
      <c r="K418" s="16">
        <f t="shared" si="51"/>
        <v>0</v>
      </c>
      <c r="L418" s="16">
        <f t="shared" si="52"/>
        <v>0</v>
      </c>
      <c r="M418" s="17">
        <f t="shared" si="53"/>
        <v>0</v>
      </c>
      <c r="N418" s="11"/>
      <c r="O418" s="18"/>
      <c r="P418" s="18"/>
      <c r="Q418" s="100">
        <f t="shared" si="48"/>
        <v>0</v>
      </c>
      <c r="R418" s="19"/>
      <c r="S418" s="52">
        <f t="shared" si="54"/>
        <v>0</v>
      </c>
      <c r="T418" s="11"/>
    </row>
    <row r="419" spans="1:20" x14ac:dyDescent="0.2">
      <c r="A419" s="11"/>
      <c r="B419" s="11"/>
      <c r="C419" s="12"/>
      <c r="D419" s="13"/>
      <c r="E419" s="14"/>
      <c r="F419" s="13"/>
      <c r="G419" s="15" t="e">
        <f t="shared" si="49"/>
        <v>#DIV/0!</v>
      </c>
      <c r="H419" s="16"/>
      <c r="I419" s="16"/>
      <c r="J419" s="16">
        <f t="shared" si="50"/>
        <v>0</v>
      </c>
      <c r="K419" s="16">
        <f t="shared" si="51"/>
        <v>0</v>
      </c>
      <c r="L419" s="16">
        <f t="shared" si="52"/>
        <v>0</v>
      </c>
      <c r="M419" s="17">
        <f t="shared" si="53"/>
        <v>0</v>
      </c>
      <c r="N419" s="11"/>
      <c r="O419" s="18"/>
      <c r="P419" s="18"/>
      <c r="Q419" s="100">
        <f t="shared" si="48"/>
        <v>0</v>
      </c>
      <c r="R419" s="19"/>
      <c r="S419" s="52">
        <f t="shared" si="54"/>
        <v>0</v>
      </c>
      <c r="T419" s="11"/>
    </row>
    <row r="420" spans="1:20" x14ac:dyDescent="0.2">
      <c r="A420" s="11"/>
      <c r="B420" s="11"/>
      <c r="C420" s="12"/>
      <c r="D420" s="13"/>
      <c r="E420" s="14"/>
      <c r="F420" s="13"/>
      <c r="G420" s="15" t="e">
        <f t="shared" si="49"/>
        <v>#DIV/0!</v>
      </c>
      <c r="H420" s="16"/>
      <c r="I420" s="16"/>
      <c r="J420" s="16">
        <f t="shared" si="50"/>
        <v>0</v>
      </c>
      <c r="K420" s="16">
        <f t="shared" si="51"/>
        <v>0</v>
      </c>
      <c r="L420" s="16">
        <f t="shared" si="52"/>
        <v>0</v>
      </c>
      <c r="M420" s="17">
        <f t="shared" si="53"/>
        <v>0</v>
      </c>
      <c r="N420" s="11"/>
      <c r="O420" s="18"/>
      <c r="P420" s="18"/>
      <c r="Q420" s="100">
        <f t="shared" si="48"/>
        <v>0</v>
      </c>
      <c r="R420" s="19"/>
      <c r="S420" s="52">
        <f t="shared" si="54"/>
        <v>0</v>
      </c>
      <c r="T420" s="11"/>
    </row>
    <row r="421" spans="1:20" x14ac:dyDescent="0.2">
      <c r="A421" s="11"/>
      <c r="B421" s="11"/>
      <c r="C421" s="12"/>
      <c r="D421" s="13"/>
      <c r="E421" s="14"/>
      <c r="F421" s="13"/>
      <c r="G421" s="15" t="e">
        <f t="shared" si="49"/>
        <v>#DIV/0!</v>
      </c>
      <c r="H421" s="16"/>
      <c r="I421" s="16"/>
      <c r="J421" s="16">
        <f t="shared" si="50"/>
        <v>0</v>
      </c>
      <c r="K421" s="16">
        <f t="shared" si="51"/>
        <v>0</v>
      </c>
      <c r="L421" s="16">
        <f t="shared" si="52"/>
        <v>0</v>
      </c>
      <c r="M421" s="17">
        <f t="shared" si="53"/>
        <v>0</v>
      </c>
      <c r="N421" s="11"/>
      <c r="O421" s="18"/>
      <c r="P421" s="18"/>
      <c r="Q421" s="100">
        <f t="shared" si="48"/>
        <v>0</v>
      </c>
      <c r="R421" s="19"/>
      <c r="S421" s="52">
        <f t="shared" si="54"/>
        <v>0</v>
      </c>
      <c r="T421" s="11"/>
    </row>
    <row r="422" spans="1:20" x14ac:dyDescent="0.2">
      <c r="A422" s="11"/>
      <c r="B422" s="11"/>
      <c r="C422" s="12"/>
      <c r="D422" s="13"/>
      <c r="E422" s="14"/>
      <c r="F422" s="13"/>
      <c r="G422" s="15" t="e">
        <f t="shared" si="49"/>
        <v>#DIV/0!</v>
      </c>
      <c r="H422" s="16"/>
      <c r="I422" s="16"/>
      <c r="J422" s="16">
        <f t="shared" si="50"/>
        <v>0</v>
      </c>
      <c r="K422" s="16">
        <f t="shared" si="51"/>
        <v>0</v>
      </c>
      <c r="L422" s="16">
        <f t="shared" si="52"/>
        <v>0</v>
      </c>
      <c r="M422" s="17">
        <f t="shared" si="53"/>
        <v>0</v>
      </c>
      <c r="N422" s="11"/>
      <c r="O422" s="18"/>
      <c r="P422" s="18"/>
      <c r="Q422" s="100">
        <f t="shared" si="48"/>
        <v>0</v>
      </c>
      <c r="R422" s="19"/>
      <c r="S422" s="52">
        <f t="shared" si="54"/>
        <v>0</v>
      </c>
      <c r="T422" s="11"/>
    </row>
    <row r="423" spans="1:20" x14ac:dyDescent="0.2">
      <c r="A423" s="11"/>
      <c r="B423" s="11"/>
      <c r="C423" s="12"/>
      <c r="D423" s="13"/>
      <c r="E423" s="14"/>
      <c r="F423" s="13"/>
      <c r="G423" s="15" t="e">
        <f t="shared" si="49"/>
        <v>#DIV/0!</v>
      </c>
      <c r="H423" s="16"/>
      <c r="I423" s="16"/>
      <c r="J423" s="16">
        <f t="shared" si="50"/>
        <v>0</v>
      </c>
      <c r="K423" s="16">
        <f t="shared" si="51"/>
        <v>0</v>
      </c>
      <c r="L423" s="16">
        <f t="shared" si="52"/>
        <v>0</v>
      </c>
      <c r="M423" s="17">
        <f t="shared" si="53"/>
        <v>0</v>
      </c>
      <c r="N423" s="11"/>
      <c r="O423" s="18"/>
      <c r="P423" s="18"/>
      <c r="Q423" s="100">
        <f t="shared" si="48"/>
        <v>0</v>
      </c>
      <c r="R423" s="19"/>
      <c r="S423" s="52">
        <f t="shared" si="54"/>
        <v>0</v>
      </c>
      <c r="T423" s="11"/>
    </row>
    <row r="424" spans="1:20" x14ac:dyDescent="0.2">
      <c r="A424" s="11"/>
      <c r="B424" s="11"/>
      <c r="C424" s="12"/>
      <c r="D424" s="13"/>
      <c r="E424" s="14"/>
      <c r="F424" s="13"/>
      <c r="G424" s="15" t="e">
        <f t="shared" si="49"/>
        <v>#DIV/0!</v>
      </c>
      <c r="H424" s="16"/>
      <c r="I424" s="16"/>
      <c r="J424" s="16">
        <f t="shared" si="50"/>
        <v>0</v>
      </c>
      <c r="K424" s="16">
        <f t="shared" si="51"/>
        <v>0</v>
      </c>
      <c r="L424" s="16">
        <f t="shared" si="52"/>
        <v>0</v>
      </c>
      <c r="M424" s="17">
        <f t="shared" si="53"/>
        <v>0</v>
      </c>
      <c r="N424" s="11"/>
      <c r="O424" s="18"/>
      <c r="P424" s="18"/>
      <c r="Q424" s="100">
        <f t="shared" si="48"/>
        <v>0</v>
      </c>
      <c r="R424" s="19"/>
      <c r="S424" s="52">
        <f t="shared" si="54"/>
        <v>0</v>
      </c>
      <c r="T424" s="11"/>
    </row>
    <row r="425" spans="1:20" x14ac:dyDescent="0.2">
      <c r="A425" s="11"/>
      <c r="B425" s="11"/>
      <c r="C425" s="12"/>
      <c r="D425" s="13"/>
      <c r="E425" s="14"/>
      <c r="F425" s="13"/>
      <c r="G425" s="15" t="e">
        <f t="shared" si="49"/>
        <v>#DIV/0!</v>
      </c>
      <c r="H425" s="16"/>
      <c r="I425" s="16"/>
      <c r="J425" s="16">
        <f t="shared" si="50"/>
        <v>0</v>
      </c>
      <c r="K425" s="16">
        <f t="shared" si="51"/>
        <v>0</v>
      </c>
      <c r="L425" s="16">
        <f t="shared" si="52"/>
        <v>0</v>
      </c>
      <c r="M425" s="17">
        <f t="shared" si="53"/>
        <v>0</v>
      </c>
      <c r="N425" s="11"/>
      <c r="O425" s="18"/>
      <c r="P425" s="18"/>
      <c r="Q425" s="100">
        <f t="shared" si="48"/>
        <v>0</v>
      </c>
      <c r="R425" s="19"/>
      <c r="S425" s="52">
        <f t="shared" si="54"/>
        <v>0</v>
      </c>
      <c r="T425" s="11"/>
    </row>
    <row r="426" spans="1:20" x14ac:dyDescent="0.2">
      <c r="A426" s="11"/>
      <c r="B426" s="11"/>
      <c r="C426" s="12"/>
      <c r="D426" s="13"/>
      <c r="E426" s="14"/>
      <c r="F426" s="13"/>
      <c r="G426" s="15" t="e">
        <f t="shared" si="49"/>
        <v>#DIV/0!</v>
      </c>
      <c r="H426" s="16"/>
      <c r="I426" s="16"/>
      <c r="J426" s="16">
        <f t="shared" si="50"/>
        <v>0</v>
      </c>
      <c r="K426" s="16">
        <f t="shared" si="51"/>
        <v>0</v>
      </c>
      <c r="L426" s="16">
        <f t="shared" si="52"/>
        <v>0</v>
      </c>
      <c r="M426" s="17">
        <f t="shared" si="53"/>
        <v>0</v>
      </c>
      <c r="N426" s="11"/>
      <c r="O426" s="18"/>
      <c r="P426" s="18"/>
      <c r="Q426" s="100">
        <f t="shared" si="48"/>
        <v>0</v>
      </c>
      <c r="R426" s="19"/>
      <c r="S426" s="52">
        <f t="shared" si="54"/>
        <v>0</v>
      </c>
      <c r="T426" s="11"/>
    </row>
    <row r="427" spans="1:20" x14ac:dyDescent="0.2">
      <c r="A427" s="11"/>
      <c r="B427" s="11"/>
      <c r="C427" s="12"/>
      <c r="D427" s="13"/>
      <c r="E427" s="14"/>
      <c r="F427" s="13"/>
      <c r="G427" s="15" t="e">
        <f t="shared" si="49"/>
        <v>#DIV/0!</v>
      </c>
      <c r="H427" s="16"/>
      <c r="I427" s="16"/>
      <c r="J427" s="16">
        <f t="shared" si="50"/>
        <v>0</v>
      </c>
      <c r="K427" s="16">
        <f t="shared" si="51"/>
        <v>0</v>
      </c>
      <c r="L427" s="16">
        <f t="shared" si="52"/>
        <v>0</v>
      </c>
      <c r="M427" s="17">
        <f t="shared" si="53"/>
        <v>0</v>
      </c>
      <c r="N427" s="11"/>
      <c r="O427" s="18"/>
      <c r="P427" s="18"/>
      <c r="Q427" s="100">
        <f t="shared" si="48"/>
        <v>0</v>
      </c>
      <c r="R427" s="19"/>
      <c r="S427" s="52">
        <f t="shared" si="54"/>
        <v>0</v>
      </c>
      <c r="T427" s="11"/>
    </row>
    <row r="428" spans="1:20" x14ac:dyDescent="0.2">
      <c r="A428" s="11"/>
      <c r="B428" s="11"/>
      <c r="C428" s="12"/>
      <c r="D428" s="13"/>
      <c r="E428" s="14"/>
      <c r="F428" s="13"/>
      <c r="G428" s="15" t="e">
        <f t="shared" si="49"/>
        <v>#DIV/0!</v>
      </c>
      <c r="H428" s="16"/>
      <c r="I428" s="16"/>
      <c r="J428" s="16">
        <f t="shared" si="50"/>
        <v>0</v>
      </c>
      <c r="K428" s="16">
        <f t="shared" si="51"/>
        <v>0</v>
      </c>
      <c r="L428" s="16">
        <f t="shared" si="52"/>
        <v>0</v>
      </c>
      <c r="M428" s="17">
        <f t="shared" si="53"/>
        <v>0</v>
      </c>
      <c r="N428" s="11"/>
      <c r="O428" s="18"/>
      <c r="P428" s="18"/>
      <c r="Q428" s="100">
        <f t="shared" si="48"/>
        <v>0</v>
      </c>
      <c r="R428" s="19"/>
      <c r="S428" s="52">
        <f t="shared" si="54"/>
        <v>0</v>
      </c>
      <c r="T428" s="11"/>
    </row>
    <row r="429" spans="1:20" x14ac:dyDescent="0.2">
      <c r="A429" s="11"/>
      <c r="B429" s="11"/>
      <c r="C429" s="12"/>
      <c r="D429" s="13"/>
      <c r="E429" s="14"/>
      <c r="F429" s="13"/>
      <c r="G429" s="15" t="e">
        <f t="shared" si="49"/>
        <v>#DIV/0!</v>
      </c>
      <c r="H429" s="16"/>
      <c r="I429" s="16"/>
      <c r="J429" s="16">
        <f t="shared" si="50"/>
        <v>0</v>
      </c>
      <c r="K429" s="16">
        <f t="shared" si="51"/>
        <v>0</v>
      </c>
      <c r="L429" s="16">
        <f t="shared" si="52"/>
        <v>0</v>
      </c>
      <c r="M429" s="17">
        <f t="shared" si="53"/>
        <v>0</v>
      </c>
      <c r="N429" s="11"/>
      <c r="O429" s="18"/>
      <c r="P429" s="18"/>
      <c r="Q429" s="100">
        <f t="shared" si="48"/>
        <v>0</v>
      </c>
      <c r="R429" s="19"/>
      <c r="S429" s="52">
        <f t="shared" si="54"/>
        <v>0</v>
      </c>
      <c r="T429" s="11"/>
    </row>
    <row r="430" spans="1:20" x14ac:dyDescent="0.2">
      <c r="A430" s="11"/>
      <c r="B430" s="11"/>
      <c r="C430" s="12"/>
      <c r="D430" s="13"/>
      <c r="E430" s="14"/>
      <c r="F430" s="13"/>
      <c r="G430" s="15" t="e">
        <f t="shared" si="49"/>
        <v>#DIV/0!</v>
      </c>
      <c r="H430" s="16"/>
      <c r="I430" s="16"/>
      <c r="J430" s="16">
        <f t="shared" si="50"/>
        <v>0</v>
      </c>
      <c r="K430" s="16">
        <f t="shared" si="51"/>
        <v>0</v>
      </c>
      <c r="L430" s="16">
        <f t="shared" si="52"/>
        <v>0</v>
      </c>
      <c r="M430" s="17">
        <f t="shared" si="53"/>
        <v>0</v>
      </c>
      <c r="N430" s="11"/>
      <c r="O430" s="18"/>
      <c r="P430" s="18"/>
      <c r="Q430" s="100">
        <f t="shared" si="48"/>
        <v>0</v>
      </c>
      <c r="R430" s="19"/>
      <c r="S430" s="52">
        <f t="shared" si="54"/>
        <v>0</v>
      </c>
      <c r="T430" s="11"/>
    </row>
    <row r="431" spans="1:20" x14ac:dyDescent="0.2">
      <c r="A431" s="11"/>
      <c r="B431" s="11"/>
      <c r="C431" s="12"/>
      <c r="D431" s="13"/>
      <c r="E431" s="14"/>
      <c r="F431" s="13"/>
      <c r="G431" s="15" t="e">
        <f t="shared" si="49"/>
        <v>#DIV/0!</v>
      </c>
      <c r="H431" s="16"/>
      <c r="I431" s="16"/>
      <c r="J431" s="16">
        <f t="shared" si="50"/>
        <v>0</v>
      </c>
      <c r="K431" s="16">
        <f t="shared" si="51"/>
        <v>0</v>
      </c>
      <c r="L431" s="16">
        <f t="shared" si="52"/>
        <v>0</v>
      </c>
      <c r="M431" s="17">
        <f t="shared" si="53"/>
        <v>0</v>
      </c>
      <c r="N431" s="11"/>
      <c r="O431" s="18"/>
      <c r="P431" s="18"/>
      <c r="Q431" s="100">
        <f t="shared" si="48"/>
        <v>0</v>
      </c>
      <c r="R431" s="19"/>
      <c r="S431" s="52">
        <f t="shared" si="54"/>
        <v>0</v>
      </c>
      <c r="T431" s="11"/>
    </row>
    <row r="432" spans="1:20" x14ac:dyDescent="0.2">
      <c r="A432" s="11"/>
      <c r="B432" s="11"/>
      <c r="C432" s="12"/>
      <c r="D432" s="13"/>
      <c r="E432" s="14"/>
      <c r="F432" s="13"/>
      <c r="G432" s="15" t="e">
        <f t="shared" si="49"/>
        <v>#DIV/0!</v>
      </c>
      <c r="H432" s="16"/>
      <c r="I432" s="16"/>
      <c r="J432" s="16">
        <f t="shared" si="50"/>
        <v>0</v>
      </c>
      <c r="K432" s="16">
        <f t="shared" si="51"/>
        <v>0</v>
      </c>
      <c r="L432" s="16">
        <f t="shared" si="52"/>
        <v>0</v>
      </c>
      <c r="M432" s="17">
        <f t="shared" si="53"/>
        <v>0</v>
      </c>
      <c r="N432" s="11"/>
      <c r="O432" s="18"/>
      <c r="P432" s="18"/>
      <c r="Q432" s="100">
        <f t="shared" si="48"/>
        <v>0</v>
      </c>
      <c r="R432" s="19"/>
      <c r="S432" s="52">
        <f t="shared" si="54"/>
        <v>0</v>
      </c>
      <c r="T432" s="11"/>
    </row>
    <row r="433" spans="1:20" x14ac:dyDescent="0.2">
      <c r="A433" s="11"/>
      <c r="B433" s="11"/>
      <c r="C433" s="12"/>
      <c r="D433" s="13"/>
      <c r="E433" s="14"/>
      <c r="F433" s="13"/>
      <c r="G433" s="15" t="e">
        <f t="shared" si="49"/>
        <v>#DIV/0!</v>
      </c>
      <c r="H433" s="16"/>
      <c r="I433" s="16"/>
      <c r="J433" s="16">
        <f t="shared" si="50"/>
        <v>0</v>
      </c>
      <c r="K433" s="16">
        <f t="shared" si="51"/>
        <v>0</v>
      </c>
      <c r="L433" s="16">
        <f t="shared" si="52"/>
        <v>0</v>
      </c>
      <c r="M433" s="17">
        <f t="shared" si="53"/>
        <v>0</v>
      </c>
      <c r="N433" s="11"/>
      <c r="O433" s="18"/>
      <c r="P433" s="18"/>
      <c r="Q433" s="100">
        <f t="shared" si="48"/>
        <v>0</v>
      </c>
      <c r="R433" s="19"/>
      <c r="S433" s="52">
        <f t="shared" si="54"/>
        <v>0</v>
      </c>
      <c r="T433" s="11"/>
    </row>
    <row r="434" spans="1:20" x14ac:dyDescent="0.2">
      <c r="A434" s="11"/>
      <c r="B434" s="11"/>
      <c r="C434" s="12"/>
      <c r="D434" s="13"/>
      <c r="E434" s="14"/>
      <c r="F434" s="13"/>
      <c r="G434" s="15" t="e">
        <f t="shared" si="49"/>
        <v>#DIV/0!</v>
      </c>
      <c r="H434" s="16"/>
      <c r="I434" s="16"/>
      <c r="J434" s="16">
        <f t="shared" si="50"/>
        <v>0</v>
      </c>
      <c r="K434" s="16">
        <f t="shared" si="51"/>
        <v>0</v>
      </c>
      <c r="L434" s="16">
        <f t="shared" si="52"/>
        <v>0</v>
      </c>
      <c r="M434" s="17">
        <f t="shared" si="53"/>
        <v>0</v>
      </c>
      <c r="N434" s="11"/>
      <c r="O434" s="18"/>
      <c r="P434" s="18"/>
      <c r="Q434" s="100">
        <f t="shared" si="48"/>
        <v>0</v>
      </c>
      <c r="R434" s="19"/>
      <c r="S434" s="52">
        <f t="shared" si="54"/>
        <v>0</v>
      </c>
      <c r="T434" s="11"/>
    </row>
    <row r="435" spans="1:20" x14ac:dyDescent="0.2">
      <c r="A435" s="11"/>
      <c r="B435" s="11"/>
      <c r="C435" s="12"/>
      <c r="D435" s="13"/>
      <c r="E435" s="14"/>
      <c r="F435" s="13"/>
      <c r="G435" s="15" t="e">
        <f t="shared" si="49"/>
        <v>#DIV/0!</v>
      </c>
      <c r="H435" s="16"/>
      <c r="I435" s="16"/>
      <c r="J435" s="16">
        <f t="shared" si="50"/>
        <v>0</v>
      </c>
      <c r="K435" s="16">
        <f t="shared" si="51"/>
        <v>0</v>
      </c>
      <c r="L435" s="16">
        <f t="shared" si="52"/>
        <v>0</v>
      </c>
      <c r="M435" s="17">
        <f t="shared" si="53"/>
        <v>0</v>
      </c>
      <c r="N435" s="11"/>
      <c r="O435" s="18"/>
      <c r="P435" s="18"/>
      <c r="Q435" s="100">
        <f t="shared" si="48"/>
        <v>0</v>
      </c>
      <c r="R435" s="19"/>
      <c r="S435" s="52">
        <f t="shared" si="54"/>
        <v>0</v>
      </c>
      <c r="T435" s="11"/>
    </row>
    <row r="436" spans="1:20" x14ac:dyDescent="0.2">
      <c r="A436" s="11"/>
      <c r="B436" s="11"/>
      <c r="C436" s="12"/>
      <c r="D436" s="13"/>
      <c r="E436" s="14"/>
      <c r="F436" s="13"/>
      <c r="G436" s="15" t="e">
        <f t="shared" si="49"/>
        <v>#DIV/0!</v>
      </c>
      <c r="H436" s="16"/>
      <c r="I436" s="16"/>
      <c r="J436" s="16">
        <f t="shared" si="50"/>
        <v>0</v>
      </c>
      <c r="K436" s="16">
        <f t="shared" si="51"/>
        <v>0</v>
      </c>
      <c r="L436" s="16">
        <f t="shared" si="52"/>
        <v>0</v>
      </c>
      <c r="M436" s="17">
        <f t="shared" si="53"/>
        <v>0</v>
      </c>
      <c r="N436" s="11"/>
      <c r="O436" s="18"/>
      <c r="P436" s="18"/>
      <c r="Q436" s="100">
        <f t="shared" si="48"/>
        <v>0</v>
      </c>
      <c r="R436" s="19"/>
      <c r="S436" s="52">
        <f t="shared" si="54"/>
        <v>0</v>
      </c>
      <c r="T436" s="11"/>
    </row>
    <row r="437" spans="1:20" x14ac:dyDescent="0.2">
      <c r="A437" s="11"/>
      <c r="B437" s="11"/>
      <c r="C437" s="12"/>
      <c r="D437" s="13"/>
      <c r="E437" s="14"/>
      <c r="F437" s="13"/>
      <c r="G437" s="15" t="e">
        <f t="shared" si="49"/>
        <v>#DIV/0!</v>
      </c>
      <c r="H437" s="16"/>
      <c r="I437" s="16"/>
      <c r="J437" s="16">
        <f t="shared" si="50"/>
        <v>0</v>
      </c>
      <c r="K437" s="16">
        <f t="shared" si="51"/>
        <v>0</v>
      </c>
      <c r="L437" s="16">
        <f t="shared" si="52"/>
        <v>0</v>
      </c>
      <c r="M437" s="17">
        <f t="shared" si="53"/>
        <v>0</v>
      </c>
      <c r="N437" s="11"/>
      <c r="O437" s="18"/>
      <c r="P437" s="18"/>
      <c r="Q437" s="100">
        <f t="shared" si="48"/>
        <v>0</v>
      </c>
      <c r="R437" s="19"/>
      <c r="S437" s="52">
        <f t="shared" si="54"/>
        <v>0</v>
      </c>
      <c r="T437" s="11"/>
    </row>
    <row r="438" spans="1:20" x14ac:dyDescent="0.2">
      <c r="A438" s="11"/>
      <c r="B438" s="11"/>
      <c r="C438" s="12"/>
      <c r="D438" s="13"/>
      <c r="E438" s="14"/>
      <c r="F438" s="13"/>
      <c r="G438" s="15" t="e">
        <f t="shared" si="49"/>
        <v>#DIV/0!</v>
      </c>
      <c r="H438" s="16"/>
      <c r="I438" s="16"/>
      <c r="J438" s="16">
        <f t="shared" si="50"/>
        <v>0</v>
      </c>
      <c r="K438" s="16">
        <f t="shared" si="51"/>
        <v>0</v>
      </c>
      <c r="L438" s="16">
        <f t="shared" si="52"/>
        <v>0</v>
      </c>
      <c r="M438" s="17">
        <f t="shared" si="53"/>
        <v>0</v>
      </c>
      <c r="N438" s="11"/>
      <c r="O438" s="18"/>
      <c r="P438" s="18"/>
      <c r="Q438" s="100">
        <f t="shared" si="48"/>
        <v>0</v>
      </c>
      <c r="R438" s="19"/>
      <c r="S438" s="52">
        <f t="shared" si="54"/>
        <v>0</v>
      </c>
      <c r="T438" s="11"/>
    </row>
    <row r="439" spans="1:20" x14ac:dyDescent="0.2">
      <c r="A439" s="11"/>
      <c r="B439" s="11"/>
      <c r="C439" s="12"/>
      <c r="D439" s="13"/>
      <c r="E439" s="14"/>
      <c r="F439" s="13"/>
      <c r="G439" s="15" t="e">
        <f t="shared" si="49"/>
        <v>#DIV/0!</v>
      </c>
      <c r="H439" s="16"/>
      <c r="I439" s="16"/>
      <c r="J439" s="16">
        <f t="shared" si="50"/>
        <v>0</v>
      </c>
      <c r="K439" s="16">
        <f t="shared" si="51"/>
        <v>0</v>
      </c>
      <c r="L439" s="16">
        <f t="shared" si="52"/>
        <v>0</v>
      </c>
      <c r="M439" s="17">
        <f t="shared" si="53"/>
        <v>0</v>
      </c>
      <c r="N439" s="11"/>
      <c r="O439" s="18"/>
      <c r="P439" s="18"/>
      <c r="Q439" s="100">
        <f t="shared" si="48"/>
        <v>0</v>
      </c>
      <c r="R439" s="19"/>
      <c r="S439" s="52">
        <f t="shared" si="54"/>
        <v>0</v>
      </c>
      <c r="T439" s="11"/>
    </row>
    <row r="440" spans="1:20" x14ac:dyDescent="0.2">
      <c r="A440" s="11"/>
      <c r="B440" s="11"/>
      <c r="C440" s="12"/>
      <c r="D440" s="13"/>
      <c r="E440" s="14"/>
      <c r="F440" s="13"/>
      <c r="G440" s="15" t="e">
        <f t="shared" si="49"/>
        <v>#DIV/0!</v>
      </c>
      <c r="H440" s="16"/>
      <c r="I440" s="16"/>
      <c r="J440" s="16">
        <f t="shared" si="50"/>
        <v>0</v>
      </c>
      <c r="K440" s="16">
        <f t="shared" si="51"/>
        <v>0</v>
      </c>
      <c r="L440" s="16">
        <f t="shared" si="52"/>
        <v>0</v>
      </c>
      <c r="M440" s="17">
        <f t="shared" si="53"/>
        <v>0</v>
      </c>
      <c r="N440" s="11"/>
      <c r="O440" s="18"/>
      <c r="P440" s="18"/>
      <c r="Q440" s="100">
        <f t="shared" si="48"/>
        <v>0</v>
      </c>
      <c r="R440" s="19"/>
      <c r="S440" s="52">
        <f t="shared" si="54"/>
        <v>0</v>
      </c>
      <c r="T440" s="11"/>
    </row>
    <row r="441" spans="1:20" x14ac:dyDescent="0.2">
      <c r="A441" s="11"/>
      <c r="B441" s="11"/>
      <c r="C441" s="12"/>
      <c r="D441" s="13"/>
      <c r="E441" s="14"/>
      <c r="F441" s="13"/>
      <c r="G441" s="15" t="e">
        <f t="shared" si="49"/>
        <v>#DIV/0!</v>
      </c>
      <c r="H441" s="16"/>
      <c r="I441" s="16"/>
      <c r="J441" s="16">
        <f t="shared" si="50"/>
        <v>0</v>
      </c>
      <c r="K441" s="16">
        <f t="shared" si="51"/>
        <v>0</v>
      </c>
      <c r="L441" s="16">
        <f t="shared" si="52"/>
        <v>0</v>
      </c>
      <c r="M441" s="17">
        <f t="shared" si="53"/>
        <v>0</v>
      </c>
      <c r="N441" s="11"/>
      <c r="O441" s="18"/>
      <c r="P441" s="18"/>
      <c r="Q441" s="100">
        <f t="shared" si="48"/>
        <v>0</v>
      </c>
      <c r="R441" s="19"/>
      <c r="S441" s="52">
        <f t="shared" si="54"/>
        <v>0</v>
      </c>
      <c r="T441" s="11"/>
    </row>
    <row r="442" spans="1:20" x14ac:dyDescent="0.2">
      <c r="A442" s="11"/>
      <c r="B442" s="11"/>
      <c r="C442" s="12"/>
      <c r="D442" s="13"/>
      <c r="E442" s="14"/>
      <c r="F442" s="13"/>
      <c r="G442" s="15" t="e">
        <f t="shared" si="49"/>
        <v>#DIV/0!</v>
      </c>
      <c r="H442" s="16"/>
      <c r="I442" s="16"/>
      <c r="J442" s="16">
        <f t="shared" si="50"/>
        <v>0</v>
      </c>
      <c r="K442" s="16">
        <f t="shared" si="51"/>
        <v>0</v>
      </c>
      <c r="L442" s="16">
        <f t="shared" si="52"/>
        <v>0</v>
      </c>
      <c r="M442" s="17">
        <f t="shared" si="53"/>
        <v>0</v>
      </c>
      <c r="N442" s="11"/>
      <c r="O442" s="18"/>
      <c r="P442" s="18"/>
      <c r="Q442" s="100">
        <f t="shared" si="48"/>
        <v>0</v>
      </c>
      <c r="R442" s="19"/>
      <c r="S442" s="52">
        <f t="shared" si="54"/>
        <v>0</v>
      </c>
      <c r="T442" s="11"/>
    </row>
    <row r="443" spans="1:20" x14ac:dyDescent="0.2">
      <c r="A443" s="11"/>
      <c r="B443" s="11"/>
      <c r="C443" s="12"/>
      <c r="D443" s="13"/>
      <c r="E443" s="14"/>
      <c r="F443" s="13"/>
      <c r="G443" s="15" t="e">
        <f t="shared" si="49"/>
        <v>#DIV/0!</v>
      </c>
      <c r="H443" s="16"/>
      <c r="I443" s="16"/>
      <c r="J443" s="16">
        <f t="shared" si="50"/>
        <v>0</v>
      </c>
      <c r="K443" s="16">
        <f t="shared" si="51"/>
        <v>0</v>
      </c>
      <c r="L443" s="16">
        <f t="shared" si="52"/>
        <v>0</v>
      </c>
      <c r="M443" s="17">
        <f t="shared" si="53"/>
        <v>0</v>
      </c>
      <c r="N443" s="11"/>
      <c r="O443" s="18"/>
      <c r="P443" s="18"/>
      <c r="Q443" s="100">
        <f t="shared" si="48"/>
        <v>0</v>
      </c>
      <c r="R443" s="19"/>
      <c r="S443" s="52">
        <f t="shared" si="54"/>
        <v>0</v>
      </c>
      <c r="T443" s="11"/>
    </row>
    <row r="444" spans="1:20" x14ac:dyDescent="0.2">
      <c r="A444" s="11"/>
      <c r="B444" s="11"/>
      <c r="C444" s="12"/>
      <c r="D444" s="13"/>
      <c r="E444" s="14"/>
      <c r="F444" s="13"/>
      <c r="G444" s="15" t="e">
        <f t="shared" si="49"/>
        <v>#DIV/0!</v>
      </c>
      <c r="H444" s="16"/>
      <c r="I444" s="16"/>
      <c r="J444" s="16">
        <f t="shared" si="50"/>
        <v>0</v>
      </c>
      <c r="K444" s="16">
        <f t="shared" si="51"/>
        <v>0</v>
      </c>
      <c r="L444" s="16">
        <f t="shared" si="52"/>
        <v>0</v>
      </c>
      <c r="M444" s="17">
        <f t="shared" si="53"/>
        <v>0</v>
      </c>
      <c r="N444" s="11"/>
      <c r="O444" s="18"/>
      <c r="P444" s="18"/>
      <c r="Q444" s="100">
        <f t="shared" si="48"/>
        <v>0</v>
      </c>
      <c r="R444" s="19"/>
      <c r="S444" s="52">
        <f t="shared" si="54"/>
        <v>0</v>
      </c>
      <c r="T444" s="11"/>
    </row>
    <row r="445" spans="1:20" x14ac:dyDescent="0.2">
      <c r="A445" s="11"/>
      <c r="B445" s="11"/>
      <c r="C445" s="12"/>
      <c r="D445" s="13"/>
      <c r="E445" s="14"/>
      <c r="F445" s="13"/>
      <c r="G445" s="15" t="e">
        <f t="shared" si="49"/>
        <v>#DIV/0!</v>
      </c>
      <c r="H445" s="16"/>
      <c r="I445" s="16"/>
      <c r="J445" s="16">
        <f t="shared" si="50"/>
        <v>0</v>
      </c>
      <c r="K445" s="16">
        <f t="shared" si="51"/>
        <v>0</v>
      </c>
      <c r="L445" s="16">
        <f t="shared" si="52"/>
        <v>0</v>
      </c>
      <c r="M445" s="17">
        <f t="shared" si="53"/>
        <v>0</v>
      </c>
      <c r="N445" s="11"/>
      <c r="O445" s="18"/>
      <c r="P445" s="18"/>
      <c r="Q445" s="100">
        <f t="shared" si="48"/>
        <v>0</v>
      </c>
      <c r="R445" s="19"/>
      <c r="S445" s="52">
        <f t="shared" si="54"/>
        <v>0</v>
      </c>
      <c r="T445" s="11"/>
    </row>
    <row r="446" spans="1:20" x14ac:dyDescent="0.2">
      <c r="A446" s="11"/>
      <c r="B446" s="11"/>
      <c r="C446" s="12"/>
      <c r="D446" s="13"/>
      <c r="E446" s="14"/>
      <c r="F446" s="13"/>
      <c r="G446" s="15" t="e">
        <f t="shared" si="49"/>
        <v>#DIV/0!</v>
      </c>
      <c r="H446" s="16"/>
      <c r="I446" s="16"/>
      <c r="J446" s="16">
        <f t="shared" si="50"/>
        <v>0</v>
      </c>
      <c r="K446" s="16">
        <f t="shared" si="51"/>
        <v>0</v>
      </c>
      <c r="L446" s="16">
        <f t="shared" si="52"/>
        <v>0</v>
      </c>
      <c r="M446" s="17">
        <f t="shared" si="53"/>
        <v>0</v>
      </c>
      <c r="N446" s="11"/>
      <c r="O446" s="18"/>
      <c r="P446" s="18"/>
      <c r="Q446" s="100">
        <f t="shared" si="48"/>
        <v>0</v>
      </c>
      <c r="R446" s="19"/>
      <c r="S446" s="52">
        <f t="shared" si="54"/>
        <v>0</v>
      </c>
      <c r="T446" s="11"/>
    </row>
    <row r="447" spans="1:20" x14ac:dyDescent="0.2">
      <c r="A447" s="11"/>
      <c r="B447" s="11"/>
      <c r="C447" s="12"/>
      <c r="D447" s="13"/>
      <c r="E447" s="14"/>
      <c r="F447" s="13"/>
      <c r="G447" s="15" t="e">
        <f t="shared" si="49"/>
        <v>#DIV/0!</v>
      </c>
      <c r="H447" s="16"/>
      <c r="I447" s="16"/>
      <c r="J447" s="16">
        <f t="shared" si="50"/>
        <v>0</v>
      </c>
      <c r="K447" s="16">
        <f t="shared" si="51"/>
        <v>0</v>
      </c>
      <c r="L447" s="16">
        <f t="shared" si="52"/>
        <v>0</v>
      </c>
      <c r="M447" s="17">
        <f t="shared" si="53"/>
        <v>0</v>
      </c>
      <c r="N447" s="11"/>
      <c r="O447" s="18"/>
      <c r="P447" s="18"/>
      <c r="Q447" s="100">
        <f t="shared" si="48"/>
        <v>0</v>
      </c>
      <c r="R447" s="19"/>
      <c r="S447" s="52">
        <f t="shared" si="54"/>
        <v>0</v>
      </c>
      <c r="T447" s="11"/>
    </row>
    <row r="448" spans="1:20" x14ac:dyDescent="0.2">
      <c r="A448" s="11"/>
      <c r="B448" s="11"/>
      <c r="C448" s="12"/>
      <c r="D448" s="13"/>
      <c r="E448" s="14"/>
      <c r="F448" s="13"/>
      <c r="G448" s="15" t="e">
        <f t="shared" si="49"/>
        <v>#DIV/0!</v>
      </c>
      <c r="H448" s="16"/>
      <c r="I448" s="16"/>
      <c r="J448" s="16">
        <f t="shared" si="50"/>
        <v>0</v>
      </c>
      <c r="K448" s="16">
        <f t="shared" si="51"/>
        <v>0</v>
      </c>
      <c r="L448" s="16">
        <f t="shared" si="52"/>
        <v>0</v>
      </c>
      <c r="M448" s="17">
        <f t="shared" si="53"/>
        <v>0</v>
      </c>
      <c r="N448" s="11"/>
      <c r="O448" s="18"/>
      <c r="P448" s="18"/>
      <c r="Q448" s="100">
        <f t="shared" si="48"/>
        <v>0</v>
      </c>
      <c r="R448" s="19"/>
      <c r="S448" s="52">
        <f t="shared" si="54"/>
        <v>0</v>
      </c>
      <c r="T448" s="11"/>
    </row>
    <row r="449" spans="1:20" x14ac:dyDescent="0.2">
      <c r="A449" s="11"/>
      <c r="B449" s="11"/>
      <c r="C449" s="12"/>
      <c r="D449" s="13"/>
      <c r="E449" s="14"/>
      <c r="F449" s="13"/>
      <c r="G449" s="15" t="e">
        <f t="shared" si="49"/>
        <v>#DIV/0!</v>
      </c>
      <c r="H449" s="16"/>
      <c r="I449" s="16"/>
      <c r="J449" s="16">
        <f t="shared" si="50"/>
        <v>0</v>
      </c>
      <c r="K449" s="16">
        <f t="shared" si="51"/>
        <v>0</v>
      </c>
      <c r="L449" s="16">
        <f t="shared" si="52"/>
        <v>0</v>
      </c>
      <c r="M449" s="17">
        <f t="shared" si="53"/>
        <v>0</v>
      </c>
      <c r="N449" s="11"/>
      <c r="O449" s="18"/>
      <c r="P449" s="18"/>
      <c r="Q449" s="100">
        <f t="shared" si="48"/>
        <v>0</v>
      </c>
      <c r="R449" s="19"/>
      <c r="S449" s="52">
        <f t="shared" si="54"/>
        <v>0</v>
      </c>
      <c r="T449" s="11"/>
    </row>
    <row r="450" spans="1:20" x14ac:dyDescent="0.2">
      <c r="A450" s="11"/>
      <c r="B450" s="11"/>
      <c r="C450" s="12"/>
      <c r="D450" s="13"/>
      <c r="E450" s="14"/>
      <c r="F450" s="13"/>
      <c r="G450" s="15" t="e">
        <f t="shared" si="49"/>
        <v>#DIV/0!</v>
      </c>
      <c r="H450" s="16"/>
      <c r="I450" s="16"/>
      <c r="J450" s="16">
        <f t="shared" si="50"/>
        <v>0</v>
      </c>
      <c r="K450" s="16">
        <f t="shared" si="51"/>
        <v>0</v>
      </c>
      <c r="L450" s="16">
        <f t="shared" si="52"/>
        <v>0</v>
      </c>
      <c r="M450" s="17">
        <f t="shared" si="53"/>
        <v>0</v>
      </c>
      <c r="N450" s="11"/>
      <c r="O450" s="18"/>
      <c r="P450" s="18"/>
      <c r="Q450" s="100">
        <f t="shared" si="48"/>
        <v>0</v>
      </c>
      <c r="R450" s="19"/>
      <c r="S450" s="52">
        <f t="shared" si="54"/>
        <v>0</v>
      </c>
      <c r="T450" s="11"/>
    </row>
    <row r="451" spans="1:20" x14ac:dyDescent="0.2">
      <c r="A451" s="11"/>
      <c r="B451" s="11"/>
      <c r="C451" s="12"/>
      <c r="D451" s="13"/>
      <c r="E451" s="14"/>
      <c r="F451" s="13"/>
      <c r="G451" s="15" t="e">
        <f t="shared" si="49"/>
        <v>#DIV/0!</v>
      </c>
      <c r="H451" s="16"/>
      <c r="I451" s="16"/>
      <c r="J451" s="16">
        <f t="shared" si="50"/>
        <v>0</v>
      </c>
      <c r="K451" s="16">
        <f t="shared" si="51"/>
        <v>0</v>
      </c>
      <c r="L451" s="16">
        <f t="shared" si="52"/>
        <v>0</v>
      </c>
      <c r="M451" s="17">
        <f t="shared" si="53"/>
        <v>0</v>
      </c>
      <c r="N451" s="11"/>
      <c r="O451" s="18"/>
      <c r="P451" s="18"/>
      <c r="Q451" s="100">
        <f t="shared" si="48"/>
        <v>0</v>
      </c>
      <c r="R451" s="19"/>
      <c r="S451" s="52">
        <f t="shared" si="54"/>
        <v>0</v>
      </c>
      <c r="T451" s="11"/>
    </row>
    <row r="452" spans="1:20" x14ac:dyDescent="0.2">
      <c r="A452" s="11"/>
      <c r="B452" s="11"/>
      <c r="C452" s="12"/>
      <c r="D452" s="13"/>
      <c r="E452" s="14"/>
      <c r="F452" s="13"/>
      <c r="G452" s="15" t="e">
        <f t="shared" si="49"/>
        <v>#DIV/0!</v>
      </c>
      <c r="H452" s="16"/>
      <c r="I452" s="16"/>
      <c r="J452" s="16">
        <f t="shared" si="50"/>
        <v>0</v>
      </c>
      <c r="K452" s="16">
        <f t="shared" si="51"/>
        <v>0</v>
      </c>
      <c r="L452" s="16">
        <f t="shared" si="52"/>
        <v>0</v>
      </c>
      <c r="M452" s="17">
        <f t="shared" si="53"/>
        <v>0</v>
      </c>
      <c r="N452" s="11"/>
      <c r="O452" s="18"/>
      <c r="P452" s="18"/>
      <c r="Q452" s="100">
        <f t="shared" si="48"/>
        <v>0</v>
      </c>
      <c r="R452" s="19"/>
      <c r="S452" s="52">
        <f t="shared" si="54"/>
        <v>0</v>
      </c>
      <c r="T452" s="11"/>
    </row>
    <row r="453" spans="1:20" x14ac:dyDescent="0.2">
      <c r="A453" s="11"/>
      <c r="B453" s="11"/>
      <c r="C453" s="12"/>
      <c r="D453" s="13"/>
      <c r="E453" s="14"/>
      <c r="F453" s="13"/>
      <c r="G453" s="15" t="e">
        <f t="shared" si="49"/>
        <v>#DIV/0!</v>
      </c>
      <c r="H453" s="16"/>
      <c r="I453" s="16"/>
      <c r="J453" s="16">
        <f t="shared" si="50"/>
        <v>0</v>
      </c>
      <c r="K453" s="16">
        <f t="shared" si="51"/>
        <v>0</v>
      </c>
      <c r="L453" s="16">
        <f t="shared" si="52"/>
        <v>0</v>
      </c>
      <c r="M453" s="17">
        <f t="shared" si="53"/>
        <v>0</v>
      </c>
      <c r="N453" s="11"/>
      <c r="O453" s="18"/>
      <c r="P453" s="18"/>
      <c r="Q453" s="100">
        <f t="shared" si="48"/>
        <v>0</v>
      </c>
      <c r="R453" s="19"/>
      <c r="S453" s="52">
        <f t="shared" si="54"/>
        <v>0</v>
      </c>
      <c r="T453" s="11"/>
    </row>
    <row r="454" spans="1:20" x14ac:dyDescent="0.2">
      <c r="A454" s="11"/>
      <c r="B454" s="11"/>
      <c r="C454" s="12"/>
      <c r="D454" s="13"/>
      <c r="E454" s="14"/>
      <c r="F454" s="13"/>
      <c r="G454" s="15" t="e">
        <f t="shared" si="49"/>
        <v>#DIV/0!</v>
      </c>
      <c r="H454" s="16"/>
      <c r="I454" s="16"/>
      <c r="J454" s="16">
        <f t="shared" si="50"/>
        <v>0</v>
      </c>
      <c r="K454" s="16">
        <f t="shared" si="51"/>
        <v>0</v>
      </c>
      <c r="L454" s="16">
        <f t="shared" si="52"/>
        <v>0</v>
      </c>
      <c r="M454" s="17">
        <f t="shared" si="53"/>
        <v>0</v>
      </c>
      <c r="N454" s="11"/>
      <c r="O454" s="18"/>
      <c r="P454" s="18"/>
      <c r="Q454" s="100">
        <f t="shared" ref="Q454:Q517" si="55">+P454-O454</f>
        <v>0</v>
      </c>
      <c r="R454" s="19"/>
      <c r="S454" s="52">
        <f t="shared" si="54"/>
        <v>0</v>
      </c>
      <c r="T454" s="11"/>
    </row>
    <row r="455" spans="1:20" x14ac:dyDescent="0.2">
      <c r="A455" s="11"/>
      <c r="B455" s="11"/>
      <c r="C455" s="12"/>
      <c r="D455" s="13"/>
      <c r="E455" s="14"/>
      <c r="F455" s="13"/>
      <c r="G455" s="15" t="e">
        <f t="shared" si="49"/>
        <v>#DIV/0!</v>
      </c>
      <c r="H455" s="16"/>
      <c r="I455" s="16"/>
      <c r="J455" s="16">
        <f t="shared" si="50"/>
        <v>0</v>
      </c>
      <c r="K455" s="16">
        <f t="shared" si="51"/>
        <v>0</v>
      </c>
      <c r="L455" s="16">
        <f t="shared" si="52"/>
        <v>0</v>
      </c>
      <c r="M455" s="17">
        <f t="shared" si="53"/>
        <v>0</v>
      </c>
      <c r="N455" s="11"/>
      <c r="O455" s="18"/>
      <c r="P455" s="18"/>
      <c r="Q455" s="100">
        <f t="shared" si="55"/>
        <v>0</v>
      </c>
      <c r="R455" s="19"/>
      <c r="S455" s="52">
        <f t="shared" si="54"/>
        <v>0</v>
      </c>
      <c r="T455" s="11"/>
    </row>
    <row r="456" spans="1:20" x14ac:dyDescent="0.2">
      <c r="A456" s="11"/>
      <c r="B456" s="11"/>
      <c r="C456" s="12"/>
      <c r="D456" s="13"/>
      <c r="E456" s="14"/>
      <c r="F456" s="13"/>
      <c r="G456" s="15" t="e">
        <f t="shared" si="49"/>
        <v>#DIV/0!</v>
      </c>
      <c r="H456" s="16"/>
      <c r="I456" s="16"/>
      <c r="J456" s="16">
        <f t="shared" si="50"/>
        <v>0</v>
      </c>
      <c r="K456" s="16">
        <f t="shared" si="51"/>
        <v>0</v>
      </c>
      <c r="L456" s="16">
        <f t="shared" si="52"/>
        <v>0</v>
      </c>
      <c r="M456" s="17">
        <f t="shared" si="53"/>
        <v>0</v>
      </c>
      <c r="N456" s="11"/>
      <c r="O456" s="18"/>
      <c r="P456" s="18"/>
      <c r="Q456" s="100">
        <f t="shared" si="55"/>
        <v>0</v>
      </c>
      <c r="R456" s="19"/>
      <c r="S456" s="52">
        <f t="shared" si="54"/>
        <v>0</v>
      </c>
      <c r="T456" s="11"/>
    </row>
    <row r="457" spans="1:20" x14ac:dyDescent="0.2">
      <c r="A457" s="11"/>
      <c r="B457" s="11"/>
      <c r="C457" s="12"/>
      <c r="D457" s="13"/>
      <c r="E457" s="14"/>
      <c r="F457" s="13"/>
      <c r="G457" s="15" t="e">
        <f t="shared" si="49"/>
        <v>#DIV/0!</v>
      </c>
      <c r="H457" s="16"/>
      <c r="I457" s="16"/>
      <c r="J457" s="16">
        <f t="shared" si="50"/>
        <v>0</v>
      </c>
      <c r="K457" s="16">
        <f t="shared" si="51"/>
        <v>0</v>
      </c>
      <c r="L457" s="16">
        <f t="shared" si="52"/>
        <v>0</v>
      </c>
      <c r="M457" s="17">
        <f t="shared" si="53"/>
        <v>0</v>
      </c>
      <c r="N457" s="11"/>
      <c r="O457" s="18"/>
      <c r="P457" s="18"/>
      <c r="Q457" s="100">
        <f t="shared" si="55"/>
        <v>0</v>
      </c>
      <c r="R457" s="19"/>
      <c r="S457" s="52">
        <f t="shared" si="54"/>
        <v>0</v>
      </c>
      <c r="T457" s="11"/>
    </row>
    <row r="458" spans="1:20" x14ac:dyDescent="0.2">
      <c r="A458" s="11"/>
      <c r="B458" s="11"/>
      <c r="C458" s="12"/>
      <c r="D458" s="13"/>
      <c r="E458" s="14"/>
      <c r="F458" s="13"/>
      <c r="G458" s="15" t="e">
        <f t="shared" si="49"/>
        <v>#DIV/0!</v>
      </c>
      <c r="H458" s="16"/>
      <c r="I458" s="16"/>
      <c r="J458" s="16">
        <f t="shared" si="50"/>
        <v>0</v>
      </c>
      <c r="K458" s="16">
        <f t="shared" si="51"/>
        <v>0</v>
      </c>
      <c r="L458" s="16">
        <f t="shared" si="52"/>
        <v>0</v>
      </c>
      <c r="M458" s="17">
        <f t="shared" si="53"/>
        <v>0</v>
      </c>
      <c r="N458" s="11"/>
      <c r="O458" s="18"/>
      <c r="P458" s="18"/>
      <c r="Q458" s="100">
        <f t="shared" si="55"/>
        <v>0</v>
      </c>
      <c r="R458" s="19"/>
      <c r="S458" s="52">
        <f t="shared" si="54"/>
        <v>0</v>
      </c>
      <c r="T458" s="11"/>
    </row>
    <row r="459" spans="1:20" x14ac:dyDescent="0.2">
      <c r="A459" s="11"/>
      <c r="B459" s="11"/>
      <c r="C459" s="12"/>
      <c r="D459" s="13"/>
      <c r="E459" s="14"/>
      <c r="F459" s="13"/>
      <c r="G459" s="15" t="e">
        <f t="shared" si="49"/>
        <v>#DIV/0!</v>
      </c>
      <c r="H459" s="16"/>
      <c r="I459" s="16"/>
      <c r="J459" s="16">
        <f t="shared" si="50"/>
        <v>0</v>
      </c>
      <c r="K459" s="16">
        <f t="shared" si="51"/>
        <v>0</v>
      </c>
      <c r="L459" s="16">
        <f t="shared" si="52"/>
        <v>0</v>
      </c>
      <c r="M459" s="17">
        <f t="shared" si="53"/>
        <v>0</v>
      </c>
      <c r="N459" s="11"/>
      <c r="O459" s="18"/>
      <c r="P459" s="18"/>
      <c r="Q459" s="100">
        <f t="shared" si="55"/>
        <v>0</v>
      </c>
      <c r="R459" s="19"/>
      <c r="S459" s="52">
        <f t="shared" si="54"/>
        <v>0</v>
      </c>
      <c r="T459" s="11"/>
    </row>
    <row r="460" spans="1:20" x14ac:dyDescent="0.2">
      <c r="A460" s="11"/>
      <c r="B460" s="11"/>
      <c r="C460" s="12"/>
      <c r="D460" s="13"/>
      <c r="E460" s="14"/>
      <c r="F460" s="13"/>
      <c r="G460" s="15" t="e">
        <f t="shared" si="49"/>
        <v>#DIV/0!</v>
      </c>
      <c r="H460" s="16"/>
      <c r="I460" s="16"/>
      <c r="J460" s="16">
        <f t="shared" si="50"/>
        <v>0</v>
      </c>
      <c r="K460" s="16">
        <f t="shared" si="51"/>
        <v>0</v>
      </c>
      <c r="L460" s="16">
        <f t="shared" si="52"/>
        <v>0</v>
      </c>
      <c r="M460" s="17">
        <f t="shared" si="53"/>
        <v>0</v>
      </c>
      <c r="N460" s="11"/>
      <c r="O460" s="18"/>
      <c r="P460" s="18"/>
      <c r="Q460" s="100">
        <f t="shared" si="55"/>
        <v>0</v>
      </c>
      <c r="R460" s="19"/>
      <c r="S460" s="52">
        <f t="shared" si="54"/>
        <v>0</v>
      </c>
      <c r="T460" s="11"/>
    </row>
    <row r="461" spans="1:20" x14ac:dyDescent="0.2">
      <c r="A461" s="11"/>
      <c r="B461" s="11"/>
      <c r="C461" s="12"/>
      <c r="D461" s="13"/>
      <c r="E461" s="14"/>
      <c r="F461" s="13"/>
      <c r="G461" s="15" t="e">
        <f t="shared" si="49"/>
        <v>#DIV/0!</v>
      </c>
      <c r="H461" s="16"/>
      <c r="I461" s="16"/>
      <c r="J461" s="16">
        <f t="shared" si="50"/>
        <v>0</v>
      </c>
      <c r="K461" s="16">
        <f t="shared" si="51"/>
        <v>0</v>
      </c>
      <c r="L461" s="16">
        <f t="shared" si="52"/>
        <v>0</v>
      </c>
      <c r="M461" s="17">
        <f t="shared" si="53"/>
        <v>0</v>
      </c>
      <c r="N461" s="11"/>
      <c r="O461" s="18"/>
      <c r="P461" s="18"/>
      <c r="Q461" s="100">
        <f t="shared" si="55"/>
        <v>0</v>
      </c>
      <c r="R461" s="19"/>
      <c r="S461" s="52">
        <f t="shared" si="54"/>
        <v>0</v>
      </c>
      <c r="T461" s="11"/>
    </row>
    <row r="462" spans="1:20" x14ac:dyDescent="0.2">
      <c r="A462" s="11"/>
      <c r="B462" s="11"/>
      <c r="C462" s="12"/>
      <c r="D462" s="13"/>
      <c r="E462" s="14"/>
      <c r="F462" s="13"/>
      <c r="G462" s="15" t="e">
        <f t="shared" ref="G462:G525" si="56">+F462/D462</f>
        <v>#DIV/0!</v>
      </c>
      <c r="H462" s="16"/>
      <c r="I462" s="16"/>
      <c r="J462" s="16">
        <f t="shared" ref="J462:J525" si="57">+H462*F462</f>
        <v>0</v>
      </c>
      <c r="K462" s="16">
        <f t="shared" ref="K462:K525" si="58">$K$2*C462</f>
        <v>0</v>
      </c>
      <c r="L462" s="16">
        <f t="shared" ref="L462:L525" si="59">$L$2*C462</f>
        <v>0</v>
      </c>
      <c r="M462" s="17">
        <f t="shared" ref="M462:M525" si="60">+(J462*1.21)+K462+L462</f>
        <v>0</v>
      </c>
      <c r="N462" s="11"/>
      <c r="O462" s="18"/>
      <c r="P462" s="18"/>
      <c r="Q462" s="100">
        <f t="shared" si="55"/>
        <v>0</v>
      </c>
      <c r="R462" s="19"/>
      <c r="S462" s="52">
        <f t="shared" si="54"/>
        <v>0</v>
      </c>
      <c r="T462" s="11"/>
    </row>
    <row r="463" spans="1:20" x14ac:dyDescent="0.2">
      <c r="A463" s="11"/>
      <c r="B463" s="11"/>
      <c r="C463" s="12"/>
      <c r="D463" s="13"/>
      <c r="E463" s="14"/>
      <c r="F463" s="13"/>
      <c r="G463" s="15" t="e">
        <f t="shared" si="56"/>
        <v>#DIV/0!</v>
      </c>
      <c r="H463" s="16"/>
      <c r="I463" s="16"/>
      <c r="J463" s="16">
        <f t="shared" si="57"/>
        <v>0</v>
      </c>
      <c r="K463" s="16">
        <f t="shared" si="58"/>
        <v>0</v>
      </c>
      <c r="L463" s="16">
        <f t="shared" si="59"/>
        <v>0</v>
      </c>
      <c r="M463" s="17">
        <f t="shared" si="60"/>
        <v>0</v>
      </c>
      <c r="N463" s="11"/>
      <c r="O463" s="18"/>
      <c r="P463" s="18"/>
      <c r="Q463" s="100">
        <f t="shared" si="55"/>
        <v>0</v>
      </c>
      <c r="R463" s="19"/>
      <c r="S463" s="52">
        <f t="shared" si="54"/>
        <v>0</v>
      </c>
      <c r="T463" s="11"/>
    </row>
    <row r="464" spans="1:20" x14ac:dyDescent="0.2">
      <c r="A464" s="11"/>
      <c r="B464" s="11"/>
      <c r="C464" s="12"/>
      <c r="D464" s="13"/>
      <c r="E464" s="14"/>
      <c r="F464" s="13"/>
      <c r="G464" s="15" t="e">
        <f t="shared" si="56"/>
        <v>#DIV/0!</v>
      </c>
      <c r="H464" s="16"/>
      <c r="I464" s="16"/>
      <c r="J464" s="16">
        <f t="shared" si="57"/>
        <v>0</v>
      </c>
      <c r="K464" s="16">
        <f t="shared" si="58"/>
        <v>0</v>
      </c>
      <c r="L464" s="16">
        <f t="shared" si="59"/>
        <v>0</v>
      </c>
      <c r="M464" s="17">
        <f t="shared" si="60"/>
        <v>0</v>
      </c>
      <c r="N464" s="11"/>
      <c r="O464" s="18"/>
      <c r="P464" s="18"/>
      <c r="Q464" s="100">
        <f t="shared" si="55"/>
        <v>0</v>
      </c>
      <c r="R464" s="19"/>
      <c r="S464" s="52">
        <f t="shared" ref="S464:S527" si="61">+R464-M464</f>
        <v>0</v>
      </c>
      <c r="T464" s="11"/>
    </row>
    <row r="465" spans="1:20" x14ac:dyDescent="0.2">
      <c r="A465" s="11"/>
      <c r="B465" s="11"/>
      <c r="C465" s="12"/>
      <c r="D465" s="13"/>
      <c r="E465" s="14"/>
      <c r="F465" s="13"/>
      <c r="G465" s="15" t="e">
        <f t="shared" si="56"/>
        <v>#DIV/0!</v>
      </c>
      <c r="H465" s="16"/>
      <c r="I465" s="16"/>
      <c r="J465" s="16">
        <f t="shared" si="57"/>
        <v>0</v>
      </c>
      <c r="K465" s="16">
        <f t="shared" si="58"/>
        <v>0</v>
      </c>
      <c r="L465" s="16">
        <f t="shared" si="59"/>
        <v>0</v>
      </c>
      <c r="M465" s="17">
        <f t="shared" si="60"/>
        <v>0</v>
      </c>
      <c r="N465" s="11"/>
      <c r="O465" s="18"/>
      <c r="P465" s="18"/>
      <c r="Q465" s="100">
        <f t="shared" si="55"/>
        <v>0</v>
      </c>
      <c r="R465" s="19"/>
      <c r="S465" s="52">
        <f t="shared" si="61"/>
        <v>0</v>
      </c>
      <c r="T465" s="11"/>
    </row>
    <row r="466" spans="1:20" x14ac:dyDescent="0.2">
      <c r="A466" s="11"/>
      <c r="B466" s="11"/>
      <c r="C466" s="12"/>
      <c r="D466" s="13"/>
      <c r="E466" s="14"/>
      <c r="F466" s="13"/>
      <c r="G466" s="15" t="e">
        <f t="shared" si="56"/>
        <v>#DIV/0!</v>
      </c>
      <c r="H466" s="16"/>
      <c r="I466" s="16"/>
      <c r="J466" s="16">
        <f t="shared" si="57"/>
        <v>0</v>
      </c>
      <c r="K466" s="16">
        <f t="shared" si="58"/>
        <v>0</v>
      </c>
      <c r="L466" s="16">
        <f t="shared" si="59"/>
        <v>0</v>
      </c>
      <c r="M466" s="17">
        <f t="shared" si="60"/>
        <v>0</v>
      </c>
      <c r="N466" s="11"/>
      <c r="O466" s="18"/>
      <c r="P466" s="18"/>
      <c r="Q466" s="100">
        <f t="shared" si="55"/>
        <v>0</v>
      </c>
      <c r="R466" s="19"/>
      <c r="S466" s="52">
        <f t="shared" si="61"/>
        <v>0</v>
      </c>
      <c r="T466" s="11"/>
    </row>
    <row r="467" spans="1:20" x14ac:dyDescent="0.2">
      <c r="A467" s="11"/>
      <c r="B467" s="11"/>
      <c r="C467" s="12"/>
      <c r="D467" s="13"/>
      <c r="E467" s="14"/>
      <c r="F467" s="13"/>
      <c r="G467" s="15" t="e">
        <f t="shared" si="56"/>
        <v>#DIV/0!</v>
      </c>
      <c r="H467" s="16"/>
      <c r="I467" s="16"/>
      <c r="J467" s="16">
        <f t="shared" si="57"/>
        <v>0</v>
      </c>
      <c r="K467" s="16">
        <f t="shared" si="58"/>
        <v>0</v>
      </c>
      <c r="L467" s="16">
        <f t="shared" si="59"/>
        <v>0</v>
      </c>
      <c r="M467" s="17">
        <f t="shared" si="60"/>
        <v>0</v>
      </c>
      <c r="N467" s="11"/>
      <c r="O467" s="18"/>
      <c r="P467" s="18"/>
      <c r="Q467" s="100">
        <f t="shared" si="55"/>
        <v>0</v>
      </c>
      <c r="R467" s="19"/>
      <c r="S467" s="52">
        <f t="shared" si="61"/>
        <v>0</v>
      </c>
      <c r="T467" s="11"/>
    </row>
    <row r="468" spans="1:20" x14ac:dyDescent="0.2">
      <c r="A468" s="11"/>
      <c r="B468" s="11"/>
      <c r="C468" s="12"/>
      <c r="D468" s="13"/>
      <c r="E468" s="14"/>
      <c r="F468" s="13"/>
      <c r="G468" s="15" t="e">
        <f t="shared" si="56"/>
        <v>#DIV/0!</v>
      </c>
      <c r="H468" s="16"/>
      <c r="I468" s="16"/>
      <c r="J468" s="16">
        <f t="shared" si="57"/>
        <v>0</v>
      </c>
      <c r="K468" s="16">
        <f t="shared" si="58"/>
        <v>0</v>
      </c>
      <c r="L468" s="16">
        <f t="shared" si="59"/>
        <v>0</v>
      </c>
      <c r="M468" s="17">
        <f t="shared" si="60"/>
        <v>0</v>
      </c>
      <c r="N468" s="11"/>
      <c r="O468" s="18"/>
      <c r="P468" s="18"/>
      <c r="Q468" s="100">
        <f t="shared" si="55"/>
        <v>0</v>
      </c>
      <c r="R468" s="19"/>
      <c r="S468" s="52">
        <f t="shared" si="61"/>
        <v>0</v>
      </c>
      <c r="T468" s="11"/>
    </row>
    <row r="469" spans="1:20" x14ac:dyDescent="0.2">
      <c r="A469" s="11"/>
      <c r="B469" s="11"/>
      <c r="C469" s="12"/>
      <c r="D469" s="13"/>
      <c r="E469" s="14"/>
      <c r="F469" s="13"/>
      <c r="G469" s="15" t="e">
        <f t="shared" si="56"/>
        <v>#DIV/0!</v>
      </c>
      <c r="H469" s="16"/>
      <c r="I469" s="16"/>
      <c r="J469" s="16">
        <f t="shared" si="57"/>
        <v>0</v>
      </c>
      <c r="K469" s="16">
        <f t="shared" si="58"/>
        <v>0</v>
      </c>
      <c r="L469" s="16">
        <f t="shared" si="59"/>
        <v>0</v>
      </c>
      <c r="M469" s="17">
        <f t="shared" si="60"/>
        <v>0</v>
      </c>
      <c r="N469" s="11"/>
      <c r="O469" s="18"/>
      <c r="P469" s="18"/>
      <c r="Q469" s="100">
        <f t="shared" si="55"/>
        <v>0</v>
      </c>
      <c r="R469" s="19"/>
      <c r="S469" s="52">
        <f t="shared" si="61"/>
        <v>0</v>
      </c>
      <c r="T469" s="11"/>
    </row>
    <row r="470" spans="1:20" x14ac:dyDescent="0.2">
      <c r="A470" s="11"/>
      <c r="B470" s="11"/>
      <c r="C470" s="12"/>
      <c r="D470" s="13"/>
      <c r="E470" s="14"/>
      <c r="F470" s="13"/>
      <c r="G470" s="15" t="e">
        <f t="shared" si="56"/>
        <v>#DIV/0!</v>
      </c>
      <c r="H470" s="16"/>
      <c r="I470" s="16"/>
      <c r="J470" s="16">
        <f t="shared" si="57"/>
        <v>0</v>
      </c>
      <c r="K470" s="16">
        <f t="shared" si="58"/>
        <v>0</v>
      </c>
      <c r="L470" s="16">
        <f t="shared" si="59"/>
        <v>0</v>
      </c>
      <c r="M470" s="17">
        <f t="shared" si="60"/>
        <v>0</v>
      </c>
      <c r="N470" s="11"/>
      <c r="O470" s="18"/>
      <c r="P470" s="18"/>
      <c r="Q470" s="100">
        <f t="shared" si="55"/>
        <v>0</v>
      </c>
      <c r="R470" s="19"/>
      <c r="S470" s="52">
        <f t="shared" si="61"/>
        <v>0</v>
      </c>
      <c r="T470" s="11"/>
    </row>
    <row r="471" spans="1:20" x14ac:dyDescent="0.2">
      <c r="A471" s="11"/>
      <c r="B471" s="11"/>
      <c r="C471" s="12"/>
      <c r="D471" s="13"/>
      <c r="E471" s="14"/>
      <c r="F471" s="13"/>
      <c r="G471" s="15" t="e">
        <f t="shared" si="56"/>
        <v>#DIV/0!</v>
      </c>
      <c r="H471" s="16"/>
      <c r="I471" s="16"/>
      <c r="J471" s="16">
        <f t="shared" si="57"/>
        <v>0</v>
      </c>
      <c r="K471" s="16">
        <f t="shared" si="58"/>
        <v>0</v>
      </c>
      <c r="L471" s="16">
        <f t="shared" si="59"/>
        <v>0</v>
      </c>
      <c r="M471" s="17">
        <f t="shared" si="60"/>
        <v>0</v>
      </c>
      <c r="N471" s="11"/>
      <c r="O471" s="18"/>
      <c r="P471" s="18"/>
      <c r="Q471" s="100">
        <f t="shared" si="55"/>
        <v>0</v>
      </c>
      <c r="R471" s="19"/>
      <c r="S471" s="52">
        <f t="shared" si="61"/>
        <v>0</v>
      </c>
      <c r="T471" s="11"/>
    </row>
    <row r="472" spans="1:20" x14ac:dyDescent="0.2">
      <c r="A472" s="11"/>
      <c r="B472" s="11"/>
      <c r="C472" s="12"/>
      <c r="D472" s="13"/>
      <c r="E472" s="14"/>
      <c r="F472" s="13"/>
      <c r="G472" s="15" t="e">
        <f t="shared" si="56"/>
        <v>#DIV/0!</v>
      </c>
      <c r="H472" s="16"/>
      <c r="I472" s="16"/>
      <c r="J472" s="16">
        <f t="shared" si="57"/>
        <v>0</v>
      </c>
      <c r="K472" s="16">
        <f t="shared" si="58"/>
        <v>0</v>
      </c>
      <c r="L472" s="16">
        <f t="shared" si="59"/>
        <v>0</v>
      </c>
      <c r="M472" s="17">
        <f t="shared" si="60"/>
        <v>0</v>
      </c>
      <c r="N472" s="11"/>
      <c r="O472" s="18"/>
      <c r="P472" s="18"/>
      <c r="Q472" s="100">
        <f t="shared" si="55"/>
        <v>0</v>
      </c>
      <c r="R472" s="19"/>
      <c r="S472" s="52">
        <f t="shared" si="61"/>
        <v>0</v>
      </c>
      <c r="T472" s="11"/>
    </row>
    <row r="473" spans="1:20" x14ac:dyDescent="0.2">
      <c r="A473" s="11"/>
      <c r="B473" s="11"/>
      <c r="C473" s="12"/>
      <c r="D473" s="13"/>
      <c r="E473" s="14"/>
      <c r="F473" s="13"/>
      <c r="G473" s="15" t="e">
        <f t="shared" si="56"/>
        <v>#DIV/0!</v>
      </c>
      <c r="H473" s="16"/>
      <c r="I473" s="16"/>
      <c r="J473" s="16">
        <f t="shared" si="57"/>
        <v>0</v>
      </c>
      <c r="K473" s="16">
        <f t="shared" si="58"/>
        <v>0</v>
      </c>
      <c r="L473" s="16">
        <f t="shared" si="59"/>
        <v>0</v>
      </c>
      <c r="M473" s="17">
        <f t="shared" si="60"/>
        <v>0</v>
      </c>
      <c r="N473" s="11"/>
      <c r="O473" s="18"/>
      <c r="P473" s="18"/>
      <c r="Q473" s="100">
        <f t="shared" si="55"/>
        <v>0</v>
      </c>
      <c r="R473" s="19"/>
      <c r="S473" s="52">
        <f t="shared" si="61"/>
        <v>0</v>
      </c>
      <c r="T473" s="11"/>
    </row>
    <row r="474" spans="1:20" x14ac:dyDescent="0.2">
      <c r="A474" s="11"/>
      <c r="B474" s="11"/>
      <c r="C474" s="12"/>
      <c r="D474" s="13"/>
      <c r="E474" s="14"/>
      <c r="F474" s="13"/>
      <c r="G474" s="15" t="e">
        <f t="shared" si="56"/>
        <v>#DIV/0!</v>
      </c>
      <c r="H474" s="16"/>
      <c r="I474" s="16"/>
      <c r="J474" s="16">
        <f t="shared" si="57"/>
        <v>0</v>
      </c>
      <c r="K474" s="16">
        <f t="shared" si="58"/>
        <v>0</v>
      </c>
      <c r="L474" s="16">
        <f t="shared" si="59"/>
        <v>0</v>
      </c>
      <c r="M474" s="17">
        <f t="shared" si="60"/>
        <v>0</v>
      </c>
      <c r="N474" s="11"/>
      <c r="O474" s="18"/>
      <c r="P474" s="18"/>
      <c r="Q474" s="100">
        <f t="shared" si="55"/>
        <v>0</v>
      </c>
      <c r="R474" s="19"/>
      <c r="S474" s="52">
        <f t="shared" si="61"/>
        <v>0</v>
      </c>
      <c r="T474" s="11"/>
    </row>
    <row r="475" spans="1:20" x14ac:dyDescent="0.2">
      <c r="A475" s="11"/>
      <c r="B475" s="11"/>
      <c r="C475" s="12"/>
      <c r="D475" s="13"/>
      <c r="E475" s="14"/>
      <c r="F475" s="13"/>
      <c r="G475" s="15" t="e">
        <f t="shared" si="56"/>
        <v>#DIV/0!</v>
      </c>
      <c r="H475" s="16"/>
      <c r="I475" s="16"/>
      <c r="J475" s="16">
        <f t="shared" si="57"/>
        <v>0</v>
      </c>
      <c r="K475" s="16">
        <f t="shared" si="58"/>
        <v>0</v>
      </c>
      <c r="L475" s="16">
        <f t="shared" si="59"/>
        <v>0</v>
      </c>
      <c r="M475" s="17">
        <f t="shared" si="60"/>
        <v>0</v>
      </c>
      <c r="N475" s="11"/>
      <c r="O475" s="18"/>
      <c r="P475" s="18"/>
      <c r="Q475" s="100">
        <f t="shared" si="55"/>
        <v>0</v>
      </c>
      <c r="R475" s="19"/>
      <c r="S475" s="52">
        <f t="shared" si="61"/>
        <v>0</v>
      </c>
      <c r="T475" s="11"/>
    </row>
    <row r="476" spans="1:20" x14ac:dyDescent="0.2">
      <c r="A476" s="11"/>
      <c r="B476" s="11"/>
      <c r="C476" s="12"/>
      <c r="D476" s="13"/>
      <c r="E476" s="14"/>
      <c r="F476" s="13"/>
      <c r="G476" s="15" t="e">
        <f t="shared" si="56"/>
        <v>#DIV/0!</v>
      </c>
      <c r="H476" s="16"/>
      <c r="I476" s="16"/>
      <c r="J476" s="16">
        <f t="shared" si="57"/>
        <v>0</v>
      </c>
      <c r="K476" s="16">
        <f t="shared" si="58"/>
        <v>0</v>
      </c>
      <c r="L476" s="16">
        <f t="shared" si="59"/>
        <v>0</v>
      </c>
      <c r="M476" s="17">
        <f t="shared" si="60"/>
        <v>0</v>
      </c>
      <c r="N476" s="11"/>
      <c r="O476" s="18"/>
      <c r="P476" s="18"/>
      <c r="Q476" s="100">
        <f t="shared" si="55"/>
        <v>0</v>
      </c>
      <c r="R476" s="19"/>
      <c r="S476" s="52">
        <f t="shared" si="61"/>
        <v>0</v>
      </c>
      <c r="T476" s="11"/>
    </row>
    <row r="477" spans="1:20" x14ac:dyDescent="0.2">
      <c r="A477" s="11"/>
      <c r="B477" s="11"/>
      <c r="C477" s="12"/>
      <c r="D477" s="13"/>
      <c r="E477" s="14"/>
      <c r="F477" s="13"/>
      <c r="G477" s="15" t="e">
        <f t="shared" si="56"/>
        <v>#DIV/0!</v>
      </c>
      <c r="H477" s="16"/>
      <c r="I477" s="16"/>
      <c r="J477" s="16">
        <f t="shared" si="57"/>
        <v>0</v>
      </c>
      <c r="K477" s="16">
        <f t="shared" si="58"/>
        <v>0</v>
      </c>
      <c r="L477" s="16">
        <f t="shared" si="59"/>
        <v>0</v>
      </c>
      <c r="M477" s="17">
        <f t="shared" si="60"/>
        <v>0</v>
      </c>
      <c r="N477" s="11"/>
      <c r="O477" s="18"/>
      <c r="P477" s="18"/>
      <c r="Q477" s="100">
        <f t="shared" si="55"/>
        <v>0</v>
      </c>
      <c r="R477" s="19"/>
      <c r="S477" s="52">
        <f t="shared" si="61"/>
        <v>0</v>
      </c>
      <c r="T477" s="11"/>
    </row>
    <row r="478" spans="1:20" x14ac:dyDescent="0.2">
      <c r="A478" s="11"/>
      <c r="B478" s="11"/>
      <c r="C478" s="12"/>
      <c r="D478" s="13"/>
      <c r="E478" s="14"/>
      <c r="F478" s="13"/>
      <c r="G478" s="15" t="e">
        <f t="shared" si="56"/>
        <v>#DIV/0!</v>
      </c>
      <c r="H478" s="16"/>
      <c r="I478" s="16"/>
      <c r="J478" s="16">
        <f t="shared" si="57"/>
        <v>0</v>
      </c>
      <c r="K478" s="16">
        <f t="shared" si="58"/>
        <v>0</v>
      </c>
      <c r="L478" s="16">
        <f t="shared" si="59"/>
        <v>0</v>
      </c>
      <c r="M478" s="17">
        <f t="shared" si="60"/>
        <v>0</v>
      </c>
      <c r="N478" s="11"/>
      <c r="O478" s="18"/>
      <c r="P478" s="18"/>
      <c r="Q478" s="100">
        <f t="shared" si="55"/>
        <v>0</v>
      </c>
      <c r="R478" s="19"/>
      <c r="S478" s="52">
        <f t="shared" si="61"/>
        <v>0</v>
      </c>
      <c r="T478" s="11"/>
    </row>
    <row r="479" spans="1:20" x14ac:dyDescent="0.2">
      <c r="A479" s="11"/>
      <c r="B479" s="11"/>
      <c r="C479" s="12"/>
      <c r="D479" s="13"/>
      <c r="E479" s="14"/>
      <c r="F479" s="13"/>
      <c r="G479" s="15" t="e">
        <f t="shared" si="56"/>
        <v>#DIV/0!</v>
      </c>
      <c r="H479" s="16"/>
      <c r="I479" s="16"/>
      <c r="J479" s="16">
        <f t="shared" si="57"/>
        <v>0</v>
      </c>
      <c r="K479" s="16">
        <f t="shared" si="58"/>
        <v>0</v>
      </c>
      <c r="L479" s="16">
        <f t="shared" si="59"/>
        <v>0</v>
      </c>
      <c r="M479" s="17">
        <f t="shared" si="60"/>
        <v>0</v>
      </c>
      <c r="N479" s="11"/>
      <c r="O479" s="18"/>
      <c r="P479" s="18"/>
      <c r="Q479" s="100">
        <f t="shared" si="55"/>
        <v>0</v>
      </c>
      <c r="R479" s="19"/>
      <c r="S479" s="52">
        <f t="shared" si="61"/>
        <v>0</v>
      </c>
      <c r="T479" s="11"/>
    </row>
    <row r="480" spans="1:20" x14ac:dyDescent="0.2">
      <c r="A480" s="11"/>
      <c r="B480" s="11"/>
      <c r="C480" s="12"/>
      <c r="D480" s="13"/>
      <c r="E480" s="14"/>
      <c r="F480" s="13"/>
      <c r="G480" s="15" t="e">
        <f t="shared" si="56"/>
        <v>#DIV/0!</v>
      </c>
      <c r="H480" s="16"/>
      <c r="I480" s="16"/>
      <c r="J480" s="16">
        <f t="shared" si="57"/>
        <v>0</v>
      </c>
      <c r="K480" s="16">
        <f t="shared" si="58"/>
        <v>0</v>
      </c>
      <c r="L480" s="16">
        <f t="shared" si="59"/>
        <v>0</v>
      </c>
      <c r="M480" s="17">
        <f t="shared" si="60"/>
        <v>0</v>
      </c>
      <c r="N480" s="11"/>
      <c r="O480" s="18"/>
      <c r="P480" s="18"/>
      <c r="Q480" s="100">
        <f t="shared" si="55"/>
        <v>0</v>
      </c>
      <c r="R480" s="19"/>
      <c r="S480" s="52">
        <f t="shared" si="61"/>
        <v>0</v>
      </c>
      <c r="T480" s="11"/>
    </row>
    <row r="481" spans="1:20" x14ac:dyDescent="0.2">
      <c r="A481" s="11"/>
      <c r="B481" s="11"/>
      <c r="C481" s="12"/>
      <c r="D481" s="13"/>
      <c r="E481" s="14"/>
      <c r="F481" s="13"/>
      <c r="G481" s="15" t="e">
        <f t="shared" si="56"/>
        <v>#DIV/0!</v>
      </c>
      <c r="H481" s="16"/>
      <c r="I481" s="16"/>
      <c r="J481" s="16">
        <f t="shared" si="57"/>
        <v>0</v>
      </c>
      <c r="K481" s="16">
        <f t="shared" si="58"/>
        <v>0</v>
      </c>
      <c r="L481" s="16">
        <f t="shared" si="59"/>
        <v>0</v>
      </c>
      <c r="M481" s="17">
        <f t="shared" si="60"/>
        <v>0</v>
      </c>
      <c r="N481" s="11"/>
      <c r="O481" s="18"/>
      <c r="P481" s="18"/>
      <c r="Q481" s="100">
        <f t="shared" si="55"/>
        <v>0</v>
      </c>
      <c r="R481" s="19"/>
      <c r="S481" s="52">
        <f t="shared" si="61"/>
        <v>0</v>
      </c>
      <c r="T481" s="11"/>
    </row>
    <row r="482" spans="1:20" x14ac:dyDescent="0.2">
      <c r="A482" s="11"/>
      <c r="B482" s="11"/>
      <c r="C482" s="12"/>
      <c r="D482" s="13"/>
      <c r="E482" s="14"/>
      <c r="F482" s="13"/>
      <c r="G482" s="15" t="e">
        <f t="shared" si="56"/>
        <v>#DIV/0!</v>
      </c>
      <c r="H482" s="16"/>
      <c r="I482" s="16"/>
      <c r="J482" s="16">
        <f t="shared" si="57"/>
        <v>0</v>
      </c>
      <c r="K482" s="16">
        <f t="shared" si="58"/>
        <v>0</v>
      </c>
      <c r="L482" s="16">
        <f t="shared" si="59"/>
        <v>0</v>
      </c>
      <c r="M482" s="17">
        <f t="shared" si="60"/>
        <v>0</v>
      </c>
      <c r="N482" s="11"/>
      <c r="O482" s="18"/>
      <c r="P482" s="18"/>
      <c r="Q482" s="100">
        <f t="shared" si="55"/>
        <v>0</v>
      </c>
      <c r="R482" s="19"/>
      <c r="S482" s="52">
        <f t="shared" si="61"/>
        <v>0</v>
      </c>
      <c r="T482" s="11"/>
    </row>
    <row r="483" spans="1:20" x14ac:dyDescent="0.2">
      <c r="A483" s="11"/>
      <c r="B483" s="11"/>
      <c r="C483" s="12"/>
      <c r="D483" s="13"/>
      <c r="E483" s="14"/>
      <c r="F483" s="13"/>
      <c r="G483" s="15" t="e">
        <f t="shared" si="56"/>
        <v>#DIV/0!</v>
      </c>
      <c r="H483" s="16"/>
      <c r="I483" s="16"/>
      <c r="J483" s="16">
        <f t="shared" si="57"/>
        <v>0</v>
      </c>
      <c r="K483" s="16">
        <f t="shared" si="58"/>
        <v>0</v>
      </c>
      <c r="L483" s="16">
        <f t="shared" si="59"/>
        <v>0</v>
      </c>
      <c r="M483" s="17">
        <f t="shared" si="60"/>
        <v>0</v>
      </c>
      <c r="N483" s="11"/>
      <c r="O483" s="18"/>
      <c r="P483" s="18"/>
      <c r="Q483" s="100">
        <f t="shared" si="55"/>
        <v>0</v>
      </c>
      <c r="R483" s="19"/>
      <c r="S483" s="52">
        <f t="shared" si="61"/>
        <v>0</v>
      </c>
      <c r="T483" s="11"/>
    </row>
    <row r="484" spans="1:20" x14ac:dyDescent="0.2">
      <c r="A484" s="11"/>
      <c r="B484" s="11"/>
      <c r="C484" s="12"/>
      <c r="D484" s="13"/>
      <c r="E484" s="14"/>
      <c r="F484" s="13"/>
      <c r="G484" s="15" t="e">
        <f t="shared" si="56"/>
        <v>#DIV/0!</v>
      </c>
      <c r="H484" s="16"/>
      <c r="I484" s="16"/>
      <c r="J484" s="16">
        <f t="shared" si="57"/>
        <v>0</v>
      </c>
      <c r="K484" s="16">
        <f t="shared" si="58"/>
        <v>0</v>
      </c>
      <c r="L484" s="16">
        <f t="shared" si="59"/>
        <v>0</v>
      </c>
      <c r="M484" s="17">
        <f t="shared" si="60"/>
        <v>0</v>
      </c>
      <c r="N484" s="11"/>
      <c r="O484" s="18"/>
      <c r="P484" s="18"/>
      <c r="Q484" s="100">
        <f t="shared" si="55"/>
        <v>0</v>
      </c>
      <c r="R484" s="19"/>
      <c r="S484" s="52">
        <f t="shared" si="61"/>
        <v>0</v>
      </c>
      <c r="T484" s="11"/>
    </row>
    <row r="485" spans="1:20" x14ac:dyDescent="0.2">
      <c r="A485" s="11"/>
      <c r="B485" s="11"/>
      <c r="C485" s="12"/>
      <c r="D485" s="13"/>
      <c r="E485" s="14"/>
      <c r="F485" s="13"/>
      <c r="G485" s="15" t="e">
        <f t="shared" si="56"/>
        <v>#DIV/0!</v>
      </c>
      <c r="H485" s="16"/>
      <c r="I485" s="16"/>
      <c r="J485" s="16">
        <f t="shared" si="57"/>
        <v>0</v>
      </c>
      <c r="K485" s="16">
        <f t="shared" si="58"/>
        <v>0</v>
      </c>
      <c r="L485" s="16">
        <f t="shared" si="59"/>
        <v>0</v>
      </c>
      <c r="M485" s="17">
        <f t="shared" si="60"/>
        <v>0</v>
      </c>
      <c r="N485" s="11"/>
      <c r="O485" s="18"/>
      <c r="P485" s="18"/>
      <c r="Q485" s="100">
        <f t="shared" si="55"/>
        <v>0</v>
      </c>
      <c r="R485" s="19"/>
      <c r="S485" s="52">
        <f t="shared" si="61"/>
        <v>0</v>
      </c>
      <c r="T485" s="11"/>
    </row>
    <row r="486" spans="1:20" x14ac:dyDescent="0.2">
      <c r="A486" s="11"/>
      <c r="B486" s="11"/>
      <c r="C486" s="12"/>
      <c r="D486" s="13"/>
      <c r="E486" s="14"/>
      <c r="F486" s="13"/>
      <c r="G486" s="15" t="e">
        <f t="shared" si="56"/>
        <v>#DIV/0!</v>
      </c>
      <c r="H486" s="16"/>
      <c r="I486" s="16"/>
      <c r="J486" s="16">
        <f t="shared" si="57"/>
        <v>0</v>
      </c>
      <c r="K486" s="16">
        <f t="shared" si="58"/>
        <v>0</v>
      </c>
      <c r="L486" s="16">
        <f t="shared" si="59"/>
        <v>0</v>
      </c>
      <c r="M486" s="17">
        <f t="shared" si="60"/>
        <v>0</v>
      </c>
      <c r="N486" s="11"/>
      <c r="O486" s="18"/>
      <c r="P486" s="18"/>
      <c r="Q486" s="100">
        <f t="shared" si="55"/>
        <v>0</v>
      </c>
      <c r="R486" s="19"/>
      <c r="S486" s="52">
        <f t="shared" si="61"/>
        <v>0</v>
      </c>
      <c r="T486" s="11"/>
    </row>
    <row r="487" spans="1:20" x14ac:dyDescent="0.2">
      <c r="A487" s="11"/>
      <c r="B487" s="11"/>
      <c r="C487" s="12"/>
      <c r="D487" s="13"/>
      <c r="E487" s="14"/>
      <c r="F487" s="13"/>
      <c r="G487" s="15" t="e">
        <f t="shared" si="56"/>
        <v>#DIV/0!</v>
      </c>
      <c r="H487" s="16"/>
      <c r="I487" s="16"/>
      <c r="J487" s="16">
        <f t="shared" si="57"/>
        <v>0</v>
      </c>
      <c r="K487" s="16">
        <f t="shared" si="58"/>
        <v>0</v>
      </c>
      <c r="L487" s="16">
        <f t="shared" si="59"/>
        <v>0</v>
      </c>
      <c r="M487" s="17">
        <f t="shared" si="60"/>
        <v>0</v>
      </c>
      <c r="N487" s="11"/>
      <c r="O487" s="18"/>
      <c r="P487" s="18"/>
      <c r="Q487" s="100">
        <f t="shared" si="55"/>
        <v>0</v>
      </c>
      <c r="R487" s="19"/>
      <c r="S487" s="52">
        <f t="shared" si="61"/>
        <v>0</v>
      </c>
      <c r="T487" s="11"/>
    </row>
    <row r="488" spans="1:20" x14ac:dyDescent="0.2">
      <c r="A488" s="11"/>
      <c r="B488" s="11"/>
      <c r="C488" s="12"/>
      <c r="D488" s="13"/>
      <c r="E488" s="14"/>
      <c r="F488" s="13"/>
      <c r="G488" s="15" t="e">
        <f t="shared" si="56"/>
        <v>#DIV/0!</v>
      </c>
      <c r="H488" s="16"/>
      <c r="I488" s="16"/>
      <c r="J488" s="16">
        <f t="shared" si="57"/>
        <v>0</v>
      </c>
      <c r="K488" s="16">
        <f t="shared" si="58"/>
        <v>0</v>
      </c>
      <c r="L488" s="16">
        <f t="shared" si="59"/>
        <v>0</v>
      </c>
      <c r="M488" s="17">
        <f t="shared" si="60"/>
        <v>0</v>
      </c>
      <c r="N488" s="11"/>
      <c r="O488" s="18"/>
      <c r="P488" s="18"/>
      <c r="Q488" s="100">
        <f t="shared" si="55"/>
        <v>0</v>
      </c>
      <c r="R488" s="19"/>
      <c r="S488" s="52">
        <f t="shared" si="61"/>
        <v>0</v>
      </c>
      <c r="T488" s="11"/>
    </row>
    <row r="489" spans="1:20" x14ac:dyDescent="0.2">
      <c r="A489" s="11"/>
      <c r="B489" s="11"/>
      <c r="C489" s="12"/>
      <c r="D489" s="13"/>
      <c r="E489" s="14"/>
      <c r="F489" s="13"/>
      <c r="G489" s="15" t="e">
        <f t="shared" si="56"/>
        <v>#DIV/0!</v>
      </c>
      <c r="H489" s="16"/>
      <c r="I489" s="16"/>
      <c r="J489" s="16">
        <f t="shared" si="57"/>
        <v>0</v>
      </c>
      <c r="K489" s="16">
        <f t="shared" si="58"/>
        <v>0</v>
      </c>
      <c r="L489" s="16">
        <f t="shared" si="59"/>
        <v>0</v>
      </c>
      <c r="M489" s="17">
        <f t="shared" si="60"/>
        <v>0</v>
      </c>
      <c r="N489" s="11"/>
      <c r="O489" s="18"/>
      <c r="P489" s="18"/>
      <c r="Q489" s="100">
        <f t="shared" si="55"/>
        <v>0</v>
      </c>
      <c r="R489" s="19"/>
      <c r="S489" s="52">
        <f t="shared" si="61"/>
        <v>0</v>
      </c>
      <c r="T489" s="11"/>
    </row>
    <row r="490" spans="1:20" x14ac:dyDescent="0.2">
      <c r="A490" s="11"/>
      <c r="B490" s="11"/>
      <c r="C490" s="12"/>
      <c r="D490" s="13"/>
      <c r="E490" s="14"/>
      <c r="F490" s="13"/>
      <c r="G490" s="15" t="e">
        <f t="shared" si="56"/>
        <v>#DIV/0!</v>
      </c>
      <c r="H490" s="16"/>
      <c r="I490" s="16"/>
      <c r="J490" s="16">
        <f t="shared" si="57"/>
        <v>0</v>
      </c>
      <c r="K490" s="16">
        <f t="shared" si="58"/>
        <v>0</v>
      </c>
      <c r="L490" s="16">
        <f t="shared" si="59"/>
        <v>0</v>
      </c>
      <c r="M490" s="17">
        <f t="shared" si="60"/>
        <v>0</v>
      </c>
      <c r="N490" s="11"/>
      <c r="O490" s="18"/>
      <c r="P490" s="18"/>
      <c r="Q490" s="100">
        <f t="shared" si="55"/>
        <v>0</v>
      </c>
      <c r="R490" s="19"/>
      <c r="S490" s="52">
        <f t="shared" si="61"/>
        <v>0</v>
      </c>
      <c r="T490" s="11"/>
    </row>
    <row r="491" spans="1:20" x14ac:dyDescent="0.2">
      <c r="A491" s="11"/>
      <c r="B491" s="11"/>
      <c r="C491" s="12"/>
      <c r="D491" s="13"/>
      <c r="E491" s="14"/>
      <c r="F491" s="13"/>
      <c r="G491" s="15" t="e">
        <f t="shared" si="56"/>
        <v>#DIV/0!</v>
      </c>
      <c r="H491" s="16"/>
      <c r="I491" s="16"/>
      <c r="J491" s="16">
        <f t="shared" si="57"/>
        <v>0</v>
      </c>
      <c r="K491" s="16">
        <f t="shared" si="58"/>
        <v>0</v>
      </c>
      <c r="L491" s="16">
        <f t="shared" si="59"/>
        <v>0</v>
      </c>
      <c r="M491" s="17">
        <f t="shared" si="60"/>
        <v>0</v>
      </c>
      <c r="N491" s="11"/>
      <c r="O491" s="18"/>
      <c r="P491" s="18"/>
      <c r="Q491" s="100">
        <f t="shared" si="55"/>
        <v>0</v>
      </c>
      <c r="R491" s="19"/>
      <c r="S491" s="52">
        <f t="shared" si="61"/>
        <v>0</v>
      </c>
      <c r="T491" s="11"/>
    </row>
    <row r="492" spans="1:20" x14ac:dyDescent="0.2">
      <c r="A492" s="11"/>
      <c r="B492" s="11"/>
      <c r="C492" s="12"/>
      <c r="D492" s="13"/>
      <c r="E492" s="14"/>
      <c r="F492" s="13"/>
      <c r="G492" s="15" t="e">
        <f t="shared" si="56"/>
        <v>#DIV/0!</v>
      </c>
      <c r="H492" s="16"/>
      <c r="I492" s="16"/>
      <c r="J492" s="16">
        <f t="shared" si="57"/>
        <v>0</v>
      </c>
      <c r="K492" s="16">
        <f t="shared" si="58"/>
        <v>0</v>
      </c>
      <c r="L492" s="16">
        <f t="shared" si="59"/>
        <v>0</v>
      </c>
      <c r="M492" s="17">
        <f t="shared" si="60"/>
        <v>0</v>
      </c>
      <c r="N492" s="11"/>
      <c r="O492" s="18"/>
      <c r="P492" s="18"/>
      <c r="Q492" s="100">
        <f t="shared" si="55"/>
        <v>0</v>
      </c>
      <c r="R492" s="19"/>
      <c r="S492" s="52">
        <f t="shared" si="61"/>
        <v>0</v>
      </c>
      <c r="T492" s="11"/>
    </row>
    <row r="493" spans="1:20" x14ac:dyDescent="0.2">
      <c r="A493" s="11"/>
      <c r="B493" s="11"/>
      <c r="C493" s="12"/>
      <c r="D493" s="13"/>
      <c r="E493" s="14"/>
      <c r="F493" s="13"/>
      <c r="G493" s="15" t="e">
        <f t="shared" si="56"/>
        <v>#DIV/0!</v>
      </c>
      <c r="H493" s="16"/>
      <c r="I493" s="16"/>
      <c r="J493" s="16">
        <f t="shared" si="57"/>
        <v>0</v>
      </c>
      <c r="K493" s="16">
        <f t="shared" si="58"/>
        <v>0</v>
      </c>
      <c r="L493" s="16">
        <f t="shared" si="59"/>
        <v>0</v>
      </c>
      <c r="M493" s="17">
        <f t="shared" si="60"/>
        <v>0</v>
      </c>
      <c r="N493" s="11"/>
      <c r="O493" s="18"/>
      <c r="P493" s="18"/>
      <c r="Q493" s="100">
        <f t="shared" si="55"/>
        <v>0</v>
      </c>
      <c r="R493" s="19"/>
      <c r="S493" s="52">
        <f t="shared" si="61"/>
        <v>0</v>
      </c>
      <c r="T493" s="11"/>
    </row>
    <row r="494" spans="1:20" x14ac:dyDescent="0.2">
      <c r="A494" s="11"/>
      <c r="B494" s="11"/>
      <c r="C494" s="12"/>
      <c r="D494" s="13"/>
      <c r="E494" s="14"/>
      <c r="F494" s="13"/>
      <c r="G494" s="15" t="e">
        <f t="shared" si="56"/>
        <v>#DIV/0!</v>
      </c>
      <c r="H494" s="16"/>
      <c r="I494" s="16"/>
      <c r="J494" s="16">
        <f t="shared" si="57"/>
        <v>0</v>
      </c>
      <c r="K494" s="16">
        <f t="shared" si="58"/>
        <v>0</v>
      </c>
      <c r="L494" s="16">
        <f t="shared" si="59"/>
        <v>0</v>
      </c>
      <c r="M494" s="17">
        <f t="shared" si="60"/>
        <v>0</v>
      </c>
      <c r="N494" s="11"/>
      <c r="O494" s="18"/>
      <c r="P494" s="18"/>
      <c r="Q494" s="100">
        <f t="shared" si="55"/>
        <v>0</v>
      </c>
      <c r="R494" s="19"/>
      <c r="S494" s="52">
        <f t="shared" si="61"/>
        <v>0</v>
      </c>
      <c r="T494" s="11"/>
    </row>
    <row r="495" spans="1:20" x14ac:dyDescent="0.2">
      <c r="A495" s="11"/>
      <c r="B495" s="11"/>
      <c r="C495" s="12"/>
      <c r="D495" s="13"/>
      <c r="E495" s="14"/>
      <c r="F495" s="13"/>
      <c r="G495" s="15" t="e">
        <f t="shared" si="56"/>
        <v>#DIV/0!</v>
      </c>
      <c r="H495" s="16"/>
      <c r="I495" s="16"/>
      <c r="J495" s="16">
        <f t="shared" si="57"/>
        <v>0</v>
      </c>
      <c r="K495" s="16">
        <f t="shared" si="58"/>
        <v>0</v>
      </c>
      <c r="L495" s="16">
        <f t="shared" si="59"/>
        <v>0</v>
      </c>
      <c r="M495" s="17">
        <f t="shared" si="60"/>
        <v>0</v>
      </c>
      <c r="N495" s="11"/>
      <c r="O495" s="18"/>
      <c r="P495" s="18"/>
      <c r="Q495" s="100">
        <f t="shared" si="55"/>
        <v>0</v>
      </c>
      <c r="R495" s="19"/>
      <c r="S495" s="52">
        <f t="shared" si="61"/>
        <v>0</v>
      </c>
      <c r="T495" s="11"/>
    </row>
    <row r="496" spans="1:20" x14ac:dyDescent="0.2">
      <c r="A496" s="11"/>
      <c r="B496" s="11"/>
      <c r="C496" s="12"/>
      <c r="D496" s="13"/>
      <c r="E496" s="14"/>
      <c r="F496" s="13"/>
      <c r="G496" s="15" t="e">
        <f t="shared" si="56"/>
        <v>#DIV/0!</v>
      </c>
      <c r="H496" s="16"/>
      <c r="I496" s="16"/>
      <c r="J496" s="16">
        <f t="shared" si="57"/>
        <v>0</v>
      </c>
      <c r="K496" s="16">
        <f t="shared" si="58"/>
        <v>0</v>
      </c>
      <c r="L496" s="16">
        <f t="shared" si="59"/>
        <v>0</v>
      </c>
      <c r="M496" s="17">
        <f t="shared" si="60"/>
        <v>0</v>
      </c>
      <c r="N496" s="11"/>
      <c r="O496" s="18"/>
      <c r="P496" s="18"/>
      <c r="Q496" s="100">
        <f t="shared" si="55"/>
        <v>0</v>
      </c>
      <c r="R496" s="19"/>
      <c r="S496" s="52">
        <f t="shared" si="61"/>
        <v>0</v>
      </c>
      <c r="T496" s="11"/>
    </row>
    <row r="497" spans="1:20" x14ac:dyDescent="0.2">
      <c r="A497" s="11"/>
      <c r="B497" s="11"/>
      <c r="C497" s="12"/>
      <c r="D497" s="13"/>
      <c r="E497" s="14"/>
      <c r="F497" s="13"/>
      <c r="G497" s="15" t="e">
        <f t="shared" si="56"/>
        <v>#DIV/0!</v>
      </c>
      <c r="H497" s="16"/>
      <c r="I497" s="16"/>
      <c r="J497" s="16">
        <f t="shared" si="57"/>
        <v>0</v>
      </c>
      <c r="K497" s="16">
        <f t="shared" si="58"/>
        <v>0</v>
      </c>
      <c r="L497" s="16">
        <f t="shared" si="59"/>
        <v>0</v>
      </c>
      <c r="M497" s="17">
        <f t="shared" si="60"/>
        <v>0</v>
      </c>
      <c r="N497" s="11"/>
      <c r="O497" s="18"/>
      <c r="P497" s="18"/>
      <c r="Q497" s="100">
        <f t="shared" si="55"/>
        <v>0</v>
      </c>
      <c r="R497" s="19"/>
      <c r="S497" s="52">
        <f t="shared" si="61"/>
        <v>0</v>
      </c>
      <c r="T497" s="11"/>
    </row>
    <row r="498" spans="1:20" x14ac:dyDescent="0.2">
      <c r="A498" s="11"/>
      <c r="B498" s="11"/>
      <c r="C498" s="12"/>
      <c r="D498" s="13"/>
      <c r="E498" s="14"/>
      <c r="F498" s="13"/>
      <c r="G498" s="15" t="e">
        <f t="shared" si="56"/>
        <v>#DIV/0!</v>
      </c>
      <c r="H498" s="16"/>
      <c r="I498" s="16"/>
      <c r="J498" s="16">
        <f t="shared" si="57"/>
        <v>0</v>
      </c>
      <c r="K498" s="16">
        <f t="shared" si="58"/>
        <v>0</v>
      </c>
      <c r="L498" s="16">
        <f t="shared" si="59"/>
        <v>0</v>
      </c>
      <c r="M498" s="17">
        <f t="shared" si="60"/>
        <v>0</v>
      </c>
      <c r="N498" s="11"/>
      <c r="O498" s="18"/>
      <c r="P498" s="18"/>
      <c r="Q498" s="100">
        <f t="shared" si="55"/>
        <v>0</v>
      </c>
      <c r="R498" s="19"/>
      <c r="S498" s="52">
        <f t="shared" si="61"/>
        <v>0</v>
      </c>
      <c r="T498" s="11"/>
    </row>
    <row r="499" spans="1:20" x14ac:dyDescent="0.2">
      <c r="A499" s="11"/>
      <c r="B499" s="11"/>
      <c r="C499" s="12"/>
      <c r="D499" s="13"/>
      <c r="E499" s="14"/>
      <c r="F499" s="13"/>
      <c r="G499" s="15" t="e">
        <f t="shared" si="56"/>
        <v>#DIV/0!</v>
      </c>
      <c r="H499" s="16"/>
      <c r="I499" s="16"/>
      <c r="J499" s="16">
        <f t="shared" si="57"/>
        <v>0</v>
      </c>
      <c r="K499" s="16">
        <f t="shared" si="58"/>
        <v>0</v>
      </c>
      <c r="L499" s="16">
        <f t="shared" si="59"/>
        <v>0</v>
      </c>
      <c r="M499" s="17">
        <f t="shared" si="60"/>
        <v>0</v>
      </c>
      <c r="N499" s="11"/>
      <c r="O499" s="18"/>
      <c r="P499" s="18"/>
      <c r="Q499" s="100">
        <f t="shared" si="55"/>
        <v>0</v>
      </c>
      <c r="R499" s="19"/>
      <c r="S499" s="52">
        <f t="shared" si="61"/>
        <v>0</v>
      </c>
      <c r="T499" s="11"/>
    </row>
    <row r="500" spans="1:20" x14ac:dyDescent="0.2">
      <c r="A500" s="11"/>
      <c r="B500" s="11"/>
      <c r="C500" s="12"/>
      <c r="D500" s="13"/>
      <c r="E500" s="14"/>
      <c r="F500" s="13"/>
      <c r="G500" s="15" t="e">
        <f t="shared" si="56"/>
        <v>#DIV/0!</v>
      </c>
      <c r="H500" s="16"/>
      <c r="I500" s="16"/>
      <c r="J500" s="16">
        <f t="shared" si="57"/>
        <v>0</v>
      </c>
      <c r="K500" s="16">
        <f t="shared" si="58"/>
        <v>0</v>
      </c>
      <c r="L500" s="16">
        <f t="shared" si="59"/>
        <v>0</v>
      </c>
      <c r="M500" s="17">
        <f t="shared" si="60"/>
        <v>0</v>
      </c>
      <c r="N500" s="11"/>
      <c r="O500" s="18"/>
      <c r="P500" s="18"/>
      <c r="Q500" s="100">
        <f t="shared" si="55"/>
        <v>0</v>
      </c>
      <c r="R500" s="19"/>
      <c r="S500" s="52">
        <f t="shared" si="61"/>
        <v>0</v>
      </c>
      <c r="T500" s="11"/>
    </row>
    <row r="501" spans="1:20" x14ac:dyDescent="0.2">
      <c r="A501" s="11"/>
      <c r="B501" s="11"/>
      <c r="C501" s="12"/>
      <c r="D501" s="13"/>
      <c r="E501" s="14"/>
      <c r="F501" s="13"/>
      <c r="G501" s="15" t="e">
        <f t="shared" si="56"/>
        <v>#DIV/0!</v>
      </c>
      <c r="H501" s="16"/>
      <c r="I501" s="16"/>
      <c r="J501" s="16">
        <f t="shared" si="57"/>
        <v>0</v>
      </c>
      <c r="K501" s="16">
        <f t="shared" si="58"/>
        <v>0</v>
      </c>
      <c r="L501" s="16">
        <f t="shared" si="59"/>
        <v>0</v>
      </c>
      <c r="M501" s="17">
        <f t="shared" si="60"/>
        <v>0</v>
      </c>
      <c r="N501" s="11"/>
      <c r="O501" s="18"/>
      <c r="P501" s="18"/>
      <c r="Q501" s="100">
        <f t="shared" si="55"/>
        <v>0</v>
      </c>
      <c r="R501" s="19"/>
      <c r="S501" s="52">
        <f t="shared" si="61"/>
        <v>0</v>
      </c>
      <c r="T501" s="11"/>
    </row>
    <row r="502" spans="1:20" x14ac:dyDescent="0.2">
      <c r="A502" s="11"/>
      <c r="B502" s="11"/>
      <c r="C502" s="12"/>
      <c r="D502" s="13"/>
      <c r="E502" s="14"/>
      <c r="F502" s="13"/>
      <c r="G502" s="15" t="e">
        <f t="shared" si="56"/>
        <v>#DIV/0!</v>
      </c>
      <c r="H502" s="16"/>
      <c r="I502" s="16"/>
      <c r="J502" s="16">
        <f t="shared" si="57"/>
        <v>0</v>
      </c>
      <c r="K502" s="16">
        <f t="shared" si="58"/>
        <v>0</v>
      </c>
      <c r="L502" s="16">
        <f t="shared" si="59"/>
        <v>0</v>
      </c>
      <c r="M502" s="17">
        <f t="shared" si="60"/>
        <v>0</v>
      </c>
      <c r="N502" s="11"/>
      <c r="O502" s="18"/>
      <c r="P502" s="18"/>
      <c r="Q502" s="100">
        <f t="shared" si="55"/>
        <v>0</v>
      </c>
      <c r="R502" s="19"/>
      <c r="S502" s="52">
        <f t="shared" si="61"/>
        <v>0</v>
      </c>
      <c r="T502" s="11"/>
    </row>
    <row r="503" spans="1:20" x14ac:dyDescent="0.2">
      <c r="A503" s="11"/>
      <c r="B503" s="11"/>
      <c r="C503" s="12"/>
      <c r="D503" s="13"/>
      <c r="E503" s="14"/>
      <c r="F503" s="13"/>
      <c r="G503" s="15" t="e">
        <f t="shared" si="56"/>
        <v>#DIV/0!</v>
      </c>
      <c r="H503" s="16"/>
      <c r="I503" s="16"/>
      <c r="J503" s="16">
        <f t="shared" si="57"/>
        <v>0</v>
      </c>
      <c r="K503" s="16">
        <f t="shared" si="58"/>
        <v>0</v>
      </c>
      <c r="L503" s="16">
        <f t="shared" si="59"/>
        <v>0</v>
      </c>
      <c r="M503" s="17">
        <f t="shared" si="60"/>
        <v>0</v>
      </c>
      <c r="N503" s="11"/>
      <c r="O503" s="18"/>
      <c r="P503" s="18"/>
      <c r="Q503" s="100">
        <f t="shared" si="55"/>
        <v>0</v>
      </c>
      <c r="R503" s="19"/>
      <c r="S503" s="52">
        <f t="shared" si="61"/>
        <v>0</v>
      </c>
      <c r="T503" s="11"/>
    </row>
    <row r="504" spans="1:20" x14ac:dyDescent="0.2">
      <c r="A504" s="11"/>
      <c r="B504" s="11"/>
      <c r="C504" s="12"/>
      <c r="D504" s="13"/>
      <c r="E504" s="14"/>
      <c r="F504" s="13"/>
      <c r="G504" s="15" t="e">
        <f t="shared" si="56"/>
        <v>#DIV/0!</v>
      </c>
      <c r="H504" s="16"/>
      <c r="I504" s="16"/>
      <c r="J504" s="16">
        <f t="shared" si="57"/>
        <v>0</v>
      </c>
      <c r="K504" s="16">
        <f t="shared" si="58"/>
        <v>0</v>
      </c>
      <c r="L504" s="16">
        <f t="shared" si="59"/>
        <v>0</v>
      </c>
      <c r="M504" s="17">
        <f t="shared" si="60"/>
        <v>0</v>
      </c>
      <c r="N504" s="11"/>
      <c r="O504" s="18"/>
      <c r="P504" s="18"/>
      <c r="Q504" s="100">
        <f t="shared" si="55"/>
        <v>0</v>
      </c>
      <c r="R504" s="19"/>
      <c r="S504" s="52">
        <f t="shared" si="61"/>
        <v>0</v>
      </c>
      <c r="T504" s="11"/>
    </row>
    <row r="505" spans="1:20" x14ac:dyDescent="0.2">
      <c r="A505" s="11"/>
      <c r="B505" s="11"/>
      <c r="C505" s="12"/>
      <c r="D505" s="13"/>
      <c r="E505" s="14"/>
      <c r="F505" s="13"/>
      <c r="G505" s="15" t="e">
        <f t="shared" si="56"/>
        <v>#DIV/0!</v>
      </c>
      <c r="H505" s="16"/>
      <c r="I505" s="16"/>
      <c r="J505" s="16">
        <f t="shared" si="57"/>
        <v>0</v>
      </c>
      <c r="K505" s="16">
        <f t="shared" si="58"/>
        <v>0</v>
      </c>
      <c r="L505" s="16">
        <f t="shared" si="59"/>
        <v>0</v>
      </c>
      <c r="M505" s="17">
        <f t="shared" si="60"/>
        <v>0</v>
      </c>
      <c r="N505" s="11"/>
      <c r="O505" s="18"/>
      <c r="P505" s="18"/>
      <c r="Q505" s="100">
        <f t="shared" si="55"/>
        <v>0</v>
      </c>
      <c r="R505" s="19"/>
      <c r="S505" s="52">
        <f t="shared" si="61"/>
        <v>0</v>
      </c>
      <c r="T505" s="11"/>
    </row>
    <row r="506" spans="1:20" x14ac:dyDescent="0.2">
      <c r="A506" s="11"/>
      <c r="B506" s="11"/>
      <c r="C506" s="12"/>
      <c r="D506" s="13"/>
      <c r="E506" s="14"/>
      <c r="F506" s="13"/>
      <c r="G506" s="15" t="e">
        <f t="shared" si="56"/>
        <v>#DIV/0!</v>
      </c>
      <c r="H506" s="16"/>
      <c r="I506" s="16"/>
      <c r="J506" s="16">
        <f t="shared" si="57"/>
        <v>0</v>
      </c>
      <c r="K506" s="16">
        <f t="shared" si="58"/>
        <v>0</v>
      </c>
      <c r="L506" s="16">
        <f t="shared" si="59"/>
        <v>0</v>
      </c>
      <c r="M506" s="17">
        <f t="shared" si="60"/>
        <v>0</v>
      </c>
      <c r="N506" s="11"/>
      <c r="O506" s="18"/>
      <c r="P506" s="18"/>
      <c r="Q506" s="100">
        <f t="shared" si="55"/>
        <v>0</v>
      </c>
      <c r="R506" s="19"/>
      <c r="S506" s="52">
        <f t="shared" si="61"/>
        <v>0</v>
      </c>
      <c r="T506" s="11"/>
    </row>
    <row r="507" spans="1:20" x14ac:dyDescent="0.2">
      <c r="A507" s="11"/>
      <c r="B507" s="11"/>
      <c r="C507" s="12"/>
      <c r="D507" s="13"/>
      <c r="E507" s="14"/>
      <c r="F507" s="13"/>
      <c r="G507" s="15" t="e">
        <f t="shared" si="56"/>
        <v>#DIV/0!</v>
      </c>
      <c r="H507" s="16"/>
      <c r="I507" s="16"/>
      <c r="J507" s="16">
        <f t="shared" si="57"/>
        <v>0</v>
      </c>
      <c r="K507" s="16">
        <f t="shared" si="58"/>
        <v>0</v>
      </c>
      <c r="L507" s="16">
        <f t="shared" si="59"/>
        <v>0</v>
      </c>
      <c r="M507" s="17">
        <f t="shared" si="60"/>
        <v>0</v>
      </c>
      <c r="N507" s="11"/>
      <c r="O507" s="18"/>
      <c r="P507" s="18"/>
      <c r="Q507" s="100">
        <f t="shared" si="55"/>
        <v>0</v>
      </c>
      <c r="R507" s="19"/>
      <c r="S507" s="52">
        <f t="shared" si="61"/>
        <v>0</v>
      </c>
      <c r="T507" s="11"/>
    </row>
    <row r="508" spans="1:20" x14ac:dyDescent="0.2">
      <c r="A508" s="11"/>
      <c r="B508" s="11"/>
      <c r="C508" s="12"/>
      <c r="D508" s="13"/>
      <c r="E508" s="14"/>
      <c r="F508" s="13"/>
      <c r="G508" s="15" t="e">
        <f t="shared" si="56"/>
        <v>#DIV/0!</v>
      </c>
      <c r="H508" s="16"/>
      <c r="I508" s="16"/>
      <c r="J508" s="16">
        <f t="shared" si="57"/>
        <v>0</v>
      </c>
      <c r="K508" s="16">
        <f t="shared" si="58"/>
        <v>0</v>
      </c>
      <c r="L508" s="16">
        <f t="shared" si="59"/>
        <v>0</v>
      </c>
      <c r="M508" s="17">
        <f t="shared" si="60"/>
        <v>0</v>
      </c>
      <c r="N508" s="11"/>
      <c r="O508" s="18"/>
      <c r="P508" s="18"/>
      <c r="Q508" s="100">
        <f t="shared" si="55"/>
        <v>0</v>
      </c>
      <c r="R508" s="19"/>
      <c r="S508" s="52">
        <f t="shared" si="61"/>
        <v>0</v>
      </c>
      <c r="T508" s="11"/>
    </row>
    <row r="509" spans="1:20" x14ac:dyDescent="0.2">
      <c r="A509" s="11"/>
      <c r="B509" s="11"/>
      <c r="C509" s="12"/>
      <c r="D509" s="13"/>
      <c r="E509" s="14"/>
      <c r="F509" s="13"/>
      <c r="G509" s="15" t="e">
        <f t="shared" si="56"/>
        <v>#DIV/0!</v>
      </c>
      <c r="H509" s="16"/>
      <c r="I509" s="16"/>
      <c r="J509" s="16">
        <f t="shared" si="57"/>
        <v>0</v>
      </c>
      <c r="K509" s="16">
        <f t="shared" si="58"/>
        <v>0</v>
      </c>
      <c r="L509" s="16">
        <f t="shared" si="59"/>
        <v>0</v>
      </c>
      <c r="M509" s="17">
        <f t="shared" si="60"/>
        <v>0</v>
      </c>
      <c r="N509" s="11"/>
      <c r="O509" s="18"/>
      <c r="P509" s="18"/>
      <c r="Q509" s="100">
        <f t="shared" si="55"/>
        <v>0</v>
      </c>
      <c r="R509" s="19"/>
      <c r="S509" s="52">
        <f t="shared" si="61"/>
        <v>0</v>
      </c>
      <c r="T509" s="11"/>
    </row>
    <row r="510" spans="1:20" x14ac:dyDescent="0.2">
      <c r="A510" s="11"/>
      <c r="B510" s="11"/>
      <c r="C510" s="12"/>
      <c r="D510" s="13"/>
      <c r="E510" s="14"/>
      <c r="F510" s="13"/>
      <c r="G510" s="15" t="e">
        <f t="shared" si="56"/>
        <v>#DIV/0!</v>
      </c>
      <c r="H510" s="16"/>
      <c r="I510" s="16"/>
      <c r="J510" s="16">
        <f t="shared" si="57"/>
        <v>0</v>
      </c>
      <c r="K510" s="16">
        <f t="shared" si="58"/>
        <v>0</v>
      </c>
      <c r="L510" s="16">
        <f t="shared" si="59"/>
        <v>0</v>
      </c>
      <c r="M510" s="17">
        <f t="shared" si="60"/>
        <v>0</v>
      </c>
      <c r="N510" s="11"/>
      <c r="O510" s="18"/>
      <c r="P510" s="18"/>
      <c r="Q510" s="100">
        <f t="shared" si="55"/>
        <v>0</v>
      </c>
      <c r="R510" s="19"/>
      <c r="S510" s="52">
        <f t="shared" si="61"/>
        <v>0</v>
      </c>
      <c r="T510" s="11"/>
    </row>
    <row r="511" spans="1:20" x14ac:dyDescent="0.2">
      <c r="A511" s="11"/>
      <c r="B511" s="11"/>
      <c r="C511" s="12"/>
      <c r="D511" s="13"/>
      <c r="E511" s="14"/>
      <c r="F511" s="13"/>
      <c r="G511" s="15" t="e">
        <f t="shared" si="56"/>
        <v>#DIV/0!</v>
      </c>
      <c r="H511" s="16"/>
      <c r="I511" s="16"/>
      <c r="J511" s="16">
        <f t="shared" si="57"/>
        <v>0</v>
      </c>
      <c r="K511" s="16">
        <f t="shared" si="58"/>
        <v>0</v>
      </c>
      <c r="L511" s="16">
        <f t="shared" si="59"/>
        <v>0</v>
      </c>
      <c r="M511" s="17">
        <f t="shared" si="60"/>
        <v>0</v>
      </c>
      <c r="N511" s="11"/>
      <c r="O511" s="18"/>
      <c r="P511" s="18"/>
      <c r="Q511" s="100">
        <f t="shared" si="55"/>
        <v>0</v>
      </c>
      <c r="R511" s="19"/>
      <c r="S511" s="52">
        <f t="shared" si="61"/>
        <v>0</v>
      </c>
      <c r="T511" s="11"/>
    </row>
    <row r="512" spans="1:20" x14ac:dyDescent="0.2">
      <c r="A512" s="11"/>
      <c r="B512" s="11"/>
      <c r="C512" s="12"/>
      <c r="D512" s="13"/>
      <c r="E512" s="14"/>
      <c r="F512" s="13"/>
      <c r="G512" s="15" t="e">
        <f t="shared" si="56"/>
        <v>#DIV/0!</v>
      </c>
      <c r="H512" s="16"/>
      <c r="I512" s="16"/>
      <c r="J512" s="16">
        <f t="shared" si="57"/>
        <v>0</v>
      </c>
      <c r="K512" s="16">
        <f t="shared" si="58"/>
        <v>0</v>
      </c>
      <c r="L512" s="16">
        <f t="shared" si="59"/>
        <v>0</v>
      </c>
      <c r="M512" s="17">
        <f t="shared" si="60"/>
        <v>0</v>
      </c>
      <c r="N512" s="11"/>
      <c r="O512" s="18"/>
      <c r="P512" s="18"/>
      <c r="Q512" s="100">
        <f t="shared" si="55"/>
        <v>0</v>
      </c>
      <c r="R512" s="19"/>
      <c r="S512" s="52">
        <f t="shared" si="61"/>
        <v>0</v>
      </c>
      <c r="T512" s="11"/>
    </row>
    <row r="513" spans="1:20" x14ac:dyDescent="0.2">
      <c r="A513" s="11"/>
      <c r="B513" s="11"/>
      <c r="C513" s="12"/>
      <c r="D513" s="13"/>
      <c r="E513" s="14"/>
      <c r="F513" s="13"/>
      <c r="G513" s="15" t="e">
        <f t="shared" si="56"/>
        <v>#DIV/0!</v>
      </c>
      <c r="H513" s="16"/>
      <c r="I513" s="16"/>
      <c r="J513" s="16">
        <f t="shared" si="57"/>
        <v>0</v>
      </c>
      <c r="K513" s="16">
        <f t="shared" si="58"/>
        <v>0</v>
      </c>
      <c r="L513" s="16">
        <f t="shared" si="59"/>
        <v>0</v>
      </c>
      <c r="M513" s="17">
        <f t="shared" si="60"/>
        <v>0</v>
      </c>
      <c r="N513" s="11"/>
      <c r="O513" s="18"/>
      <c r="P513" s="18"/>
      <c r="Q513" s="100">
        <f t="shared" si="55"/>
        <v>0</v>
      </c>
      <c r="R513" s="19"/>
      <c r="S513" s="52">
        <f t="shared" si="61"/>
        <v>0</v>
      </c>
      <c r="T513" s="11"/>
    </row>
    <row r="514" spans="1:20" x14ac:dyDescent="0.2">
      <c r="A514" s="11"/>
      <c r="B514" s="11"/>
      <c r="C514" s="12"/>
      <c r="D514" s="13"/>
      <c r="E514" s="14"/>
      <c r="F514" s="13"/>
      <c r="G514" s="15" t="e">
        <f t="shared" si="56"/>
        <v>#DIV/0!</v>
      </c>
      <c r="H514" s="16"/>
      <c r="I514" s="16"/>
      <c r="J514" s="16">
        <f t="shared" si="57"/>
        <v>0</v>
      </c>
      <c r="K514" s="16">
        <f t="shared" si="58"/>
        <v>0</v>
      </c>
      <c r="L514" s="16">
        <f t="shared" si="59"/>
        <v>0</v>
      </c>
      <c r="M514" s="17">
        <f t="shared" si="60"/>
        <v>0</v>
      </c>
      <c r="N514" s="11"/>
      <c r="O514" s="18"/>
      <c r="P514" s="18"/>
      <c r="Q514" s="100">
        <f t="shared" si="55"/>
        <v>0</v>
      </c>
      <c r="R514" s="19"/>
      <c r="S514" s="52">
        <f t="shared" si="61"/>
        <v>0</v>
      </c>
      <c r="T514" s="11"/>
    </row>
    <row r="515" spans="1:20" x14ac:dyDescent="0.2">
      <c r="A515" s="11"/>
      <c r="B515" s="11"/>
      <c r="C515" s="12"/>
      <c r="D515" s="13"/>
      <c r="E515" s="14"/>
      <c r="F515" s="13"/>
      <c r="G515" s="15" t="e">
        <f t="shared" si="56"/>
        <v>#DIV/0!</v>
      </c>
      <c r="H515" s="16"/>
      <c r="I515" s="16"/>
      <c r="J515" s="16">
        <f t="shared" si="57"/>
        <v>0</v>
      </c>
      <c r="K515" s="16">
        <f t="shared" si="58"/>
        <v>0</v>
      </c>
      <c r="L515" s="16">
        <f t="shared" si="59"/>
        <v>0</v>
      </c>
      <c r="M515" s="17">
        <f t="shared" si="60"/>
        <v>0</v>
      </c>
      <c r="N515" s="11"/>
      <c r="O515" s="18"/>
      <c r="P515" s="18"/>
      <c r="Q515" s="100">
        <f t="shared" si="55"/>
        <v>0</v>
      </c>
      <c r="R515" s="19"/>
      <c r="S515" s="52">
        <f t="shared" si="61"/>
        <v>0</v>
      </c>
      <c r="T515" s="11"/>
    </row>
    <row r="516" spans="1:20" x14ac:dyDescent="0.2">
      <c r="A516" s="11"/>
      <c r="B516" s="11"/>
      <c r="C516" s="12"/>
      <c r="D516" s="13"/>
      <c r="E516" s="14"/>
      <c r="F516" s="13"/>
      <c r="G516" s="15" t="e">
        <f t="shared" si="56"/>
        <v>#DIV/0!</v>
      </c>
      <c r="H516" s="16"/>
      <c r="I516" s="16"/>
      <c r="J516" s="16">
        <f t="shared" si="57"/>
        <v>0</v>
      </c>
      <c r="K516" s="16">
        <f t="shared" si="58"/>
        <v>0</v>
      </c>
      <c r="L516" s="16">
        <f t="shared" si="59"/>
        <v>0</v>
      </c>
      <c r="M516" s="17">
        <f t="shared" si="60"/>
        <v>0</v>
      </c>
      <c r="N516" s="11"/>
      <c r="O516" s="18"/>
      <c r="P516" s="18"/>
      <c r="Q516" s="100">
        <f t="shared" si="55"/>
        <v>0</v>
      </c>
      <c r="R516" s="19"/>
      <c r="S516" s="52">
        <f t="shared" si="61"/>
        <v>0</v>
      </c>
      <c r="T516" s="11"/>
    </row>
    <row r="517" spans="1:20" x14ac:dyDescent="0.2">
      <c r="A517" s="11"/>
      <c r="B517" s="11"/>
      <c r="C517" s="12"/>
      <c r="D517" s="13"/>
      <c r="E517" s="14"/>
      <c r="F517" s="13"/>
      <c r="G517" s="15" t="e">
        <f t="shared" si="56"/>
        <v>#DIV/0!</v>
      </c>
      <c r="H517" s="16"/>
      <c r="I517" s="16"/>
      <c r="J517" s="16">
        <f t="shared" si="57"/>
        <v>0</v>
      </c>
      <c r="K517" s="16">
        <f t="shared" si="58"/>
        <v>0</v>
      </c>
      <c r="L517" s="16">
        <f t="shared" si="59"/>
        <v>0</v>
      </c>
      <c r="M517" s="17">
        <f t="shared" si="60"/>
        <v>0</v>
      </c>
      <c r="N517" s="11"/>
      <c r="O517" s="18"/>
      <c r="P517" s="18"/>
      <c r="Q517" s="100">
        <f t="shared" si="55"/>
        <v>0</v>
      </c>
      <c r="R517" s="19"/>
      <c r="S517" s="52">
        <f t="shared" si="61"/>
        <v>0</v>
      </c>
      <c r="T517" s="11"/>
    </row>
    <row r="518" spans="1:20" x14ac:dyDescent="0.2">
      <c r="A518" s="11"/>
      <c r="B518" s="11"/>
      <c r="C518" s="12"/>
      <c r="D518" s="13"/>
      <c r="E518" s="14"/>
      <c r="F518" s="13"/>
      <c r="G518" s="15" t="e">
        <f t="shared" si="56"/>
        <v>#DIV/0!</v>
      </c>
      <c r="H518" s="16"/>
      <c r="I518" s="16"/>
      <c r="J518" s="16">
        <f t="shared" si="57"/>
        <v>0</v>
      </c>
      <c r="K518" s="16">
        <f t="shared" si="58"/>
        <v>0</v>
      </c>
      <c r="L518" s="16">
        <f t="shared" si="59"/>
        <v>0</v>
      </c>
      <c r="M518" s="17">
        <f t="shared" si="60"/>
        <v>0</v>
      </c>
      <c r="N518" s="11"/>
      <c r="O518" s="18"/>
      <c r="P518" s="18"/>
      <c r="Q518" s="100">
        <f t="shared" ref="Q518:Q581" si="62">+P518-O518</f>
        <v>0</v>
      </c>
      <c r="R518" s="19"/>
      <c r="S518" s="52">
        <f t="shared" si="61"/>
        <v>0</v>
      </c>
      <c r="T518" s="11"/>
    </row>
    <row r="519" spans="1:20" x14ac:dyDescent="0.2">
      <c r="A519" s="11"/>
      <c r="B519" s="11"/>
      <c r="C519" s="12"/>
      <c r="D519" s="13"/>
      <c r="E519" s="14"/>
      <c r="F519" s="13"/>
      <c r="G519" s="15" t="e">
        <f t="shared" si="56"/>
        <v>#DIV/0!</v>
      </c>
      <c r="H519" s="16"/>
      <c r="I519" s="16"/>
      <c r="J519" s="16">
        <f t="shared" si="57"/>
        <v>0</v>
      </c>
      <c r="K519" s="16">
        <f t="shared" si="58"/>
        <v>0</v>
      </c>
      <c r="L519" s="16">
        <f t="shared" si="59"/>
        <v>0</v>
      </c>
      <c r="M519" s="17">
        <f t="shared" si="60"/>
        <v>0</v>
      </c>
      <c r="N519" s="11"/>
      <c r="O519" s="18"/>
      <c r="P519" s="18"/>
      <c r="Q519" s="100">
        <f t="shared" si="62"/>
        <v>0</v>
      </c>
      <c r="R519" s="19"/>
      <c r="S519" s="52">
        <f t="shared" si="61"/>
        <v>0</v>
      </c>
      <c r="T519" s="11"/>
    </row>
    <row r="520" spans="1:20" x14ac:dyDescent="0.2">
      <c r="A520" s="11"/>
      <c r="B520" s="11"/>
      <c r="C520" s="12"/>
      <c r="D520" s="13"/>
      <c r="E520" s="14"/>
      <c r="F520" s="13"/>
      <c r="G520" s="15" t="e">
        <f t="shared" si="56"/>
        <v>#DIV/0!</v>
      </c>
      <c r="H520" s="16"/>
      <c r="I520" s="16"/>
      <c r="J520" s="16">
        <f t="shared" si="57"/>
        <v>0</v>
      </c>
      <c r="K520" s="16">
        <f t="shared" si="58"/>
        <v>0</v>
      </c>
      <c r="L520" s="16">
        <f t="shared" si="59"/>
        <v>0</v>
      </c>
      <c r="M520" s="17">
        <f t="shared" si="60"/>
        <v>0</v>
      </c>
      <c r="N520" s="11"/>
      <c r="O520" s="18"/>
      <c r="P520" s="18"/>
      <c r="Q520" s="100">
        <f t="shared" si="62"/>
        <v>0</v>
      </c>
      <c r="R520" s="19"/>
      <c r="S520" s="52">
        <f t="shared" si="61"/>
        <v>0</v>
      </c>
      <c r="T520" s="11"/>
    </row>
    <row r="521" spans="1:20" x14ac:dyDescent="0.2">
      <c r="A521" s="11"/>
      <c r="B521" s="11"/>
      <c r="C521" s="12"/>
      <c r="D521" s="13"/>
      <c r="E521" s="14"/>
      <c r="F521" s="13"/>
      <c r="G521" s="15" t="e">
        <f t="shared" si="56"/>
        <v>#DIV/0!</v>
      </c>
      <c r="H521" s="16"/>
      <c r="I521" s="16"/>
      <c r="J521" s="16">
        <f t="shared" si="57"/>
        <v>0</v>
      </c>
      <c r="K521" s="16">
        <f t="shared" si="58"/>
        <v>0</v>
      </c>
      <c r="L521" s="16">
        <f t="shared" si="59"/>
        <v>0</v>
      </c>
      <c r="M521" s="17">
        <f t="shared" si="60"/>
        <v>0</v>
      </c>
      <c r="N521" s="11"/>
      <c r="O521" s="18"/>
      <c r="P521" s="18"/>
      <c r="Q521" s="100">
        <f t="shared" si="62"/>
        <v>0</v>
      </c>
      <c r="R521" s="19"/>
      <c r="S521" s="52">
        <f t="shared" si="61"/>
        <v>0</v>
      </c>
      <c r="T521" s="11"/>
    </row>
    <row r="522" spans="1:20" x14ac:dyDescent="0.2">
      <c r="A522" s="11"/>
      <c r="B522" s="11"/>
      <c r="C522" s="12"/>
      <c r="D522" s="13"/>
      <c r="E522" s="14"/>
      <c r="F522" s="13"/>
      <c r="G522" s="15" t="e">
        <f t="shared" si="56"/>
        <v>#DIV/0!</v>
      </c>
      <c r="H522" s="16"/>
      <c r="I522" s="16"/>
      <c r="J522" s="16">
        <f t="shared" si="57"/>
        <v>0</v>
      </c>
      <c r="K522" s="16">
        <f t="shared" si="58"/>
        <v>0</v>
      </c>
      <c r="L522" s="16">
        <f t="shared" si="59"/>
        <v>0</v>
      </c>
      <c r="M522" s="17">
        <f t="shared" si="60"/>
        <v>0</v>
      </c>
      <c r="N522" s="11"/>
      <c r="O522" s="18"/>
      <c r="P522" s="18"/>
      <c r="Q522" s="100">
        <f t="shared" si="62"/>
        <v>0</v>
      </c>
      <c r="R522" s="19"/>
      <c r="S522" s="52">
        <f t="shared" si="61"/>
        <v>0</v>
      </c>
      <c r="T522" s="11"/>
    </row>
    <row r="523" spans="1:20" x14ac:dyDescent="0.2">
      <c r="A523" s="11"/>
      <c r="B523" s="11"/>
      <c r="C523" s="12"/>
      <c r="D523" s="13"/>
      <c r="E523" s="14"/>
      <c r="F523" s="13"/>
      <c r="G523" s="15" t="e">
        <f t="shared" si="56"/>
        <v>#DIV/0!</v>
      </c>
      <c r="H523" s="16"/>
      <c r="I523" s="16"/>
      <c r="J523" s="16">
        <f t="shared" si="57"/>
        <v>0</v>
      </c>
      <c r="K523" s="16">
        <f t="shared" si="58"/>
        <v>0</v>
      </c>
      <c r="L523" s="16">
        <f t="shared" si="59"/>
        <v>0</v>
      </c>
      <c r="M523" s="17">
        <f t="shared" si="60"/>
        <v>0</v>
      </c>
      <c r="N523" s="11"/>
      <c r="O523" s="18"/>
      <c r="P523" s="18"/>
      <c r="Q523" s="100">
        <f t="shared" si="62"/>
        <v>0</v>
      </c>
      <c r="R523" s="19"/>
      <c r="S523" s="52">
        <f t="shared" si="61"/>
        <v>0</v>
      </c>
      <c r="T523" s="11"/>
    </row>
    <row r="524" spans="1:20" x14ac:dyDescent="0.2">
      <c r="A524" s="11"/>
      <c r="B524" s="11"/>
      <c r="C524" s="12"/>
      <c r="D524" s="13"/>
      <c r="E524" s="14"/>
      <c r="F524" s="13"/>
      <c r="G524" s="15" t="e">
        <f t="shared" si="56"/>
        <v>#DIV/0!</v>
      </c>
      <c r="H524" s="16"/>
      <c r="I524" s="16"/>
      <c r="J524" s="16">
        <f t="shared" si="57"/>
        <v>0</v>
      </c>
      <c r="K524" s="16">
        <f t="shared" si="58"/>
        <v>0</v>
      </c>
      <c r="L524" s="16">
        <f t="shared" si="59"/>
        <v>0</v>
      </c>
      <c r="M524" s="17">
        <f t="shared" si="60"/>
        <v>0</v>
      </c>
      <c r="N524" s="11"/>
      <c r="O524" s="18"/>
      <c r="P524" s="18"/>
      <c r="Q524" s="100">
        <f t="shared" si="62"/>
        <v>0</v>
      </c>
      <c r="R524" s="19"/>
      <c r="S524" s="52">
        <f t="shared" si="61"/>
        <v>0</v>
      </c>
      <c r="T524" s="11"/>
    </row>
    <row r="525" spans="1:20" x14ac:dyDescent="0.2">
      <c r="A525" s="11"/>
      <c r="B525" s="11"/>
      <c r="C525" s="12"/>
      <c r="D525" s="13"/>
      <c r="E525" s="14"/>
      <c r="F525" s="13"/>
      <c r="G525" s="15" t="e">
        <f t="shared" si="56"/>
        <v>#DIV/0!</v>
      </c>
      <c r="H525" s="16"/>
      <c r="I525" s="16"/>
      <c r="J525" s="16">
        <f t="shared" si="57"/>
        <v>0</v>
      </c>
      <c r="K525" s="16">
        <f t="shared" si="58"/>
        <v>0</v>
      </c>
      <c r="L525" s="16">
        <f t="shared" si="59"/>
        <v>0</v>
      </c>
      <c r="M525" s="17">
        <f t="shared" si="60"/>
        <v>0</v>
      </c>
      <c r="N525" s="11"/>
      <c r="O525" s="18"/>
      <c r="P525" s="18"/>
      <c r="Q525" s="100">
        <f t="shared" si="62"/>
        <v>0</v>
      </c>
      <c r="R525" s="19"/>
      <c r="S525" s="52">
        <f t="shared" si="61"/>
        <v>0</v>
      </c>
      <c r="T525" s="11"/>
    </row>
    <row r="526" spans="1:20" x14ac:dyDescent="0.2">
      <c r="A526" s="11"/>
      <c r="B526" s="11"/>
      <c r="C526" s="12"/>
      <c r="D526" s="13"/>
      <c r="E526" s="14"/>
      <c r="F526" s="13"/>
      <c r="G526" s="15" t="e">
        <f t="shared" ref="G526:G589" si="63">+F526/D526</f>
        <v>#DIV/0!</v>
      </c>
      <c r="H526" s="16"/>
      <c r="I526" s="16"/>
      <c r="J526" s="16">
        <f t="shared" ref="J526:J589" si="64">+H526*F526</f>
        <v>0</v>
      </c>
      <c r="K526" s="16">
        <f t="shared" ref="K526:K589" si="65">$K$2*C526</f>
        <v>0</v>
      </c>
      <c r="L526" s="16">
        <f t="shared" ref="L526:L589" si="66">$L$2*C526</f>
        <v>0</v>
      </c>
      <c r="M526" s="17">
        <f t="shared" ref="M526:M589" si="67">+(J526*1.21)+K526+L526</f>
        <v>0</v>
      </c>
      <c r="N526" s="11"/>
      <c r="O526" s="18"/>
      <c r="P526" s="18"/>
      <c r="Q526" s="100">
        <f t="shared" si="62"/>
        <v>0</v>
      </c>
      <c r="R526" s="19"/>
      <c r="S526" s="52">
        <f t="shared" si="61"/>
        <v>0</v>
      </c>
      <c r="T526" s="11"/>
    </row>
    <row r="527" spans="1:20" x14ac:dyDescent="0.2">
      <c r="A527" s="11"/>
      <c r="B527" s="11"/>
      <c r="C527" s="12"/>
      <c r="D527" s="13"/>
      <c r="E527" s="14"/>
      <c r="F527" s="13"/>
      <c r="G527" s="15" t="e">
        <f t="shared" si="63"/>
        <v>#DIV/0!</v>
      </c>
      <c r="H527" s="16"/>
      <c r="I527" s="16"/>
      <c r="J527" s="16">
        <f t="shared" si="64"/>
        <v>0</v>
      </c>
      <c r="K527" s="16">
        <f t="shared" si="65"/>
        <v>0</v>
      </c>
      <c r="L527" s="16">
        <f t="shared" si="66"/>
        <v>0</v>
      </c>
      <c r="M527" s="17">
        <f t="shared" si="67"/>
        <v>0</v>
      </c>
      <c r="N527" s="11"/>
      <c r="O527" s="18"/>
      <c r="P527" s="18"/>
      <c r="Q527" s="100">
        <f t="shared" si="62"/>
        <v>0</v>
      </c>
      <c r="R527" s="19"/>
      <c r="S527" s="52">
        <f t="shared" si="61"/>
        <v>0</v>
      </c>
      <c r="T527" s="11"/>
    </row>
    <row r="528" spans="1:20" x14ac:dyDescent="0.2">
      <c r="A528" s="11"/>
      <c r="B528" s="11"/>
      <c r="C528" s="12"/>
      <c r="D528" s="13"/>
      <c r="E528" s="14"/>
      <c r="F528" s="13"/>
      <c r="G528" s="15" t="e">
        <f t="shared" si="63"/>
        <v>#DIV/0!</v>
      </c>
      <c r="H528" s="16"/>
      <c r="I528" s="16"/>
      <c r="J528" s="16">
        <f t="shared" si="64"/>
        <v>0</v>
      </c>
      <c r="K528" s="16">
        <f t="shared" si="65"/>
        <v>0</v>
      </c>
      <c r="L528" s="16">
        <f t="shared" si="66"/>
        <v>0</v>
      </c>
      <c r="M528" s="17">
        <f t="shared" si="67"/>
        <v>0</v>
      </c>
      <c r="N528" s="11"/>
      <c r="O528" s="18"/>
      <c r="P528" s="18"/>
      <c r="Q528" s="100">
        <f t="shared" si="62"/>
        <v>0</v>
      </c>
      <c r="R528" s="19"/>
      <c r="S528" s="52">
        <f t="shared" ref="S528:S591" si="68">+R528-M528</f>
        <v>0</v>
      </c>
      <c r="T528" s="11"/>
    </row>
    <row r="529" spans="1:20" x14ac:dyDescent="0.2">
      <c r="A529" s="11"/>
      <c r="B529" s="11"/>
      <c r="C529" s="12"/>
      <c r="D529" s="13"/>
      <c r="E529" s="14"/>
      <c r="F529" s="13"/>
      <c r="G529" s="15" t="e">
        <f t="shared" si="63"/>
        <v>#DIV/0!</v>
      </c>
      <c r="H529" s="16"/>
      <c r="I529" s="16"/>
      <c r="J529" s="16">
        <f t="shared" si="64"/>
        <v>0</v>
      </c>
      <c r="K529" s="16">
        <f t="shared" si="65"/>
        <v>0</v>
      </c>
      <c r="L529" s="16">
        <f t="shared" si="66"/>
        <v>0</v>
      </c>
      <c r="M529" s="17">
        <f t="shared" si="67"/>
        <v>0</v>
      </c>
      <c r="N529" s="11"/>
      <c r="O529" s="18"/>
      <c r="P529" s="18"/>
      <c r="Q529" s="100">
        <f t="shared" si="62"/>
        <v>0</v>
      </c>
      <c r="R529" s="19"/>
      <c r="S529" s="52">
        <f t="shared" si="68"/>
        <v>0</v>
      </c>
      <c r="T529" s="11"/>
    </row>
    <row r="530" spans="1:20" x14ac:dyDescent="0.2">
      <c r="A530" s="11"/>
      <c r="B530" s="11"/>
      <c r="C530" s="12"/>
      <c r="D530" s="13"/>
      <c r="E530" s="14"/>
      <c r="F530" s="13"/>
      <c r="G530" s="15" t="e">
        <f t="shared" si="63"/>
        <v>#DIV/0!</v>
      </c>
      <c r="H530" s="16"/>
      <c r="I530" s="16"/>
      <c r="J530" s="16">
        <f t="shared" si="64"/>
        <v>0</v>
      </c>
      <c r="K530" s="16">
        <f t="shared" si="65"/>
        <v>0</v>
      </c>
      <c r="L530" s="16">
        <f t="shared" si="66"/>
        <v>0</v>
      </c>
      <c r="M530" s="17">
        <f t="shared" si="67"/>
        <v>0</v>
      </c>
      <c r="N530" s="11"/>
      <c r="O530" s="18"/>
      <c r="P530" s="18"/>
      <c r="Q530" s="100">
        <f t="shared" si="62"/>
        <v>0</v>
      </c>
      <c r="R530" s="19"/>
      <c r="S530" s="52">
        <f t="shared" si="68"/>
        <v>0</v>
      </c>
      <c r="T530" s="11"/>
    </row>
    <row r="531" spans="1:20" x14ac:dyDescent="0.2">
      <c r="A531" s="11"/>
      <c r="B531" s="11"/>
      <c r="C531" s="12"/>
      <c r="D531" s="13"/>
      <c r="E531" s="14"/>
      <c r="F531" s="13"/>
      <c r="G531" s="15" t="e">
        <f t="shared" si="63"/>
        <v>#DIV/0!</v>
      </c>
      <c r="H531" s="16"/>
      <c r="I531" s="16"/>
      <c r="J531" s="16">
        <f t="shared" si="64"/>
        <v>0</v>
      </c>
      <c r="K531" s="16">
        <f t="shared" si="65"/>
        <v>0</v>
      </c>
      <c r="L531" s="16">
        <f t="shared" si="66"/>
        <v>0</v>
      </c>
      <c r="M531" s="17">
        <f t="shared" si="67"/>
        <v>0</v>
      </c>
      <c r="N531" s="11"/>
      <c r="O531" s="18"/>
      <c r="P531" s="18"/>
      <c r="Q531" s="100">
        <f t="shared" si="62"/>
        <v>0</v>
      </c>
      <c r="R531" s="19"/>
      <c r="S531" s="52">
        <f t="shared" si="68"/>
        <v>0</v>
      </c>
      <c r="T531" s="11"/>
    </row>
    <row r="532" spans="1:20" x14ac:dyDescent="0.2">
      <c r="A532" s="11"/>
      <c r="B532" s="11"/>
      <c r="C532" s="12"/>
      <c r="D532" s="13"/>
      <c r="E532" s="14"/>
      <c r="F532" s="13"/>
      <c r="G532" s="15" t="e">
        <f t="shared" si="63"/>
        <v>#DIV/0!</v>
      </c>
      <c r="H532" s="16"/>
      <c r="I532" s="16"/>
      <c r="J532" s="16">
        <f t="shared" si="64"/>
        <v>0</v>
      </c>
      <c r="K532" s="16">
        <f t="shared" si="65"/>
        <v>0</v>
      </c>
      <c r="L532" s="16">
        <f t="shared" si="66"/>
        <v>0</v>
      </c>
      <c r="M532" s="17">
        <f t="shared" si="67"/>
        <v>0</v>
      </c>
      <c r="N532" s="11"/>
      <c r="O532" s="18"/>
      <c r="P532" s="18"/>
      <c r="Q532" s="100">
        <f t="shared" si="62"/>
        <v>0</v>
      </c>
      <c r="R532" s="19"/>
      <c r="S532" s="52">
        <f t="shared" si="68"/>
        <v>0</v>
      </c>
      <c r="T532" s="11"/>
    </row>
    <row r="533" spans="1:20" x14ac:dyDescent="0.2">
      <c r="A533" s="11"/>
      <c r="B533" s="11"/>
      <c r="C533" s="12"/>
      <c r="D533" s="13"/>
      <c r="E533" s="14"/>
      <c r="F533" s="13"/>
      <c r="G533" s="15" t="e">
        <f t="shared" si="63"/>
        <v>#DIV/0!</v>
      </c>
      <c r="H533" s="16"/>
      <c r="I533" s="16"/>
      <c r="J533" s="16">
        <f t="shared" si="64"/>
        <v>0</v>
      </c>
      <c r="K533" s="16">
        <f t="shared" si="65"/>
        <v>0</v>
      </c>
      <c r="L533" s="16">
        <f t="shared" si="66"/>
        <v>0</v>
      </c>
      <c r="M533" s="17">
        <f t="shared" si="67"/>
        <v>0</v>
      </c>
      <c r="N533" s="11"/>
      <c r="O533" s="18"/>
      <c r="P533" s="18"/>
      <c r="Q533" s="100">
        <f t="shared" si="62"/>
        <v>0</v>
      </c>
      <c r="R533" s="19"/>
      <c r="S533" s="52">
        <f t="shared" si="68"/>
        <v>0</v>
      </c>
      <c r="T533" s="11"/>
    </row>
    <row r="534" spans="1:20" x14ac:dyDescent="0.2">
      <c r="A534" s="11"/>
      <c r="B534" s="11"/>
      <c r="C534" s="12"/>
      <c r="D534" s="13"/>
      <c r="E534" s="14"/>
      <c r="F534" s="13"/>
      <c r="G534" s="15" t="e">
        <f t="shared" si="63"/>
        <v>#DIV/0!</v>
      </c>
      <c r="H534" s="16"/>
      <c r="I534" s="16"/>
      <c r="J534" s="16">
        <f t="shared" si="64"/>
        <v>0</v>
      </c>
      <c r="K534" s="16">
        <f t="shared" si="65"/>
        <v>0</v>
      </c>
      <c r="L534" s="16">
        <f t="shared" si="66"/>
        <v>0</v>
      </c>
      <c r="M534" s="17">
        <f t="shared" si="67"/>
        <v>0</v>
      </c>
      <c r="N534" s="11"/>
      <c r="O534" s="18"/>
      <c r="P534" s="18"/>
      <c r="Q534" s="100">
        <f t="shared" si="62"/>
        <v>0</v>
      </c>
      <c r="R534" s="19"/>
      <c r="S534" s="52">
        <f t="shared" si="68"/>
        <v>0</v>
      </c>
      <c r="T534" s="11"/>
    </row>
    <row r="535" spans="1:20" x14ac:dyDescent="0.2">
      <c r="A535" s="11"/>
      <c r="B535" s="11"/>
      <c r="C535" s="12"/>
      <c r="D535" s="13"/>
      <c r="E535" s="14"/>
      <c r="F535" s="13"/>
      <c r="G535" s="15" t="e">
        <f t="shared" si="63"/>
        <v>#DIV/0!</v>
      </c>
      <c r="H535" s="16"/>
      <c r="I535" s="16"/>
      <c r="J535" s="16">
        <f t="shared" si="64"/>
        <v>0</v>
      </c>
      <c r="K535" s="16">
        <f t="shared" si="65"/>
        <v>0</v>
      </c>
      <c r="L535" s="16">
        <f t="shared" si="66"/>
        <v>0</v>
      </c>
      <c r="M535" s="17">
        <f t="shared" si="67"/>
        <v>0</v>
      </c>
      <c r="N535" s="11"/>
      <c r="O535" s="18"/>
      <c r="P535" s="18"/>
      <c r="Q535" s="100">
        <f t="shared" si="62"/>
        <v>0</v>
      </c>
      <c r="R535" s="19"/>
      <c r="S535" s="52">
        <f t="shared" si="68"/>
        <v>0</v>
      </c>
      <c r="T535" s="11"/>
    </row>
    <row r="536" spans="1:20" x14ac:dyDescent="0.2">
      <c r="A536" s="11"/>
      <c r="B536" s="11"/>
      <c r="C536" s="12"/>
      <c r="D536" s="13"/>
      <c r="E536" s="14"/>
      <c r="F536" s="13"/>
      <c r="G536" s="15" t="e">
        <f t="shared" si="63"/>
        <v>#DIV/0!</v>
      </c>
      <c r="H536" s="16"/>
      <c r="I536" s="16"/>
      <c r="J536" s="16">
        <f t="shared" si="64"/>
        <v>0</v>
      </c>
      <c r="K536" s="16">
        <f t="shared" si="65"/>
        <v>0</v>
      </c>
      <c r="L536" s="16">
        <f t="shared" si="66"/>
        <v>0</v>
      </c>
      <c r="M536" s="17">
        <f t="shared" si="67"/>
        <v>0</v>
      </c>
      <c r="N536" s="11"/>
      <c r="O536" s="18"/>
      <c r="P536" s="18"/>
      <c r="Q536" s="100">
        <f t="shared" si="62"/>
        <v>0</v>
      </c>
      <c r="R536" s="19"/>
      <c r="S536" s="52">
        <f t="shared" si="68"/>
        <v>0</v>
      </c>
      <c r="T536" s="11"/>
    </row>
    <row r="537" spans="1:20" x14ac:dyDescent="0.2">
      <c r="A537" s="11"/>
      <c r="B537" s="11"/>
      <c r="C537" s="12"/>
      <c r="D537" s="13"/>
      <c r="E537" s="14"/>
      <c r="F537" s="13"/>
      <c r="G537" s="15" t="e">
        <f t="shared" si="63"/>
        <v>#DIV/0!</v>
      </c>
      <c r="H537" s="16"/>
      <c r="I537" s="16"/>
      <c r="J537" s="16">
        <f t="shared" si="64"/>
        <v>0</v>
      </c>
      <c r="K537" s="16">
        <f t="shared" si="65"/>
        <v>0</v>
      </c>
      <c r="L537" s="16">
        <f t="shared" si="66"/>
        <v>0</v>
      </c>
      <c r="M537" s="17">
        <f t="shared" si="67"/>
        <v>0</v>
      </c>
      <c r="N537" s="11"/>
      <c r="O537" s="18"/>
      <c r="P537" s="18"/>
      <c r="Q537" s="100">
        <f t="shared" si="62"/>
        <v>0</v>
      </c>
      <c r="R537" s="19"/>
      <c r="S537" s="52">
        <f t="shared" si="68"/>
        <v>0</v>
      </c>
      <c r="T537" s="11"/>
    </row>
    <row r="538" spans="1:20" x14ac:dyDescent="0.2">
      <c r="A538" s="11"/>
      <c r="B538" s="11"/>
      <c r="C538" s="12"/>
      <c r="D538" s="13"/>
      <c r="E538" s="14"/>
      <c r="F538" s="13"/>
      <c r="G538" s="15" t="e">
        <f t="shared" si="63"/>
        <v>#DIV/0!</v>
      </c>
      <c r="H538" s="16"/>
      <c r="I538" s="16"/>
      <c r="J538" s="16">
        <f t="shared" si="64"/>
        <v>0</v>
      </c>
      <c r="K538" s="16">
        <f t="shared" si="65"/>
        <v>0</v>
      </c>
      <c r="L538" s="16">
        <f t="shared" si="66"/>
        <v>0</v>
      </c>
      <c r="M538" s="17">
        <f t="shared" si="67"/>
        <v>0</v>
      </c>
      <c r="N538" s="11"/>
      <c r="O538" s="18"/>
      <c r="P538" s="18"/>
      <c r="Q538" s="100">
        <f t="shared" si="62"/>
        <v>0</v>
      </c>
      <c r="R538" s="19"/>
      <c r="S538" s="52">
        <f t="shared" si="68"/>
        <v>0</v>
      </c>
      <c r="T538" s="11"/>
    </row>
    <row r="539" spans="1:20" x14ac:dyDescent="0.2">
      <c r="A539" s="11"/>
      <c r="B539" s="11"/>
      <c r="C539" s="12"/>
      <c r="D539" s="13"/>
      <c r="E539" s="14"/>
      <c r="F539" s="13"/>
      <c r="G539" s="15" t="e">
        <f t="shared" si="63"/>
        <v>#DIV/0!</v>
      </c>
      <c r="H539" s="16"/>
      <c r="I539" s="16"/>
      <c r="J539" s="16">
        <f t="shared" si="64"/>
        <v>0</v>
      </c>
      <c r="K539" s="16">
        <f t="shared" si="65"/>
        <v>0</v>
      </c>
      <c r="L539" s="16">
        <f t="shared" si="66"/>
        <v>0</v>
      </c>
      <c r="M539" s="17">
        <f t="shared" si="67"/>
        <v>0</v>
      </c>
      <c r="N539" s="11"/>
      <c r="O539" s="18"/>
      <c r="P539" s="18"/>
      <c r="Q539" s="100">
        <f t="shared" si="62"/>
        <v>0</v>
      </c>
      <c r="R539" s="19"/>
      <c r="S539" s="52">
        <f t="shared" si="68"/>
        <v>0</v>
      </c>
      <c r="T539" s="11"/>
    </row>
    <row r="540" spans="1:20" x14ac:dyDescent="0.2">
      <c r="A540" s="11"/>
      <c r="B540" s="11"/>
      <c r="C540" s="12"/>
      <c r="D540" s="13"/>
      <c r="E540" s="14"/>
      <c r="F540" s="13"/>
      <c r="G540" s="15" t="e">
        <f t="shared" si="63"/>
        <v>#DIV/0!</v>
      </c>
      <c r="H540" s="16"/>
      <c r="I540" s="16"/>
      <c r="J540" s="16">
        <f t="shared" si="64"/>
        <v>0</v>
      </c>
      <c r="K540" s="16">
        <f t="shared" si="65"/>
        <v>0</v>
      </c>
      <c r="L540" s="16">
        <f t="shared" si="66"/>
        <v>0</v>
      </c>
      <c r="M540" s="17">
        <f t="shared" si="67"/>
        <v>0</v>
      </c>
      <c r="N540" s="11"/>
      <c r="O540" s="18"/>
      <c r="P540" s="18"/>
      <c r="Q540" s="100">
        <f t="shared" si="62"/>
        <v>0</v>
      </c>
      <c r="R540" s="19"/>
      <c r="S540" s="52">
        <f t="shared" si="68"/>
        <v>0</v>
      </c>
      <c r="T540" s="11"/>
    </row>
    <row r="541" spans="1:20" x14ac:dyDescent="0.2">
      <c r="A541" s="11"/>
      <c r="B541" s="11"/>
      <c r="C541" s="12"/>
      <c r="D541" s="13"/>
      <c r="E541" s="14"/>
      <c r="F541" s="13"/>
      <c r="G541" s="15" t="e">
        <f t="shared" si="63"/>
        <v>#DIV/0!</v>
      </c>
      <c r="H541" s="16"/>
      <c r="I541" s="16"/>
      <c r="J541" s="16">
        <f t="shared" si="64"/>
        <v>0</v>
      </c>
      <c r="K541" s="16">
        <f t="shared" si="65"/>
        <v>0</v>
      </c>
      <c r="L541" s="16">
        <f t="shared" si="66"/>
        <v>0</v>
      </c>
      <c r="M541" s="17">
        <f t="shared" si="67"/>
        <v>0</v>
      </c>
      <c r="N541" s="11"/>
      <c r="O541" s="18"/>
      <c r="P541" s="18"/>
      <c r="Q541" s="100">
        <f t="shared" si="62"/>
        <v>0</v>
      </c>
      <c r="R541" s="19"/>
      <c r="S541" s="52">
        <f t="shared" si="68"/>
        <v>0</v>
      </c>
      <c r="T541" s="11"/>
    </row>
    <row r="542" spans="1:20" x14ac:dyDescent="0.2">
      <c r="A542" s="11"/>
      <c r="B542" s="11"/>
      <c r="C542" s="12"/>
      <c r="D542" s="13"/>
      <c r="E542" s="14"/>
      <c r="F542" s="13"/>
      <c r="G542" s="15" t="e">
        <f t="shared" si="63"/>
        <v>#DIV/0!</v>
      </c>
      <c r="H542" s="16"/>
      <c r="I542" s="16"/>
      <c r="J542" s="16">
        <f t="shared" si="64"/>
        <v>0</v>
      </c>
      <c r="K542" s="16">
        <f t="shared" si="65"/>
        <v>0</v>
      </c>
      <c r="L542" s="16">
        <f t="shared" si="66"/>
        <v>0</v>
      </c>
      <c r="M542" s="17">
        <f t="shared" si="67"/>
        <v>0</v>
      </c>
      <c r="N542" s="11"/>
      <c r="O542" s="18"/>
      <c r="P542" s="18"/>
      <c r="Q542" s="100">
        <f t="shared" si="62"/>
        <v>0</v>
      </c>
      <c r="R542" s="19"/>
      <c r="S542" s="52">
        <f t="shared" si="68"/>
        <v>0</v>
      </c>
      <c r="T542" s="11"/>
    </row>
    <row r="543" spans="1:20" x14ac:dyDescent="0.2">
      <c r="A543" s="11"/>
      <c r="B543" s="11"/>
      <c r="C543" s="12"/>
      <c r="D543" s="13"/>
      <c r="E543" s="14"/>
      <c r="F543" s="13"/>
      <c r="G543" s="15" t="e">
        <f t="shared" si="63"/>
        <v>#DIV/0!</v>
      </c>
      <c r="H543" s="16"/>
      <c r="I543" s="16"/>
      <c r="J543" s="16">
        <f t="shared" si="64"/>
        <v>0</v>
      </c>
      <c r="K543" s="16">
        <f t="shared" si="65"/>
        <v>0</v>
      </c>
      <c r="L543" s="16">
        <f t="shared" si="66"/>
        <v>0</v>
      </c>
      <c r="M543" s="17">
        <f t="shared" si="67"/>
        <v>0</v>
      </c>
      <c r="N543" s="11"/>
      <c r="O543" s="18"/>
      <c r="P543" s="18"/>
      <c r="Q543" s="100">
        <f t="shared" si="62"/>
        <v>0</v>
      </c>
      <c r="R543" s="19"/>
      <c r="S543" s="52">
        <f t="shared" si="68"/>
        <v>0</v>
      </c>
      <c r="T543" s="11"/>
    </row>
    <row r="544" spans="1:20" x14ac:dyDescent="0.2">
      <c r="A544" s="11"/>
      <c r="B544" s="11"/>
      <c r="C544" s="12"/>
      <c r="D544" s="13"/>
      <c r="E544" s="14"/>
      <c r="F544" s="13"/>
      <c r="G544" s="15" t="e">
        <f t="shared" si="63"/>
        <v>#DIV/0!</v>
      </c>
      <c r="H544" s="16"/>
      <c r="I544" s="16"/>
      <c r="J544" s="16">
        <f t="shared" si="64"/>
        <v>0</v>
      </c>
      <c r="K544" s="16">
        <f t="shared" si="65"/>
        <v>0</v>
      </c>
      <c r="L544" s="16">
        <f t="shared" si="66"/>
        <v>0</v>
      </c>
      <c r="M544" s="17">
        <f t="shared" si="67"/>
        <v>0</v>
      </c>
      <c r="N544" s="11"/>
      <c r="O544" s="18"/>
      <c r="P544" s="18"/>
      <c r="Q544" s="100">
        <f t="shared" si="62"/>
        <v>0</v>
      </c>
      <c r="R544" s="19"/>
      <c r="S544" s="52">
        <f t="shared" si="68"/>
        <v>0</v>
      </c>
      <c r="T544" s="11"/>
    </row>
    <row r="545" spans="1:20" x14ac:dyDescent="0.2">
      <c r="A545" s="11"/>
      <c r="B545" s="11"/>
      <c r="C545" s="12"/>
      <c r="D545" s="13"/>
      <c r="E545" s="14"/>
      <c r="F545" s="13"/>
      <c r="G545" s="15" t="e">
        <f t="shared" si="63"/>
        <v>#DIV/0!</v>
      </c>
      <c r="H545" s="16"/>
      <c r="I545" s="16"/>
      <c r="J545" s="16">
        <f t="shared" si="64"/>
        <v>0</v>
      </c>
      <c r="K545" s="16">
        <f t="shared" si="65"/>
        <v>0</v>
      </c>
      <c r="L545" s="16">
        <f t="shared" si="66"/>
        <v>0</v>
      </c>
      <c r="M545" s="17">
        <f t="shared" si="67"/>
        <v>0</v>
      </c>
      <c r="N545" s="11"/>
      <c r="O545" s="18"/>
      <c r="P545" s="18"/>
      <c r="Q545" s="100">
        <f t="shared" si="62"/>
        <v>0</v>
      </c>
      <c r="R545" s="19"/>
      <c r="S545" s="52">
        <f t="shared" si="68"/>
        <v>0</v>
      </c>
      <c r="T545" s="11"/>
    </row>
    <row r="546" spans="1:20" x14ac:dyDescent="0.2">
      <c r="A546" s="11"/>
      <c r="B546" s="11"/>
      <c r="C546" s="12"/>
      <c r="D546" s="13"/>
      <c r="E546" s="14"/>
      <c r="F546" s="13"/>
      <c r="G546" s="15" t="e">
        <f t="shared" si="63"/>
        <v>#DIV/0!</v>
      </c>
      <c r="H546" s="16"/>
      <c r="I546" s="16"/>
      <c r="J546" s="16">
        <f t="shared" si="64"/>
        <v>0</v>
      </c>
      <c r="K546" s="16">
        <f t="shared" si="65"/>
        <v>0</v>
      </c>
      <c r="L546" s="16">
        <f t="shared" si="66"/>
        <v>0</v>
      </c>
      <c r="M546" s="17">
        <f t="shared" si="67"/>
        <v>0</v>
      </c>
      <c r="N546" s="11"/>
      <c r="O546" s="18"/>
      <c r="P546" s="18"/>
      <c r="Q546" s="100">
        <f t="shared" si="62"/>
        <v>0</v>
      </c>
      <c r="R546" s="19"/>
      <c r="S546" s="52">
        <f t="shared" si="68"/>
        <v>0</v>
      </c>
      <c r="T546" s="11"/>
    </row>
    <row r="547" spans="1:20" x14ac:dyDescent="0.2">
      <c r="A547" s="11"/>
      <c r="B547" s="11"/>
      <c r="C547" s="12"/>
      <c r="D547" s="13"/>
      <c r="E547" s="14"/>
      <c r="F547" s="13"/>
      <c r="G547" s="15" t="e">
        <f t="shared" si="63"/>
        <v>#DIV/0!</v>
      </c>
      <c r="H547" s="16"/>
      <c r="I547" s="16"/>
      <c r="J547" s="16">
        <f t="shared" si="64"/>
        <v>0</v>
      </c>
      <c r="K547" s="16">
        <f t="shared" si="65"/>
        <v>0</v>
      </c>
      <c r="L547" s="16">
        <f t="shared" si="66"/>
        <v>0</v>
      </c>
      <c r="M547" s="17">
        <f t="shared" si="67"/>
        <v>0</v>
      </c>
      <c r="N547" s="11"/>
      <c r="O547" s="18"/>
      <c r="P547" s="18"/>
      <c r="Q547" s="100">
        <f t="shared" si="62"/>
        <v>0</v>
      </c>
      <c r="R547" s="19"/>
      <c r="S547" s="52">
        <f t="shared" si="68"/>
        <v>0</v>
      </c>
      <c r="T547" s="11"/>
    </row>
    <row r="548" spans="1:20" x14ac:dyDescent="0.2">
      <c r="A548" s="11"/>
      <c r="B548" s="11"/>
      <c r="C548" s="12"/>
      <c r="D548" s="13"/>
      <c r="E548" s="14"/>
      <c r="F548" s="13"/>
      <c r="G548" s="15" t="e">
        <f t="shared" si="63"/>
        <v>#DIV/0!</v>
      </c>
      <c r="H548" s="16"/>
      <c r="I548" s="16"/>
      <c r="J548" s="16">
        <f t="shared" si="64"/>
        <v>0</v>
      </c>
      <c r="K548" s="16">
        <f t="shared" si="65"/>
        <v>0</v>
      </c>
      <c r="L548" s="16">
        <f t="shared" si="66"/>
        <v>0</v>
      </c>
      <c r="M548" s="17">
        <f t="shared" si="67"/>
        <v>0</v>
      </c>
      <c r="N548" s="11"/>
      <c r="O548" s="18"/>
      <c r="P548" s="18"/>
      <c r="Q548" s="100">
        <f t="shared" si="62"/>
        <v>0</v>
      </c>
      <c r="R548" s="19"/>
      <c r="S548" s="52">
        <f t="shared" si="68"/>
        <v>0</v>
      </c>
      <c r="T548" s="11"/>
    </row>
    <row r="549" spans="1:20" x14ac:dyDescent="0.2">
      <c r="A549" s="11"/>
      <c r="B549" s="11"/>
      <c r="C549" s="12"/>
      <c r="D549" s="13"/>
      <c r="E549" s="14"/>
      <c r="F549" s="13"/>
      <c r="G549" s="15" t="e">
        <f t="shared" si="63"/>
        <v>#DIV/0!</v>
      </c>
      <c r="H549" s="16"/>
      <c r="I549" s="16"/>
      <c r="J549" s="16">
        <f t="shared" si="64"/>
        <v>0</v>
      </c>
      <c r="K549" s="16">
        <f t="shared" si="65"/>
        <v>0</v>
      </c>
      <c r="L549" s="16">
        <f t="shared" si="66"/>
        <v>0</v>
      </c>
      <c r="M549" s="17">
        <f t="shared" si="67"/>
        <v>0</v>
      </c>
      <c r="N549" s="11"/>
      <c r="O549" s="18"/>
      <c r="P549" s="18"/>
      <c r="Q549" s="100">
        <f t="shared" si="62"/>
        <v>0</v>
      </c>
      <c r="R549" s="19"/>
      <c r="S549" s="52">
        <f t="shared" si="68"/>
        <v>0</v>
      </c>
      <c r="T549" s="11"/>
    </row>
    <row r="550" spans="1:20" x14ac:dyDescent="0.2">
      <c r="A550" s="11"/>
      <c r="B550" s="11"/>
      <c r="C550" s="12"/>
      <c r="D550" s="13"/>
      <c r="E550" s="14"/>
      <c r="F550" s="13"/>
      <c r="G550" s="15" t="e">
        <f t="shared" si="63"/>
        <v>#DIV/0!</v>
      </c>
      <c r="H550" s="16"/>
      <c r="I550" s="16"/>
      <c r="J550" s="16">
        <f t="shared" si="64"/>
        <v>0</v>
      </c>
      <c r="K550" s="16">
        <f t="shared" si="65"/>
        <v>0</v>
      </c>
      <c r="L550" s="16">
        <f t="shared" si="66"/>
        <v>0</v>
      </c>
      <c r="M550" s="17">
        <f t="shared" si="67"/>
        <v>0</v>
      </c>
      <c r="N550" s="11"/>
      <c r="O550" s="18"/>
      <c r="P550" s="18"/>
      <c r="Q550" s="100">
        <f t="shared" si="62"/>
        <v>0</v>
      </c>
      <c r="R550" s="19"/>
      <c r="S550" s="52">
        <f t="shared" si="68"/>
        <v>0</v>
      </c>
      <c r="T550" s="11"/>
    </row>
    <row r="551" spans="1:20" x14ac:dyDescent="0.2">
      <c r="A551" s="11"/>
      <c r="B551" s="11"/>
      <c r="C551" s="12"/>
      <c r="D551" s="13"/>
      <c r="E551" s="14"/>
      <c r="F551" s="13"/>
      <c r="G551" s="15" t="e">
        <f t="shared" si="63"/>
        <v>#DIV/0!</v>
      </c>
      <c r="H551" s="16"/>
      <c r="I551" s="16"/>
      <c r="J551" s="16">
        <f t="shared" si="64"/>
        <v>0</v>
      </c>
      <c r="K551" s="16">
        <f t="shared" si="65"/>
        <v>0</v>
      </c>
      <c r="L551" s="16">
        <f t="shared" si="66"/>
        <v>0</v>
      </c>
      <c r="M551" s="17">
        <f t="shared" si="67"/>
        <v>0</v>
      </c>
      <c r="N551" s="11"/>
      <c r="O551" s="18"/>
      <c r="P551" s="18"/>
      <c r="Q551" s="100">
        <f t="shared" si="62"/>
        <v>0</v>
      </c>
      <c r="R551" s="19"/>
      <c r="S551" s="52">
        <f t="shared" si="68"/>
        <v>0</v>
      </c>
      <c r="T551" s="11"/>
    </row>
    <row r="552" spans="1:20" x14ac:dyDescent="0.2">
      <c r="A552" s="11"/>
      <c r="B552" s="11"/>
      <c r="C552" s="12"/>
      <c r="D552" s="13"/>
      <c r="E552" s="14"/>
      <c r="F552" s="13"/>
      <c r="G552" s="15" t="e">
        <f t="shared" si="63"/>
        <v>#DIV/0!</v>
      </c>
      <c r="H552" s="16"/>
      <c r="I552" s="16"/>
      <c r="J552" s="16">
        <f t="shared" si="64"/>
        <v>0</v>
      </c>
      <c r="K552" s="16">
        <f t="shared" si="65"/>
        <v>0</v>
      </c>
      <c r="L552" s="16">
        <f t="shared" si="66"/>
        <v>0</v>
      </c>
      <c r="M552" s="17">
        <f t="shared" si="67"/>
        <v>0</v>
      </c>
      <c r="N552" s="11"/>
      <c r="O552" s="18"/>
      <c r="P552" s="18"/>
      <c r="Q552" s="100">
        <f t="shared" si="62"/>
        <v>0</v>
      </c>
      <c r="R552" s="19"/>
      <c r="S552" s="52">
        <f t="shared" si="68"/>
        <v>0</v>
      </c>
      <c r="T552" s="11"/>
    </row>
    <row r="553" spans="1:20" x14ac:dyDescent="0.2">
      <c r="A553" s="11"/>
      <c r="B553" s="11"/>
      <c r="C553" s="12"/>
      <c r="D553" s="13"/>
      <c r="E553" s="14"/>
      <c r="F553" s="13"/>
      <c r="G553" s="15" t="e">
        <f t="shared" si="63"/>
        <v>#DIV/0!</v>
      </c>
      <c r="H553" s="16"/>
      <c r="I553" s="16"/>
      <c r="J553" s="16">
        <f t="shared" si="64"/>
        <v>0</v>
      </c>
      <c r="K553" s="16">
        <f t="shared" si="65"/>
        <v>0</v>
      </c>
      <c r="L553" s="16">
        <f t="shared" si="66"/>
        <v>0</v>
      </c>
      <c r="M553" s="17">
        <f t="shared" si="67"/>
        <v>0</v>
      </c>
      <c r="N553" s="11"/>
      <c r="O553" s="18"/>
      <c r="P553" s="18"/>
      <c r="Q553" s="100">
        <f t="shared" si="62"/>
        <v>0</v>
      </c>
      <c r="R553" s="19"/>
      <c r="S553" s="52">
        <f t="shared" si="68"/>
        <v>0</v>
      </c>
      <c r="T553" s="11"/>
    </row>
    <row r="554" spans="1:20" x14ac:dyDescent="0.2">
      <c r="A554" s="11"/>
      <c r="B554" s="11"/>
      <c r="C554" s="12"/>
      <c r="D554" s="13"/>
      <c r="E554" s="14"/>
      <c r="F554" s="13"/>
      <c r="G554" s="15" t="e">
        <f t="shared" si="63"/>
        <v>#DIV/0!</v>
      </c>
      <c r="H554" s="16"/>
      <c r="I554" s="16"/>
      <c r="J554" s="16">
        <f t="shared" si="64"/>
        <v>0</v>
      </c>
      <c r="K554" s="16">
        <f t="shared" si="65"/>
        <v>0</v>
      </c>
      <c r="L554" s="16">
        <f t="shared" si="66"/>
        <v>0</v>
      </c>
      <c r="M554" s="17">
        <f t="shared" si="67"/>
        <v>0</v>
      </c>
      <c r="N554" s="11"/>
      <c r="O554" s="18"/>
      <c r="P554" s="18"/>
      <c r="Q554" s="100">
        <f t="shared" si="62"/>
        <v>0</v>
      </c>
      <c r="R554" s="19"/>
      <c r="S554" s="52">
        <f t="shared" si="68"/>
        <v>0</v>
      </c>
      <c r="T554" s="11"/>
    </row>
    <row r="555" spans="1:20" x14ac:dyDescent="0.2">
      <c r="A555" s="11"/>
      <c r="B555" s="11"/>
      <c r="C555" s="12"/>
      <c r="D555" s="13"/>
      <c r="E555" s="14"/>
      <c r="F555" s="13"/>
      <c r="G555" s="15" t="e">
        <f t="shared" si="63"/>
        <v>#DIV/0!</v>
      </c>
      <c r="H555" s="16"/>
      <c r="I555" s="16"/>
      <c r="J555" s="16">
        <f t="shared" si="64"/>
        <v>0</v>
      </c>
      <c r="K555" s="16">
        <f t="shared" si="65"/>
        <v>0</v>
      </c>
      <c r="L555" s="16">
        <f t="shared" si="66"/>
        <v>0</v>
      </c>
      <c r="M555" s="17">
        <f t="shared" si="67"/>
        <v>0</v>
      </c>
      <c r="N555" s="11"/>
      <c r="O555" s="18"/>
      <c r="P555" s="18"/>
      <c r="Q555" s="100">
        <f t="shared" si="62"/>
        <v>0</v>
      </c>
      <c r="R555" s="19"/>
      <c r="S555" s="52">
        <f t="shared" si="68"/>
        <v>0</v>
      </c>
      <c r="T555" s="11"/>
    </row>
    <row r="556" spans="1:20" x14ac:dyDescent="0.2">
      <c r="A556" s="11"/>
      <c r="B556" s="11"/>
      <c r="C556" s="12"/>
      <c r="D556" s="13"/>
      <c r="E556" s="14"/>
      <c r="F556" s="13"/>
      <c r="G556" s="15" t="e">
        <f t="shared" si="63"/>
        <v>#DIV/0!</v>
      </c>
      <c r="H556" s="16"/>
      <c r="I556" s="16"/>
      <c r="J556" s="16">
        <f t="shared" si="64"/>
        <v>0</v>
      </c>
      <c r="K556" s="16">
        <f t="shared" si="65"/>
        <v>0</v>
      </c>
      <c r="L556" s="16">
        <f t="shared" si="66"/>
        <v>0</v>
      </c>
      <c r="M556" s="17">
        <f t="shared" si="67"/>
        <v>0</v>
      </c>
      <c r="N556" s="11"/>
      <c r="O556" s="18"/>
      <c r="P556" s="18"/>
      <c r="Q556" s="100">
        <f t="shared" si="62"/>
        <v>0</v>
      </c>
      <c r="R556" s="19"/>
      <c r="S556" s="52">
        <f t="shared" si="68"/>
        <v>0</v>
      </c>
      <c r="T556" s="11"/>
    </row>
    <row r="557" spans="1:20" x14ac:dyDescent="0.2">
      <c r="A557" s="11"/>
      <c r="B557" s="11"/>
      <c r="C557" s="12"/>
      <c r="D557" s="13"/>
      <c r="E557" s="14"/>
      <c r="F557" s="13"/>
      <c r="G557" s="15" t="e">
        <f t="shared" si="63"/>
        <v>#DIV/0!</v>
      </c>
      <c r="H557" s="16"/>
      <c r="I557" s="16"/>
      <c r="J557" s="16">
        <f t="shared" si="64"/>
        <v>0</v>
      </c>
      <c r="K557" s="16">
        <f t="shared" si="65"/>
        <v>0</v>
      </c>
      <c r="L557" s="16">
        <f t="shared" si="66"/>
        <v>0</v>
      </c>
      <c r="M557" s="17">
        <f t="shared" si="67"/>
        <v>0</v>
      </c>
      <c r="N557" s="11"/>
      <c r="O557" s="18"/>
      <c r="P557" s="18"/>
      <c r="Q557" s="100">
        <f t="shared" si="62"/>
        <v>0</v>
      </c>
      <c r="R557" s="19"/>
      <c r="S557" s="52">
        <f t="shared" si="68"/>
        <v>0</v>
      </c>
      <c r="T557" s="11"/>
    </row>
    <row r="558" spans="1:20" x14ac:dyDescent="0.2">
      <c r="A558" s="11"/>
      <c r="B558" s="11"/>
      <c r="C558" s="12"/>
      <c r="D558" s="13"/>
      <c r="E558" s="14"/>
      <c r="F558" s="13"/>
      <c r="G558" s="15" t="e">
        <f t="shared" si="63"/>
        <v>#DIV/0!</v>
      </c>
      <c r="H558" s="16"/>
      <c r="I558" s="16"/>
      <c r="J558" s="16">
        <f t="shared" si="64"/>
        <v>0</v>
      </c>
      <c r="K558" s="16">
        <f t="shared" si="65"/>
        <v>0</v>
      </c>
      <c r="L558" s="16">
        <f t="shared" si="66"/>
        <v>0</v>
      </c>
      <c r="M558" s="17">
        <f t="shared" si="67"/>
        <v>0</v>
      </c>
      <c r="N558" s="11"/>
      <c r="O558" s="18"/>
      <c r="P558" s="18"/>
      <c r="Q558" s="100">
        <f t="shared" si="62"/>
        <v>0</v>
      </c>
      <c r="R558" s="19"/>
      <c r="S558" s="52">
        <f t="shared" si="68"/>
        <v>0</v>
      </c>
      <c r="T558" s="11"/>
    </row>
    <row r="559" spans="1:20" x14ac:dyDescent="0.2">
      <c r="A559" s="11"/>
      <c r="B559" s="11"/>
      <c r="C559" s="12"/>
      <c r="D559" s="13"/>
      <c r="E559" s="14"/>
      <c r="F559" s="13"/>
      <c r="G559" s="15" t="e">
        <f t="shared" si="63"/>
        <v>#DIV/0!</v>
      </c>
      <c r="H559" s="16"/>
      <c r="I559" s="16"/>
      <c r="J559" s="16">
        <f t="shared" si="64"/>
        <v>0</v>
      </c>
      <c r="K559" s="16">
        <f t="shared" si="65"/>
        <v>0</v>
      </c>
      <c r="L559" s="16">
        <f t="shared" si="66"/>
        <v>0</v>
      </c>
      <c r="M559" s="17">
        <f t="shared" si="67"/>
        <v>0</v>
      </c>
      <c r="N559" s="11"/>
      <c r="O559" s="18"/>
      <c r="P559" s="18"/>
      <c r="Q559" s="100">
        <f t="shared" si="62"/>
        <v>0</v>
      </c>
      <c r="R559" s="19"/>
      <c r="S559" s="52">
        <f t="shared" si="68"/>
        <v>0</v>
      </c>
      <c r="T559" s="11"/>
    </row>
    <row r="560" spans="1:20" x14ac:dyDescent="0.2">
      <c r="A560" s="11"/>
      <c r="B560" s="11"/>
      <c r="C560" s="12"/>
      <c r="D560" s="13"/>
      <c r="E560" s="14"/>
      <c r="F560" s="13"/>
      <c r="G560" s="15" t="e">
        <f t="shared" si="63"/>
        <v>#DIV/0!</v>
      </c>
      <c r="H560" s="16"/>
      <c r="I560" s="16"/>
      <c r="J560" s="16">
        <f t="shared" si="64"/>
        <v>0</v>
      </c>
      <c r="K560" s="16">
        <f t="shared" si="65"/>
        <v>0</v>
      </c>
      <c r="L560" s="16">
        <f t="shared" si="66"/>
        <v>0</v>
      </c>
      <c r="M560" s="17">
        <f t="shared" si="67"/>
        <v>0</v>
      </c>
      <c r="N560" s="11"/>
      <c r="O560" s="18"/>
      <c r="P560" s="18"/>
      <c r="Q560" s="100">
        <f t="shared" si="62"/>
        <v>0</v>
      </c>
      <c r="R560" s="19"/>
      <c r="S560" s="52">
        <f t="shared" si="68"/>
        <v>0</v>
      </c>
      <c r="T560" s="11"/>
    </row>
    <row r="561" spans="1:20" x14ac:dyDescent="0.2">
      <c r="A561" s="11"/>
      <c r="B561" s="11"/>
      <c r="C561" s="12"/>
      <c r="D561" s="13"/>
      <c r="E561" s="14"/>
      <c r="F561" s="13"/>
      <c r="G561" s="15" t="e">
        <f t="shared" si="63"/>
        <v>#DIV/0!</v>
      </c>
      <c r="H561" s="16"/>
      <c r="I561" s="16"/>
      <c r="J561" s="16">
        <f t="shared" si="64"/>
        <v>0</v>
      </c>
      <c r="K561" s="16">
        <f t="shared" si="65"/>
        <v>0</v>
      </c>
      <c r="L561" s="16">
        <f t="shared" si="66"/>
        <v>0</v>
      </c>
      <c r="M561" s="17">
        <f t="shared" si="67"/>
        <v>0</v>
      </c>
      <c r="N561" s="11"/>
      <c r="O561" s="18"/>
      <c r="P561" s="18"/>
      <c r="Q561" s="100">
        <f t="shared" si="62"/>
        <v>0</v>
      </c>
      <c r="R561" s="19"/>
      <c r="S561" s="52">
        <f t="shared" si="68"/>
        <v>0</v>
      </c>
      <c r="T561" s="11"/>
    </row>
    <row r="562" spans="1:20" x14ac:dyDescent="0.2">
      <c r="A562" s="11"/>
      <c r="B562" s="11"/>
      <c r="C562" s="12"/>
      <c r="D562" s="13"/>
      <c r="E562" s="14"/>
      <c r="F562" s="13"/>
      <c r="G562" s="15" t="e">
        <f t="shared" si="63"/>
        <v>#DIV/0!</v>
      </c>
      <c r="H562" s="16"/>
      <c r="I562" s="16"/>
      <c r="J562" s="16">
        <f t="shared" si="64"/>
        <v>0</v>
      </c>
      <c r="K562" s="16">
        <f t="shared" si="65"/>
        <v>0</v>
      </c>
      <c r="L562" s="16">
        <f t="shared" si="66"/>
        <v>0</v>
      </c>
      <c r="M562" s="17">
        <f t="shared" si="67"/>
        <v>0</v>
      </c>
      <c r="N562" s="11"/>
      <c r="O562" s="18"/>
      <c r="P562" s="18"/>
      <c r="Q562" s="100">
        <f t="shared" si="62"/>
        <v>0</v>
      </c>
      <c r="R562" s="19"/>
      <c r="S562" s="52">
        <f t="shared" si="68"/>
        <v>0</v>
      </c>
      <c r="T562" s="11"/>
    </row>
    <row r="563" spans="1:20" x14ac:dyDescent="0.2">
      <c r="A563" s="11"/>
      <c r="B563" s="11"/>
      <c r="C563" s="12"/>
      <c r="D563" s="13"/>
      <c r="E563" s="14"/>
      <c r="F563" s="13"/>
      <c r="G563" s="15" t="e">
        <f t="shared" si="63"/>
        <v>#DIV/0!</v>
      </c>
      <c r="H563" s="16"/>
      <c r="I563" s="16"/>
      <c r="J563" s="16">
        <f t="shared" si="64"/>
        <v>0</v>
      </c>
      <c r="K563" s="16">
        <f t="shared" si="65"/>
        <v>0</v>
      </c>
      <c r="L563" s="16">
        <f t="shared" si="66"/>
        <v>0</v>
      </c>
      <c r="M563" s="17">
        <f t="shared" si="67"/>
        <v>0</v>
      </c>
      <c r="N563" s="11"/>
      <c r="O563" s="18"/>
      <c r="P563" s="18"/>
      <c r="Q563" s="100">
        <f t="shared" si="62"/>
        <v>0</v>
      </c>
      <c r="R563" s="19"/>
      <c r="S563" s="52">
        <f t="shared" si="68"/>
        <v>0</v>
      </c>
      <c r="T563" s="11"/>
    </row>
    <row r="564" spans="1:20" x14ac:dyDescent="0.2">
      <c r="A564" s="11"/>
      <c r="B564" s="11"/>
      <c r="C564" s="12"/>
      <c r="D564" s="13"/>
      <c r="E564" s="14"/>
      <c r="F564" s="13"/>
      <c r="G564" s="15" t="e">
        <f t="shared" si="63"/>
        <v>#DIV/0!</v>
      </c>
      <c r="H564" s="16"/>
      <c r="I564" s="16"/>
      <c r="J564" s="16">
        <f t="shared" si="64"/>
        <v>0</v>
      </c>
      <c r="K564" s="16">
        <f t="shared" si="65"/>
        <v>0</v>
      </c>
      <c r="L564" s="16">
        <f t="shared" si="66"/>
        <v>0</v>
      </c>
      <c r="M564" s="17">
        <f t="shared" si="67"/>
        <v>0</v>
      </c>
      <c r="N564" s="11"/>
      <c r="O564" s="18"/>
      <c r="P564" s="18"/>
      <c r="Q564" s="100">
        <f t="shared" si="62"/>
        <v>0</v>
      </c>
      <c r="R564" s="19"/>
      <c r="S564" s="52">
        <f t="shared" si="68"/>
        <v>0</v>
      </c>
      <c r="T564" s="11"/>
    </row>
    <row r="565" spans="1:20" x14ac:dyDescent="0.2">
      <c r="A565" s="11"/>
      <c r="B565" s="11"/>
      <c r="C565" s="12"/>
      <c r="D565" s="13"/>
      <c r="E565" s="14"/>
      <c r="F565" s="13"/>
      <c r="G565" s="15" t="e">
        <f t="shared" si="63"/>
        <v>#DIV/0!</v>
      </c>
      <c r="H565" s="16"/>
      <c r="I565" s="16"/>
      <c r="J565" s="16">
        <f t="shared" si="64"/>
        <v>0</v>
      </c>
      <c r="K565" s="16">
        <f t="shared" si="65"/>
        <v>0</v>
      </c>
      <c r="L565" s="16">
        <f t="shared" si="66"/>
        <v>0</v>
      </c>
      <c r="M565" s="17">
        <f t="shared" si="67"/>
        <v>0</v>
      </c>
      <c r="N565" s="11"/>
      <c r="O565" s="18"/>
      <c r="P565" s="18"/>
      <c r="Q565" s="100">
        <f t="shared" si="62"/>
        <v>0</v>
      </c>
      <c r="R565" s="19"/>
      <c r="S565" s="52">
        <f t="shared" si="68"/>
        <v>0</v>
      </c>
      <c r="T565" s="11"/>
    </row>
    <row r="566" spans="1:20" x14ac:dyDescent="0.2">
      <c r="A566" s="11"/>
      <c r="B566" s="11"/>
      <c r="C566" s="12"/>
      <c r="D566" s="13"/>
      <c r="E566" s="14"/>
      <c r="F566" s="13"/>
      <c r="G566" s="15" t="e">
        <f t="shared" si="63"/>
        <v>#DIV/0!</v>
      </c>
      <c r="H566" s="16"/>
      <c r="I566" s="16"/>
      <c r="J566" s="16">
        <f t="shared" si="64"/>
        <v>0</v>
      </c>
      <c r="K566" s="16">
        <f t="shared" si="65"/>
        <v>0</v>
      </c>
      <c r="L566" s="16">
        <f t="shared" si="66"/>
        <v>0</v>
      </c>
      <c r="M566" s="17">
        <f t="shared" si="67"/>
        <v>0</v>
      </c>
      <c r="N566" s="11"/>
      <c r="O566" s="18"/>
      <c r="P566" s="18"/>
      <c r="Q566" s="100">
        <f t="shared" si="62"/>
        <v>0</v>
      </c>
      <c r="R566" s="19"/>
      <c r="S566" s="52">
        <f t="shared" si="68"/>
        <v>0</v>
      </c>
      <c r="T566" s="11"/>
    </row>
    <row r="567" spans="1:20" x14ac:dyDescent="0.2">
      <c r="A567" s="11"/>
      <c r="B567" s="11"/>
      <c r="C567" s="12"/>
      <c r="D567" s="13"/>
      <c r="E567" s="14"/>
      <c r="F567" s="13"/>
      <c r="G567" s="15" t="e">
        <f t="shared" si="63"/>
        <v>#DIV/0!</v>
      </c>
      <c r="H567" s="16"/>
      <c r="I567" s="16"/>
      <c r="J567" s="16">
        <f t="shared" si="64"/>
        <v>0</v>
      </c>
      <c r="K567" s="16">
        <f t="shared" si="65"/>
        <v>0</v>
      </c>
      <c r="L567" s="16">
        <f t="shared" si="66"/>
        <v>0</v>
      </c>
      <c r="M567" s="17">
        <f t="shared" si="67"/>
        <v>0</v>
      </c>
      <c r="N567" s="11"/>
      <c r="O567" s="18"/>
      <c r="P567" s="18"/>
      <c r="Q567" s="100">
        <f t="shared" si="62"/>
        <v>0</v>
      </c>
      <c r="R567" s="19"/>
      <c r="S567" s="52">
        <f t="shared" si="68"/>
        <v>0</v>
      </c>
      <c r="T567" s="11"/>
    </row>
    <row r="568" spans="1:20" x14ac:dyDescent="0.2">
      <c r="A568" s="11"/>
      <c r="B568" s="11"/>
      <c r="C568" s="12"/>
      <c r="D568" s="13"/>
      <c r="E568" s="14"/>
      <c r="F568" s="13"/>
      <c r="G568" s="15" t="e">
        <f t="shared" si="63"/>
        <v>#DIV/0!</v>
      </c>
      <c r="H568" s="16"/>
      <c r="I568" s="16"/>
      <c r="J568" s="16">
        <f t="shared" si="64"/>
        <v>0</v>
      </c>
      <c r="K568" s="16">
        <f t="shared" si="65"/>
        <v>0</v>
      </c>
      <c r="L568" s="16">
        <f t="shared" si="66"/>
        <v>0</v>
      </c>
      <c r="M568" s="17">
        <f t="shared" si="67"/>
        <v>0</v>
      </c>
      <c r="N568" s="11"/>
      <c r="O568" s="18"/>
      <c r="P568" s="18"/>
      <c r="Q568" s="100">
        <f t="shared" si="62"/>
        <v>0</v>
      </c>
      <c r="R568" s="19"/>
      <c r="S568" s="52">
        <f t="shared" si="68"/>
        <v>0</v>
      </c>
      <c r="T568" s="11"/>
    </row>
    <row r="569" spans="1:20" x14ac:dyDescent="0.2">
      <c r="A569" s="11"/>
      <c r="B569" s="11"/>
      <c r="C569" s="12"/>
      <c r="D569" s="13"/>
      <c r="E569" s="14"/>
      <c r="F569" s="13"/>
      <c r="G569" s="15" t="e">
        <f t="shared" si="63"/>
        <v>#DIV/0!</v>
      </c>
      <c r="H569" s="16"/>
      <c r="I569" s="16"/>
      <c r="J569" s="16">
        <f t="shared" si="64"/>
        <v>0</v>
      </c>
      <c r="K569" s="16">
        <f t="shared" si="65"/>
        <v>0</v>
      </c>
      <c r="L569" s="16">
        <f t="shared" si="66"/>
        <v>0</v>
      </c>
      <c r="M569" s="17">
        <f t="shared" si="67"/>
        <v>0</v>
      </c>
      <c r="N569" s="11"/>
      <c r="O569" s="18"/>
      <c r="P569" s="18"/>
      <c r="Q569" s="100">
        <f t="shared" si="62"/>
        <v>0</v>
      </c>
      <c r="R569" s="19"/>
      <c r="S569" s="52">
        <f t="shared" si="68"/>
        <v>0</v>
      </c>
      <c r="T569" s="11"/>
    </row>
    <row r="570" spans="1:20" x14ac:dyDescent="0.2">
      <c r="A570" s="11"/>
      <c r="B570" s="11"/>
      <c r="C570" s="12"/>
      <c r="D570" s="13"/>
      <c r="E570" s="14"/>
      <c r="F570" s="13"/>
      <c r="G570" s="15" t="e">
        <f t="shared" si="63"/>
        <v>#DIV/0!</v>
      </c>
      <c r="H570" s="16"/>
      <c r="I570" s="16"/>
      <c r="J570" s="16">
        <f t="shared" si="64"/>
        <v>0</v>
      </c>
      <c r="K570" s="16">
        <f t="shared" si="65"/>
        <v>0</v>
      </c>
      <c r="L570" s="16">
        <f t="shared" si="66"/>
        <v>0</v>
      </c>
      <c r="M570" s="17">
        <f t="shared" si="67"/>
        <v>0</v>
      </c>
      <c r="N570" s="11"/>
      <c r="O570" s="18"/>
      <c r="P570" s="18"/>
      <c r="Q570" s="100">
        <f t="shared" si="62"/>
        <v>0</v>
      </c>
      <c r="R570" s="19"/>
      <c r="S570" s="52">
        <f t="shared" si="68"/>
        <v>0</v>
      </c>
      <c r="T570" s="11"/>
    </row>
    <row r="571" spans="1:20" x14ac:dyDescent="0.2">
      <c r="A571" s="11"/>
      <c r="B571" s="11"/>
      <c r="C571" s="12"/>
      <c r="D571" s="13"/>
      <c r="E571" s="14"/>
      <c r="F571" s="13"/>
      <c r="G571" s="15" t="e">
        <f t="shared" si="63"/>
        <v>#DIV/0!</v>
      </c>
      <c r="H571" s="16"/>
      <c r="I571" s="16"/>
      <c r="J571" s="16">
        <f t="shared" si="64"/>
        <v>0</v>
      </c>
      <c r="K571" s="16">
        <f t="shared" si="65"/>
        <v>0</v>
      </c>
      <c r="L571" s="16">
        <f t="shared" si="66"/>
        <v>0</v>
      </c>
      <c r="M571" s="17">
        <f t="shared" si="67"/>
        <v>0</v>
      </c>
      <c r="N571" s="11"/>
      <c r="O571" s="18"/>
      <c r="P571" s="18"/>
      <c r="Q571" s="100">
        <f t="shared" si="62"/>
        <v>0</v>
      </c>
      <c r="R571" s="19"/>
      <c r="S571" s="52">
        <f t="shared" si="68"/>
        <v>0</v>
      </c>
      <c r="T571" s="11"/>
    </row>
    <row r="572" spans="1:20" x14ac:dyDescent="0.2">
      <c r="A572" s="11"/>
      <c r="B572" s="11"/>
      <c r="C572" s="12"/>
      <c r="D572" s="13"/>
      <c r="E572" s="14"/>
      <c r="F572" s="13"/>
      <c r="G572" s="15" t="e">
        <f t="shared" si="63"/>
        <v>#DIV/0!</v>
      </c>
      <c r="H572" s="16"/>
      <c r="I572" s="16"/>
      <c r="J572" s="16">
        <f t="shared" si="64"/>
        <v>0</v>
      </c>
      <c r="K572" s="16">
        <f t="shared" si="65"/>
        <v>0</v>
      </c>
      <c r="L572" s="16">
        <f t="shared" si="66"/>
        <v>0</v>
      </c>
      <c r="M572" s="17">
        <f t="shared" si="67"/>
        <v>0</v>
      </c>
      <c r="N572" s="11"/>
      <c r="O572" s="18"/>
      <c r="P572" s="18"/>
      <c r="Q572" s="100">
        <f t="shared" si="62"/>
        <v>0</v>
      </c>
      <c r="R572" s="19"/>
      <c r="S572" s="52">
        <f t="shared" si="68"/>
        <v>0</v>
      </c>
      <c r="T572" s="11"/>
    </row>
    <row r="573" spans="1:20" x14ac:dyDescent="0.2">
      <c r="A573" s="11"/>
      <c r="B573" s="11"/>
      <c r="C573" s="12"/>
      <c r="D573" s="13"/>
      <c r="E573" s="14"/>
      <c r="F573" s="13"/>
      <c r="G573" s="15" t="e">
        <f t="shared" si="63"/>
        <v>#DIV/0!</v>
      </c>
      <c r="H573" s="16"/>
      <c r="I573" s="16"/>
      <c r="J573" s="16">
        <f t="shared" si="64"/>
        <v>0</v>
      </c>
      <c r="K573" s="16">
        <f t="shared" si="65"/>
        <v>0</v>
      </c>
      <c r="L573" s="16">
        <f t="shared" si="66"/>
        <v>0</v>
      </c>
      <c r="M573" s="17">
        <f t="shared" si="67"/>
        <v>0</v>
      </c>
      <c r="N573" s="11"/>
      <c r="O573" s="18"/>
      <c r="P573" s="18"/>
      <c r="Q573" s="100">
        <f t="shared" si="62"/>
        <v>0</v>
      </c>
      <c r="R573" s="19"/>
      <c r="S573" s="52">
        <f t="shared" si="68"/>
        <v>0</v>
      </c>
      <c r="T573" s="11"/>
    </row>
    <row r="574" spans="1:20" x14ac:dyDescent="0.2">
      <c r="A574" s="11"/>
      <c r="B574" s="11"/>
      <c r="C574" s="12"/>
      <c r="D574" s="13"/>
      <c r="E574" s="14"/>
      <c r="F574" s="13"/>
      <c r="G574" s="15" t="e">
        <f t="shared" si="63"/>
        <v>#DIV/0!</v>
      </c>
      <c r="H574" s="16"/>
      <c r="I574" s="16"/>
      <c r="J574" s="16">
        <f t="shared" si="64"/>
        <v>0</v>
      </c>
      <c r="K574" s="16">
        <f t="shared" si="65"/>
        <v>0</v>
      </c>
      <c r="L574" s="16">
        <f t="shared" si="66"/>
        <v>0</v>
      </c>
      <c r="M574" s="17">
        <f t="shared" si="67"/>
        <v>0</v>
      </c>
      <c r="N574" s="11"/>
      <c r="O574" s="18"/>
      <c r="P574" s="18"/>
      <c r="Q574" s="100">
        <f t="shared" si="62"/>
        <v>0</v>
      </c>
      <c r="R574" s="19"/>
      <c r="S574" s="52">
        <f t="shared" si="68"/>
        <v>0</v>
      </c>
      <c r="T574" s="11"/>
    </row>
    <row r="575" spans="1:20" x14ac:dyDescent="0.2">
      <c r="A575" s="11"/>
      <c r="B575" s="11"/>
      <c r="C575" s="12"/>
      <c r="D575" s="13"/>
      <c r="E575" s="14"/>
      <c r="F575" s="13"/>
      <c r="G575" s="15" t="e">
        <f t="shared" si="63"/>
        <v>#DIV/0!</v>
      </c>
      <c r="H575" s="16"/>
      <c r="I575" s="16"/>
      <c r="J575" s="16">
        <f t="shared" si="64"/>
        <v>0</v>
      </c>
      <c r="K575" s="16">
        <f t="shared" si="65"/>
        <v>0</v>
      </c>
      <c r="L575" s="16">
        <f t="shared" si="66"/>
        <v>0</v>
      </c>
      <c r="M575" s="17">
        <f t="shared" si="67"/>
        <v>0</v>
      </c>
      <c r="N575" s="11"/>
      <c r="O575" s="18"/>
      <c r="P575" s="18"/>
      <c r="Q575" s="100">
        <f t="shared" si="62"/>
        <v>0</v>
      </c>
      <c r="R575" s="19"/>
      <c r="S575" s="52">
        <f t="shared" si="68"/>
        <v>0</v>
      </c>
      <c r="T575" s="11"/>
    </row>
    <row r="576" spans="1:20" x14ac:dyDescent="0.2">
      <c r="A576" s="11"/>
      <c r="B576" s="11"/>
      <c r="C576" s="12"/>
      <c r="D576" s="13"/>
      <c r="E576" s="14"/>
      <c r="F576" s="13"/>
      <c r="G576" s="15" t="e">
        <f t="shared" si="63"/>
        <v>#DIV/0!</v>
      </c>
      <c r="H576" s="16"/>
      <c r="I576" s="16"/>
      <c r="J576" s="16">
        <f t="shared" si="64"/>
        <v>0</v>
      </c>
      <c r="K576" s="16">
        <f t="shared" si="65"/>
        <v>0</v>
      </c>
      <c r="L576" s="16">
        <f t="shared" si="66"/>
        <v>0</v>
      </c>
      <c r="M576" s="17">
        <f t="shared" si="67"/>
        <v>0</v>
      </c>
      <c r="N576" s="11"/>
      <c r="O576" s="18"/>
      <c r="P576" s="18"/>
      <c r="Q576" s="100">
        <f t="shared" si="62"/>
        <v>0</v>
      </c>
      <c r="R576" s="19"/>
      <c r="S576" s="52">
        <f t="shared" si="68"/>
        <v>0</v>
      </c>
      <c r="T576" s="11"/>
    </row>
    <row r="577" spans="1:20" x14ac:dyDescent="0.2">
      <c r="A577" s="11"/>
      <c r="B577" s="11"/>
      <c r="C577" s="12"/>
      <c r="D577" s="13"/>
      <c r="E577" s="14"/>
      <c r="F577" s="13"/>
      <c r="G577" s="15" t="e">
        <f t="shared" si="63"/>
        <v>#DIV/0!</v>
      </c>
      <c r="H577" s="16"/>
      <c r="I577" s="16"/>
      <c r="J577" s="16">
        <f t="shared" si="64"/>
        <v>0</v>
      </c>
      <c r="K577" s="16">
        <f t="shared" si="65"/>
        <v>0</v>
      </c>
      <c r="L577" s="16">
        <f t="shared" si="66"/>
        <v>0</v>
      </c>
      <c r="M577" s="17">
        <f t="shared" si="67"/>
        <v>0</v>
      </c>
      <c r="N577" s="11"/>
      <c r="O577" s="18"/>
      <c r="P577" s="18"/>
      <c r="Q577" s="100">
        <f t="shared" si="62"/>
        <v>0</v>
      </c>
      <c r="R577" s="19"/>
      <c r="S577" s="52">
        <f t="shared" si="68"/>
        <v>0</v>
      </c>
      <c r="T577" s="11"/>
    </row>
    <row r="578" spans="1:20" x14ac:dyDescent="0.2">
      <c r="A578" s="11"/>
      <c r="B578" s="11"/>
      <c r="C578" s="12"/>
      <c r="D578" s="13"/>
      <c r="E578" s="14"/>
      <c r="F578" s="13"/>
      <c r="G578" s="15" t="e">
        <f t="shared" si="63"/>
        <v>#DIV/0!</v>
      </c>
      <c r="H578" s="16"/>
      <c r="I578" s="16"/>
      <c r="J578" s="16">
        <f t="shared" si="64"/>
        <v>0</v>
      </c>
      <c r="K578" s="16">
        <f t="shared" si="65"/>
        <v>0</v>
      </c>
      <c r="L578" s="16">
        <f t="shared" si="66"/>
        <v>0</v>
      </c>
      <c r="M578" s="17">
        <f t="shared" si="67"/>
        <v>0</v>
      </c>
      <c r="N578" s="11"/>
      <c r="O578" s="18"/>
      <c r="P578" s="18"/>
      <c r="Q578" s="100">
        <f t="shared" si="62"/>
        <v>0</v>
      </c>
      <c r="R578" s="19"/>
      <c r="S578" s="52">
        <f t="shared" si="68"/>
        <v>0</v>
      </c>
      <c r="T578" s="11"/>
    </row>
    <row r="579" spans="1:20" x14ac:dyDescent="0.2">
      <c r="A579" s="11"/>
      <c r="B579" s="11"/>
      <c r="C579" s="12"/>
      <c r="D579" s="13"/>
      <c r="E579" s="14"/>
      <c r="F579" s="13"/>
      <c r="G579" s="15" t="e">
        <f t="shared" si="63"/>
        <v>#DIV/0!</v>
      </c>
      <c r="H579" s="16"/>
      <c r="I579" s="16"/>
      <c r="J579" s="16">
        <f t="shared" si="64"/>
        <v>0</v>
      </c>
      <c r="K579" s="16">
        <f t="shared" si="65"/>
        <v>0</v>
      </c>
      <c r="L579" s="16">
        <f t="shared" si="66"/>
        <v>0</v>
      </c>
      <c r="M579" s="17">
        <f t="shared" si="67"/>
        <v>0</v>
      </c>
      <c r="N579" s="11"/>
      <c r="O579" s="18"/>
      <c r="P579" s="18"/>
      <c r="Q579" s="100">
        <f t="shared" si="62"/>
        <v>0</v>
      </c>
      <c r="R579" s="19"/>
      <c r="S579" s="52">
        <f t="shared" si="68"/>
        <v>0</v>
      </c>
      <c r="T579" s="11"/>
    </row>
    <row r="580" spans="1:20" x14ac:dyDescent="0.2">
      <c r="A580" s="11"/>
      <c r="B580" s="11"/>
      <c r="C580" s="12"/>
      <c r="D580" s="13"/>
      <c r="E580" s="14"/>
      <c r="F580" s="13"/>
      <c r="G580" s="15" t="e">
        <f t="shared" si="63"/>
        <v>#DIV/0!</v>
      </c>
      <c r="H580" s="16"/>
      <c r="I580" s="16"/>
      <c r="J580" s="16">
        <f t="shared" si="64"/>
        <v>0</v>
      </c>
      <c r="K580" s="16">
        <f t="shared" si="65"/>
        <v>0</v>
      </c>
      <c r="L580" s="16">
        <f t="shared" si="66"/>
        <v>0</v>
      </c>
      <c r="M580" s="17">
        <f t="shared" si="67"/>
        <v>0</v>
      </c>
      <c r="N580" s="11"/>
      <c r="O580" s="18"/>
      <c r="P580" s="18"/>
      <c r="Q580" s="100">
        <f t="shared" si="62"/>
        <v>0</v>
      </c>
      <c r="R580" s="19"/>
      <c r="S580" s="52">
        <f t="shared" si="68"/>
        <v>0</v>
      </c>
      <c r="T580" s="11"/>
    </row>
    <row r="581" spans="1:20" x14ac:dyDescent="0.2">
      <c r="A581" s="11"/>
      <c r="B581" s="11"/>
      <c r="C581" s="12"/>
      <c r="D581" s="13"/>
      <c r="E581" s="14"/>
      <c r="F581" s="13"/>
      <c r="G581" s="15" t="e">
        <f t="shared" si="63"/>
        <v>#DIV/0!</v>
      </c>
      <c r="H581" s="16"/>
      <c r="I581" s="16"/>
      <c r="J581" s="16">
        <f t="shared" si="64"/>
        <v>0</v>
      </c>
      <c r="K581" s="16">
        <f t="shared" si="65"/>
        <v>0</v>
      </c>
      <c r="L581" s="16">
        <f t="shared" si="66"/>
        <v>0</v>
      </c>
      <c r="M581" s="17">
        <f t="shared" si="67"/>
        <v>0</v>
      </c>
      <c r="N581" s="11"/>
      <c r="O581" s="18"/>
      <c r="P581" s="18"/>
      <c r="Q581" s="100">
        <f t="shared" si="62"/>
        <v>0</v>
      </c>
      <c r="R581" s="19"/>
      <c r="S581" s="52">
        <f t="shared" si="68"/>
        <v>0</v>
      </c>
      <c r="T581" s="11"/>
    </row>
    <row r="582" spans="1:20" x14ac:dyDescent="0.2">
      <c r="A582" s="11"/>
      <c r="B582" s="11"/>
      <c r="C582" s="12"/>
      <c r="D582" s="13"/>
      <c r="E582" s="14"/>
      <c r="F582" s="13"/>
      <c r="G582" s="15" t="e">
        <f t="shared" si="63"/>
        <v>#DIV/0!</v>
      </c>
      <c r="H582" s="16"/>
      <c r="I582" s="16"/>
      <c r="J582" s="16">
        <f t="shared" si="64"/>
        <v>0</v>
      </c>
      <c r="K582" s="16">
        <f t="shared" si="65"/>
        <v>0</v>
      </c>
      <c r="L582" s="16">
        <f t="shared" si="66"/>
        <v>0</v>
      </c>
      <c r="M582" s="17">
        <f t="shared" si="67"/>
        <v>0</v>
      </c>
      <c r="N582" s="11"/>
      <c r="O582" s="18"/>
      <c r="P582" s="18"/>
      <c r="Q582" s="100">
        <f t="shared" ref="Q582:Q645" si="69">+P582-O582</f>
        <v>0</v>
      </c>
      <c r="R582" s="19"/>
      <c r="S582" s="52">
        <f t="shared" si="68"/>
        <v>0</v>
      </c>
      <c r="T582" s="11"/>
    </row>
    <row r="583" spans="1:20" x14ac:dyDescent="0.2">
      <c r="A583" s="11"/>
      <c r="B583" s="11"/>
      <c r="C583" s="12"/>
      <c r="D583" s="13"/>
      <c r="E583" s="14"/>
      <c r="F583" s="13"/>
      <c r="G583" s="15" t="e">
        <f t="shared" si="63"/>
        <v>#DIV/0!</v>
      </c>
      <c r="H583" s="16"/>
      <c r="I583" s="16"/>
      <c r="J583" s="16">
        <f t="shared" si="64"/>
        <v>0</v>
      </c>
      <c r="K583" s="16">
        <f t="shared" si="65"/>
        <v>0</v>
      </c>
      <c r="L583" s="16">
        <f t="shared" si="66"/>
        <v>0</v>
      </c>
      <c r="M583" s="17">
        <f t="shared" si="67"/>
        <v>0</v>
      </c>
      <c r="N583" s="11"/>
      <c r="O583" s="18"/>
      <c r="P583" s="18"/>
      <c r="Q583" s="100">
        <f t="shared" si="69"/>
        <v>0</v>
      </c>
      <c r="R583" s="19"/>
      <c r="S583" s="52">
        <f t="shared" si="68"/>
        <v>0</v>
      </c>
      <c r="T583" s="11"/>
    </row>
    <row r="584" spans="1:20" x14ac:dyDescent="0.2">
      <c r="A584" s="11"/>
      <c r="B584" s="11"/>
      <c r="C584" s="12"/>
      <c r="D584" s="13"/>
      <c r="E584" s="14"/>
      <c r="F584" s="13"/>
      <c r="G584" s="15" t="e">
        <f t="shared" si="63"/>
        <v>#DIV/0!</v>
      </c>
      <c r="H584" s="16"/>
      <c r="I584" s="16"/>
      <c r="J584" s="16">
        <f t="shared" si="64"/>
        <v>0</v>
      </c>
      <c r="K584" s="16">
        <f t="shared" si="65"/>
        <v>0</v>
      </c>
      <c r="L584" s="16">
        <f t="shared" si="66"/>
        <v>0</v>
      </c>
      <c r="M584" s="17">
        <f t="shared" si="67"/>
        <v>0</v>
      </c>
      <c r="N584" s="11"/>
      <c r="O584" s="18"/>
      <c r="P584" s="18"/>
      <c r="Q584" s="100">
        <f t="shared" si="69"/>
        <v>0</v>
      </c>
      <c r="R584" s="19"/>
      <c r="S584" s="52">
        <f t="shared" si="68"/>
        <v>0</v>
      </c>
      <c r="T584" s="11"/>
    </row>
    <row r="585" spans="1:20" x14ac:dyDescent="0.2">
      <c r="A585" s="11"/>
      <c r="B585" s="11"/>
      <c r="C585" s="12"/>
      <c r="D585" s="13"/>
      <c r="E585" s="14"/>
      <c r="F585" s="13"/>
      <c r="G585" s="15" t="e">
        <f t="shared" si="63"/>
        <v>#DIV/0!</v>
      </c>
      <c r="H585" s="16"/>
      <c r="I585" s="16"/>
      <c r="J585" s="16">
        <f t="shared" si="64"/>
        <v>0</v>
      </c>
      <c r="K585" s="16">
        <f t="shared" si="65"/>
        <v>0</v>
      </c>
      <c r="L585" s="16">
        <f t="shared" si="66"/>
        <v>0</v>
      </c>
      <c r="M585" s="17">
        <f t="shared" si="67"/>
        <v>0</v>
      </c>
      <c r="N585" s="11"/>
      <c r="O585" s="18"/>
      <c r="P585" s="18"/>
      <c r="Q585" s="100">
        <f t="shared" si="69"/>
        <v>0</v>
      </c>
      <c r="R585" s="19"/>
      <c r="S585" s="52">
        <f t="shared" si="68"/>
        <v>0</v>
      </c>
      <c r="T585" s="11"/>
    </row>
    <row r="586" spans="1:20" x14ac:dyDescent="0.2">
      <c r="A586" s="11"/>
      <c r="B586" s="11"/>
      <c r="C586" s="12"/>
      <c r="D586" s="13"/>
      <c r="E586" s="14"/>
      <c r="F586" s="13"/>
      <c r="G586" s="15" t="e">
        <f t="shared" si="63"/>
        <v>#DIV/0!</v>
      </c>
      <c r="H586" s="16"/>
      <c r="I586" s="16"/>
      <c r="J586" s="16">
        <f t="shared" si="64"/>
        <v>0</v>
      </c>
      <c r="K586" s="16">
        <f t="shared" si="65"/>
        <v>0</v>
      </c>
      <c r="L586" s="16">
        <f t="shared" si="66"/>
        <v>0</v>
      </c>
      <c r="M586" s="17">
        <f t="shared" si="67"/>
        <v>0</v>
      </c>
      <c r="N586" s="11"/>
      <c r="O586" s="18"/>
      <c r="P586" s="18"/>
      <c r="Q586" s="100">
        <f t="shared" si="69"/>
        <v>0</v>
      </c>
      <c r="R586" s="19"/>
      <c r="S586" s="52">
        <f t="shared" si="68"/>
        <v>0</v>
      </c>
      <c r="T586" s="11"/>
    </row>
    <row r="587" spans="1:20" x14ac:dyDescent="0.2">
      <c r="A587" s="11"/>
      <c r="B587" s="11"/>
      <c r="C587" s="12"/>
      <c r="D587" s="13"/>
      <c r="E587" s="14"/>
      <c r="F587" s="13"/>
      <c r="G587" s="15" t="e">
        <f t="shared" si="63"/>
        <v>#DIV/0!</v>
      </c>
      <c r="H587" s="16"/>
      <c r="I587" s="16"/>
      <c r="J587" s="16">
        <f t="shared" si="64"/>
        <v>0</v>
      </c>
      <c r="K587" s="16">
        <f t="shared" si="65"/>
        <v>0</v>
      </c>
      <c r="L587" s="16">
        <f t="shared" si="66"/>
        <v>0</v>
      </c>
      <c r="M587" s="17">
        <f t="shared" si="67"/>
        <v>0</v>
      </c>
      <c r="N587" s="11"/>
      <c r="O587" s="18"/>
      <c r="P587" s="18"/>
      <c r="Q587" s="100">
        <f t="shared" si="69"/>
        <v>0</v>
      </c>
      <c r="R587" s="19"/>
      <c r="S587" s="52">
        <f t="shared" si="68"/>
        <v>0</v>
      </c>
      <c r="T587" s="11"/>
    </row>
    <row r="588" spans="1:20" x14ac:dyDescent="0.2">
      <c r="A588" s="11"/>
      <c r="B588" s="11"/>
      <c r="C588" s="12"/>
      <c r="D588" s="13"/>
      <c r="E588" s="14"/>
      <c r="F588" s="13"/>
      <c r="G588" s="15" t="e">
        <f t="shared" si="63"/>
        <v>#DIV/0!</v>
      </c>
      <c r="H588" s="16"/>
      <c r="I588" s="16"/>
      <c r="J588" s="16">
        <f t="shared" si="64"/>
        <v>0</v>
      </c>
      <c r="K588" s="16">
        <f t="shared" si="65"/>
        <v>0</v>
      </c>
      <c r="L588" s="16">
        <f t="shared" si="66"/>
        <v>0</v>
      </c>
      <c r="M588" s="17">
        <f t="shared" si="67"/>
        <v>0</v>
      </c>
      <c r="N588" s="11"/>
      <c r="O588" s="18"/>
      <c r="P588" s="18"/>
      <c r="Q588" s="100">
        <f t="shared" si="69"/>
        <v>0</v>
      </c>
      <c r="R588" s="19"/>
      <c r="S588" s="52">
        <f t="shared" si="68"/>
        <v>0</v>
      </c>
      <c r="T588" s="11"/>
    </row>
    <row r="589" spans="1:20" x14ac:dyDescent="0.2">
      <c r="A589" s="11"/>
      <c r="B589" s="11"/>
      <c r="C589" s="12"/>
      <c r="D589" s="13"/>
      <c r="E589" s="14"/>
      <c r="F589" s="13"/>
      <c r="G589" s="15" t="e">
        <f t="shared" si="63"/>
        <v>#DIV/0!</v>
      </c>
      <c r="H589" s="16"/>
      <c r="I589" s="16"/>
      <c r="J589" s="16">
        <f t="shared" si="64"/>
        <v>0</v>
      </c>
      <c r="K589" s="16">
        <f t="shared" si="65"/>
        <v>0</v>
      </c>
      <c r="L589" s="16">
        <f t="shared" si="66"/>
        <v>0</v>
      </c>
      <c r="M589" s="17">
        <f t="shared" si="67"/>
        <v>0</v>
      </c>
      <c r="N589" s="11"/>
      <c r="O589" s="18"/>
      <c r="P589" s="18"/>
      <c r="Q589" s="100">
        <f t="shared" si="69"/>
        <v>0</v>
      </c>
      <c r="R589" s="19"/>
      <c r="S589" s="52">
        <f t="shared" si="68"/>
        <v>0</v>
      </c>
      <c r="T589" s="11"/>
    </row>
    <row r="590" spans="1:20" x14ac:dyDescent="0.2">
      <c r="A590" s="11"/>
      <c r="B590" s="11"/>
      <c r="C590" s="12"/>
      <c r="D590" s="13"/>
      <c r="E590" s="14"/>
      <c r="F590" s="13"/>
      <c r="G590" s="15" t="e">
        <f t="shared" ref="G590:G653" si="70">+F590/D590</f>
        <v>#DIV/0!</v>
      </c>
      <c r="H590" s="16"/>
      <c r="I590" s="16"/>
      <c r="J590" s="16">
        <f t="shared" ref="J590:J653" si="71">+H590*F590</f>
        <v>0</v>
      </c>
      <c r="K590" s="16">
        <f t="shared" ref="K590:K653" si="72">$K$2*C590</f>
        <v>0</v>
      </c>
      <c r="L590" s="16">
        <f t="shared" ref="L590:L653" si="73">$L$2*C590</f>
        <v>0</v>
      </c>
      <c r="M590" s="17">
        <f t="shared" ref="M590:M653" si="74">+(J590*1.21)+K590+L590</f>
        <v>0</v>
      </c>
      <c r="N590" s="11"/>
      <c r="O590" s="18"/>
      <c r="P590" s="18"/>
      <c r="Q590" s="100">
        <f t="shared" si="69"/>
        <v>0</v>
      </c>
      <c r="R590" s="19"/>
      <c r="S590" s="52">
        <f t="shared" si="68"/>
        <v>0</v>
      </c>
      <c r="T590" s="11"/>
    </row>
    <row r="591" spans="1:20" x14ac:dyDescent="0.2">
      <c r="A591" s="11"/>
      <c r="B591" s="11"/>
      <c r="C591" s="12"/>
      <c r="D591" s="13"/>
      <c r="E591" s="14"/>
      <c r="F591" s="13"/>
      <c r="G591" s="15" t="e">
        <f t="shared" si="70"/>
        <v>#DIV/0!</v>
      </c>
      <c r="H591" s="16"/>
      <c r="I591" s="16"/>
      <c r="J591" s="16">
        <f t="shared" si="71"/>
        <v>0</v>
      </c>
      <c r="K591" s="16">
        <f t="shared" si="72"/>
        <v>0</v>
      </c>
      <c r="L591" s="16">
        <f t="shared" si="73"/>
        <v>0</v>
      </c>
      <c r="M591" s="17">
        <f t="shared" si="74"/>
        <v>0</v>
      </c>
      <c r="N591" s="11"/>
      <c r="O591" s="18"/>
      <c r="P591" s="18"/>
      <c r="Q591" s="100">
        <f t="shared" si="69"/>
        <v>0</v>
      </c>
      <c r="R591" s="19"/>
      <c r="S591" s="52">
        <f t="shared" si="68"/>
        <v>0</v>
      </c>
      <c r="T591" s="11"/>
    </row>
    <row r="592" spans="1:20" x14ac:dyDescent="0.2">
      <c r="A592" s="11"/>
      <c r="B592" s="11"/>
      <c r="C592" s="12"/>
      <c r="D592" s="13"/>
      <c r="E592" s="14"/>
      <c r="F592" s="13"/>
      <c r="G592" s="15" t="e">
        <f t="shared" si="70"/>
        <v>#DIV/0!</v>
      </c>
      <c r="H592" s="16"/>
      <c r="I592" s="16"/>
      <c r="J592" s="16">
        <f t="shared" si="71"/>
        <v>0</v>
      </c>
      <c r="K592" s="16">
        <f t="shared" si="72"/>
        <v>0</v>
      </c>
      <c r="L592" s="16">
        <f t="shared" si="73"/>
        <v>0</v>
      </c>
      <c r="M592" s="17">
        <f t="shared" si="74"/>
        <v>0</v>
      </c>
      <c r="N592" s="11"/>
      <c r="O592" s="18"/>
      <c r="P592" s="18"/>
      <c r="Q592" s="100">
        <f t="shared" si="69"/>
        <v>0</v>
      </c>
      <c r="R592" s="19"/>
      <c r="S592" s="52">
        <f t="shared" ref="S592:S655" si="75">+R592-M592</f>
        <v>0</v>
      </c>
      <c r="T592" s="11"/>
    </row>
    <row r="593" spans="1:20" x14ac:dyDescent="0.2">
      <c r="A593" s="11"/>
      <c r="B593" s="11"/>
      <c r="C593" s="12"/>
      <c r="D593" s="13"/>
      <c r="E593" s="14"/>
      <c r="F593" s="13"/>
      <c r="G593" s="15" t="e">
        <f t="shared" si="70"/>
        <v>#DIV/0!</v>
      </c>
      <c r="H593" s="16"/>
      <c r="I593" s="16"/>
      <c r="J593" s="16">
        <f t="shared" si="71"/>
        <v>0</v>
      </c>
      <c r="K593" s="16">
        <f t="shared" si="72"/>
        <v>0</v>
      </c>
      <c r="L593" s="16">
        <f t="shared" si="73"/>
        <v>0</v>
      </c>
      <c r="M593" s="17">
        <f t="shared" si="74"/>
        <v>0</v>
      </c>
      <c r="N593" s="11"/>
      <c r="O593" s="18"/>
      <c r="P593" s="18"/>
      <c r="Q593" s="100">
        <f t="shared" si="69"/>
        <v>0</v>
      </c>
      <c r="R593" s="19"/>
      <c r="S593" s="52">
        <f t="shared" si="75"/>
        <v>0</v>
      </c>
      <c r="T593" s="11"/>
    </row>
    <row r="594" spans="1:20" x14ac:dyDescent="0.2">
      <c r="A594" s="11"/>
      <c r="B594" s="11"/>
      <c r="C594" s="12"/>
      <c r="D594" s="13"/>
      <c r="E594" s="14"/>
      <c r="F594" s="13"/>
      <c r="G594" s="15" t="e">
        <f t="shared" si="70"/>
        <v>#DIV/0!</v>
      </c>
      <c r="H594" s="16"/>
      <c r="I594" s="16"/>
      <c r="J594" s="16">
        <f t="shared" si="71"/>
        <v>0</v>
      </c>
      <c r="K594" s="16">
        <f t="shared" si="72"/>
        <v>0</v>
      </c>
      <c r="L594" s="16">
        <f t="shared" si="73"/>
        <v>0</v>
      </c>
      <c r="M594" s="17">
        <f t="shared" si="74"/>
        <v>0</v>
      </c>
      <c r="N594" s="11"/>
      <c r="O594" s="18"/>
      <c r="P594" s="18"/>
      <c r="Q594" s="100">
        <f t="shared" si="69"/>
        <v>0</v>
      </c>
      <c r="R594" s="19"/>
      <c r="S594" s="52">
        <f t="shared" si="75"/>
        <v>0</v>
      </c>
      <c r="T594" s="11"/>
    </row>
    <row r="595" spans="1:20" x14ac:dyDescent="0.2">
      <c r="A595" s="11"/>
      <c r="B595" s="11"/>
      <c r="C595" s="12"/>
      <c r="D595" s="13"/>
      <c r="E595" s="14"/>
      <c r="F595" s="13"/>
      <c r="G595" s="15" t="e">
        <f t="shared" si="70"/>
        <v>#DIV/0!</v>
      </c>
      <c r="H595" s="16"/>
      <c r="I595" s="16"/>
      <c r="J595" s="16">
        <f t="shared" si="71"/>
        <v>0</v>
      </c>
      <c r="K595" s="16">
        <f t="shared" si="72"/>
        <v>0</v>
      </c>
      <c r="L595" s="16">
        <f t="shared" si="73"/>
        <v>0</v>
      </c>
      <c r="M595" s="17">
        <f t="shared" si="74"/>
        <v>0</v>
      </c>
      <c r="N595" s="11"/>
      <c r="O595" s="18"/>
      <c r="P595" s="18"/>
      <c r="Q595" s="100">
        <f t="shared" si="69"/>
        <v>0</v>
      </c>
      <c r="R595" s="19"/>
      <c r="S595" s="52">
        <f t="shared" si="75"/>
        <v>0</v>
      </c>
      <c r="T595" s="11"/>
    </row>
    <row r="596" spans="1:20" x14ac:dyDescent="0.2">
      <c r="A596" s="11"/>
      <c r="B596" s="11"/>
      <c r="C596" s="12"/>
      <c r="D596" s="13"/>
      <c r="E596" s="14"/>
      <c r="F596" s="13"/>
      <c r="G596" s="15" t="e">
        <f t="shared" si="70"/>
        <v>#DIV/0!</v>
      </c>
      <c r="H596" s="16"/>
      <c r="I596" s="16"/>
      <c r="J596" s="16">
        <f t="shared" si="71"/>
        <v>0</v>
      </c>
      <c r="K596" s="16">
        <f t="shared" si="72"/>
        <v>0</v>
      </c>
      <c r="L596" s="16">
        <f t="shared" si="73"/>
        <v>0</v>
      </c>
      <c r="M596" s="17">
        <f t="shared" si="74"/>
        <v>0</v>
      </c>
      <c r="N596" s="11"/>
      <c r="O596" s="18"/>
      <c r="P596" s="18"/>
      <c r="Q596" s="100">
        <f t="shared" si="69"/>
        <v>0</v>
      </c>
      <c r="R596" s="19"/>
      <c r="S596" s="52">
        <f t="shared" si="75"/>
        <v>0</v>
      </c>
      <c r="T596" s="11"/>
    </row>
    <row r="597" spans="1:20" x14ac:dyDescent="0.2">
      <c r="A597" s="11"/>
      <c r="B597" s="11"/>
      <c r="C597" s="12"/>
      <c r="D597" s="13"/>
      <c r="E597" s="14"/>
      <c r="F597" s="13"/>
      <c r="G597" s="15" t="e">
        <f t="shared" si="70"/>
        <v>#DIV/0!</v>
      </c>
      <c r="H597" s="16"/>
      <c r="I597" s="16"/>
      <c r="J597" s="16">
        <f t="shared" si="71"/>
        <v>0</v>
      </c>
      <c r="K597" s="16">
        <f t="shared" si="72"/>
        <v>0</v>
      </c>
      <c r="L597" s="16">
        <f t="shared" si="73"/>
        <v>0</v>
      </c>
      <c r="M597" s="17">
        <f t="shared" si="74"/>
        <v>0</v>
      </c>
      <c r="N597" s="11"/>
      <c r="O597" s="18"/>
      <c r="P597" s="18"/>
      <c r="Q597" s="100">
        <f t="shared" si="69"/>
        <v>0</v>
      </c>
      <c r="R597" s="19"/>
      <c r="S597" s="52">
        <f t="shared" si="75"/>
        <v>0</v>
      </c>
      <c r="T597" s="11"/>
    </row>
    <row r="598" spans="1:20" x14ac:dyDescent="0.2">
      <c r="A598" s="11"/>
      <c r="B598" s="11"/>
      <c r="C598" s="12"/>
      <c r="D598" s="13"/>
      <c r="E598" s="14"/>
      <c r="F598" s="13"/>
      <c r="G598" s="15" t="e">
        <f t="shared" si="70"/>
        <v>#DIV/0!</v>
      </c>
      <c r="H598" s="16"/>
      <c r="I598" s="16"/>
      <c r="J598" s="16">
        <f t="shared" si="71"/>
        <v>0</v>
      </c>
      <c r="K598" s="16">
        <f t="shared" si="72"/>
        <v>0</v>
      </c>
      <c r="L598" s="16">
        <f t="shared" si="73"/>
        <v>0</v>
      </c>
      <c r="M598" s="17">
        <f t="shared" si="74"/>
        <v>0</v>
      </c>
      <c r="N598" s="11"/>
      <c r="O598" s="18"/>
      <c r="P598" s="18"/>
      <c r="Q598" s="100">
        <f t="shared" si="69"/>
        <v>0</v>
      </c>
      <c r="R598" s="19"/>
      <c r="S598" s="52">
        <f t="shared" si="75"/>
        <v>0</v>
      </c>
      <c r="T598" s="11"/>
    </row>
    <row r="599" spans="1:20" x14ac:dyDescent="0.2">
      <c r="A599" s="11"/>
      <c r="B599" s="11"/>
      <c r="C599" s="12"/>
      <c r="D599" s="13"/>
      <c r="E599" s="14"/>
      <c r="F599" s="13"/>
      <c r="G599" s="15" t="e">
        <f t="shared" si="70"/>
        <v>#DIV/0!</v>
      </c>
      <c r="H599" s="16"/>
      <c r="I599" s="16"/>
      <c r="J599" s="16">
        <f t="shared" si="71"/>
        <v>0</v>
      </c>
      <c r="K599" s="16">
        <f t="shared" si="72"/>
        <v>0</v>
      </c>
      <c r="L599" s="16">
        <f t="shared" si="73"/>
        <v>0</v>
      </c>
      <c r="M599" s="17">
        <f t="shared" si="74"/>
        <v>0</v>
      </c>
      <c r="N599" s="11"/>
      <c r="O599" s="18"/>
      <c r="P599" s="18"/>
      <c r="Q599" s="100">
        <f t="shared" si="69"/>
        <v>0</v>
      </c>
      <c r="R599" s="19"/>
      <c r="S599" s="52">
        <f t="shared" si="75"/>
        <v>0</v>
      </c>
      <c r="T599" s="11"/>
    </row>
    <row r="600" spans="1:20" x14ac:dyDescent="0.2">
      <c r="A600" s="11"/>
      <c r="B600" s="11"/>
      <c r="C600" s="12"/>
      <c r="D600" s="13"/>
      <c r="E600" s="14"/>
      <c r="F600" s="13"/>
      <c r="G600" s="15" t="e">
        <f t="shared" si="70"/>
        <v>#DIV/0!</v>
      </c>
      <c r="H600" s="16"/>
      <c r="I600" s="16"/>
      <c r="J600" s="16">
        <f t="shared" si="71"/>
        <v>0</v>
      </c>
      <c r="K600" s="16">
        <f t="shared" si="72"/>
        <v>0</v>
      </c>
      <c r="L600" s="16">
        <f t="shared" si="73"/>
        <v>0</v>
      </c>
      <c r="M600" s="17">
        <f t="shared" si="74"/>
        <v>0</v>
      </c>
      <c r="N600" s="11"/>
      <c r="O600" s="18"/>
      <c r="P600" s="18"/>
      <c r="Q600" s="100">
        <f t="shared" si="69"/>
        <v>0</v>
      </c>
      <c r="R600" s="19"/>
      <c r="S600" s="52">
        <f t="shared" si="75"/>
        <v>0</v>
      </c>
      <c r="T600" s="11"/>
    </row>
    <row r="601" spans="1:20" x14ac:dyDescent="0.2">
      <c r="A601" s="11"/>
      <c r="B601" s="11"/>
      <c r="C601" s="12"/>
      <c r="D601" s="13"/>
      <c r="E601" s="14"/>
      <c r="F601" s="13"/>
      <c r="G601" s="15" t="e">
        <f t="shared" si="70"/>
        <v>#DIV/0!</v>
      </c>
      <c r="H601" s="16"/>
      <c r="I601" s="16"/>
      <c r="J601" s="16">
        <f t="shared" si="71"/>
        <v>0</v>
      </c>
      <c r="K601" s="16">
        <f t="shared" si="72"/>
        <v>0</v>
      </c>
      <c r="L601" s="16">
        <f t="shared" si="73"/>
        <v>0</v>
      </c>
      <c r="M601" s="17">
        <f t="shared" si="74"/>
        <v>0</v>
      </c>
      <c r="N601" s="11"/>
      <c r="O601" s="18"/>
      <c r="P601" s="18"/>
      <c r="Q601" s="100">
        <f t="shared" si="69"/>
        <v>0</v>
      </c>
      <c r="R601" s="19"/>
      <c r="S601" s="52">
        <f t="shared" si="75"/>
        <v>0</v>
      </c>
      <c r="T601" s="11"/>
    </row>
    <row r="602" spans="1:20" x14ac:dyDescent="0.2">
      <c r="A602" s="11"/>
      <c r="B602" s="11"/>
      <c r="C602" s="12"/>
      <c r="D602" s="13"/>
      <c r="E602" s="14"/>
      <c r="F602" s="13"/>
      <c r="G602" s="15" t="e">
        <f t="shared" si="70"/>
        <v>#DIV/0!</v>
      </c>
      <c r="H602" s="16"/>
      <c r="I602" s="16"/>
      <c r="J602" s="16">
        <f t="shared" si="71"/>
        <v>0</v>
      </c>
      <c r="K602" s="16">
        <f t="shared" si="72"/>
        <v>0</v>
      </c>
      <c r="L602" s="16">
        <f t="shared" si="73"/>
        <v>0</v>
      </c>
      <c r="M602" s="17">
        <f t="shared" si="74"/>
        <v>0</v>
      </c>
      <c r="N602" s="11"/>
      <c r="O602" s="18"/>
      <c r="P602" s="18"/>
      <c r="Q602" s="100">
        <f t="shared" si="69"/>
        <v>0</v>
      </c>
      <c r="R602" s="19"/>
      <c r="S602" s="52">
        <f t="shared" si="75"/>
        <v>0</v>
      </c>
      <c r="T602" s="11"/>
    </row>
    <row r="603" spans="1:20" x14ac:dyDescent="0.2">
      <c r="A603" s="11"/>
      <c r="B603" s="11"/>
      <c r="C603" s="12"/>
      <c r="D603" s="13"/>
      <c r="E603" s="14"/>
      <c r="F603" s="13"/>
      <c r="G603" s="15" t="e">
        <f t="shared" si="70"/>
        <v>#DIV/0!</v>
      </c>
      <c r="H603" s="16"/>
      <c r="I603" s="16"/>
      <c r="J603" s="16">
        <f t="shared" si="71"/>
        <v>0</v>
      </c>
      <c r="K603" s="16">
        <f t="shared" si="72"/>
        <v>0</v>
      </c>
      <c r="L603" s="16">
        <f t="shared" si="73"/>
        <v>0</v>
      </c>
      <c r="M603" s="17">
        <f t="shared" si="74"/>
        <v>0</v>
      </c>
      <c r="N603" s="11"/>
      <c r="O603" s="18"/>
      <c r="P603" s="18"/>
      <c r="Q603" s="100">
        <f t="shared" si="69"/>
        <v>0</v>
      </c>
      <c r="R603" s="19"/>
      <c r="S603" s="52">
        <f t="shared" si="75"/>
        <v>0</v>
      </c>
      <c r="T603" s="11"/>
    </row>
    <row r="604" spans="1:20" x14ac:dyDescent="0.2">
      <c r="A604" s="11"/>
      <c r="B604" s="11"/>
      <c r="C604" s="12"/>
      <c r="D604" s="13"/>
      <c r="E604" s="14"/>
      <c r="F604" s="13"/>
      <c r="G604" s="15" t="e">
        <f t="shared" si="70"/>
        <v>#DIV/0!</v>
      </c>
      <c r="H604" s="16"/>
      <c r="I604" s="16"/>
      <c r="J604" s="16">
        <f t="shared" si="71"/>
        <v>0</v>
      </c>
      <c r="K604" s="16">
        <f t="shared" si="72"/>
        <v>0</v>
      </c>
      <c r="L604" s="16">
        <f t="shared" si="73"/>
        <v>0</v>
      </c>
      <c r="M604" s="17">
        <f t="shared" si="74"/>
        <v>0</v>
      </c>
      <c r="N604" s="11"/>
      <c r="O604" s="18"/>
      <c r="P604" s="18"/>
      <c r="Q604" s="100">
        <f t="shared" si="69"/>
        <v>0</v>
      </c>
      <c r="R604" s="19"/>
      <c r="S604" s="52">
        <f t="shared" si="75"/>
        <v>0</v>
      </c>
      <c r="T604" s="11"/>
    </row>
    <row r="605" spans="1:20" x14ac:dyDescent="0.2">
      <c r="A605" s="11"/>
      <c r="B605" s="11"/>
      <c r="C605" s="12"/>
      <c r="D605" s="13"/>
      <c r="E605" s="14"/>
      <c r="F605" s="13"/>
      <c r="G605" s="15" t="e">
        <f t="shared" si="70"/>
        <v>#DIV/0!</v>
      </c>
      <c r="H605" s="16"/>
      <c r="I605" s="16"/>
      <c r="J605" s="16">
        <f t="shared" si="71"/>
        <v>0</v>
      </c>
      <c r="K605" s="16">
        <f t="shared" si="72"/>
        <v>0</v>
      </c>
      <c r="L605" s="16">
        <f t="shared" si="73"/>
        <v>0</v>
      </c>
      <c r="M605" s="17">
        <f t="shared" si="74"/>
        <v>0</v>
      </c>
      <c r="N605" s="11"/>
      <c r="O605" s="18"/>
      <c r="P605" s="18"/>
      <c r="Q605" s="100">
        <f t="shared" si="69"/>
        <v>0</v>
      </c>
      <c r="R605" s="19"/>
      <c r="S605" s="52">
        <f t="shared" si="75"/>
        <v>0</v>
      </c>
      <c r="T605" s="11"/>
    </row>
    <row r="606" spans="1:20" x14ac:dyDescent="0.2">
      <c r="A606" s="11"/>
      <c r="B606" s="11"/>
      <c r="C606" s="12"/>
      <c r="D606" s="13"/>
      <c r="E606" s="14"/>
      <c r="F606" s="13"/>
      <c r="G606" s="15" t="e">
        <f t="shared" si="70"/>
        <v>#DIV/0!</v>
      </c>
      <c r="H606" s="16"/>
      <c r="I606" s="16"/>
      <c r="J606" s="16">
        <f t="shared" si="71"/>
        <v>0</v>
      </c>
      <c r="K606" s="16">
        <f t="shared" si="72"/>
        <v>0</v>
      </c>
      <c r="L606" s="16">
        <f t="shared" si="73"/>
        <v>0</v>
      </c>
      <c r="M606" s="17">
        <f t="shared" si="74"/>
        <v>0</v>
      </c>
      <c r="N606" s="11"/>
      <c r="O606" s="18"/>
      <c r="P606" s="18"/>
      <c r="Q606" s="100">
        <f t="shared" si="69"/>
        <v>0</v>
      </c>
      <c r="R606" s="19"/>
      <c r="S606" s="52">
        <f t="shared" si="75"/>
        <v>0</v>
      </c>
      <c r="T606" s="11"/>
    </row>
    <row r="607" spans="1:20" x14ac:dyDescent="0.2">
      <c r="A607" s="11"/>
      <c r="B607" s="11"/>
      <c r="C607" s="12"/>
      <c r="D607" s="13"/>
      <c r="E607" s="14"/>
      <c r="F607" s="13"/>
      <c r="G607" s="15" t="e">
        <f t="shared" si="70"/>
        <v>#DIV/0!</v>
      </c>
      <c r="H607" s="16"/>
      <c r="I607" s="16"/>
      <c r="J607" s="16">
        <f t="shared" si="71"/>
        <v>0</v>
      </c>
      <c r="K607" s="16">
        <f t="shared" si="72"/>
        <v>0</v>
      </c>
      <c r="L607" s="16">
        <f t="shared" si="73"/>
        <v>0</v>
      </c>
      <c r="M607" s="17">
        <f t="shared" si="74"/>
        <v>0</v>
      </c>
      <c r="N607" s="11"/>
      <c r="O607" s="18"/>
      <c r="P607" s="18"/>
      <c r="Q607" s="100">
        <f t="shared" si="69"/>
        <v>0</v>
      </c>
      <c r="R607" s="19"/>
      <c r="S607" s="52">
        <f t="shared" si="75"/>
        <v>0</v>
      </c>
      <c r="T607" s="11"/>
    </row>
    <row r="608" spans="1:20" x14ac:dyDescent="0.2">
      <c r="A608" s="11"/>
      <c r="B608" s="11"/>
      <c r="C608" s="12"/>
      <c r="D608" s="13"/>
      <c r="E608" s="14"/>
      <c r="F608" s="13"/>
      <c r="G608" s="15" t="e">
        <f t="shared" si="70"/>
        <v>#DIV/0!</v>
      </c>
      <c r="H608" s="16"/>
      <c r="I608" s="16"/>
      <c r="J608" s="16">
        <f t="shared" si="71"/>
        <v>0</v>
      </c>
      <c r="K608" s="16">
        <f t="shared" si="72"/>
        <v>0</v>
      </c>
      <c r="L608" s="16">
        <f t="shared" si="73"/>
        <v>0</v>
      </c>
      <c r="M608" s="17">
        <f t="shared" si="74"/>
        <v>0</v>
      </c>
      <c r="N608" s="11"/>
      <c r="O608" s="18"/>
      <c r="P608" s="18"/>
      <c r="Q608" s="100">
        <f t="shared" si="69"/>
        <v>0</v>
      </c>
      <c r="R608" s="19"/>
      <c r="S608" s="52">
        <f t="shared" si="75"/>
        <v>0</v>
      </c>
      <c r="T608" s="11"/>
    </row>
    <row r="609" spans="1:20" x14ac:dyDescent="0.2">
      <c r="A609" s="11"/>
      <c r="B609" s="11"/>
      <c r="C609" s="12"/>
      <c r="D609" s="13"/>
      <c r="E609" s="14"/>
      <c r="F609" s="13"/>
      <c r="G609" s="15" t="e">
        <f t="shared" si="70"/>
        <v>#DIV/0!</v>
      </c>
      <c r="H609" s="16"/>
      <c r="I609" s="16"/>
      <c r="J609" s="16">
        <f t="shared" si="71"/>
        <v>0</v>
      </c>
      <c r="K609" s="16">
        <f t="shared" si="72"/>
        <v>0</v>
      </c>
      <c r="L609" s="16">
        <f t="shared" si="73"/>
        <v>0</v>
      </c>
      <c r="M609" s="17">
        <f t="shared" si="74"/>
        <v>0</v>
      </c>
      <c r="N609" s="11"/>
      <c r="O609" s="18"/>
      <c r="P609" s="18"/>
      <c r="Q609" s="100">
        <f t="shared" si="69"/>
        <v>0</v>
      </c>
      <c r="R609" s="19"/>
      <c r="S609" s="52">
        <f t="shared" si="75"/>
        <v>0</v>
      </c>
      <c r="T609" s="11"/>
    </row>
    <row r="610" spans="1:20" x14ac:dyDescent="0.2">
      <c r="A610" s="11"/>
      <c r="B610" s="11"/>
      <c r="C610" s="12"/>
      <c r="D610" s="13"/>
      <c r="E610" s="14"/>
      <c r="F610" s="13"/>
      <c r="G610" s="15" t="e">
        <f t="shared" si="70"/>
        <v>#DIV/0!</v>
      </c>
      <c r="H610" s="16"/>
      <c r="I610" s="16"/>
      <c r="J610" s="16">
        <f t="shared" si="71"/>
        <v>0</v>
      </c>
      <c r="K610" s="16">
        <f t="shared" si="72"/>
        <v>0</v>
      </c>
      <c r="L610" s="16">
        <f t="shared" si="73"/>
        <v>0</v>
      </c>
      <c r="M610" s="17">
        <f t="shared" si="74"/>
        <v>0</v>
      </c>
      <c r="N610" s="11"/>
      <c r="O610" s="18"/>
      <c r="P610" s="18"/>
      <c r="Q610" s="100">
        <f t="shared" si="69"/>
        <v>0</v>
      </c>
      <c r="R610" s="19"/>
      <c r="S610" s="52">
        <f t="shared" si="75"/>
        <v>0</v>
      </c>
      <c r="T610" s="11"/>
    </row>
    <row r="611" spans="1:20" x14ac:dyDescent="0.2">
      <c r="A611" s="11"/>
      <c r="B611" s="11"/>
      <c r="C611" s="12"/>
      <c r="D611" s="13"/>
      <c r="E611" s="14"/>
      <c r="F611" s="13"/>
      <c r="G611" s="15" t="e">
        <f t="shared" si="70"/>
        <v>#DIV/0!</v>
      </c>
      <c r="H611" s="16"/>
      <c r="I611" s="16"/>
      <c r="J611" s="16">
        <f t="shared" si="71"/>
        <v>0</v>
      </c>
      <c r="K611" s="16">
        <f t="shared" si="72"/>
        <v>0</v>
      </c>
      <c r="L611" s="16">
        <f t="shared" si="73"/>
        <v>0</v>
      </c>
      <c r="M611" s="17">
        <f t="shared" si="74"/>
        <v>0</v>
      </c>
      <c r="N611" s="11"/>
      <c r="O611" s="18"/>
      <c r="P611" s="18"/>
      <c r="Q611" s="100">
        <f t="shared" si="69"/>
        <v>0</v>
      </c>
      <c r="R611" s="19"/>
      <c r="S611" s="52">
        <f t="shared" si="75"/>
        <v>0</v>
      </c>
      <c r="T611" s="11"/>
    </row>
    <row r="612" spans="1:20" x14ac:dyDescent="0.2">
      <c r="A612" s="11"/>
      <c r="B612" s="11"/>
      <c r="C612" s="12"/>
      <c r="D612" s="13"/>
      <c r="E612" s="14"/>
      <c r="F612" s="13"/>
      <c r="G612" s="15" t="e">
        <f t="shared" si="70"/>
        <v>#DIV/0!</v>
      </c>
      <c r="H612" s="16"/>
      <c r="I612" s="16"/>
      <c r="J612" s="16">
        <f t="shared" si="71"/>
        <v>0</v>
      </c>
      <c r="K612" s="16">
        <f t="shared" si="72"/>
        <v>0</v>
      </c>
      <c r="L612" s="16">
        <f t="shared" si="73"/>
        <v>0</v>
      </c>
      <c r="M612" s="17">
        <f t="shared" si="74"/>
        <v>0</v>
      </c>
      <c r="N612" s="11"/>
      <c r="O612" s="18"/>
      <c r="P612" s="18"/>
      <c r="Q612" s="100">
        <f t="shared" si="69"/>
        <v>0</v>
      </c>
      <c r="R612" s="19"/>
      <c r="S612" s="52">
        <f t="shared" si="75"/>
        <v>0</v>
      </c>
      <c r="T612" s="11"/>
    </row>
    <row r="613" spans="1:20" x14ac:dyDescent="0.2">
      <c r="A613" s="11"/>
      <c r="B613" s="11"/>
      <c r="C613" s="12"/>
      <c r="D613" s="13"/>
      <c r="E613" s="14"/>
      <c r="F613" s="13"/>
      <c r="G613" s="15" t="e">
        <f t="shared" si="70"/>
        <v>#DIV/0!</v>
      </c>
      <c r="H613" s="16"/>
      <c r="I613" s="16"/>
      <c r="J613" s="16">
        <f t="shared" si="71"/>
        <v>0</v>
      </c>
      <c r="K613" s="16">
        <f t="shared" si="72"/>
        <v>0</v>
      </c>
      <c r="L613" s="16">
        <f t="shared" si="73"/>
        <v>0</v>
      </c>
      <c r="M613" s="17">
        <f t="shared" si="74"/>
        <v>0</v>
      </c>
      <c r="N613" s="11"/>
      <c r="O613" s="18"/>
      <c r="P613" s="18"/>
      <c r="Q613" s="100">
        <f t="shared" si="69"/>
        <v>0</v>
      </c>
      <c r="R613" s="19"/>
      <c r="S613" s="52">
        <f t="shared" si="75"/>
        <v>0</v>
      </c>
      <c r="T613" s="11"/>
    </row>
    <row r="614" spans="1:20" x14ac:dyDescent="0.2">
      <c r="A614" s="11"/>
      <c r="B614" s="11"/>
      <c r="C614" s="12"/>
      <c r="D614" s="13"/>
      <c r="E614" s="14"/>
      <c r="F614" s="13"/>
      <c r="G614" s="15" t="e">
        <f t="shared" si="70"/>
        <v>#DIV/0!</v>
      </c>
      <c r="H614" s="16"/>
      <c r="I614" s="16"/>
      <c r="J614" s="16">
        <f t="shared" si="71"/>
        <v>0</v>
      </c>
      <c r="K614" s="16">
        <f t="shared" si="72"/>
        <v>0</v>
      </c>
      <c r="L614" s="16">
        <f t="shared" si="73"/>
        <v>0</v>
      </c>
      <c r="M614" s="17">
        <f t="shared" si="74"/>
        <v>0</v>
      </c>
      <c r="N614" s="11"/>
      <c r="O614" s="18"/>
      <c r="P614" s="18"/>
      <c r="Q614" s="100">
        <f t="shared" si="69"/>
        <v>0</v>
      </c>
      <c r="R614" s="19"/>
      <c r="S614" s="52">
        <f t="shared" si="75"/>
        <v>0</v>
      </c>
      <c r="T614" s="11"/>
    </row>
    <row r="615" spans="1:20" x14ac:dyDescent="0.2">
      <c r="A615" s="11"/>
      <c r="B615" s="11"/>
      <c r="C615" s="12"/>
      <c r="D615" s="13"/>
      <c r="E615" s="14"/>
      <c r="F615" s="13"/>
      <c r="G615" s="15" t="e">
        <f t="shared" si="70"/>
        <v>#DIV/0!</v>
      </c>
      <c r="H615" s="16"/>
      <c r="I615" s="16"/>
      <c r="J615" s="16">
        <f t="shared" si="71"/>
        <v>0</v>
      </c>
      <c r="K615" s="16">
        <f t="shared" si="72"/>
        <v>0</v>
      </c>
      <c r="L615" s="16">
        <f t="shared" si="73"/>
        <v>0</v>
      </c>
      <c r="M615" s="17">
        <f t="shared" si="74"/>
        <v>0</v>
      </c>
      <c r="N615" s="11"/>
      <c r="O615" s="18"/>
      <c r="P615" s="18"/>
      <c r="Q615" s="100">
        <f t="shared" si="69"/>
        <v>0</v>
      </c>
      <c r="R615" s="19"/>
      <c r="S615" s="52">
        <f t="shared" si="75"/>
        <v>0</v>
      </c>
      <c r="T615" s="11"/>
    </row>
    <row r="616" spans="1:20" x14ac:dyDescent="0.2">
      <c r="A616" s="11"/>
      <c r="B616" s="11"/>
      <c r="C616" s="12"/>
      <c r="D616" s="13"/>
      <c r="E616" s="14"/>
      <c r="F616" s="13"/>
      <c r="G616" s="15" t="e">
        <f t="shared" si="70"/>
        <v>#DIV/0!</v>
      </c>
      <c r="H616" s="16"/>
      <c r="I616" s="16"/>
      <c r="J616" s="16">
        <f t="shared" si="71"/>
        <v>0</v>
      </c>
      <c r="K616" s="16">
        <f t="shared" si="72"/>
        <v>0</v>
      </c>
      <c r="L616" s="16">
        <f t="shared" si="73"/>
        <v>0</v>
      </c>
      <c r="M616" s="17">
        <f t="shared" si="74"/>
        <v>0</v>
      </c>
      <c r="N616" s="11"/>
      <c r="O616" s="18"/>
      <c r="P616" s="18"/>
      <c r="Q616" s="100">
        <f t="shared" si="69"/>
        <v>0</v>
      </c>
      <c r="R616" s="19"/>
      <c r="S616" s="52">
        <f t="shared" si="75"/>
        <v>0</v>
      </c>
      <c r="T616" s="11"/>
    </row>
    <row r="617" spans="1:20" x14ac:dyDescent="0.2">
      <c r="A617" s="11"/>
      <c r="B617" s="11"/>
      <c r="C617" s="12"/>
      <c r="D617" s="13"/>
      <c r="E617" s="14"/>
      <c r="F617" s="13"/>
      <c r="G617" s="15" t="e">
        <f t="shared" si="70"/>
        <v>#DIV/0!</v>
      </c>
      <c r="H617" s="16"/>
      <c r="I617" s="16"/>
      <c r="J617" s="16">
        <f t="shared" si="71"/>
        <v>0</v>
      </c>
      <c r="K617" s="16">
        <f t="shared" si="72"/>
        <v>0</v>
      </c>
      <c r="L617" s="16">
        <f t="shared" si="73"/>
        <v>0</v>
      </c>
      <c r="M617" s="17">
        <f t="shared" si="74"/>
        <v>0</v>
      </c>
      <c r="N617" s="11"/>
      <c r="O617" s="18"/>
      <c r="P617" s="18"/>
      <c r="Q617" s="100">
        <f t="shared" si="69"/>
        <v>0</v>
      </c>
      <c r="R617" s="19"/>
      <c r="S617" s="52">
        <f t="shared" si="75"/>
        <v>0</v>
      </c>
      <c r="T617" s="11"/>
    </row>
    <row r="618" spans="1:20" x14ac:dyDescent="0.2">
      <c r="A618" s="11"/>
      <c r="B618" s="11"/>
      <c r="C618" s="12"/>
      <c r="D618" s="13"/>
      <c r="E618" s="14"/>
      <c r="F618" s="13"/>
      <c r="G618" s="15" t="e">
        <f t="shared" si="70"/>
        <v>#DIV/0!</v>
      </c>
      <c r="H618" s="16"/>
      <c r="I618" s="16"/>
      <c r="J618" s="16">
        <f t="shared" si="71"/>
        <v>0</v>
      </c>
      <c r="K618" s="16">
        <f t="shared" si="72"/>
        <v>0</v>
      </c>
      <c r="L618" s="16">
        <f t="shared" si="73"/>
        <v>0</v>
      </c>
      <c r="M618" s="17">
        <f t="shared" si="74"/>
        <v>0</v>
      </c>
      <c r="N618" s="11"/>
      <c r="O618" s="18"/>
      <c r="P618" s="18"/>
      <c r="Q618" s="100">
        <f t="shared" si="69"/>
        <v>0</v>
      </c>
      <c r="R618" s="19"/>
      <c r="S618" s="52">
        <f t="shared" si="75"/>
        <v>0</v>
      </c>
      <c r="T618" s="11"/>
    </row>
    <row r="619" spans="1:20" x14ac:dyDescent="0.2">
      <c r="A619" s="11"/>
      <c r="B619" s="11"/>
      <c r="C619" s="12"/>
      <c r="D619" s="13"/>
      <c r="E619" s="14"/>
      <c r="F619" s="13"/>
      <c r="G619" s="15" t="e">
        <f t="shared" si="70"/>
        <v>#DIV/0!</v>
      </c>
      <c r="H619" s="16"/>
      <c r="I619" s="16"/>
      <c r="J619" s="16">
        <f t="shared" si="71"/>
        <v>0</v>
      </c>
      <c r="K619" s="16">
        <f t="shared" si="72"/>
        <v>0</v>
      </c>
      <c r="L619" s="16">
        <f t="shared" si="73"/>
        <v>0</v>
      </c>
      <c r="M619" s="17">
        <f t="shared" si="74"/>
        <v>0</v>
      </c>
      <c r="N619" s="11"/>
      <c r="O619" s="18"/>
      <c r="P619" s="18"/>
      <c r="Q619" s="100">
        <f t="shared" si="69"/>
        <v>0</v>
      </c>
      <c r="R619" s="19"/>
      <c r="S619" s="52">
        <f t="shared" si="75"/>
        <v>0</v>
      </c>
      <c r="T619" s="11"/>
    </row>
    <row r="620" spans="1:20" x14ac:dyDescent="0.2">
      <c r="A620" s="11"/>
      <c r="B620" s="11"/>
      <c r="C620" s="12"/>
      <c r="D620" s="13"/>
      <c r="E620" s="14"/>
      <c r="F620" s="13"/>
      <c r="G620" s="15" t="e">
        <f t="shared" si="70"/>
        <v>#DIV/0!</v>
      </c>
      <c r="H620" s="16"/>
      <c r="I620" s="16"/>
      <c r="J620" s="16">
        <f t="shared" si="71"/>
        <v>0</v>
      </c>
      <c r="K620" s="16">
        <f t="shared" si="72"/>
        <v>0</v>
      </c>
      <c r="L620" s="16">
        <f t="shared" si="73"/>
        <v>0</v>
      </c>
      <c r="M620" s="17">
        <f t="shared" si="74"/>
        <v>0</v>
      </c>
      <c r="N620" s="11"/>
      <c r="O620" s="18"/>
      <c r="P620" s="18"/>
      <c r="Q620" s="100">
        <f t="shared" si="69"/>
        <v>0</v>
      </c>
      <c r="R620" s="19"/>
      <c r="S620" s="52">
        <f t="shared" si="75"/>
        <v>0</v>
      </c>
      <c r="T620" s="11"/>
    </row>
    <row r="621" spans="1:20" x14ac:dyDescent="0.2">
      <c r="A621" s="11"/>
      <c r="B621" s="11"/>
      <c r="C621" s="12"/>
      <c r="D621" s="13"/>
      <c r="E621" s="14"/>
      <c r="F621" s="13"/>
      <c r="G621" s="15" t="e">
        <f t="shared" si="70"/>
        <v>#DIV/0!</v>
      </c>
      <c r="H621" s="16"/>
      <c r="I621" s="16"/>
      <c r="J621" s="16">
        <f t="shared" si="71"/>
        <v>0</v>
      </c>
      <c r="K621" s="16">
        <f t="shared" si="72"/>
        <v>0</v>
      </c>
      <c r="L621" s="16">
        <f t="shared" si="73"/>
        <v>0</v>
      </c>
      <c r="M621" s="17">
        <f t="shared" si="74"/>
        <v>0</v>
      </c>
      <c r="N621" s="11"/>
      <c r="O621" s="18"/>
      <c r="P621" s="18"/>
      <c r="Q621" s="100">
        <f t="shared" si="69"/>
        <v>0</v>
      </c>
      <c r="R621" s="19"/>
      <c r="S621" s="52">
        <f t="shared" si="75"/>
        <v>0</v>
      </c>
      <c r="T621" s="11"/>
    </row>
    <row r="622" spans="1:20" x14ac:dyDescent="0.2">
      <c r="A622" s="11"/>
      <c r="B622" s="11"/>
      <c r="C622" s="12"/>
      <c r="D622" s="13"/>
      <c r="E622" s="14"/>
      <c r="F622" s="13"/>
      <c r="G622" s="15" t="e">
        <f t="shared" si="70"/>
        <v>#DIV/0!</v>
      </c>
      <c r="H622" s="16"/>
      <c r="I622" s="16"/>
      <c r="J622" s="16">
        <f t="shared" si="71"/>
        <v>0</v>
      </c>
      <c r="K622" s="16">
        <f t="shared" si="72"/>
        <v>0</v>
      </c>
      <c r="L622" s="16">
        <f t="shared" si="73"/>
        <v>0</v>
      </c>
      <c r="M622" s="17">
        <f t="shared" si="74"/>
        <v>0</v>
      </c>
      <c r="N622" s="11"/>
      <c r="O622" s="18"/>
      <c r="P622" s="18"/>
      <c r="Q622" s="100">
        <f t="shared" si="69"/>
        <v>0</v>
      </c>
      <c r="R622" s="19"/>
      <c r="S622" s="52">
        <f t="shared" si="75"/>
        <v>0</v>
      </c>
      <c r="T622" s="11"/>
    </row>
    <row r="623" spans="1:20" x14ac:dyDescent="0.2">
      <c r="A623" s="11"/>
      <c r="B623" s="11"/>
      <c r="C623" s="12"/>
      <c r="D623" s="13"/>
      <c r="E623" s="14"/>
      <c r="F623" s="13"/>
      <c r="G623" s="15" t="e">
        <f t="shared" si="70"/>
        <v>#DIV/0!</v>
      </c>
      <c r="H623" s="16"/>
      <c r="I623" s="16"/>
      <c r="J623" s="16">
        <f t="shared" si="71"/>
        <v>0</v>
      </c>
      <c r="K623" s="16">
        <f t="shared" si="72"/>
        <v>0</v>
      </c>
      <c r="L623" s="16">
        <f t="shared" si="73"/>
        <v>0</v>
      </c>
      <c r="M623" s="17">
        <f t="shared" si="74"/>
        <v>0</v>
      </c>
      <c r="N623" s="11"/>
      <c r="O623" s="18"/>
      <c r="P623" s="18"/>
      <c r="Q623" s="100">
        <f t="shared" si="69"/>
        <v>0</v>
      </c>
      <c r="R623" s="19"/>
      <c r="S623" s="52">
        <f t="shared" si="75"/>
        <v>0</v>
      </c>
      <c r="T623" s="11"/>
    </row>
    <row r="624" spans="1:20" x14ac:dyDescent="0.2">
      <c r="A624" s="11"/>
      <c r="B624" s="11"/>
      <c r="C624" s="12"/>
      <c r="D624" s="13"/>
      <c r="E624" s="14"/>
      <c r="F624" s="13"/>
      <c r="G624" s="15" t="e">
        <f t="shared" si="70"/>
        <v>#DIV/0!</v>
      </c>
      <c r="H624" s="16"/>
      <c r="I624" s="16"/>
      <c r="J624" s="16">
        <f t="shared" si="71"/>
        <v>0</v>
      </c>
      <c r="K624" s="16">
        <f t="shared" si="72"/>
        <v>0</v>
      </c>
      <c r="L624" s="16">
        <f t="shared" si="73"/>
        <v>0</v>
      </c>
      <c r="M624" s="17">
        <f t="shared" si="74"/>
        <v>0</v>
      </c>
      <c r="N624" s="11"/>
      <c r="O624" s="18"/>
      <c r="P624" s="18"/>
      <c r="Q624" s="100">
        <f t="shared" si="69"/>
        <v>0</v>
      </c>
      <c r="R624" s="19"/>
      <c r="S624" s="52">
        <f t="shared" si="75"/>
        <v>0</v>
      </c>
      <c r="T624" s="11"/>
    </row>
    <row r="625" spans="1:20" x14ac:dyDescent="0.2">
      <c r="A625" s="11"/>
      <c r="B625" s="11"/>
      <c r="C625" s="12"/>
      <c r="D625" s="13"/>
      <c r="E625" s="14"/>
      <c r="F625" s="13"/>
      <c r="G625" s="15" t="e">
        <f t="shared" si="70"/>
        <v>#DIV/0!</v>
      </c>
      <c r="H625" s="16"/>
      <c r="I625" s="16"/>
      <c r="J625" s="16">
        <f t="shared" si="71"/>
        <v>0</v>
      </c>
      <c r="K625" s="16">
        <f t="shared" si="72"/>
        <v>0</v>
      </c>
      <c r="L625" s="16">
        <f t="shared" si="73"/>
        <v>0</v>
      </c>
      <c r="M625" s="17">
        <f t="shared" si="74"/>
        <v>0</v>
      </c>
      <c r="N625" s="11"/>
      <c r="O625" s="18"/>
      <c r="P625" s="18"/>
      <c r="Q625" s="100">
        <f t="shared" si="69"/>
        <v>0</v>
      </c>
      <c r="R625" s="19"/>
      <c r="S625" s="52">
        <f t="shared" si="75"/>
        <v>0</v>
      </c>
      <c r="T625" s="11"/>
    </row>
    <row r="626" spans="1:20" x14ac:dyDescent="0.2">
      <c r="A626" s="11"/>
      <c r="B626" s="11"/>
      <c r="C626" s="12"/>
      <c r="D626" s="13"/>
      <c r="E626" s="14"/>
      <c r="F626" s="13"/>
      <c r="G626" s="15" t="e">
        <f t="shared" si="70"/>
        <v>#DIV/0!</v>
      </c>
      <c r="H626" s="16"/>
      <c r="I626" s="16"/>
      <c r="J626" s="16">
        <f t="shared" si="71"/>
        <v>0</v>
      </c>
      <c r="K626" s="16">
        <f t="shared" si="72"/>
        <v>0</v>
      </c>
      <c r="L626" s="16">
        <f t="shared" si="73"/>
        <v>0</v>
      </c>
      <c r="M626" s="17">
        <f t="shared" si="74"/>
        <v>0</v>
      </c>
      <c r="N626" s="11"/>
      <c r="O626" s="18"/>
      <c r="P626" s="18"/>
      <c r="Q626" s="100">
        <f t="shared" si="69"/>
        <v>0</v>
      </c>
      <c r="R626" s="19"/>
      <c r="S626" s="52">
        <f t="shared" si="75"/>
        <v>0</v>
      </c>
      <c r="T626" s="11"/>
    </row>
    <row r="627" spans="1:20" x14ac:dyDescent="0.2">
      <c r="A627" s="11"/>
      <c r="B627" s="11"/>
      <c r="C627" s="12"/>
      <c r="D627" s="13"/>
      <c r="E627" s="14"/>
      <c r="F627" s="13"/>
      <c r="G627" s="15" t="e">
        <f t="shared" si="70"/>
        <v>#DIV/0!</v>
      </c>
      <c r="H627" s="16"/>
      <c r="I627" s="16"/>
      <c r="J627" s="16">
        <f t="shared" si="71"/>
        <v>0</v>
      </c>
      <c r="K627" s="16">
        <f t="shared" si="72"/>
        <v>0</v>
      </c>
      <c r="L627" s="16">
        <f t="shared" si="73"/>
        <v>0</v>
      </c>
      <c r="M627" s="17">
        <f t="shared" si="74"/>
        <v>0</v>
      </c>
      <c r="N627" s="11"/>
      <c r="O627" s="18"/>
      <c r="P627" s="18"/>
      <c r="Q627" s="100">
        <f t="shared" si="69"/>
        <v>0</v>
      </c>
      <c r="R627" s="19"/>
      <c r="S627" s="52">
        <f t="shared" si="75"/>
        <v>0</v>
      </c>
      <c r="T627" s="11"/>
    </row>
    <row r="628" spans="1:20" x14ac:dyDescent="0.2">
      <c r="A628" s="11"/>
      <c r="B628" s="11"/>
      <c r="C628" s="12"/>
      <c r="D628" s="13"/>
      <c r="E628" s="14"/>
      <c r="F628" s="13"/>
      <c r="G628" s="15" t="e">
        <f t="shared" si="70"/>
        <v>#DIV/0!</v>
      </c>
      <c r="H628" s="16"/>
      <c r="I628" s="16"/>
      <c r="J628" s="16">
        <f t="shared" si="71"/>
        <v>0</v>
      </c>
      <c r="K628" s="16">
        <f t="shared" si="72"/>
        <v>0</v>
      </c>
      <c r="L628" s="16">
        <f t="shared" si="73"/>
        <v>0</v>
      </c>
      <c r="M628" s="17">
        <f t="shared" si="74"/>
        <v>0</v>
      </c>
      <c r="N628" s="11"/>
      <c r="O628" s="18"/>
      <c r="P628" s="18"/>
      <c r="Q628" s="100">
        <f t="shared" si="69"/>
        <v>0</v>
      </c>
      <c r="R628" s="19"/>
      <c r="S628" s="52">
        <f t="shared" si="75"/>
        <v>0</v>
      </c>
      <c r="T628" s="11"/>
    </row>
    <row r="629" spans="1:20" x14ac:dyDescent="0.2">
      <c r="A629" s="11"/>
      <c r="B629" s="11"/>
      <c r="C629" s="12"/>
      <c r="D629" s="13"/>
      <c r="E629" s="14"/>
      <c r="F629" s="13"/>
      <c r="G629" s="15" t="e">
        <f t="shared" si="70"/>
        <v>#DIV/0!</v>
      </c>
      <c r="H629" s="16"/>
      <c r="I629" s="16"/>
      <c r="J629" s="16">
        <f t="shared" si="71"/>
        <v>0</v>
      </c>
      <c r="K629" s="16">
        <f t="shared" si="72"/>
        <v>0</v>
      </c>
      <c r="L629" s="16">
        <f t="shared" si="73"/>
        <v>0</v>
      </c>
      <c r="M629" s="17">
        <f t="shared" si="74"/>
        <v>0</v>
      </c>
      <c r="N629" s="11"/>
      <c r="O629" s="18"/>
      <c r="P629" s="18"/>
      <c r="Q629" s="100">
        <f t="shared" si="69"/>
        <v>0</v>
      </c>
      <c r="R629" s="19"/>
      <c r="S629" s="52">
        <f t="shared" si="75"/>
        <v>0</v>
      </c>
      <c r="T629" s="11"/>
    </row>
    <row r="630" spans="1:20" x14ac:dyDescent="0.2">
      <c r="A630" s="11"/>
      <c r="B630" s="11"/>
      <c r="C630" s="12"/>
      <c r="D630" s="13"/>
      <c r="E630" s="14"/>
      <c r="F630" s="13"/>
      <c r="G630" s="15" t="e">
        <f t="shared" si="70"/>
        <v>#DIV/0!</v>
      </c>
      <c r="H630" s="16"/>
      <c r="I630" s="16"/>
      <c r="J630" s="16">
        <f t="shared" si="71"/>
        <v>0</v>
      </c>
      <c r="K630" s="16">
        <f t="shared" si="72"/>
        <v>0</v>
      </c>
      <c r="L630" s="16">
        <f t="shared" si="73"/>
        <v>0</v>
      </c>
      <c r="M630" s="17">
        <f t="shared" si="74"/>
        <v>0</v>
      </c>
      <c r="N630" s="11"/>
      <c r="O630" s="18"/>
      <c r="P630" s="18"/>
      <c r="Q630" s="100">
        <f t="shared" si="69"/>
        <v>0</v>
      </c>
      <c r="R630" s="19"/>
      <c r="S630" s="52">
        <f t="shared" si="75"/>
        <v>0</v>
      </c>
      <c r="T630" s="11"/>
    </row>
    <row r="631" spans="1:20" x14ac:dyDescent="0.2">
      <c r="A631" s="11"/>
      <c r="B631" s="11"/>
      <c r="C631" s="12"/>
      <c r="D631" s="13"/>
      <c r="E631" s="14"/>
      <c r="F631" s="13"/>
      <c r="G631" s="15" t="e">
        <f t="shared" si="70"/>
        <v>#DIV/0!</v>
      </c>
      <c r="H631" s="16"/>
      <c r="I631" s="16"/>
      <c r="J631" s="16">
        <f t="shared" si="71"/>
        <v>0</v>
      </c>
      <c r="K631" s="16">
        <f t="shared" si="72"/>
        <v>0</v>
      </c>
      <c r="L631" s="16">
        <f t="shared" si="73"/>
        <v>0</v>
      </c>
      <c r="M631" s="17">
        <f t="shared" si="74"/>
        <v>0</v>
      </c>
      <c r="N631" s="11"/>
      <c r="O631" s="18"/>
      <c r="P631" s="18"/>
      <c r="Q631" s="100">
        <f t="shared" si="69"/>
        <v>0</v>
      </c>
      <c r="R631" s="19"/>
      <c r="S631" s="52">
        <f t="shared" si="75"/>
        <v>0</v>
      </c>
      <c r="T631" s="11"/>
    </row>
    <row r="632" spans="1:20" x14ac:dyDescent="0.2">
      <c r="A632" s="11"/>
      <c r="B632" s="11"/>
      <c r="C632" s="12"/>
      <c r="D632" s="13"/>
      <c r="E632" s="14"/>
      <c r="F632" s="13"/>
      <c r="G632" s="15" t="e">
        <f t="shared" si="70"/>
        <v>#DIV/0!</v>
      </c>
      <c r="H632" s="16"/>
      <c r="I632" s="16"/>
      <c r="J632" s="16">
        <f t="shared" si="71"/>
        <v>0</v>
      </c>
      <c r="K632" s="16">
        <f t="shared" si="72"/>
        <v>0</v>
      </c>
      <c r="L632" s="16">
        <f t="shared" si="73"/>
        <v>0</v>
      </c>
      <c r="M632" s="17">
        <f t="shared" si="74"/>
        <v>0</v>
      </c>
      <c r="N632" s="11"/>
      <c r="O632" s="18"/>
      <c r="P632" s="18"/>
      <c r="Q632" s="100">
        <f t="shared" si="69"/>
        <v>0</v>
      </c>
      <c r="R632" s="19"/>
      <c r="S632" s="52">
        <f t="shared" si="75"/>
        <v>0</v>
      </c>
      <c r="T632" s="11"/>
    </row>
    <row r="633" spans="1:20" x14ac:dyDescent="0.2">
      <c r="A633" s="11"/>
      <c r="B633" s="11"/>
      <c r="C633" s="12"/>
      <c r="D633" s="13"/>
      <c r="E633" s="14"/>
      <c r="F633" s="13"/>
      <c r="G633" s="15" t="e">
        <f t="shared" si="70"/>
        <v>#DIV/0!</v>
      </c>
      <c r="H633" s="16"/>
      <c r="I633" s="16"/>
      <c r="J633" s="16">
        <f t="shared" si="71"/>
        <v>0</v>
      </c>
      <c r="K633" s="16">
        <f t="shared" si="72"/>
        <v>0</v>
      </c>
      <c r="L633" s="16">
        <f t="shared" si="73"/>
        <v>0</v>
      </c>
      <c r="M633" s="17">
        <f t="shared" si="74"/>
        <v>0</v>
      </c>
      <c r="N633" s="11"/>
      <c r="O633" s="18"/>
      <c r="P633" s="18"/>
      <c r="Q633" s="100">
        <f t="shared" si="69"/>
        <v>0</v>
      </c>
      <c r="R633" s="19"/>
      <c r="S633" s="52">
        <f t="shared" si="75"/>
        <v>0</v>
      </c>
      <c r="T633" s="11"/>
    </row>
    <row r="634" spans="1:20" x14ac:dyDescent="0.2">
      <c r="A634" s="11"/>
      <c r="B634" s="11"/>
      <c r="C634" s="12"/>
      <c r="D634" s="13"/>
      <c r="E634" s="14"/>
      <c r="F634" s="13"/>
      <c r="G634" s="15" t="e">
        <f t="shared" si="70"/>
        <v>#DIV/0!</v>
      </c>
      <c r="H634" s="16"/>
      <c r="I634" s="16"/>
      <c r="J634" s="16">
        <f t="shared" si="71"/>
        <v>0</v>
      </c>
      <c r="K634" s="16">
        <f t="shared" si="72"/>
        <v>0</v>
      </c>
      <c r="L634" s="16">
        <f t="shared" si="73"/>
        <v>0</v>
      </c>
      <c r="M634" s="17">
        <f t="shared" si="74"/>
        <v>0</v>
      </c>
      <c r="N634" s="11"/>
      <c r="O634" s="18"/>
      <c r="P634" s="18"/>
      <c r="Q634" s="100">
        <f t="shared" si="69"/>
        <v>0</v>
      </c>
      <c r="R634" s="19"/>
      <c r="S634" s="52">
        <f t="shared" si="75"/>
        <v>0</v>
      </c>
      <c r="T634" s="11"/>
    </row>
    <row r="635" spans="1:20" x14ac:dyDescent="0.2">
      <c r="A635" s="11"/>
      <c r="B635" s="11"/>
      <c r="C635" s="12"/>
      <c r="D635" s="13"/>
      <c r="E635" s="14"/>
      <c r="F635" s="13"/>
      <c r="G635" s="15" t="e">
        <f t="shared" si="70"/>
        <v>#DIV/0!</v>
      </c>
      <c r="H635" s="16"/>
      <c r="I635" s="16"/>
      <c r="J635" s="16">
        <f t="shared" si="71"/>
        <v>0</v>
      </c>
      <c r="K635" s="16">
        <f t="shared" si="72"/>
        <v>0</v>
      </c>
      <c r="L635" s="16">
        <f t="shared" si="73"/>
        <v>0</v>
      </c>
      <c r="M635" s="17">
        <f t="shared" si="74"/>
        <v>0</v>
      </c>
      <c r="N635" s="11"/>
      <c r="O635" s="18"/>
      <c r="P635" s="18"/>
      <c r="Q635" s="100">
        <f t="shared" si="69"/>
        <v>0</v>
      </c>
      <c r="R635" s="19"/>
      <c r="S635" s="52">
        <f t="shared" si="75"/>
        <v>0</v>
      </c>
      <c r="T635" s="11"/>
    </row>
    <row r="636" spans="1:20" x14ac:dyDescent="0.2">
      <c r="A636" s="11"/>
      <c r="B636" s="11"/>
      <c r="C636" s="12"/>
      <c r="D636" s="13"/>
      <c r="E636" s="14"/>
      <c r="F636" s="13"/>
      <c r="G636" s="15" t="e">
        <f t="shared" si="70"/>
        <v>#DIV/0!</v>
      </c>
      <c r="H636" s="16"/>
      <c r="I636" s="16"/>
      <c r="J636" s="16">
        <f t="shared" si="71"/>
        <v>0</v>
      </c>
      <c r="K636" s="16">
        <f t="shared" si="72"/>
        <v>0</v>
      </c>
      <c r="L636" s="16">
        <f t="shared" si="73"/>
        <v>0</v>
      </c>
      <c r="M636" s="17">
        <f t="shared" si="74"/>
        <v>0</v>
      </c>
      <c r="N636" s="11"/>
      <c r="O636" s="18"/>
      <c r="P636" s="18"/>
      <c r="Q636" s="100">
        <f t="shared" si="69"/>
        <v>0</v>
      </c>
      <c r="R636" s="19"/>
      <c r="S636" s="52">
        <f t="shared" si="75"/>
        <v>0</v>
      </c>
      <c r="T636" s="11"/>
    </row>
    <row r="637" spans="1:20" x14ac:dyDescent="0.2">
      <c r="A637" s="11"/>
      <c r="B637" s="11"/>
      <c r="C637" s="12"/>
      <c r="D637" s="13"/>
      <c r="E637" s="14"/>
      <c r="F637" s="13"/>
      <c r="G637" s="15" t="e">
        <f t="shared" si="70"/>
        <v>#DIV/0!</v>
      </c>
      <c r="H637" s="16"/>
      <c r="I637" s="16"/>
      <c r="J637" s="16">
        <f t="shared" si="71"/>
        <v>0</v>
      </c>
      <c r="K637" s="16">
        <f t="shared" si="72"/>
        <v>0</v>
      </c>
      <c r="L637" s="16">
        <f t="shared" si="73"/>
        <v>0</v>
      </c>
      <c r="M637" s="17">
        <f t="shared" si="74"/>
        <v>0</v>
      </c>
      <c r="N637" s="11"/>
      <c r="O637" s="18"/>
      <c r="P637" s="18"/>
      <c r="Q637" s="100">
        <f t="shared" si="69"/>
        <v>0</v>
      </c>
      <c r="R637" s="19"/>
      <c r="S637" s="52">
        <f t="shared" si="75"/>
        <v>0</v>
      </c>
      <c r="T637" s="11"/>
    </row>
    <row r="638" spans="1:20" x14ac:dyDescent="0.2">
      <c r="A638" s="11"/>
      <c r="B638" s="11"/>
      <c r="C638" s="12"/>
      <c r="D638" s="13"/>
      <c r="E638" s="14"/>
      <c r="F638" s="13"/>
      <c r="G638" s="15" t="e">
        <f t="shared" si="70"/>
        <v>#DIV/0!</v>
      </c>
      <c r="H638" s="16"/>
      <c r="I638" s="16"/>
      <c r="J638" s="16">
        <f t="shared" si="71"/>
        <v>0</v>
      </c>
      <c r="K638" s="16">
        <f t="shared" si="72"/>
        <v>0</v>
      </c>
      <c r="L638" s="16">
        <f t="shared" si="73"/>
        <v>0</v>
      </c>
      <c r="M638" s="17">
        <f t="shared" si="74"/>
        <v>0</v>
      </c>
      <c r="N638" s="11"/>
      <c r="O638" s="18"/>
      <c r="P638" s="18"/>
      <c r="Q638" s="100">
        <f t="shared" si="69"/>
        <v>0</v>
      </c>
      <c r="R638" s="19"/>
      <c r="S638" s="52">
        <f t="shared" si="75"/>
        <v>0</v>
      </c>
      <c r="T638" s="11"/>
    </row>
    <row r="639" spans="1:20" x14ac:dyDescent="0.2">
      <c r="A639" s="11"/>
      <c r="B639" s="11"/>
      <c r="C639" s="12"/>
      <c r="D639" s="13"/>
      <c r="E639" s="14"/>
      <c r="F639" s="13"/>
      <c r="G639" s="15" t="e">
        <f t="shared" si="70"/>
        <v>#DIV/0!</v>
      </c>
      <c r="H639" s="16"/>
      <c r="I639" s="16"/>
      <c r="J639" s="16">
        <f t="shared" si="71"/>
        <v>0</v>
      </c>
      <c r="K639" s="16">
        <f t="shared" si="72"/>
        <v>0</v>
      </c>
      <c r="L639" s="16">
        <f t="shared" si="73"/>
        <v>0</v>
      </c>
      <c r="M639" s="17">
        <f t="shared" si="74"/>
        <v>0</v>
      </c>
      <c r="N639" s="11"/>
      <c r="O639" s="18"/>
      <c r="P639" s="18"/>
      <c r="Q639" s="100">
        <f t="shared" si="69"/>
        <v>0</v>
      </c>
      <c r="R639" s="19"/>
      <c r="S639" s="52">
        <f t="shared" si="75"/>
        <v>0</v>
      </c>
      <c r="T639" s="11"/>
    </row>
    <row r="640" spans="1:20" x14ac:dyDescent="0.2">
      <c r="A640" s="11"/>
      <c r="B640" s="11"/>
      <c r="C640" s="12"/>
      <c r="D640" s="13"/>
      <c r="E640" s="14"/>
      <c r="F640" s="13"/>
      <c r="G640" s="15" t="e">
        <f t="shared" si="70"/>
        <v>#DIV/0!</v>
      </c>
      <c r="H640" s="16"/>
      <c r="I640" s="16"/>
      <c r="J640" s="16">
        <f t="shared" si="71"/>
        <v>0</v>
      </c>
      <c r="K640" s="16">
        <f t="shared" si="72"/>
        <v>0</v>
      </c>
      <c r="L640" s="16">
        <f t="shared" si="73"/>
        <v>0</v>
      </c>
      <c r="M640" s="17">
        <f t="shared" si="74"/>
        <v>0</v>
      </c>
      <c r="N640" s="11"/>
      <c r="O640" s="18"/>
      <c r="P640" s="18"/>
      <c r="Q640" s="100">
        <f t="shared" si="69"/>
        <v>0</v>
      </c>
      <c r="R640" s="19"/>
      <c r="S640" s="52">
        <f t="shared" si="75"/>
        <v>0</v>
      </c>
      <c r="T640" s="11"/>
    </row>
    <row r="641" spans="1:20" x14ac:dyDescent="0.2">
      <c r="A641" s="11"/>
      <c r="B641" s="11"/>
      <c r="C641" s="12"/>
      <c r="D641" s="13"/>
      <c r="E641" s="14"/>
      <c r="F641" s="13"/>
      <c r="G641" s="15" t="e">
        <f t="shared" si="70"/>
        <v>#DIV/0!</v>
      </c>
      <c r="H641" s="16"/>
      <c r="I641" s="16"/>
      <c r="J641" s="16">
        <f t="shared" si="71"/>
        <v>0</v>
      </c>
      <c r="K641" s="16">
        <f t="shared" si="72"/>
        <v>0</v>
      </c>
      <c r="L641" s="16">
        <f t="shared" si="73"/>
        <v>0</v>
      </c>
      <c r="M641" s="17">
        <f t="shared" si="74"/>
        <v>0</v>
      </c>
      <c r="N641" s="11"/>
      <c r="O641" s="18"/>
      <c r="P641" s="18"/>
      <c r="Q641" s="100">
        <f t="shared" si="69"/>
        <v>0</v>
      </c>
      <c r="R641" s="19"/>
      <c r="S641" s="52">
        <f t="shared" si="75"/>
        <v>0</v>
      </c>
      <c r="T641" s="11"/>
    </row>
    <row r="642" spans="1:20" x14ac:dyDescent="0.2">
      <c r="A642" s="11"/>
      <c r="B642" s="11"/>
      <c r="C642" s="12"/>
      <c r="D642" s="13"/>
      <c r="E642" s="14"/>
      <c r="F642" s="13"/>
      <c r="G642" s="15" t="e">
        <f t="shared" si="70"/>
        <v>#DIV/0!</v>
      </c>
      <c r="H642" s="16"/>
      <c r="I642" s="16"/>
      <c r="J642" s="16">
        <f t="shared" si="71"/>
        <v>0</v>
      </c>
      <c r="K642" s="16">
        <f t="shared" si="72"/>
        <v>0</v>
      </c>
      <c r="L642" s="16">
        <f t="shared" si="73"/>
        <v>0</v>
      </c>
      <c r="M642" s="17">
        <f t="shared" si="74"/>
        <v>0</v>
      </c>
      <c r="N642" s="11"/>
      <c r="O642" s="18"/>
      <c r="P642" s="18"/>
      <c r="Q642" s="100">
        <f t="shared" si="69"/>
        <v>0</v>
      </c>
      <c r="R642" s="19"/>
      <c r="S642" s="52">
        <f t="shared" si="75"/>
        <v>0</v>
      </c>
      <c r="T642" s="11"/>
    </row>
    <row r="643" spans="1:20" x14ac:dyDescent="0.2">
      <c r="A643" s="11"/>
      <c r="B643" s="11"/>
      <c r="C643" s="12"/>
      <c r="D643" s="13"/>
      <c r="E643" s="14"/>
      <c r="F643" s="13"/>
      <c r="G643" s="15" t="e">
        <f t="shared" si="70"/>
        <v>#DIV/0!</v>
      </c>
      <c r="H643" s="16"/>
      <c r="I643" s="16"/>
      <c r="J643" s="16">
        <f t="shared" si="71"/>
        <v>0</v>
      </c>
      <c r="K643" s="16">
        <f t="shared" si="72"/>
        <v>0</v>
      </c>
      <c r="L643" s="16">
        <f t="shared" si="73"/>
        <v>0</v>
      </c>
      <c r="M643" s="17">
        <f t="shared" si="74"/>
        <v>0</v>
      </c>
      <c r="N643" s="11"/>
      <c r="O643" s="18"/>
      <c r="P643" s="18"/>
      <c r="Q643" s="100">
        <f t="shared" si="69"/>
        <v>0</v>
      </c>
      <c r="R643" s="19"/>
      <c r="S643" s="52">
        <f t="shared" si="75"/>
        <v>0</v>
      </c>
      <c r="T643" s="11"/>
    </row>
    <row r="644" spans="1:20" x14ac:dyDescent="0.2">
      <c r="A644" s="11"/>
      <c r="B644" s="11"/>
      <c r="C644" s="12"/>
      <c r="D644" s="13"/>
      <c r="E644" s="14"/>
      <c r="F644" s="13"/>
      <c r="G644" s="15" t="e">
        <f t="shared" si="70"/>
        <v>#DIV/0!</v>
      </c>
      <c r="H644" s="16"/>
      <c r="I644" s="16"/>
      <c r="J644" s="16">
        <f t="shared" si="71"/>
        <v>0</v>
      </c>
      <c r="K644" s="16">
        <f t="shared" si="72"/>
        <v>0</v>
      </c>
      <c r="L644" s="16">
        <f t="shared" si="73"/>
        <v>0</v>
      </c>
      <c r="M644" s="17">
        <f t="shared" si="74"/>
        <v>0</v>
      </c>
      <c r="N644" s="11"/>
      <c r="O644" s="18"/>
      <c r="P644" s="18"/>
      <c r="Q644" s="100">
        <f t="shared" si="69"/>
        <v>0</v>
      </c>
      <c r="R644" s="19"/>
      <c r="S644" s="52">
        <f t="shared" si="75"/>
        <v>0</v>
      </c>
      <c r="T644" s="11"/>
    </row>
    <row r="645" spans="1:20" x14ac:dyDescent="0.2">
      <c r="A645" s="11"/>
      <c r="B645" s="11"/>
      <c r="C645" s="12"/>
      <c r="D645" s="13"/>
      <c r="E645" s="14"/>
      <c r="F645" s="13"/>
      <c r="G645" s="15" t="e">
        <f t="shared" si="70"/>
        <v>#DIV/0!</v>
      </c>
      <c r="H645" s="16"/>
      <c r="I645" s="16"/>
      <c r="J645" s="16">
        <f t="shared" si="71"/>
        <v>0</v>
      </c>
      <c r="K645" s="16">
        <f t="shared" si="72"/>
        <v>0</v>
      </c>
      <c r="L645" s="16">
        <f t="shared" si="73"/>
        <v>0</v>
      </c>
      <c r="M645" s="17">
        <f t="shared" si="74"/>
        <v>0</v>
      </c>
      <c r="N645" s="11"/>
      <c r="O645" s="18"/>
      <c r="P645" s="18"/>
      <c r="Q645" s="100">
        <f t="shared" si="69"/>
        <v>0</v>
      </c>
      <c r="R645" s="19"/>
      <c r="S645" s="52">
        <f t="shared" si="75"/>
        <v>0</v>
      </c>
      <c r="T645" s="11"/>
    </row>
    <row r="646" spans="1:20" x14ac:dyDescent="0.2">
      <c r="A646" s="11"/>
      <c r="B646" s="11"/>
      <c r="C646" s="12"/>
      <c r="D646" s="13"/>
      <c r="E646" s="14"/>
      <c r="F646" s="13"/>
      <c r="G646" s="15" t="e">
        <f t="shared" si="70"/>
        <v>#DIV/0!</v>
      </c>
      <c r="H646" s="16"/>
      <c r="I646" s="16"/>
      <c r="J646" s="16">
        <f t="shared" si="71"/>
        <v>0</v>
      </c>
      <c r="K646" s="16">
        <f t="shared" si="72"/>
        <v>0</v>
      </c>
      <c r="L646" s="16">
        <f t="shared" si="73"/>
        <v>0</v>
      </c>
      <c r="M646" s="17">
        <f t="shared" si="74"/>
        <v>0</v>
      </c>
      <c r="N646" s="11"/>
      <c r="O646" s="18"/>
      <c r="P646" s="18"/>
      <c r="Q646" s="100">
        <f t="shared" ref="Q646:Q709" si="76">+P646-O646</f>
        <v>0</v>
      </c>
      <c r="R646" s="19"/>
      <c r="S646" s="52">
        <f t="shared" si="75"/>
        <v>0</v>
      </c>
      <c r="T646" s="11"/>
    </row>
    <row r="647" spans="1:20" x14ac:dyDescent="0.2">
      <c r="A647" s="11"/>
      <c r="B647" s="11"/>
      <c r="C647" s="12"/>
      <c r="D647" s="13"/>
      <c r="E647" s="14"/>
      <c r="F647" s="13"/>
      <c r="G647" s="15" t="e">
        <f t="shared" si="70"/>
        <v>#DIV/0!</v>
      </c>
      <c r="H647" s="16"/>
      <c r="I647" s="16"/>
      <c r="J647" s="16">
        <f t="shared" si="71"/>
        <v>0</v>
      </c>
      <c r="K647" s="16">
        <f t="shared" si="72"/>
        <v>0</v>
      </c>
      <c r="L647" s="16">
        <f t="shared" si="73"/>
        <v>0</v>
      </c>
      <c r="M647" s="17">
        <f t="shared" si="74"/>
        <v>0</v>
      </c>
      <c r="N647" s="11"/>
      <c r="O647" s="18"/>
      <c r="P647" s="18"/>
      <c r="Q647" s="100">
        <f t="shared" si="76"/>
        <v>0</v>
      </c>
      <c r="R647" s="19"/>
      <c r="S647" s="52">
        <f t="shared" si="75"/>
        <v>0</v>
      </c>
      <c r="T647" s="11"/>
    </row>
    <row r="648" spans="1:20" x14ac:dyDescent="0.2">
      <c r="A648" s="11"/>
      <c r="B648" s="11"/>
      <c r="C648" s="12"/>
      <c r="D648" s="13"/>
      <c r="E648" s="14"/>
      <c r="F648" s="13"/>
      <c r="G648" s="15" t="e">
        <f t="shared" si="70"/>
        <v>#DIV/0!</v>
      </c>
      <c r="H648" s="16"/>
      <c r="I648" s="16"/>
      <c r="J648" s="16">
        <f t="shared" si="71"/>
        <v>0</v>
      </c>
      <c r="K648" s="16">
        <f t="shared" si="72"/>
        <v>0</v>
      </c>
      <c r="L648" s="16">
        <f t="shared" si="73"/>
        <v>0</v>
      </c>
      <c r="M648" s="17">
        <f t="shared" si="74"/>
        <v>0</v>
      </c>
      <c r="N648" s="11"/>
      <c r="O648" s="18"/>
      <c r="P648" s="18"/>
      <c r="Q648" s="100">
        <f t="shared" si="76"/>
        <v>0</v>
      </c>
      <c r="R648" s="19"/>
      <c r="S648" s="52">
        <f t="shared" si="75"/>
        <v>0</v>
      </c>
      <c r="T648" s="11"/>
    </row>
    <row r="649" spans="1:20" x14ac:dyDescent="0.2">
      <c r="A649" s="11"/>
      <c r="B649" s="11"/>
      <c r="C649" s="12"/>
      <c r="D649" s="13"/>
      <c r="E649" s="14"/>
      <c r="F649" s="13"/>
      <c r="G649" s="15" t="e">
        <f t="shared" si="70"/>
        <v>#DIV/0!</v>
      </c>
      <c r="H649" s="16"/>
      <c r="I649" s="16"/>
      <c r="J649" s="16">
        <f t="shared" si="71"/>
        <v>0</v>
      </c>
      <c r="K649" s="16">
        <f t="shared" si="72"/>
        <v>0</v>
      </c>
      <c r="L649" s="16">
        <f t="shared" si="73"/>
        <v>0</v>
      </c>
      <c r="M649" s="17">
        <f t="shared" si="74"/>
        <v>0</v>
      </c>
      <c r="N649" s="11"/>
      <c r="O649" s="18"/>
      <c r="P649" s="18"/>
      <c r="Q649" s="100">
        <f t="shared" si="76"/>
        <v>0</v>
      </c>
      <c r="R649" s="19"/>
      <c r="S649" s="52">
        <f t="shared" si="75"/>
        <v>0</v>
      </c>
      <c r="T649" s="11"/>
    </row>
    <row r="650" spans="1:20" x14ac:dyDescent="0.2">
      <c r="A650" s="11"/>
      <c r="B650" s="11"/>
      <c r="C650" s="12"/>
      <c r="D650" s="13"/>
      <c r="E650" s="14"/>
      <c r="F650" s="13"/>
      <c r="G650" s="15" t="e">
        <f t="shared" si="70"/>
        <v>#DIV/0!</v>
      </c>
      <c r="H650" s="16"/>
      <c r="I650" s="16"/>
      <c r="J650" s="16">
        <f t="shared" si="71"/>
        <v>0</v>
      </c>
      <c r="K650" s="16">
        <f t="shared" si="72"/>
        <v>0</v>
      </c>
      <c r="L650" s="16">
        <f t="shared" si="73"/>
        <v>0</v>
      </c>
      <c r="M650" s="17">
        <f t="shared" si="74"/>
        <v>0</v>
      </c>
      <c r="N650" s="11"/>
      <c r="O650" s="18"/>
      <c r="P650" s="18"/>
      <c r="Q650" s="100">
        <f t="shared" si="76"/>
        <v>0</v>
      </c>
      <c r="R650" s="19"/>
      <c r="S650" s="52">
        <f t="shared" si="75"/>
        <v>0</v>
      </c>
      <c r="T650" s="11"/>
    </row>
    <row r="651" spans="1:20" x14ac:dyDescent="0.2">
      <c r="A651" s="11"/>
      <c r="B651" s="11"/>
      <c r="C651" s="12"/>
      <c r="D651" s="13"/>
      <c r="E651" s="14"/>
      <c r="F651" s="13"/>
      <c r="G651" s="15" t="e">
        <f t="shared" si="70"/>
        <v>#DIV/0!</v>
      </c>
      <c r="H651" s="16"/>
      <c r="I651" s="16"/>
      <c r="J651" s="16">
        <f t="shared" si="71"/>
        <v>0</v>
      </c>
      <c r="K651" s="16">
        <f t="shared" si="72"/>
        <v>0</v>
      </c>
      <c r="L651" s="16">
        <f t="shared" si="73"/>
        <v>0</v>
      </c>
      <c r="M651" s="17">
        <f t="shared" si="74"/>
        <v>0</v>
      </c>
      <c r="N651" s="11"/>
      <c r="O651" s="18"/>
      <c r="P651" s="18"/>
      <c r="Q651" s="100">
        <f t="shared" si="76"/>
        <v>0</v>
      </c>
      <c r="R651" s="19"/>
      <c r="S651" s="52">
        <f t="shared" si="75"/>
        <v>0</v>
      </c>
      <c r="T651" s="11"/>
    </row>
    <row r="652" spans="1:20" x14ac:dyDescent="0.2">
      <c r="A652" s="11"/>
      <c r="B652" s="11"/>
      <c r="C652" s="12"/>
      <c r="D652" s="13"/>
      <c r="E652" s="14"/>
      <c r="F652" s="13"/>
      <c r="G652" s="15" t="e">
        <f t="shared" si="70"/>
        <v>#DIV/0!</v>
      </c>
      <c r="H652" s="16"/>
      <c r="I652" s="16"/>
      <c r="J652" s="16">
        <f t="shared" si="71"/>
        <v>0</v>
      </c>
      <c r="K652" s="16">
        <f t="shared" si="72"/>
        <v>0</v>
      </c>
      <c r="L652" s="16">
        <f t="shared" si="73"/>
        <v>0</v>
      </c>
      <c r="M652" s="17">
        <f t="shared" si="74"/>
        <v>0</v>
      </c>
      <c r="N652" s="11"/>
      <c r="O652" s="18"/>
      <c r="P652" s="18"/>
      <c r="Q652" s="100">
        <f t="shared" si="76"/>
        <v>0</v>
      </c>
      <c r="R652" s="19"/>
      <c r="S652" s="52">
        <f t="shared" si="75"/>
        <v>0</v>
      </c>
      <c r="T652" s="11"/>
    </row>
    <row r="653" spans="1:20" x14ac:dyDescent="0.2">
      <c r="A653" s="11"/>
      <c r="B653" s="11"/>
      <c r="C653" s="12"/>
      <c r="D653" s="13"/>
      <c r="E653" s="14"/>
      <c r="F653" s="13"/>
      <c r="G653" s="15" t="e">
        <f t="shared" si="70"/>
        <v>#DIV/0!</v>
      </c>
      <c r="H653" s="16"/>
      <c r="I653" s="16"/>
      <c r="J653" s="16">
        <f t="shared" si="71"/>
        <v>0</v>
      </c>
      <c r="K653" s="16">
        <f t="shared" si="72"/>
        <v>0</v>
      </c>
      <c r="L653" s="16">
        <f t="shared" si="73"/>
        <v>0</v>
      </c>
      <c r="M653" s="17">
        <f t="shared" si="74"/>
        <v>0</v>
      </c>
      <c r="N653" s="11"/>
      <c r="O653" s="18"/>
      <c r="P653" s="18"/>
      <c r="Q653" s="100">
        <f t="shared" si="76"/>
        <v>0</v>
      </c>
      <c r="R653" s="19"/>
      <c r="S653" s="52">
        <f t="shared" si="75"/>
        <v>0</v>
      </c>
      <c r="T653" s="11"/>
    </row>
    <row r="654" spans="1:20" x14ac:dyDescent="0.2">
      <c r="A654" s="11"/>
      <c r="B654" s="11"/>
      <c r="C654" s="12"/>
      <c r="D654" s="13"/>
      <c r="E654" s="14"/>
      <c r="F654" s="13"/>
      <c r="G654" s="15" t="e">
        <f t="shared" ref="G654:G717" si="77">+F654/D654</f>
        <v>#DIV/0!</v>
      </c>
      <c r="H654" s="16"/>
      <c r="I654" s="16"/>
      <c r="J654" s="16">
        <f t="shared" ref="J654:J717" si="78">+H654*F654</f>
        <v>0</v>
      </c>
      <c r="K654" s="16">
        <f t="shared" ref="K654:K717" si="79">$K$2*C654</f>
        <v>0</v>
      </c>
      <c r="L654" s="16">
        <f t="shared" ref="L654:L717" si="80">$L$2*C654</f>
        <v>0</v>
      </c>
      <c r="M654" s="17">
        <f t="shared" ref="M654:M717" si="81">+(J654*1.21)+K654+L654</f>
        <v>0</v>
      </c>
      <c r="N654" s="11"/>
      <c r="O654" s="18"/>
      <c r="P654" s="18"/>
      <c r="Q654" s="100">
        <f t="shared" si="76"/>
        <v>0</v>
      </c>
      <c r="R654" s="19"/>
      <c r="S654" s="52">
        <f t="shared" si="75"/>
        <v>0</v>
      </c>
      <c r="T654" s="11"/>
    </row>
    <row r="655" spans="1:20" x14ac:dyDescent="0.2">
      <c r="A655" s="11"/>
      <c r="B655" s="11"/>
      <c r="C655" s="12"/>
      <c r="D655" s="13"/>
      <c r="E655" s="14"/>
      <c r="F655" s="13"/>
      <c r="G655" s="15" t="e">
        <f t="shared" si="77"/>
        <v>#DIV/0!</v>
      </c>
      <c r="H655" s="16"/>
      <c r="I655" s="16"/>
      <c r="J655" s="16">
        <f t="shared" si="78"/>
        <v>0</v>
      </c>
      <c r="K655" s="16">
        <f t="shared" si="79"/>
        <v>0</v>
      </c>
      <c r="L655" s="16">
        <f t="shared" si="80"/>
        <v>0</v>
      </c>
      <c r="M655" s="17">
        <f t="shared" si="81"/>
        <v>0</v>
      </c>
      <c r="N655" s="11"/>
      <c r="O655" s="18"/>
      <c r="P655" s="18"/>
      <c r="Q655" s="100">
        <f t="shared" si="76"/>
        <v>0</v>
      </c>
      <c r="R655" s="19"/>
      <c r="S655" s="52">
        <f t="shared" si="75"/>
        <v>0</v>
      </c>
      <c r="T655" s="11"/>
    </row>
    <row r="656" spans="1:20" x14ac:dyDescent="0.2">
      <c r="A656" s="11"/>
      <c r="B656" s="11"/>
      <c r="C656" s="12"/>
      <c r="D656" s="13"/>
      <c r="E656" s="14"/>
      <c r="F656" s="13"/>
      <c r="G656" s="15" t="e">
        <f t="shared" si="77"/>
        <v>#DIV/0!</v>
      </c>
      <c r="H656" s="16"/>
      <c r="I656" s="16"/>
      <c r="J656" s="16">
        <f t="shared" si="78"/>
        <v>0</v>
      </c>
      <c r="K656" s="16">
        <f t="shared" si="79"/>
        <v>0</v>
      </c>
      <c r="L656" s="16">
        <f t="shared" si="80"/>
        <v>0</v>
      </c>
      <c r="M656" s="17">
        <f t="shared" si="81"/>
        <v>0</v>
      </c>
      <c r="N656" s="11"/>
      <c r="O656" s="18"/>
      <c r="P656" s="18"/>
      <c r="Q656" s="100">
        <f t="shared" si="76"/>
        <v>0</v>
      </c>
      <c r="R656" s="19"/>
      <c r="S656" s="52">
        <f t="shared" ref="S656:S717" si="82">+R656-M656</f>
        <v>0</v>
      </c>
      <c r="T656" s="11"/>
    </row>
    <row r="657" spans="1:20" x14ac:dyDescent="0.2">
      <c r="A657" s="11"/>
      <c r="B657" s="11"/>
      <c r="C657" s="12"/>
      <c r="D657" s="13"/>
      <c r="E657" s="14"/>
      <c r="F657" s="13"/>
      <c r="G657" s="15" t="e">
        <f t="shared" si="77"/>
        <v>#DIV/0!</v>
      </c>
      <c r="H657" s="16"/>
      <c r="I657" s="16"/>
      <c r="J657" s="16">
        <f t="shared" si="78"/>
        <v>0</v>
      </c>
      <c r="K657" s="16">
        <f t="shared" si="79"/>
        <v>0</v>
      </c>
      <c r="L657" s="16">
        <f t="shared" si="80"/>
        <v>0</v>
      </c>
      <c r="M657" s="17">
        <f t="shared" si="81"/>
        <v>0</v>
      </c>
      <c r="N657" s="11"/>
      <c r="O657" s="18"/>
      <c r="P657" s="18"/>
      <c r="Q657" s="100">
        <f t="shared" si="76"/>
        <v>0</v>
      </c>
      <c r="R657" s="19"/>
      <c r="S657" s="52">
        <f t="shared" si="82"/>
        <v>0</v>
      </c>
      <c r="T657" s="11"/>
    </row>
    <row r="658" spans="1:20" x14ac:dyDescent="0.2">
      <c r="A658" s="11"/>
      <c r="B658" s="11"/>
      <c r="C658" s="12"/>
      <c r="D658" s="13"/>
      <c r="E658" s="14"/>
      <c r="F658" s="13"/>
      <c r="G658" s="15" t="e">
        <f t="shared" si="77"/>
        <v>#DIV/0!</v>
      </c>
      <c r="H658" s="16"/>
      <c r="I658" s="16"/>
      <c r="J658" s="16">
        <f t="shared" si="78"/>
        <v>0</v>
      </c>
      <c r="K658" s="16">
        <f t="shared" si="79"/>
        <v>0</v>
      </c>
      <c r="L658" s="16">
        <f t="shared" si="80"/>
        <v>0</v>
      </c>
      <c r="M658" s="17">
        <f t="shared" si="81"/>
        <v>0</v>
      </c>
      <c r="N658" s="11"/>
      <c r="O658" s="18"/>
      <c r="P658" s="18"/>
      <c r="Q658" s="100">
        <f t="shared" si="76"/>
        <v>0</v>
      </c>
      <c r="R658" s="19"/>
      <c r="S658" s="52">
        <f t="shared" si="82"/>
        <v>0</v>
      </c>
      <c r="T658" s="11"/>
    </row>
    <row r="659" spans="1:20" x14ac:dyDescent="0.2">
      <c r="A659" s="11"/>
      <c r="B659" s="11"/>
      <c r="C659" s="12"/>
      <c r="D659" s="13"/>
      <c r="E659" s="14"/>
      <c r="F659" s="13"/>
      <c r="G659" s="15" t="e">
        <f t="shared" si="77"/>
        <v>#DIV/0!</v>
      </c>
      <c r="H659" s="16"/>
      <c r="I659" s="16"/>
      <c r="J659" s="16">
        <f t="shared" si="78"/>
        <v>0</v>
      </c>
      <c r="K659" s="16">
        <f t="shared" si="79"/>
        <v>0</v>
      </c>
      <c r="L659" s="16">
        <f t="shared" si="80"/>
        <v>0</v>
      </c>
      <c r="M659" s="17">
        <f t="shared" si="81"/>
        <v>0</v>
      </c>
      <c r="N659" s="11"/>
      <c r="O659" s="18"/>
      <c r="P659" s="18"/>
      <c r="Q659" s="100">
        <f t="shared" si="76"/>
        <v>0</v>
      </c>
      <c r="R659" s="19"/>
      <c r="S659" s="52">
        <f t="shared" si="82"/>
        <v>0</v>
      </c>
      <c r="T659" s="11"/>
    </row>
    <row r="660" spans="1:20" x14ac:dyDescent="0.2">
      <c r="A660" s="11"/>
      <c r="B660" s="11"/>
      <c r="C660" s="12"/>
      <c r="D660" s="13"/>
      <c r="E660" s="14"/>
      <c r="F660" s="13"/>
      <c r="G660" s="15" t="e">
        <f t="shared" si="77"/>
        <v>#DIV/0!</v>
      </c>
      <c r="H660" s="16"/>
      <c r="I660" s="16"/>
      <c r="J660" s="16">
        <f t="shared" si="78"/>
        <v>0</v>
      </c>
      <c r="K660" s="16">
        <f t="shared" si="79"/>
        <v>0</v>
      </c>
      <c r="L660" s="16">
        <f t="shared" si="80"/>
        <v>0</v>
      </c>
      <c r="M660" s="17">
        <f t="shared" si="81"/>
        <v>0</v>
      </c>
      <c r="N660" s="11"/>
      <c r="O660" s="18"/>
      <c r="P660" s="18"/>
      <c r="Q660" s="100">
        <f t="shared" si="76"/>
        <v>0</v>
      </c>
      <c r="R660" s="19"/>
      <c r="S660" s="52">
        <f t="shared" si="82"/>
        <v>0</v>
      </c>
      <c r="T660" s="11"/>
    </row>
    <row r="661" spans="1:20" x14ac:dyDescent="0.2">
      <c r="A661" s="11"/>
      <c r="B661" s="11"/>
      <c r="C661" s="12"/>
      <c r="D661" s="13"/>
      <c r="E661" s="14"/>
      <c r="F661" s="13"/>
      <c r="G661" s="15" t="e">
        <f t="shared" si="77"/>
        <v>#DIV/0!</v>
      </c>
      <c r="H661" s="16"/>
      <c r="I661" s="16"/>
      <c r="J661" s="16">
        <f t="shared" si="78"/>
        <v>0</v>
      </c>
      <c r="K661" s="16">
        <f t="shared" si="79"/>
        <v>0</v>
      </c>
      <c r="L661" s="16">
        <f t="shared" si="80"/>
        <v>0</v>
      </c>
      <c r="M661" s="17">
        <f t="shared" si="81"/>
        <v>0</v>
      </c>
      <c r="N661" s="11"/>
      <c r="O661" s="18"/>
      <c r="P661" s="18"/>
      <c r="Q661" s="100">
        <f t="shared" si="76"/>
        <v>0</v>
      </c>
      <c r="R661" s="19"/>
      <c r="S661" s="52">
        <f t="shared" si="82"/>
        <v>0</v>
      </c>
      <c r="T661" s="11"/>
    </row>
    <row r="662" spans="1:20" x14ac:dyDescent="0.2">
      <c r="A662" s="11"/>
      <c r="B662" s="11"/>
      <c r="C662" s="12"/>
      <c r="D662" s="13"/>
      <c r="E662" s="14"/>
      <c r="F662" s="13"/>
      <c r="G662" s="15" t="e">
        <f t="shared" si="77"/>
        <v>#DIV/0!</v>
      </c>
      <c r="H662" s="16"/>
      <c r="I662" s="16"/>
      <c r="J662" s="16">
        <f t="shared" si="78"/>
        <v>0</v>
      </c>
      <c r="K662" s="16">
        <f t="shared" si="79"/>
        <v>0</v>
      </c>
      <c r="L662" s="16">
        <f t="shared" si="80"/>
        <v>0</v>
      </c>
      <c r="M662" s="17">
        <f t="shared" si="81"/>
        <v>0</v>
      </c>
      <c r="N662" s="11"/>
      <c r="O662" s="18"/>
      <c r="P662" s="18"/>
      <c r="Q662" s="100">
        <f t="shared" si="76"/>
        <v>0</v>
      </c>
      <c r="R662" s="19"/>
      <c r="S662" s="52">
        <f t="shared" si="82"/>
        <v>0</v>
      </c>
      <c r="T662" s="11"/>
    </row>
    <row r="663" spans="1:20" x14ac:dyDescent="0.2">
      <c r="A663" s="11"/>
      <c r="B663" s="11"/>
      <c r="C663" s="12"/>
      <c r="D663" s="13"/>
      <c r="E663" s="14"/>
      <c r="F663" s="13"/>
      <c r="G663" s="15" t="e">
        <f t="shared" si="77"/>
        <v>#DIV/0!</v>
      </c>
      <c r="H663" s="16"/>
      <c r="I663" s="16"/>
      <c r="J663" s="16">
        <f t="shared" si="78"/>
        <v>0</v>
      </c>
      <c r="K663" s="16">
        <f t="shared" si="79"/>
        <v>0</v>
      </c>
      <c r="L663" s="16">
        <f t="shared" si="80"/>
        <v>0</v>
      </c>
      <c r="M663" s="17">
        <f t="shared" si="81"/>
        <v>0</v>
      </c>
      <c r="N663" s="11"/>
      <c r="O663" s="18"/>
      <c r="P663" s="18"/>
      <c r="Q663" s="100">
        <f t="shared" si="76"/>
        <v>0</v>
      </c>
      <c r="R663" s="19"/>
      <c r="S663" s="52">
        <f t="shared" si="82"/>
        <v>0</v>
      </c>
      <c r="T663" s="11"/>
    </row>
    <row r="664" spans="1:20" x14ac:dyDescent="0.2">
      <c r="A664" s="11"/>
      <c r="B664" s="11"/>
      <c r="C664" s="12"/>
      <c r="D664" s="13"/>
      <c r="E664" s="14"/>
      <c r="F664" s="13"/>
      <c r="G664" s="15" t="e">
        <f t="shared" si="77"/>
        <v>#DIV/0!</v>
      </c>
      <c r="H664" s="16"/>
      <c r="I664" s="16"/>
      <c r="J664" s="16">
        <f t="shared" si="78"/>
        <v>0</v>
      </c>
      <c r="K664" s="16">
        <f t="shared" si="79"/>
        <v>0</v>
      </c>
      <c r="L664" s="16">
        <f t="shared" si="80"/>
        <v>0</v>
      </c>
      <c r="M664" s="17">
        <f t="shared" si="81"/>
        <v>0</v>
      </c>
      <c r="N664" s="11"/>
      <c r="O664" s="18"/>
      <c r="P664" s="18"/>
      <c r="Q664" s="100">
        <f t="shared" si="76"/>
        <v>0</v>
      </c>
      <c r="R664" s="19"/>
      <c r="S664" s="52">
        <f t="shared" si="82"/>
        <v>0</v>
      </c>
      <c r="T664" s="11"/>
    </row>
    <row r="665" spans="1:20" x14ac:dyDescent="0.2">
      <c r="A665" s="11"/>
      <c r="B665" s="11"/>
      <c r="C665" s="12"/>
      <c r="D665" s="13"/>
      <c r="E665" s="14"/>
      <c r="F665" s="13"/>
      <c r="G665" s="15" t="e">
        <f t="shared" si="77"/>
        <v>#DIV/0!</v>
      </c>
      <c r="H665" s="16"/>
      <c r="I665" s="16"/>
      <c r="J665" s="16">
        <f t="shared" si="78"/>
        <v>0</v>
      </c>
      <c r="K665" s="16">
        <f t="shared" si="79"/>
        <v>0</v>
      </c>
      <c r="L665" s="16">
        <f t="shared" si="80"/>
        <v>0</v>
      </c>
      <c r="M665" s="17">
        <f t="shared" si="81"/>
        <v>0</v>
      </c>
      <c r="N665" s="11"/>
      <c r="O665" s="18"/>
      <c r="P665" s="18"/>
      <c r="Q665" s="100">
        <f t="shared" si="76"/>
        <v>0</v>
      </c>
      <c r="R665" s="19"/>
      <c r="S665" s="52">
        <f t="shared" si="82"/>
        <v>0</v>
      </c>
      <c r="T665" s="11"/>
    </row>
    <row r="666" spans="1:20" x14ac:dyDescent="0.2">
      <c r="A666" s="11"/>
      <c r="B666" s="11"/>
      <c r="C666" s="12"/>
      <c r="D666" s="13"/>
      <c r="E666" s="14"/>
      <c r="F666" s="13"/>
      <c r="G666" s="15" t="e">
        <f t="shared" si="77"/>
        <v>#DIV/0!</v>
      </c>
      <c r="H666" s="16"/>
      <c r="I666" s="16"/>
      <c r="J666" s="16">
        <f t="shared" si="78"/>
        <v>0</v>
      </c>
      <c r="K666" s="16">
        <f t="shared" si="79"/>
        <v>0</v>
      </c>
      <c r="L666" s="16">
        <f t="shared" si="80"/>
        <v>0</v>
      </c>
      <c r="M666" s="17">
        <f t="shared" si="81"/>
        <v>0</v>
      </c>
      <c r="N666" s="11"/>
      <c r="O666" s="18"/>
      <c r="P666" s="18"/>
      <c r="Q666" s="100">
        <f t="shared" si="76"/>
        <v>0</v>
      </c>
      <c r="R666" s="19"/>
      <c r="S666" s="52">
        <f t="shared" si="82"/>
        <v>0</v>
      </c>
      <c r="T666" s="11"/>
    </row>
    <row r="667" spans="1:20" x14ac:dyDescent="0.2">
      <c r="A667" s="11"/>
      <c r="B667" s="11"/>
      <c r="C667" s="12"/>
      <c r="D667" s="13"/>
      <c r="E667" s="14"/>
      <c r="F667" s="13"/>
      <c r="G667" s="15" t="e">
        <f t="shared" si="77"/>
        <v>#DIV/0!</v>
      </c>
      <c r="H667" s="16"/>
      <c r="I667" s="16"/>
      <c r="J667" s="16">
        <f t="shared" si="78"/>
        <v>0</v>
      </c>
      <c r="K667" s="16">
        <f t="shared" si="79"/>
        <v>0</v>
      </c>
      <c r="L667" s="16">
        <f t="shared" si="80"/>
        <v>0</v>
      </c>
      <c r="M667" s="17">
        <f t="shared" si="81"/>
        <v>0</v>
      </c>
      <c r="N667" s="11"/>
      <c r="O667" s="18"/>
      <c r="P667" s="18"/>
      <c r="Q667" s="100">
        <f t="shared" si="76"/>
        <v>0</v>
      </c>
      <c r="R667" s="19"/>
      <c r="S667" s="52">
        <f t="shared" si="82"/>
        <v>0</v>
      </c>
      <c r="T667" s="11"/>
    </row>
    <row r="668" spans="1:20" x14ac:dyDescent="0.2">
      <c r="A668" s="11"/>
      <c r="B668" s="11"/>
      <c r="C668" s="12"/>
      <c r="D668" s="13"/>
      <c r="E668" s="14"/>
      <c r="F668" s="13"/>
      <c r="G668" s="15" t="e">
        <f t="shared" si="77"/>
        <v>#DIV/0!</v>
      </c>
      <c r="H668" s="16"/>
      <c r="I668" s="16"/>
      <c r="J668" s="16">
        <f t="shared" si="78"/>
        <v>0</v>
      </c>
      <c r="K668" s="16">
        <f t="shared" si="79"/>
        <v>0</v>
      </c>
      <c r="L668" s="16">
        <f t="shared" si="80"/>
        <v>0</v>
      </c>
      <c r="M668" s="17">
        <f t="shared" si="81"/>
        <v>0</v>
      </c>
      <c r="N668" s="11"/>
      <c r="O668" s="18"/>
      <c r="P668" s="18"/>
      <c r="Q668" s="100">
        <f t="shared" si="76"/>
        <v>0</v>
      </c>
      <c r="R668" s="19"/>
      <c r="S668" s="52">
        <f t="shared" si="82"/>
        <v>0</v>
      </c>
      <c r="T668" s="11"/>
    </row>
    <row r="669" spans="1:20" x14ac:dyDescent="0.2">
      <c r="A669" s="11"/>
      <c r="B669" s="11"/>
      <c r="C669" s="12"/>
      <c r="D669" s="13"/>
      <c r="E669" s="14"/>
      <c r="F669" s="13"/>
      <c r="G669" s="15" t="e">
        <f t="shared" si="77"/>
        <v>#DIV/0!</v>
      </c>
      <c r="H669" s="16"/>
      <c r="I669" s="16"/>
      <c r="J669" s="16">
        <f t="shared" si="78"/>
        <v>0</v>
      </c>
      <c r="K669" s="16">
        <f t="shared" si="79"/>
        <v>0</v>
      </c>
      <c r="L669" s="16">
        <f t="shared" si="80"/>
        <v>0</v>
      </c>
      <c r="M669" s="17">
        <f t="shared" si="81"/>
        <v>0</v>
      </c>
      <c r="N669" s="11"/>
      <c r="O669" s="18"/>
      <c r="P669" s="18"/>
      <c r="Q669" s="100">
        <f t="shared" si="76"/>
        <v>0</v>
      </c>
      <c r="R669" s="19"/>
      <c r="S669" s="52">
        <f t="shared" si="82"/>
        <v>0</v>
      </c>
      <c r="T669" s="11"/>
    </row>
    <row r="670" spans="1:20" x14ac:dyDescent="0.2">
      <c r="A670" s="11"/>
      <c r="B670" s="11"/>
      <c r="C670" s="12"/>
      <c r="D670" s="13"/>
      <c r="E670" s="14"/>
      <c r="F670" s="13"/>
      <c r="G670" s="15" t="e">
        <f t="shared" si="77"/>
        <v>#DIV/0!</v>
      </c>
      <c r="H670" s="16"/>
      <c r="I670" s="16"/>
      <c r="J670" s="16">
        <f t="shared" si="78"/>
        <v>0</v>
      </c>
      <c r="K670" s="16">
        <f t="shared" si="79"/>
        <v>0</v>
      </c>
      <c r="L670" s="16">
        <f t="shared" si="80"/>
        <v>0</v>
      </c>
      <c r="M670" s="17">
        <f t="shared" si="81"/>
        <v>0</v>
      </c>
      <c r="N670" s="11"/>
      <c r="O670" s="18"/>
      <c r="P670" s="18"/>
      <c r="Q670" s="100">
        <f t="shared" si="76"/>
        <v>0</v>
      </c>
      <c r="R670" s="19"/>
      <c r="S670" s="52">
        <f t="shared" si="82"/>
        <v>0</v>
      </c>
      <c r="T670" s="11"/>
    </row>
    <row r="671" spans="1:20" x14ac:dyDescent="0.2">
      <c r="A671" s="11"/>
      <c r="B671" s="11"/>
      <c r="C671" s="12"/>
      <c r="D671" s="13"/>
      <c r="E671" s="14"/>
      <c r="F671" s="13"/>
      <c r="G671" s="15" t="e">
        <f t="shared" si="77"/>
        <v>#DIV/0!</v>
      </c>
      <c r="H671" s="16"/>
      <c r="I671" s="16"/>
      <c r="J671" s="16">
        <f t="shared" si="78"/>
        <v>0</v>
      </c>
      <c r="K671" s="16">
        <f t="shared" si="79"/>
        <v>0</v>
      </c>
      <c r="L671" s="16">
        <f t="shared" si="80"/>
        <v>0</v>
      </c>
      <c r="M671" s="17">
        <f t="shared" si="81"/>
        <v>0</v>
      </c>
      <c r="N671" s="11"/>
      <c r="O671" s="18"/>
      <c r="P671" s="18"/>
      <c r="Q671" s="100">
        <f t="shared" si="76"/>
        <v>0</v>
      </c>
      <c r="R671" s="19"/>
      <c r="S671" s="52">
        <f t="shared" si="82"/>
        <v>0</v>
      </c>
      <c r="T671" s="11"/>
    </row>
    <row r="672" spans="1:20" x14ac:dyDescent="0.2">
      <c r="A672" s="11"/>
      <c r="B672" s="11"/>
      <c r="C672" s="12"/>
      <c r="D672" s="13"/>
      <c r="E672" s="14"/>
      <c r="F672" s="13"/>
      <c r="G672" s="15" t="e">
        <f t="shared" si="77"/>
        <v>#DIV/0!</v>
      </c>
      <c r="H672" s="16"/>
      <c r="I672" s="16"/>
      <c r="J672" s="16">
        <f t="shared" si="78"/>
        <v>0</v>
      </c>
      <c r="K672" s="16">
        <f t="shared" si="79"/>
        <v>0</v>
      </c>
      <c r="L672" s="16">
        <f t="shared" si="80"/>
        <v>0</v>
      </c>
      <c r="M672" s="17">
        <f t="shared" si="81"/>
        <v>0</v>
      </c>
      <c r="N672" s="11"/>
      <c r="O672" s="18"/>
      <c r="P672" s="18"/>
      <c r="Q672" s="100">
        <f t="shared" si="76"/>
        <v>0</v>
      </c>
      <c r="R672" s="19"/>
      <c r="S672" s="52">
        <f t="shared" si="82"/>
        <v>0</v>
      </c>
      <c r="T672" s="11"/>
    </row>
    <row r="673" spans="1:20" x14ac:dyDescent="0.2">
      <c r="A673" s="11"/>
      <c r="B673" s="11"/>
      <c r="C673" s="12"/>
      <c r="D673" s="13"/>
      <c r="E673" s="14"/>
      <c r="F673" s="13"/>
      <c r="G673" s="15" t="e">
        <f t="shared" si="77"/>
        <v>#DIV/0!</v>
      </c>
      <c r="H673" s="16"/>
      <c r="I673" s="16"/>
      <c r="J673" s="16">
        <f t="shared" si="78"/>
        <v>0</v>
      </c>
      <c r="K673" s="16">
        <f t="shared" si="79"/>
        <v>0</v>
      </c>
      <c r="L673" s="16">
        <f t="shared" si="80"/>
        <v>0</v>
      </c>
      <c r="M673" s="17">
        <f t="shared" si="81"/>
        <v>0</v>
      </c>
      <c r="N673" s="11"/>
      <c r="O673" s="18"/>
      <c r="P673" s="18"/>
      <c r="Q673" s="100">
        <f t="shared" si="76"/>
        <v>0</v>
      </c>
      <c r="R673" s="19"/>
      <c r="S673" s="52">
        <f t="shared" si="82"/>
        <v>0</v>
      </c>
      <c r="T673" s="11"/>
    </row>
    <row r="674" spans="1:20" x14ac:dyDescent="0.2">
      <c r="A674" s="11"/>
      <c r="B674" s="11"/>
      <c r="C674" s="12"/>
      <c r="D674" s="13"/>
      <c r="E674" s="14"/>
      <c r="F674" s="13"/>
      <c r="G674" s="15" t="e">
        <f t="shared" si="77"/>
        <v>#DIV/0!</v>
      </c>
      <c r="H674" s="16"/>
      <c r="I674" s="16"/>
      <c r="J674" s="16">
        <f t="shared" si="78"/>
        <v>0</v>
      </c>
      <c r="K674" s="16">
        <f t="shared" si="79"/>
        <v>0</v>
      </c>
      <c r="L674" s="16">
        <f t="shared" si="80"/>
        <v>0</v>
      </c>
      <c r="M674" s="17">
        <f t="shared" si="81"/>
        <v>0</v>
      </c>
      <c r="N674" s="11"/>
      <c r="O674" s="18"/>
      <c r="P674" s="18"/>
      <c r="Q674" s="100">
        <f t="shared" si="76"/>
        <v>0</v>
      </c>
      <c r="R674" s="19"/>
      <c r="S674" s="52">
        <f t="shared" si="82"/>
        <v>0</v>
      </c>
      <c r="T674" s="11"/>
    </row>
    <row r="675" spans="1:20" x14ac:dyDescent="0.2">
      <c r="A675" s="11"/>
      <c r="B675" s="11"/>
      <c r="C675" s="12"/>
      <c r="D675" s="13"/>
      <c r="E675" s="14"/>
      <c r="F675" s="13"/>
      <c r="G675" s="15" t="e">
        <f t="shared" si="77"/>
        <v>#DIV/0!</v>
      </c>
      <c r="H675" s="16"/>
      <c r="I675" s="16"/>
      <c r="J675" s="16">
        <f t="shared" si="78"/>
        <v>0</v>
      </c>
      <c r="K675" s="16">
        <f t="shared" si="79"/>
        <v>0</v>
      </c>
      <c r="L675" s="16">
        <f t="shared" si="80"/>
        <v>0</v>
      </c>
      <c r="M675" s="17">
        <f t="shared" si="81"/>
        <v>0</v>
      </c>
      <c r="N675" s="11"/>
      <c r="O675" s="18"/>
      <c r="P675" s="18"/>
      <c r="Q675" s="100">
        <f t="shared" si="76"/>
        <v>0</v>
      </c>
      <c r="R675" s="19"/>
      <c r="S675" s="52">
        <f t="shared" si="82"/>
        <v>0</v>
      </c>
      <c r="T675" s="11"/>
    </row>
    <row r="676" spans="1:20" x14ac:dyDescent="0.2">
      <c r="A676" s="11"/>
      <c r="B676" s="11"/>
      <c r="C676" s="12"/>
      <c r="D676" s="13"/>
      <c r="E676" s="14"/>
      <c r="F676" s="13"/>
      <c r="G676" s="15" t="e">
        <f t="shared" si="77"/>
        <v>#DIV/0!</v>
      </c>
      <c r="H676" s="16"/>
      <c r="I676" s="16"/>
      <c r="J676" s="16">
        <f t="shared" si="78"/>
        <v>0</v>
      </c>
      <c r="K676" s="16">
        <f t="shared" si="79"/>
        <v>0</v>
      </c>
      <c r="L676" s="16">
        <f t="shared" si="80"/>
        <v>0</v>
      </c>
      <c r="M676" s="17">
        <f t="shared" si="81"/>
        <v>0</v>
      </c>
      <c r="N676" s="11"/>
      <c r="O676" s="18"/>
      <c r="P676" s="18"/>
      <c r="Q676" s="100">
        <f t="shared" si="76"/>
        <v>0</v>
      </c>
      <c r="R676" s="19"/>
      <c r="S676" s="52">
        <f t="shared" si="82"/>
        <v>0</v>
      </c>
      <c r="T676" s="11"/>
    </row>
    <row r="677" spans="1:20" x14ac:dyDescent="0.2">
      <c r="A677" s="11"/>
      <c r="B677" s="11"/>
      <c r="C677" s="12"/>
      <c r="D677" s="13"/>
      <c r="E677" s="14"/>
      <c r="F677" s="13"/>
      <c r="G677" s="15" t="e">
        <f t="shared" si="77"/>
        <v>#DIV/0!</v>
      </c>
      <c r="H677" s="16"/>
      <c r="I677" s="16"/>
      <c r="J677" s="16">
        <f t="shared" si="78"/>
        <v>0</v>
      </c>
      <c r="K677" s="16">
        <f t="shared" si="79"/>
        <v>0</v>
      </c>
      <c r="L677" s="16">
        <f t="shared" si="80"/>
        <v>0</v>
      </c>
      <c r="M677" s="17">
        <f t="shared" si="81"/>
        <v>0</v>
      </c>
      <c r="N677" s="11"/>
      <c r="O677" s="18"/>
      <c r="P677" s="18"/>
      <c r="Q677" s="100">
        <f t="shared" si="76"/>
        <v>0</v>
      </c>
      <c r="R677" s="19"/>
      <c r="S677" s="52">
        <f t="shared" si="82"/>
        <v>0</v>
      </c>
      <c r="T677" s="11"/>
    </row>
    <row r="678" spans="1:20" x14ac:dyDescent="0.2">
      <c r="A678" s="11"/>
      <c r="B678" s="11"/>
      <c r="C678" s="12"/>
      <c r="D678" s="13"/>
      <c r="E678" s="14"/>
      <c r="F678" s="13"/>
      <c r="G678" s="15" t="e">
        <f t="shared" si="77"/>
        <v>#DIV/0!</v>
      </c>
      <c r="H678" s="16"/>
      <c r="I678" s="16"/>
      <c r="J678" s="16">
        <f t="shared" si="78"/>
        <v>0</v>
      </c>
      <c r="K678" s="16">
        <f t="shared" si="79"/>
        <v>0</v>
      </c>
      <c r="L678" s="16">
        <f t="shared" si="80"/>
        <v>0</v>
      </c>
      <c r="M678" s="17">
        <f t="shared" si="81"/>
        <v>0</v>
      </c>
      <c r="N678" s="11"/>
      <c r="O678" s="18"/>
      <c r="P678" s="18"/>
      <c r="Q678" s="100">
        <f t="shared" si="76"/>
        <v>0</v>
      </c>
      <c r="R678" s="19"/>
      <c r="S678" s="52">
        <f t="shared" si="82"/>
        <v>0</v>
      </c>
      <c r="T678" s="11"/>
    </row>
    <row r="679" spans="1:20" x14ac:dyDescent="0.2">
      <c r="A679" s="11"/>
      <c r="B679" s="11"/>
      <c r="C679" s="12"/>
      <c r="D679" s="13"/>
      <c r="E679" s="14"/>
      <c r="F679" s="13"/>
      <c r="G679" s="15" t="e">
        <f t="shared" si="77"/>
        <v>#DIV/0!</v>
      </c>
      <c r="H679" s="16"/>
      <c r="I679" s="16"/>
      <c r="J679" s="16">
        <f t="shared" si="78"/>
        <v>0</v>
      </c>
      <c r="K679" s="16">
        <f t="shared" si="79"/>
        <v>0</v>
      </c>
      <c r="L679" s="16">
        <f t="shared" si="80"/>
        <v>0</v>
      </c>
      <c r="M679" s="17">
        <f t="shared" si="81"/>
        <v>0</v>
      </c>
      <c r="N679" s="11"/>
      <c r="O679" s="18"/>
      <c r="P679" s="18"/>
      <c r="Q679" s="100">
        <f t="shared" si="76"/>
        <v>0</v>
      </c>
      <c r="R679" s="19"/>
      <c r="S679" s="52">
        <f t="shared" si="82"/>
        <v>0</v>
      </c>
      <c r="T679" s="11"/>
    </row>
    <row r="680" spans="1:20" x14ac:dyDescent="0.2">
      <c r="A680" s="11"/>
      <c r="B680" s="11"/>
      <c r="C680" s="12"/>
      <c r="D680" s="13"/>
      <c r="E680" s="14"/>
      <c r="F680" s="13"/>
      <c r="G680" s="15" t="e">
        <f t="shared" si="77"/>
        <v>#DIV/0!</v>
      </c>
      <c r="H680" s="16"/>
      <c r="I680" s="16"/>
      <c r="J680" s="16">
        <f t="shared" si="78"/>
        <v>0</v>
      </c>
      <c r="K680" s="16">
        <f t="shared" si="79"/>
        <v>0</v>
      </c>
      <c r="L680" s="16">
        <f t="shared" si="80"/>
        <v>0</v>
      </c>
      <c r="M680" s="17">
        <f t="shared" si="81"/>
        <v>0</v>
      </c>
      <c r="N680" s="11"/>
      <c r="O680" s="18"/>
      <c r="P680" s="18"/>
      <c r="Q680" s="100">
        <f t="shared" si="76"/>
        <v>0</v>
      </c>
      <c r="R680" s="19"/>
      <c r="S680" s="52">
        <f t="shared" si="82"/>
        <v>0</v>
      </c>
      <c r="T680" s="11"/>
    </row>
    <row r="681" spans="1:20" x14ac:dyDescent="0.2">
      <c r="A681" s="11"/>
      <c r="B681" s="11"/>
      <c r="C681" s="12"/>
      <c r="D681" s="13"/>
      <c r="E681" s="14"/>
      <c r="F681" s="13"/>
      <c r="G681" s="15" t="e">
        <f t="shared" si="77"/>
        <v>#DIV/0!</v>
      </c>
      <c r="H681" s="16"/>
      <c r="I681" s="16"/>
      <c r="J681" s="16">
        <f t="shared" si="78"/>
        <v>0</v>
      </c>
      <c r="K681" s="16">
        <f t="shared" si="79"/>
        <v>0</v>
      </c>
      <c r="L681" s="16">
        <f t="shared" si="80"/>
        <v>0</v>
      </c>
      <c r="M681" s="17">
        <f t="shared" si="81"/>
        <v>0</v>
      </c>
      <c r="N681" s="11"/>
      <c r="O681" s="18"/>
      <c r="P681" s="18"/>
      <c r="Q681" s="100">
        <f t="shared" si="76"/>
        <v>0</v>
      </c>
      <c r="R681" s="19"/>
      <c r="S681" s="52">
        <f t="shared" si="82"/>
        <v>0</v>
      </c>
      <c r="T681" s="11"/>
    </row>
    <row r="682" spans="1:20" x14ac:dyDescent="0.2">
      <c r="A682" s="11"/>
      <c r="B682" s="11"/>
      <c r="C682" s="12"/>
      <c r="D682" s="13"/>
      <c r="E682" s="14"/>
      <c r="F682" s="13"/>
      <c r="G682" s="15" t="e">
        <f t="shared" si="77"/>
        <v>#DIV/0!</v>
      </c>
      <c r="H682" s="16"/>
      <c r="I682" s="16"/>
      <c r="J682" s="16">
        <f t="shared" si="78"/>
        <v>0</v>
      </c>
      <c r="K682" s="16">
        <f t="shared" si="79"/>
        <v>0</v>
      </c>
      <c r="L682" s="16">
        <f t="shared" si="80"/>
        <v>0</v>
      </c>
      <c r="M682" s="17">
        <f t="shared" si="81"/>
        <v>0</v>
      </c>
      <c r="N682" s="11"/>
      <c r="O682" s="18"/>
      <c r="P682" s="18"/>
      <c r="Q682" s="100">
        <f t="shared" si="76"/>
        <v>0</v>
      </c>
      <c r="R682" s="19"/>
      <c r="S682" s="52">
        <f t="shared" si="82"/>
        <v>0</v>
      </c>
      <c r="T682" s="11"/>
    </row>
    <row r="683" spans="1:20" x14ac:dyDescent="0.2">
      <c r="A683" s="11"/>
      <c r="B683" s="11"/>
      <c r="C683" s="12"/>
      <c r="D683" s="13"/>
      <c r="E683" s="14"/>
      <c r="F683" s="13"/>
      <c r="G683" s="15" t="e">
        <f t="shared" si="77"/>
        <v>#DIV/0!</v>
      </c>
      <c r="H683" s="16"/>
      <c r="I683" s="16"/>
      <c r="J683" s="16">
        <f t="shared" si="78"/>
        <v>0</v>
      </c>
      <c r="K683" s="16">
        <f t="shared" si="79"/>
        <v>0</v>
      </c>
      <c r="L683" s="16">
        <f t="shared" si="80"/>
        <v>0</v>
      </c>
      <c r="M683" s="17">
        <f t="shared" si="81"/>
        <v>0</v>
      </c>
      <c r="N683" s="11"/>
      <c r="O683" s="18"/>
      <c r="P683" s="18"/>
      <c r="Q683" s="100">
        <f t="shared" si="76"/>
        <v>0</v>
      </c>
      <c r="R683" s="19"/>
      <c r="S683" s="52">
        <f t="shared" si="82"/>
        <v>0</v>
      </c>
      <c r="T683" s="11"/>
    </row>
    <row r="684" spans="1:20" x14ac:dyDescent="0.2">
      <c r="A684" s="11"/>
      <c r="B684" s="11"/>
      <c r="C684" s="12"/>
      <c r="D684" s="13"/>
      <c r="E684" s="14"/>
      <c r="F684" s="13"/>
      <c r="G684" s="15" t="e">
        <f t="shared" si="77"/>
        <v>#DIV/0!</v>
      </c>
      <c r="H684" s="16"/>
      <c r="I684" s="16"/>
      <c r="J684" s="16">
        <f t="shared" si="78"/>
        <v>0</v>
      </c>
      <c r="K684" s="16">
        <f t="shared" si="79"/>
        <v>0</v>
      </c>
      <c r="L684" s="16">
        <f t="shared" si="80"/>
        <v>0</v>
      </c>
      <c r="M684" s="17">
        <f t="shared" si="81"/>
        <v>0</v>
      </c>
      <c r="N684" s="11"/>
      <c r="O684" s="18"/>
      <c r="P684" s="18"/>
      <c r="Q684" s="100">
        <f t="shared" si="76"/>
        <v>0</v>
      </c>
      <c r="R684" s="19"/>
      <c r="S684" s="52">
        <f t="shared" si="82"/>
        <v>0</v>
      </c>
      <c r="T684" s="11"/>
    </row>
    <row r="685" spans="1:20" x14ac:dyDescent="0.2">
      <c r="A685" s="11"/>
      <c r="B685" s="11"/>
      <c r="C685" s="12"/>
      <c r="D685" s="13"/>
      <c r="E685" s="14"/>
      <c r="F685" s="13"/>
      <c r="G685" s="15" t="e">
        <f t="shared" si="77"/>
        <v>#DIV/0!</v>
      </c>
      <c r="H685" s="16"/>
      <c r="I685" s="16"/>
      <c r="J685" s="16">
        <f t="shared" si="78"/>
        <v>0</v>
      </c>
      <c r="K685" s="16">
        <f t="shared" si="79"/>
        <v>0</v>
      </c>
      <c r="L685" s="16">
        <f t="shared" si="80"/>
        <v>0</v>
      </c>
      <c r="M685" s="17">
        <f t="shared" si="81"/>
        <v>0</v>
      </c>
      <c r="N685" s="11"/>
      <c r="O685" s="18"/>
      <c r="P685" s="18"/>
      <c r="Q685" s="100">
        <f t="shared" si="76"/>
        <v>0</v>
      </c>
      <c r="R685" s="19"/>
      <c r="S685" s="52">
        <f t="shared" si="82"/>
        <v>0</v>
      </c>
      <c r="T685" s="11"/>
    </row>
    <row r="686" spans="1:20" x14ac:dyDescent="0.2">
      <c r="A686" s="11"/>
      <c r="B686" s="11"/>
      <c r="C686" s="12"/>
      <c r="D686" s="13"/>
      <c r="E686" s="14"/>
      <c r="F686" s="13"/>
      <c r="G686" s="15" t="e">
        <f t="shared" si="77"/>
        <v>#DIV/0!</v>
      </c>
      <c r="H686" s="16"/>
      <c r="I686" s="16"/>
      <c r="J686" s="16">
        <f t="shared" si="78"/>
        <v>0</v>
      </c>
      <c r="K686" s="16">
        <f t="shared" si="79"/>
        <v>0</v>
      </c>
      <c r="L686" s="16">
        <f t="shared" si="80"/>
        <v>0</v>
      </c>
      <c r="M686" s="17">
        <f t="shared" si="81"/>
        <v>0</v>
      </c>
      <c r="N686" s="11"/>
      <c r="O686" s="18"/>
      <c r="P686" s="18"/>
      <c r="Q686" s="100">
        <f t="shared" si="76"/>
        <v>0</v>
      </c>
      <c r="R686" s="19"/>
      <c r="S686" s="52">
        <f t="shared" si="82"/>
        <v>0</v>
      </c>
      <c r="T686" s="11"/>
    </row>
    <row r="687" spans="1:20" x14ac:dyDescent="0.2">
      <c r="A687" s="11"/>
      <c r="B687" s="11"/>
      <c r="C687" s="12"/>
      <c r="D687" s="13"/>
      <c r="E687" s="14"/>
      <c r="F687" s="13"/>
      <c r="G687" s="15" t="e">
        <f t="shared" si="77"/>
        <v>#DIV/0!</v>
      </c>
      <c r="H687" s="16"/>
      <c r="I687" s="16"/>
      <c r="J687" s="16">
        <f t="shared" si="78"/>
        <v>0</v>
      </c>
      <c r="K687" s="16">
        <f t="shared" si="79"/>
        <v>0</v>
      </c>
      <c r="L687" s="16">
        <f t="shared" si="80"/>
        <v>0</v>
      </c>
      <c r="M687" s="17">
        <f t="shared" si="81"/>
        <v>0</v>
      </c>
      <c r="N687" s="11"/>
      <c r="O687" s="18"/>
      <c r="P687" s="18"/>
      <c r="Q687" s="100">
        <f t="shared" si="76"/>
        <v>0</v>
      </c>
      <c r="R687" s="19"/>
      <c r="S687" s="52">
        <f t="shared" si="82"/>
        <v>0</v>
      </c>
      <c r="T687" s="11"/>
    </row>
    <row r="688" spans="1:20" x14ac:dyDescent="0.2">
      <c r="A688" s="11"/>
      <c r="B688" s="11"/>
      <c r="C688" s="12"/>
      <c r="D688" s="13"/>
      <c r="E688" s="14"/>
      <c r="F688" s="13"/>
      <c r="G688" s="15" t="e">
        <f t="shared" si="77"/>
        <v>#DIV/0!</v>
      </c>
      <c r="H688" s="16"/>
      <c r="I688" s="16"/>
      <c r="J688" s="16">
        <f t="shared" si="78"/>
        <v>0</v>
      </c>
      <c r="K688" s="16">
        <f t="shared" si="79"/>
        <v>0</v>
      </c>
      <c r="L688" s="16">
        <f t="shared" si="80"/>
        <v>0</v>
      </c>
      <c r="M688" s="17">
        <f t="shared" si="81"/>
        <v>0</v>
      </c>
      <c r="N688" s="11"/>
      <c r="O688" s="18"/>
      <c r="P688" s="18"/>
      <c r="Q688" s="100">
        <f t="shared" si="76"/>
        <v>0</v>
      </c>
      <c r="R688" s="19"/>
      <c r="S688" s="52">
        <f t="shared" si="82"/>
        <v>0</v>
      </c>
      <c r="T688" s="11"/>
    </row>
    <row r="689" spans="1:20" x14ac:dyDescent="0.2">
      <c r="A689" s="11"/>
      <c r="B689" s="11"/>
      <c r="C689" s="12"/>
      <c r="D689" s="13"/>
      <c r="E689" s="14"/>
      <c r="F689" s="13"/>
      <c r="G689" s="15" t="e">
        <f t="shared" si="77"/>
        <v>#DIV/0!</v>
      </c>
      <c r="H689" s="16"/>
      <c r="I689" s="16"/>
      <c r="J689" s="16">
        <f t="shared" si="78"/>
        <v>0</v>
      </c>
      <c r="K689" s="16">
        <f t="shared" si="79"/>
        <v>0</v>
      </c>
      <c r="L689" s="16">
        <f t="shared" si="80"/>
        <v>0</v>
      </c>
      <c r="M689" s="17">
        <f t="shared" si="81"/>
        <v>0</v>
      </c>
      <c r="N689" s="11"/>
      <c r="O689" s="18"/>
      <c r="P689" s="18"/>
      <c r="Q689" s="100">
        <f t="shared" si="76"/>
        <v>0</v>
      </c>
      <c r="R689" s="19"/>
      <c r="S689" s="52">
        <f t="shared" si="82"/>
        <v>0</v>
      </c>
      <c r="T689" s="11"/>
    </row>
    <row r="690" spans="1:20" x14ac:dyDescent="0.2">
      <c r="A690" s="11"/>
      <c r="B690" s="11"/>
      <c r="C690" s="12"/>
      <c r="D690" s="13"/>
      <c r="E690" s="14"/>
      <c r="F690" s="13"/>
      <c r="G690" s="15" t="e">
        <f t="shared" si="77"/>
        <v>#DIV/0!</v>
      </c>
      <c r="H690" s="16"/>
      <c r="I690" s="16"/>
      <c r="J690" s="16">
        <f t="shared" si="78"/>
        <v>0</v>
      </c>
      <c r="K690" s="16">
        <f t="shared" si="79"/>
        <v>0</v>
      </c>
      <c r="L690" s="16">
        <f t="shared" si="80"/>
        <v>0</v>
      </c>
      <c r="M690" s="17">
        <f t="shared" si="81"/>
        <v>0</v>
      </c>
      <c r="N690" s="11"/>
      <c r="O690" s="18"/>
      <c r="P690" s="18"/>
      <c r="Q690" s="100">
        <f t="shared" si="76"/>
        <v>0</v>
      </c>
      <c r="R690" s="19"/>
      <c r="S690" s="52">
        <f t="shared" si="82"/>
        <v>0</v>
      </c>
      <c r="T690" s="11"/>
    </row>
    <row r="691" spans="1:20" x14ac:dyDescent="0.2">
      <c r="A691" s="11"/>
      <c r="B691" s="11"/>
      <c r="C691" s="12"/>
      <c r="D691" s="13"/>
      <c r="E691" s="14"/>
      <c r="F691" s="13"/>
      <c r="G691" s="15" t="e">
        <f t="shared" si="77"/>
        <v>#DIV/0!</v>
      </c>
      <c r="H691" s="16"/>
      <c r="I691" s="16"/>
      <c r="J691" s="16">
        <f t="shared" si="78"/>
        <v>0</v>
      </c>
      <c r="K691" s="16">
        <f t="shared" si="79"/>
        <v>0</v>
      </c>
      <c r="L691" s="16">
        <f t="shared" si="80"/>
        <v>0</v>
      </c>
      <c r="M691" s="17">
        <f t="shared" si="81"/>
        <v>0</v>
      </c>
      <c r="N691" s="11"/>
      <c r="O691" s="18"/>
      <c r="P691" s="18"/>
      <c r="Q691" s="100">
        <f t="shared" si="76"/>
        <v>0</v>
      </c>
      <c r="R691" s="19"/>
      <c r="S691" s="52">
        <f t="shared" si="82"/>
        <v>0</v>
      </c>
      <c r="T691" s="11"/>
    </row>
    <row r="692" spans="1:20" x14ac:dyDescent="0.2">
      <c r="A692" s="11"/>
      <c r="B692" s="11"/>
      <c r="C692" s="12"/>
      <c r="D692" s="13"/>
      <c r="E692" s="14"/>
      <c r="F692" s="13"/>
      <c r="G692" s="15" t="e">
        <f t="shared" si="77"/>
        <v>#DIV/0!</v>
      </c>
      <c r="H692" s="16"/>
      <c r="I692" s="16"/>
      <c r="J692" s="16">
        <f t="shared" si="78"/>
        <v>0</v>
      </c>
      <c r="K692" s="16">
        <f t="shared" si="79"/>
        <v>0</v>
      </c>
      <c r="L692" s="16">
        <f t="shared" si="80"/>
        <v>0</v>
      </c>
      <c r="M692" s="17">
        <f t="shared" si="81"/>
        <v>0</v>
      </c>
      <c r="N692" s="11"/>
      <c r="O692" s="18"/>
      <c r="P692" s="18"/>
      <c r="Q692" s="100">
        <f t="shared" si="76"/>
        <v>0</v>
      </c>
      <c r="R692" s="19"/>
      <c r="S692" s="52">
        <f t="shared" si="82"/>
        <v>0</v>
      </c>
      <c r="T692" s="11"/>
    </row>
    <row r="693" spans="1:20" x14ac:dyDescent="0.2">
      <c r="A693" s="11"/>
      <c r="B693" s="11"/>
      <c r="C693" s="12"/>
      <c r="D693" s="13"/>
      <c r="E693" s="14"/>
      <c r="F693" s="13"/>
      <c r="G693" s="15" t="e">
        <f t="shared" si="77"/>
        <v>#DIV/0!</v>
      </c>
      <c r="H693" s="16"/>
      <c r="I693" s="16"/>
      <c r="J693" s="16">
        <f t="shared" si="78"/>
        <v>0</v>
      </c>
      <c r="K693" s="16">
        <f t="shared" si="79"/>
        <v>0</v>
      </c>
      <c r="L693" s="16">
        <f t="shared" si="80"/>
        <v>0</v>
      </c>
      <c r="M693" s="17">
        <f t="shared" si="81"/>
        <v>0</v>
      </c>
      <c r="N693" s="11"/>
      <c r="O693" s="18"/>
      <c r="P693" s="18"/>
      <c r="Q693" s="100">
        <f t="shared" si="76"/>
        <v>0</v>
      </c>
      <c r="R693" s="19"/>
      <c r="S693" s="52">
        <f t="shared" si="82"/>
        <v>0</v>
      </c>
      <c r="T693" s="11"/>
    </row>
    <row r="694" spans="1:20" x14ac:dyDescent="0.2">
      <c r="A694" s="11"/>
      <c r="B694" s="11"/>
      <c r="C694" s="12"/>
      <c r="D694" s="13"/>
      <c r="E694" s="14"/>
      <c r="F694" s="13"/>
      <c r="G694" s="15" t="e">
        <f t="shared" si="77"/>
        <v>#DIV/0!</v>
      </c>
      <c r="H694" s="16"/>
      <c r="I694" s="16"/>
      <c r="J694" s="16">
        <f t="shared" si="78"/>
        <v>0</v>
      </c>
      <c r="K694" s="16">
        <f t="shared" si="79"/>
        <v>0</v>
      </c>
      <c r="L694" s="16">
        <f t="shared" si="80"/>
        <v>0</v>
      </c>
      <c r="M694" s="17">
        <f t="shared" si="81"/>
        <v>0</v>
      </c>
      <c r="N694" s="11"/>
      <c r="O694" s="18"/>
      <c r="P694" s="18"/>
      <c r="Q694" s="100">
        <f t="shared" si="76"/>
        <v>0</v>
      </c>
      <c r="R694" s="19"/>
      <c r="S694" s="52">
        <f t="shared" si="82"/>
        <v>0</v>
      </c>
      <c r="T694" s="11"/>
    </row>
    <row r="695" spans="1:20" x14ac:dyDescent="0.2">
      <c r="A695" s="11"/>
      <c r="B695" s="11"/>
      <c r="C695" s="12"/>
      <c r="D695" s="13"/>
      <c r="E695" s="14"/>
      <c r="F695" s="13"/>
      <c r="G695" s="15" t="e">
        <f t="shared" si="77"/>
        <v>#DIV/0!</v>
      </c>
      <c r="H695" s="16"/>
      <c r="I695" s="16"/>
      <c r="J695" s="16">
        <f t="shared" si="78"/>
        <v>0</v>
      </c>
      <c r="K695" s="16">
        <f t="shared" si="79"/>
        <v>0</v>
      </c>
      <c r="L695" s="16">
        <f t="shared" si="80"/>
        <v>0</v>
      </c>
      <c r="M695" s="17">
        <f t="shared" si="81"/>
        <v>0</v>
      </c>
      <c r="N695" s="11"/>
      <c r="O695" s="18"/>
      <c r="P695" s="18"/>
      <c r="Q695" s="100">
        <f t="shared" si="76"/>
        <v>0</v>
      </c>
      <c r="R695" s="19"/>
      <c r="S695" s="52">
        <f t="shared" si="82"/>
        <v>0</v>
      </c>
      <c r="T695" s="11"/>
    </row>
    <row r="696" spans="1:20" x14ac:dyDescent="0.2">
      <c r="A696" s="11"/>
      <c r="B696" s="11"/>
      <c r="C696" s="12"/>
      <c r="D696" s="13"/>
      <c r="E696" s="14"/>
      <c r="F696" s="13"/>
      <c r="G696" s="15" t="e">
        <f t="shared" si="77"/>
        <v>#DIV/0!</v>
      </c>
      <c r="H696" s="16"/>
      <c r="I696" s="16"/>
      <c r="J696" s="16">
        <f t="shared" si="78"/>
        <v>0</v>
      </c>
      <c r="K696" s="16">
        <f t="shared" si="79"/>
        <v>0</v>
      </c>
      <c r="L696" s="16">
        <f t="shared" si="80"/>
        <v>0</v>
      </c>
      <c r="M696" s="17">
        <f t="shared" si="81"/>
        <v>0</v>
      </c>
      <c r="N696" s="11"/>
      <c r="O696" s="18"/>
      <c r="P696" s="18"/>
      <c r="Q696" s="100">
        <f t="shared" si="76"/>
        <v>0</v>
      </c>
      <c r="R696" s="19"/>
      <c r="S696" s="52">
        <f t="shared" si="82"/>
        <v>0</v>
      </c>
      <c r="T696" s="11"/>
    </row>
    <row r="697" spans="1:20" x14ac:dyDescent="0.2">
      <c r="A697" s="11"/>
      <c r="B697" s="11"/>
      <c r="C697" s="12"/>
      <c r="D697" s="13"/>
      <c r="E697" s="14"/>
      <c r="F697" s="13"/>
      <c r="G697" s="15" t="e">
        <f t="shared" si="77"/>
        <v>#DIV/0!</v>
      </c>
      <c r="H697" s="16"/>
      <c r="I697" s="16"/>
      <c r="J697" s="16">
        <f t="shared" si="78"/>
        <v>0</v>
      </c>
      <c r="K697" s="16">
        <f t="shared" si="79"/>
        <v>0</v>
      </c>
      <c r="L697" s="16">
        <f t="shared" si="80"/>
        <v>0</v>
      </c>
      <c r="M697" s="17">
        <f t="shared" si="81"/>
        <v>0</v>
      </c>
      <c r="N697" s="11"/>
      <c r="O697" s="18"/>
      <c r="P697" s="18"/>
      <c r="Q697" s="100">
        <f t="shared" si="76"/>
        <v>0</v>
      </c>
      <c r="R697" s="19"/>
      <c r="S697" s="52">
        <f t="shared" si="82"/>
        <v>0</v>
      </c>
      <c r="T697" s="11"/>
    </row>
    <row r="698" spans="1:20" x14ac:dyDescent="0.2">
      <c r="A698" s="11"/>
      <c r="B698" s="11"/>
      <c r="C698" s="12"/>
      <c r="D698" s="13"/>
      <c r="E698" s="14"/>
      <c r="F698" s="13"/>
      <c r="G698" s="15" t="e">
        <f t="shared" si="77"/>
        <v>#DIV/0!</v>
      </c>
      <c r="H698" s="16"/>
      <c r="I698" s="16"/>
      <c r="J698" s="16">
        <f t="shared" si="78"/>
        <v>0</v>
      </c>
      <c r="K698" s="16">
        <f t="shared" si="79"/>
        <v>0</v>
      </c>
      <c r="L698" s="16">
        <f t="shared" si="80"/>
        <v>0</v>
      </c>
      <c r="M698" s="17">
        <f t="shared" si="81"/>
        <v>0</v>
      </c>
      <c r="N698" s="11"/>
      <c r="O698" s="18"/>
      <c r="P698" s="18"/>
      <c r="Q698" s="100">
        <f t="shared" si="76"/>
        <v>0</v>
      </c>
      <c r="R698" s="19"/>
      <c r="S698" s="52">
        <f t="shared" si="82"/>
        <v>0</v>
      </c>
      <c r="T698" s="11"/>
    </row>
    <row r="699" spans="1:20" x14ac:dyDescent="0.2">
      <c r="A699" s="11"/>
      <c r="B699" s="11"/>
      <c r="C699" s="12"/>
      <c r="D699" s="13"/>
      <c r="E699" s="14"/>
      <c r="F699" s="13"/>
      <c r="G699" s="15" t="e">
        <f t="shared" si="77"/>
        <v>#DIV/0!</v>
      </c>
      <c r="H699" s="16"/>
      <c r="I699" s="16"/>
      <c r="J699" s="16">
        <f t="shared" si="78"/>
        <v>0</v>
      </c>
      <c r="K699" s="16">
        <f t="shared" si="79"/>
        <v>0</v>
      </c>
      <c r="L699" s="16">
        <f t="shared" si="80"/>
        <v>0</v>
      </c>
      <c r="M699" s="17">
        <f t="shared" si="81"/>
        <v>0</v>
      </c>
      <c r="N699" s="11"/>
      <c r="O699" s="18"/>
      <c r="P699" s="18"/>
      <c r="Q699" s="100">
        <f t="shared" si="76"/>
        <v>0</v>
      </c>
      <c r="R699" s="19"/>
      <c r="S699" s="52">
        <f t="shared" si="82"/>
        <v>0</v>
      </c>
      <c r="T699" s="11"/>
    </row>
    <row r="700" spans="1:20" x14ac:dyDescent="0.2">
      <c r="A700" s="11"/>
      <c r="B700" s="11"/>
      <c r="C700" s="12"/>
      <c r="D700" s="13"/>
      <c r="E700" s="14"/>
      <c r="F700" s="13"/>
      <c r="G700" s="15" t="e">
        <f t="shared" si="77"/>
        <v>#DIV/0!</v>
      </c>
      <c r="H700" s="16"/>
      <c r="I700" s="16"/>
      <c r="J700" s="16">
        <f t="shared" si="78"/>
        <v>0</v>
      </c>
      <c r="K700" s="16">
        <f t="shared" si="79"/>
        <v>0</v>
      </c>
      <c r="L700" s="16">
        <f t="shared" si="80"/>
        <v>0</v>
      </c>
      <c r="M700" s="17">
        <f t="shared" si="81"/>
        <v>0</v>
      </c>
      <c r="N700" s="11"/>
      <c r="O700" s="18"/>
      <c r="P700" s="18"/>
      <c r="Q700" s="100">
        <f t="shared" si="76"/>
        <v>0</v>
      </c>
      <c r="R700" s="19"/>
      <c r="S700" s="52">
        <f t="shared" si="82"/>
        <v>0</v>
      </c>
      <c r="T700" s="11"/>
    </row>
    <row r="701" spans="1:20" x14ac:dyDescent="0.2">
      <c r="A701" s="11"/>
      <c r="B701" s="11"/>
      <c r="C701" s="12"/>
      <c r="D701" s="13"/>
      <c r="E701" s="14"/>
      <c r="F701" s="13"/>
      <c r="G701" s="15" t="e">
        <f t="shared" si="77"/>
        <v>#DIV/0!</v>
      </c>
      <c r="H701" s="16"/>
      <c r="I701" s="16"/>
      <c r="J701" s="16">
        <f t="shared" si="78"/>
        <v>0</v>
      </c>
      <c r="K701" s="16">
        <f t="shared" si="79"/>
        <v>0</v>
      </c>
      <c r="L701" s="16">
        <f t="shared" si="80"/>
        <v>0</v>
      </c>
      <c r="M701" s="17">
        <f t="shared" si="81"/>
        <v>0</v>
      </c>
      <c r="N701" s="11"/>
      <c r="O701" s="18"/>
      <c r="P701" s="18"/>
      <c r="Q701" s="100">
        <f t="shared" si="76"/>
        <v>0</v>
      </c>
      <c r="R701" s="19"/>
      <c r="S701" s="52">
        <f t="shared" si="82"/>
        <v>0</v>
      </c>
      <c r="T701" s="11"/>
    </row>
    <row r="702" spans="1:20" x14ac:dyDescent="0.2">
      <c r="A702" s="11"/>
      <c r="B702" s="11"/>
      <c r="C702" s="12"/>
      <c r="D702" s="13"/>
      <c r="E702" s="14"/>
      <c r="F702" s="13"/>
      <c r="G702" s="15" t="e">
        <f t="shared" si="77"/>
        <v>#DIV/0!</v>
      </c>
      <c r="H702" s="16"/>
      <c r="I702" s="16"/>
      <c r="J702" s="16">
        <f t="shared" si="78"/>
        <v>0</v>
      </c>
      <c r="K702" s="16">
        <f t="shared" si="79"/>
        <v>0</v>
      </c>
      <c r="L702" s="16">
        <f t="shared" si="80"/>
        <v>0</v>
      </c>
      <c r="M702" s="17">
        <f t="shared" si="81"/>
        <v>0</v>
      </c>
      <c r="N702" s="11"/>
      <c r="O702" s="18"/>
      <c r="P702" s="18"/>
      <c r="Q702" s="100">
        <f t="shared" si="76"/>
        <v>0</v>
      </c>
      <c r="R702" s="19"/>
      <c r="S702" s="52">
        <f t="shared" si="82"/>
        <v>0</v>
      </c>
      <c r="T702" s="11"/>
    </row>
    <row r="703" spans="1:20" x14ac:dyDescent="0.2">
      <c r="A703" s="11"/>
      <c r="B703" s="11"/>
      <c r="C703" s="12"/>
      <c r="D703" s="13"/>
      <c r="E703" s="14"/>
      <c r="F703" s="13"/>
      <c r="G703" s="15" t="e">
        <f t="shared" si="77"/>
        <v>#DIV/0!</v>
      </c>
      <c r="H703" s="16"/>
      <c r="I703" s="16"/>
      <c r="J703" s="16">
        <f t="shared" si="78"/>
        <v>0</v>
      </c>
      <c r="K703" s="16">
        <f t="shared" si="79"/>
        <v>0</v>
      </c>
      <c r="L703" s="16">
        <f t="shared" si="80"/>
        <v>0</v>
      </c>
      <c r="M703" s="17">
        <f t="shared" si="81"/>
        <v>0</v>
      </c>
      <c r="N703" s="11"/>
      <c r="O703" s="18"/>
      <c r="P703" s="18"/>
      <c r="Q703" s="100">
        <f t="shared" si="76"/>
        <v>0</v>
      </c>
      <c r="R703" s="19"/>
      <c r="S703" s="52">
        <f t="shared" si="82"/>
        <v>0</v>
      </c>
      <c r="T703" s="11"/>
    </row>
    <row r="704" spans="1:20" x14ac:dyDescent="0.2">
      <c r="A704" s="11"/>
      <c r="B704" s="11"/>
      <c r="C704" s="12"/>
      <c r="D704" s="13"/>
      <c r="E704" s="14"/>
      <c r="F704" s="13"/>
      <c r="G704" s="15" t="e">
        <f t="shared" si="77"/>
        <v>#DIV/0!</v>
      </c>
      <c r="H704" s="16"/>
      <c r="I704" s="16"/>
      <c r="J704" s="16">
        <f t="shared" si="78"/>
        <v>0</v>
      </c>
      <c r="K704" s="16">
        <f t="shared" si="79"/>
        <v>0</v>
      </c>
      <c r="L704" s="16">
        <f t="shared" si="80"/>
        <v>0</v>
      </c>
      <c r="M704" s="17">
        <f t="shared" si="81"/>
        <v>0</v>
      </c>
      <c r="N704" s="11"/>
      <c r="O704" s="18"/>
      <c r="P704" s="18"/>
      <c r="Q704" s="100">
        <f t="shared" si="76"/>
        <v>0</v>
      </c>
      <c r="R704" s="19"/>
      <c r="S704" s="52">
        <f t="shared" si="82"/>
        <v>0</v>
      </c>
      <c r="T704" s="11"/>
    </row>
    <row r="705" spans="1:20" x14ac:dyDescent="0.2">
      <c r="A705" s="11"/>
      <c r="B705" s="11"/>
      <c r="C705" s="12"/>
      <c r="D705" s="13"/>
      <c r="E705" s="14"/>
      <c r="F705" s="13"/>
      <c r="G705" s="15" t="e">
        <f t="shared" si="77"/>
        <v>#DIV/0!</v>
      </c>
      <c r="H705" s="16"/>
      <c r="I705" s="16"/>
      <c r="J705" s="16">
        <f t="shared" si="78"/>
        <v>0</v>
      </c>
      <c r="K705" s="16">
        <f t="shared" si="79"/>
        <v>0</v>
      </c>
      <c r="L705" s="16">
        <f t="shared" si="80"/>
        <v>0</v>
      </c>
      <c r="M705" s="17">
        <f t="shared" si="81"/>
        <v>0</v>
      </c>
      <c r="N705" s="11"/>
      <c r="O705" s="18"/>
      <c r="P705" s="18"/>
      <c r="Q705" s="100">
        <f t="shared" si="76"/>
        <v>0</v>
      </c>
      <c r="R705" s="19"/>
      <c r="S705" s="52">
        <f t="shared" si="82"/>
        <v>0</v>
      </c>
      <c r="T705" s="11"/>
    </row>
    <row r="706" spans="1:20" x14ac:dyDescent="0.2">
      <c r="A706" s="11"/>
      <c r="B706" s="11"/>
      <c r="C706" s="12"/>
      <c r="D706" s="13"/>
      <c r="E706" s="14"/>
      <c r="F706" s="13"/>
      <c r="G706" s="15" t="e">
        <f t="shared" si="77"/>
        <v>#DIV/0!</v>
      </c>
      <c r="H706" s="16"/>
      <c r="I706" s="16"/>
      <c r="J706" s="16">
        <f t="shared" si="78"/>
        <v>0</v>
      </c>
      <c r="K706" s="16">
        <f t="shared" si="79"/>
        <v>0</v>
      </c>
      <c r="L706" s="16">
        <f t="shared" si="80"/>
        <v>0</v>
      </c>
      <c r="M706" s="17">
        <f t="shared" si="81"/>
        <v>0</v>
      </c>
      <c r="N706" s="11"/>
      <c r="O706" s="18"/>
      <c r="P706" s="18"/>
      <c r="Q706" s="100">
        <f t="shared" si="76"/>
        <v>0</v>
      </c>
      <c r="R706" s="19"/>
      <c r="S706" s="52">
        <f t="shared" si="82"/>
        <v>0</v>
      </c>
      <c r="T706" s="11"/>
    </row>
    <row r="707" spans="1:20" x14ac:dyDescent="0.2">
      <c r="A707" s="11"/>
      <c r="B707" s="11"/>
      <c r="C707" s="12"/>
      <c r="D707" s="13"/>
      <c r="E707" s="14"/>
      <c r="F707" s="13"/>
      <c r="G707" s="15" t="e">
        <f t="shared" si="77"/>
        <v>#DIV/0!</v>
      </c>
      <c r="H707" s="16"/>
      <c r="I707" s="16"/>
      <c r="J707" s="16">
        <f t="shared" si="78"/>
        <v>0</v>
      </c>
      <c r="K707" s="16">
        <f t="shared" si="79"/>
        <v>0</v>
      </c>
      <c r="L707" s="16">
        <f t="shared" si="80"/>
        <v>0</v>
      </c>
      <c r="M707" s="17">
        <f t="shared" si="81"/>
        <v>0</v>
      </c>
      <c r="N707" s="11"/>
      <c r="O707" s="18"/>
      <c r="P707" s="18"/>
      <c r="Q707" s="100">
        <f t="shared" si="76"/>
        <v>0</v>
      </c>
      <c r="R707" s="19"/>
      <c r="S707" s="52">
        <f t="shared" si="82"/>
        <v>0</v>
      </c>
      <c r="T707" s="11"/>
    </row>
    <row r="708" spans="1:20" x14ac:dyDescent="0.2">
      <c r="A708" s="11"/>
      <c r="B708" s="11"/>
      <c r="C708" s="12"/>
      <c r="D708" s="13"/>
      <c r="E708" s="14"/>
      <c r="F708" s="13"/>
      <c r="G708" s="15" t="e">
        <f t="shared" si="77"/>
        <v>#DIV/0!</v>
      </c>
      <c r="H708" s="16"/>
      <c r="I708" s="16"/>
      <c r="J708" s="16">
        <f t="shared" si="78"/>
        <v>0</v>
      </c>
      <c r="K708" s="16">
        <f t="shared" si="79"/>
        <v>0</v>
      </c>
      <c r="L708" s="16">
        <f t="shared" si="80"/>
        <v>0</v>
      </c>
      <c r="M708" s="17">
        <f t="shared" si="81"/>
        <v>0</v>
      </c>
      <c r="N708" s="11"/>
      <c r="O708" s="18"/>
      <c r="P708" s="18"/>
      <c r="Q708" s="100">
        <f t="shared" si="76"/>
        <v>0</v>
      </c>
      <c r="R708" s="19"/>
      <c r="S708" s="52">
        <f t="shared" si="82"/>
        <v>0</v>
      </c>
      <c r="T708" s="11"/>
    </row>
    <row r="709" spans="1:20" x14ac:dyDescent="0.2">
      <c r="A709" s="11"/>
      <c r="B709" s="11"/>
      <c r="C709" s="12"/>
      <c r="D709" s="13"/>
      <c r="E709" s="14"/>
      <c r="F709" s="13"/>
      <c r="G709" s="15" t="e">
        <f t="shared" si="77"/>
        <v>#DIV/0!</v>
      </c>
      <c r="H709" s="16"/>
      <c r="I709" s="16"/>
      <c r="J709" s="16">
        <f t="shared" si="78"/>
        <v>0</v>
      </c>
      <c r="K709" s="16">
        <f t="shared" si="79"/>
        <v>0</v>
      </c>
      <c r="L709" s="16">
        <f t="shared" si="80"/>
        <v>0</v>
      </c>
      <c r="M709" s="17">
        <f t="shared" si="81"/>
        <v>0</v>
      </c>
      <c r="N709" s="11"/>
      <c r="O709" s="18"/>
      <c r="P709" s="18"/>
      <c r="Q709" s="100">
        <f t="shared" si="76"/>
        <v>0</v>
      </c>
      <c r="R709" s="19"/>
      <c r="S709" s="52">
        <f t="shared" si="82"/>
        <v>0</v>
      </c>
      <c r="T709" s="11"/>
    </row>
    <row r="710" spans="1:20" x14ac:dyDescent="0.2">
      <c r="A710" s="11"/>
      <c r="B710" s="11"/>
      <c r="C710" s="12"/>
      <c r="D710" s="13"/>
      <c r="E710" s="14"/>
      <c r="F710" s="13"/>
      <c r="G710" s="15" t="e">
        <f t="shared" si="77"/>
        <v>#DIV/0!</v>
      </c>
      <c r="H710" s="16"/>
      <c r="I710" s="16"/>
      <c r="J710" s="16">
        <f t="shared" si="78"/>
        <v>0</v>
      </c>
      <c r="K710" s="16">
        <f t="shared" si="79"/>
        <v>0</v>
      </c>
      <c r="L710" s="16">
        <f t="shared" si="80"/>
        <v>0</v>
      </c>
      <c r="M710" s="17">
        <f t="shared" si="81"/>
        <v>0</v>
      </c>
      <c r="N710" s="11"/>
      <c r="O710" s="18"/>
      <c r="P710" s="18"/>
      <c r="Q710" s="100">
        <f t="shared" ref="Q710:Q717" si="83">+P710-O710</f>
        <v>0</v>
      </c>
      <c r="R710" s="19"/>
      <c r="S710" s="52">
        <f t="shared" si="82"/>
        <v>0</v>
      </c>
      <c r="T710" s="11"/>
    </row>
    <row r="711" spans="1:20" x14ac:dyDescent="0.2">
      <c r="A711" s="11"/>
      <c r="B711" s="11"/>
      <c r="C711" s="12"/>
      <c r="D711" s="13"/>
      <c r="E711" s="14"/>
      <c r="F711" s="13"/>
      <c r="G711" s="15" t="e">
        <f t="shared" si="77"/>
        <v>#DIV/0!</v>
      </c>
      <c r="H711" s="16"/>
      <c r="I711" s="16"/>
      <c r="J711" s="16">
        <f t="shared" si="78"/>
        <v>0</v>
      </c>
      <c r="K711" s="16">
        <f t="shared" si="79"/>
        <v>0</v>
      </c>
      <c r="L711" s="16">
        <f t="shared" si="80"/>
        <v>0</v>
      </c>
      <c r="M711" s="17">
        <f t="shared" si="81"/>
        <v>0</v>
      </c>
      <c r="N711" s="11"/>
      <c r="O711" s="18"/>
      <c r="P711" s="18"/>
      <c r="Q711" s="100">
        <f t="shared" si="83"/>
        <v>0</v>
      </c>
      <c r="R711" s="19"/>
      <c r="S711" s="52">
        <f t="shared" si="82"/>
        <v>0</v>
      </c>
      <c r="T711" s="11"/>
    </row>
    <row r="712" spans="1:20" x14ac:dyDescent="0.2">
      <c r="A712" s="11"/>
      <c r="B712" s="11"/>
      <c r="C712" s="12"/>
      <c r="D712" s="13"/>
      <c r="E712" s="14"/>
      <c r="F712" s="13"/>
      <c r="G712" s="15" t="e">
        <f t="shared" si="77"/>
        <v>#DIV/0!</v>
      </c>
      <c r="H712" s="16"/>
      <c r="I712" s="16"/>
      <c r="J712" s="16">
        <f t="shared" si="78"/>
        <v>0</v>
      </c>
      <c r="K712" s="16">
        <f t="shared" si="79"/>
        <v>0</v>
      </c>
      <c r="L712" s="16">
        <f t="shared" si="80"/>
        <v>0</v>
      </c>
      <c r="M712" s="17">
        <f t="shared" si="81"/>
        <v>0</v>
      </c>
      <c r="N712" s="11"/>
      <c r="O712" s="18"/>
      <c r="P712" s="18"/>
      <c r="Q712" s="100">
        <f t="shared" si="83"/>
        <v>0</v>
      </c>
      <c r="R712" s="19"/>
      <c r="S712" s="52">
        <f t="shared" si="82"/>
        <v>0</v>
      </c>
      <c r="T712" s="11"/>
    </row>
    <row r="713" spans="1:20" x14ac:dyDescent="0.2">
      <c r="A713" s="11"/>
      <c r="B713" s="11"/>
      <c r="C713" s="12"/>
      <c r="D713" s="13"/>
      <c r="E713" s="14"/>
      <c r="F713" s="13"/>
      <c r="G713" s="15" t="e">
        <f t="shared" si="77"/>
        <v>#DIV/0!</v>
      </c>
      <c r="H713" s="16"/>
      <c r="I713" s="16"/>
      <c r="J713" s="16">
        <f t="shared" si="78"/>
        <v>0</v>
      </c>
      <c r="K713" s="16">
        <f t="shared" si="79"/>
        <v>0</v>
      </c>
      <c r="L713" s="16">
        <f t="shared" si="80"/>
        <v>0</v>
      </c>
      <c r="M713" s="17">
        <f t="shared" si="81"/>
        <v>0</v>
      </c>
      <c r="N713" s="11"/>
      <c r="O713" s="18"/>
      <c r="P713" s="18"/>
      <c r="Q713" s="100">
        <f t="shared" si="83"/>
        <v>0</v>
      </c>
      <c r="R713" s="19"/>
      <c r="S713" s="52">
        <f t="shared" si="82"/>
        <v>0</v>
      </c>
      <c r="T713" s="11"/>
    </row>
    <row r="714" spans="1:20" x14ac:dyDescent="0.2">
      <c r="A714" s="11"/>
      <c r="B714" s="11"/>
      <c r="C714" s="12"/>
      <c r="D714" s="13"/>
      <c r="E714" s="14"/>
      <c r="F714" s="13"/>
      <c r="G714" s="15" t="e">
        <f t="shared" si="77"/>
        <v>#DIV/0!</v>
      </c>
      <c r="H714" s="16"/>
      <c r="I714" s="16"/>
      <c r="J714" s="16">
        <f t="shared" si="78"/>
        <v>0</v>
      </c>
      <c r="K714" s="16">
        <f t="shared" si="79"/>
        <v>0</v>
      </c>
      <c r="L714" s="16">
        <f t="shared" si="80"/>
        <v>0</v>
      </c>
      <c r="M714" s="17">
        <f t="shared" si="81"/>
        <v>0</v>
      </c>
      <c r="N714" s="11"/>
      <c r="O714" s="18"/>
      <c r="P714" s="18"/>
      <c r="Q714" s="100">
        <f t="shared" si="83"/>
        <v>0</v>
      </c>
      <c r="R714" s="19"/>
      <c r="S714" s="52">
        <f t="shared" si="82"/>
        <v>0</v>
      </c>
      <c r="T714" s="11"/>
    </row>
    <row r="715" spans="1:20" x14ac:dyDescent="0.2">
      <c r="A715" s="11"/>
      <c r="B715" s="11"/>
      <c r="C715" s="12"/>
      <c r="D715" s="13"/>
      <c r="E715" s="14"/>
      <c r="F715" s="13"/>
      <c r="G715" s="15" t="e">
        <f t="shared" si="77"/>
        <v>#DIV/0!</v>
      </c>
      <c r="H715" s="16"/>
      <c r="I715" s="16"/>
      <c r="J715" s="16">
        <f t="shared" si="78"/>
        <v>0</v>
      </c>
      <c r="K715" s="16">
        <f t="shared" si="79"/>
        <v>0</v>
      </c>
      <c r="L715" s="16">
        <f t="shared" si="80"/>
        <v>0</v>
      </c>
      <c r="M715" s="17">
        <f t="shared" si="81"/>
        <v>0</v>
      </c>
      <c r="N715" s="11"/>
      <c r="O715" s="18"/>
      <c r="P715" s="18"/>
      <c r="Q715" s="100">
        <f t="shared" si="83"/>
        <v>0</v>
      </c>
      <c r="R715" s="19"/>
      <c r="S715" s="52">
        <f t="shared" si="82"/>
        <v>0</v>
      </c>
      <c r="T715" s="11"/>
    </row>
    <row r="716" spans="1:20" x14ac:dyDescent="0.2">
      <c r="A716" s="11"/>
      <c r="B716" s="11"/>
      <c r="C716" s="12"/>
      <c r="D716" s="13"/>
      <c r="E716" s="14"/>
      <c r="F716" s="13"/>
      <c r="G716" s="15" t="e">
        <f t="shared" si="77"/>
        <v>#DIV/0!</v>
      </c>
      <c r="H716" s="16"/>
      <c r="I716" s="16"/>
      <c r="J716" s="16">
        <f t="shared" si="78"/>
        <v>0</v>
      </c>
      <c r="K716" s="16">
        <f t="shared" si="79"/>
        <v>0</v>
      </c>
      <c r="L716" s="16">
        <f t="shared" si="80"/>
        <v>0</v>
      </c>
      <c r="M716" s="17">
        <f t="shared" si="81"/>
        <v>0</v>
      </c>
      <c r="N716" s="11"/>
      <c r="O716" s="18"/>
      <c r="P716" s="18"/>
      <c r="Q716" s="100">
        <f t="shared" si="83"/>
        <v>0</v>
      </c>
      <c r="R716" s="19"/>
      <c r="S716" s="52">
        <f t="shared" si="82"/>
        <v>0</v>
      </c>
      <c r="T716" s="11"/>
    </row>
    <row r="717" spans="1:20" x14ac:dyDescent="0.2">
      <c r="A717" s="11"/>
      <c r="B717" s="11"/>
      <c r="C717" s="12"/>
      <c r="D717" s="13"/>
      <c r="E717" s="14"/>
      <c r="F717" s="13"/>
      <c r="G717" s="15" t="e">
        <f t="shared" si="77"/>
        <v>#DIV/0!</v>
      </c>
      <c r="H717" s="16"/>
      <c r="I717" s="16"/>
      <c r="J717" s="16">
        <f t="shared" si="78"/>
        <v>0</v>
      </c>
      <c r="K717" s="16">
        <f t="shared" si="79"/>
        <v>0</v>
      </c>
      <c r="L717" s="16">
        <f t="shared" si="80"/>
        <v>0</v>
      </c>
      <c r="M717" s="17">
        <f t="shared" si="81"/>
        <v>0</v>
      </c>
      <c r="N717" s="11"/>
      <c r="O717" s="18"/>
      <c r="P717" s="18"/>
      <c r="Q717" s="100">
        <f t="shared" si="83"/>
        <v>0</v>
      </c>
      <c r="R717" s="19"/>
      <c r="S717" s="52">
        <f t="shared" si="82"/>
        <v>0</v>
      </c>
      <c r="T717" s="11"/>
    </row>
  </sheetData>
  <autoFilter ref="A1:P717"/>
  <mergeCells count="18">
    <mergeCell ref="M1:M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R1:R2"/>
    <mergeCell ref="S1:S2"/>
    <mergeCell ref="T1:T2"/>
    <mergeCell ref="N1:N2"/>
    <mergeCell ref="P1:P2"/>
    <mergeCell ref="O1:O2"/>
    <mergeCell ref="Q1:Q2"/>
  </mergeCells>
  <phoneticPr fontId="15" type="noConversion"/>
  <pageMargins left="0.31496062992125984" right="0.31496062992125984" top="0.35433070866141736" bottom="0.35433070866141736" header="0.31496062992125984" footer="0.31496062992125984"/>
  <pageSetup paperSize="8" scale="8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93"/>
  <sheetViews>
    <sheetView workbookViewId="0">
      <pane ySplit="2" topLeftCell="A84" activePane="bottomLeft" state="frozen"/>
      <selection pane="bottomLeft" activeCell="C101" sqref="C101"/>
    </sheetView>
  </sheetViews>
  <sheetFormatPr baseColWidth="10" defaultColWidth="11.5703125" defaultRowHeight="12.75" x14ac:dyDescent="0.2"/>
  <cols>
    <col min="1" max="1" width="9.7109375" style="5" bestFit="1" customWidth="1"/>
    <col min="2" max="2" width="33" style="5" bestFit="1" customWidth="1"/>
    <col min="3" max="3" width="10.85546875" style="5" bestFit="1" customWidth="1"/>
    <col min="4" max="4" width="7.42578125" style="5" bestFit="1" customWidth="1"/>
    <col min="5" max="5" width="14.140625" style="5" bestFit="1" customWidth="1"/>
    <col min="6" max="6" width="12.7109375" style="5" bestFit="1" customWidth="1"/>
    <col min="7" max="7" width="9.140625" style="5" bestFit="1" customWidth="1"/>
    <col min="8" max="8" width="11.85546875" style="5" bestFit="1" customWidth="1"/>
    <col min="9" max="9" width="10.7109375" style="5" bestFit="1" customWidth="1"/>
    <col min="10" max="10" width="11.28515625" style="5" bestFit="1" customWidth="1"/>
    <col min="11" max="11" width="10.28515625" style="39" bestFit="1" customWidth="1"/>
    <col min="12" max="12" width="14.85546875" style="39" bestFit="1" customWidth="1"/>
    <col min="13" max="13" width="12.28515625" style="39" bestFit="1" customWidth="1"/>
    <col min="14" max="14" width="13.85546875" style="39" bestFit="1" customWidth="1"/>
    <col min="15" max="15" width="11.5703125" style="39"/>
    <col min="16" max="16" width="9.28515625" style="8" bestFit="1" customWidth="1"/>
    <col min="17" max="17" width="13.7109375" style="5" bestFit="1" customWidth="1"/>
    <col min="18" max="18" width="10.7109375" style="8" bestFit="1" customWidth="1"/>
    <col min="19" max="19" width="7.140625" style="187" bestFit="1" customWidth="1"/>
    <col min="20" max="21" width="7" style="187" bestFit="1" customWidth="1"/>
    <col min="22" max="22" width="7.140625" style="187" bestFit="1" customWidth="1"/>
    <col min="23" max="24" width="12.7109375" style="8" bestFit="1" customWidth="1"/>
    <col min="25" max="28" width="11.5703125" style="5"/>
    <col min="29" max="29" width="12.7109375" style="5" bestFit="1" customWidth="1"/>
    <col min="30" max="16384" width="11.5703125" style="5"/>
  </cols>
  <sheetData>
    <row r="1" spans="1:29" ht="15" customHeight="1" thickBot="1" x14ac:dyDescent="0.25">
      <c r="A1" s="238" t="s">
        <v>4</v>
      </c>
      <c r="B1" s="238" t="s">
        <v>0</v>
      </c>
      <c r="C1" s="246" t="s">
        <v>168</v>
      </c>
      <c r="D1" s="247"/>
      <c r="E1" s="247"/>
      <c r="F1" s="247"/>
      <c r="G1" s="248"/>
      <c r="H1" s="249" t="s">
        <v>184</v>
      </c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1"/>
    </row>
    <row r="2" spans="1:29" ht="26.25" thickBot="1" x14ac:dyDescent="0.25">
      <c r="A2" s="239"/>
      <c r="B2" s="239"/>
      <c r="C2" s="176" t="s">
        <v>1</v>
      </c>
      <c r="D2" s="176" t="s">
        <v>2</v>
      </c>
      <c r="E2" s="176" t="s">
        <v>3</v>
      </c>
      <c r="F2" s="176" t="s">
        <v>5</v>
      </c>
      <c r="G2" s="176" t="s">
        <v>6</v>
      </c>
      <c r="H2" s="177" t="s">
        <v>172</v>
      </c>
      <c r="I2" s="177" t="s">
        <v>173</v>
      </c>
      <c r="J2" s="177" t="s">
        <v>174</v>
      </c>
      <c r="K2" s="183" t="s">
        <v>169</v>
      </c>
      <c r="L2" s="183" t="s">
        <v>170</v>
      </c>
      <c r="M2" s="183" t="s">
        <v>171</v>
      </c>
      <c r="N2" s="183" t="s">
        <v>175</v>
      </c>
      <c r="O2" s="183" t="s">
        <v>176</v>
      </c>
      <c r="P2" s="178" t="s">
        <v>179</v>
      </c>
      <c r="Q2" s="177" t="s">
        <v>177</v>
      </c>
      <c r="R2" s="178" t="s">
        <v>178</v>
      </c>
      <c r="S2" s="184" t="s">
        <v>185</v>
      </c>
      <c r="T2" s="184" t="s">
        <v>186</v>
      </c>
      <c r="U2" s="184" t="s">
        <v>187</v>
      </c>
      <c r="V2" s="184" t="s">
        <v>188</v>
      </c>
      <c r="W2" s="178" t="s">
        <v>190</v>
      </c>
      <c r="X2" s="178" t="s">
        <v>180</v>
      </c>
      <c r="Y2" s="177" t="s">
        <v>181</v>
      </c>
      <c r="Z2" s="177" t="s">
        <v>182</v>
      </c>
      <c r="AA2" s="177" t="s">
        <v>183</v>
      </c>
      <c r="AB2" s="188" t="s">
        <v>189</v>
      </c>
      <c r="AC2" s="177" t="s">
        <v>20</v>
      </c>
    </row>
    <row r="3" spans="1:29" x14ac:dyDescent="0.2">
      <c r="A3" s="174">
        <f>+'SERVICIO FAENA'!A3</f>
        <v>1</v>
      </c>
      <c r="B3" s="174" t="str">
        <f>+'SERVICIO FAENA'!B3</f>
        <v>MORAGA</v>
      </c>
      <c r="C3" s="174"/>
      <c r="D3" s="174"/>
      <c r="E3" s="175">
        <f>+'SERVICIO FAENA'!E3</f>
        <v>46024</v>
      </c>
      <c r="F3" s="174"/>
      <c r="G3" s="179" t="e">
        <f>+F3/D3</f>
        <v>#DIV/0!</v>
      </c>
      <c r="H3" s="53"/>
      <c r="I3" s="53"/>
      <c r="J3" s="180" t="e">
        <f t="shared" ref="J3:J40" si="0">+((F3-(H3+I3))/F3)</f>
        <v>#DIV/0!</v>
      </c>
      <c r="K3" s="112"/>
      <c r="L3" s="112"/>
      <c r="M3" s="112"/>
      <c r="N3" s="100">
        <f t="shared" ref="N3:N40" si="1">SUM(K3:M3)</f>
        <v>0</v>
      </c>
      <c r="O3" s="112"/>
      <c r="P3" s="41">
        <v>880</v>
      </c>
      <c r="Q3" s="53"/>
      <c r="R3" s="41">
        <v>260</v>
      </c>
      <c r="S3" s="185"/>
      <c r="T3" s="185"/>
      <c r="U3" s="185"/>
      <c r="V3" s="185"/>
      <c r="W3" s="41">
        <f t="shared" ref="W3:W40" si="2">+(P3*O3)+(R3*Q3)</f>
        <v>0</v>
      </c>
      <c r="X3" s="41">
        <f t="shared" ref="X3:X66" si="3">+((O3*P3)+(Q3*R3))*1.21</f>
        <v>0</v>
      </c>
      <c r="Y3" s="53"/>
      <c r="Z3" s="53"/>
      <c r="AA3" s="53"/>
      <c r="AB3" s="53"/>
      <c r="AC3" s="53"/>
    </row>
    <row r="4" spans="1:29" x14ac:dyDescent="0.2">
      <c r="A4" s="11">
        <f>+'SERVICIO FAENA'!A4</f>
        <v>2</v>
      </c>
      <c r="B4" s="11" t="str">
        <f>+'SERVICIO FAENA'!B4</f>
        <v>GANADERA NORTE NEUQUINO</v>
      </c>
      <c r="C4" s="11"/>
      <c r="D4" s="11"/>
      <c r="E4" s="18">
        <f>+'SERVICIO FAENA'!E4</f>
        <v>46024</v>
      </c>
      <c r="F4" s="11"/>
      <c r="G4" s="180" t="e">
        <f t="shared" ref="G4:G67" si="4">+F4/D4</f>
        <v>#DIV/0!</v>
      </c>
      <c r="H4" s="11"/>
      <c r="I4" s="11"/>
      <c r="J4" s="180" t="e">
        <f t="shared" si="0"/>
        <v>#DIV/0!</v>
      </c>
      <c r="K4" s="100"/>
      <c r="L4" s="100"/>
      <c r="M4" s="100"/>
      <c r="N4" s="100">
        <f t="shared" si="1"/>
        <v>0</v>
      </c>
      <c r="O4" s="100"/>
      <c r="P4" s="41">
        <v>880</v>
      </c>
      <c r="Q4" s="11"/>
      <c r="R4" s="41">
        <v>260</v>
      </c>
      <c r="S4" s="185"/>
      <c r="T4" s="185"/>
      <c r="U4" s="185"/>
      <c r="V4" s="185"/>
      <c r="W4" s="41">
        <f t="shared" si="2"/>
        <v>0</v>
      </c>
      <c r="X4" s="41">
        <f t="shared" si="3"/>
        <v>0</v>
      </c>
      <c r="Y4" s="11"/>
      <c r="Z4" s="11"/>
      <c r="AA4" s="11"/>
      <c r="AB4" s="11"/>
      <c r="AC4" s="11"/>
    </row>
    <row r="5" spans="1:29" x14ac:dyDescent="0.2">
      <c r="A5" s="11">
        <f>+'SERVICIO FAENA'!A5</f>
        <v>3</v>
      </c>
      <c r="B5" s="11" t="str">
        <f>+'SERVICIO FAENA'!B5</f>
        <v>GANADERA NORTE NEUQUINO</v>
      </c>
      <c r="C5" s="11"/>
      <c r="D5" s="11"/>
      <c r="E5" s="18">
        <f>+'SERVICIO FAENA'!E5</f>
        <v>46027</v>
      </c>
      <c r="F5" s="11"/>
      <c r="G5" s="180" t="e">
        <f t="shared" si="4"/>
        <v>#DIV/0!</v>
      </c>
      <c r="H5" s="11"/>
      <c r="I5" s="11"/>
      <c r="J5" s="180" t="e">
        <f t="shared" si="0"/>
        <v>#DIV/0!</v>
      </c>
      <c r="K5" s="100"/>
      <c r="L5" s="100"/>
      <c r="M5" s="100"/>
      <c r="N5" s="100">
        <f t="shared" si="1"/>
        <v>0</v>
      </c>
      <c r="O5" s="100"/>
      <c r="P5" s="41">
        <v>880</v>
      </c>
      <c r="Q5" s="11"/>
      <c r="R5" s="41">
        <v>260</v>
      </c>
      <c r="S5" s="185"/>
      <c r="T5" s="185"/>
      <c r="U5" s="185"/>
      <c r="V5" s="185"/>
      <c r="W5" s="41">
        <f t="shared" si="2"/>
        <v>0</v>
      </c>
      <c r="X5" s="41">
        <f t="shared" si="3"/>
        <v>0</v>
      </c>
      <c r="Y5" s="11"/>
      <c r="Z5" s="11"/>
      <c r="AA5" s="11"/>
      <c r="AB5" s="11"/>
      <c r="AC5" s="11"/>
    </row>
    <row r="6" spans="1:29" x14ac:dyDescent="0.2">
      <c r="A6" s="11">
        <f>+'SERVICIO FAENA'!A6</f>
        <v>4</v>
      </c>
      <c r="B6" s="11" t="str">
        <f>+'SERVICIO FAENA'!B6</f>
        <v>DOS DE FIERRO SA</v>
      </c>
      <c r="C6" s="11"/>
      <c r="D6" s="11"/>
      <c r="E6" s="18">
        <f>+'SERVICIO FAENA'!E6</f>
        <v>46027</v>
      </c>
      <c r="F6" s="11"/>
      <c r="G6" s="180" t="e">
        <f t="shared" si="4"/>
        <v>#DIV/0!</v>
      </c>
      <c r="H6" s="11"/>
      <c r="I6" s="11"/>
      <c r="J6" s="180" t="e">
        <f t="shared" si="0"/>
        <v>#DIV/0!</v>
      </c>
      <c r="K6" s="100"/>
      <c r="L6" s="100"/>
      <c r="M6" s="100"/>
      <c r="N6" s="100">
        <f t="shared" si="1"/>
        <v>0</v>
      </c>
      <c r="O6" s="100"/>
      <c r="P6" s="41">
        <v>880</v>
      </c>
      <c r="Q6" s="11"/>
      <c r="R6" s="41">
        <v>260</v>
      </c>
      <c r="S6" s="185"/>
      <c r="T6" s="185"/>
      <c r="U6" s="185"/>
      <c r="V6" s="185"/>
      <c r="W6" s="41">
        <f t="shared" si="2"/>
        <v>0</v>
      </c>
      <c r="X6" s="41">
        <f t="shared" si="3"/>
        <v>0</v>
      </c>
      <c r="Y6" s="11"/>
      <c r="Z6" s="11"/>
      <c r="AA6" s="11"/>
      <c r="AB6" s="11"/>
      <c r="AC6" s="11"/>
    </row>
    <row r="7" spans="1:29" x14ac:dyDescent="0.2">
      <c r="A7" s="11">
        <f>+'SERVICIO FAENA'!A7</f>
        <v>5</v>
      </c>
      <c r="B7" s="11" t="str">
        <f>+'SERVICIO FAENA'!B7</f>
        <v>DISTRIBUIDORA DE LA PATAGONIA</v>
      </c>
      <c r="C7" s="11"/>
      <c r="D7" s="11"/>
      <c r="E7" s="18">
        <f>+'SERVICIO FAENA'!E7</f>
        <v>46027</v>
      </c>
      <c r="F7" s="11"/>
      <c r="G7" s="180" t="e">
        <f t="shared" si="4"/>
        <v>#DIV/0!</v>
      </c>
      <c r="H7" s="11"/>
      <c r="I7" s="11"/>
      <c r="J7" s="180" t="e">
        <f t="shared" si="0"/>
        <v>#DIV/0!</v>
      </c>
      <c r="K7" s="100"/>
      <c r="L7" s="100"/>
      <c r="M7" s="100"/>
      <c r="N7" s="100">
        <f t="shared" si="1"/>
        <v>0</v>
      </c>
      <c r="O7" s="100"/>
      <c r="P7" s="41">
        <v>880</v>
      </c>
      <c r="Q7" s="11"/>
      <c r="R7" s="41">
        <v>260</v>
      </c>
      <c r="S7" s="185"/>
      <c r="T7" s="185"/>
      <c r="U7" s="185"/>
      <c r="V7" s="185"/>
      <c r="W7" s="41">
        <f t="shared" si="2"/>
        <v>0</v>
      </c>
      <c r="X7" s="41">
        <f t="shared" si="3"/>
        <v>0</v>
      </c>
      <c r="Y7" s="11"/>
      <c r="Z7" s="11"/>
      <c r="AA7" s="11"/>
      <c r="AB7" s="11"/>
      <c r="AC7" s="11"/>
    </row>
    <row r="8" spans="1:29" x14ac:dyDescent="0.2">
      <c r="A8" s="11">
        <f>+'SERVICIO FAENA'!A8</f>
        <v>6</v>
      </c>
      <c r="B8" s="11" t="str">
        <f>+'SERVICIO FAENA'!B8</f>
        <v>DISTRIBUIDORA DE LA PATAGONIA</v>
      </c>
      <c r="C8" s="11"/>
      <c r="D8" s="11"/>
      <c r="E8" s="18">
        <f>+'SERVICIO FAENA'!E8</f>
        <v>46028</v>
      </c>
      <c r="F8" s="11"/>
      <c r="G8" s="180" t="e">
        <f t="shared" si="4"/>
        <v>#DIV/0!</v>
      </c>
      <c r="H8" s="11"/>
      <c r="I8" s="11"/>
      <c r="J8" s="180" t="e">
        <f t="shared" si="0"/>
        <v>#DIV/0!</v>
      </c>
      <c r="K8" s="100"/>
      <c r="L8" s="100"/>
      <c r="M8" s="100"/>
      <c r="N8" s="100">
        <f t="shared" si="1"/>
        <v>0</v>
      </c>
      <c r="O8" s="100"/>
      <c r="P8" s="41">
        <v>880</v>
      </c>
      <c r="Q8" s="11"/>
      <c r="R8" s="41">
        <v>260</v>
      </c>
      <c r="S8" s="185"/>
      <c r="T8" s="185"/>
      <c r="U8" s="185"/>
      <c r="V8" s="185"/>
      <c r="W8" s="41">
        <f t="shared" si="2"/>
        <v>0</v>
      </c>
      <c r="X8" s="41">
        <f t="shared" si="3"/>
        <v>0</v>
      </c>
      <c r="Y8" s="11"/>
      <c r="Z8" s="11"/>
      <c r="AA8" s="11"/>
      <c r="AB8" s="11"/>
      <c r="AC8" s="11"/>
    </row>
    <row r="9" spans="1:29" x14ac:dyDescent="0.2">
      <c r="A9" s="11">
        <f>+'SERVICIO FAENA'!A9</f>
        <v>7</v>
      </c>
      <c r="B9" s="11" t="str">
        <f>+'SERVICIO FAENA'!B9</f>
        <v>MUCA SAS</v>
      </c>
      <c r="C9" s="11"/>
      <c r="D9" s="11"/>
      <c r="E9" s="18">
        <f>+'SERVICIO FAENA'!E9</f>
        <v>46028</v>
      </c>
      <c r="F9" s="11"/>
      <c r="G9" s="180" t="e">
        <f t="shared" si="4"/>
        <v>#DIV/0!</v>
      </c>
      <c r="H9" s="11"/>
      <c r="I9" s="11"/>
      <c r="J9" s="180" t="e">
        <f t="shared" si="0"/>
        <v>#DIV/0!</v>
      </c>
      <c r="K9" s="100"/>
      <c r="L9" s="100"/>
      <c r="M9" s="100"/>
      <c r="N9" s="100">
        <f t="shared" si="1"/>
        <v>0</v>
      </c>
      <c r="O9" s="100"/>
      <c r="P9" s="41">
        <v>880</v>
      </c>
      <c r="Q9" s="11"/>
      <c r="R9" s="41">
        <v>260</v>
      </c>
      <c r="S9" s="185"/>
      <c r="T9" s="185"/>
      <c r="U9" s="185"/>
      <c r="V9" s="185"/>
      <c r="W9" s="41">
        <f t="shared" si="2"/>
        <v>0</v>
      </c>
      <c r="X9" s="41">
        <f t="shared" si="3"/>
        <v>0</v>
      </c>
      <c r="Y9" s="11"/>
      <c r="Z9" s="11"/>
      <c r="AA9" s="11"/>
      <c r="AB9" s="11"/>
      <c r="AC9" s="11"/>
    </row>
    <row r="10" spans="1:29" x14ac:dyDescent="0.2">
      <c r="A10" s="11">
        <f>+'SERVICIO FAENA'!A10</f>
        <v>8</v>
      </c>
      <c r="B10" s="11" t="str">
        <f>+'SERVICIO FAENA'!B10</f>
        <v>MUCA SAS</v>
      </c>
      <c r="C10" s="11"/>
      <c r="D10" s="11"/>
      <c r="E10" s="18">
        <f>+'SERVICIO FAENA'!E10</f>
        <v>46028</v>
      </c>
      <c r="F10" s="11"/>
      <c r="G10" s="180" t="e">
        <f t="shared" si="4"/>
        <v>#DIV/0!</v>
      </c>
      <c r="H10" s="11"/>
      <c r="I10" s="11"/>
      <c r="J10" s="180" t="e">
        <f t="shared" si="0"/>
        <v>#DIV/0!</v>
      </c>
      <c r="K10" s="100"/>
      <c r="L10" s="100"/>
      <c r="M10" s="100"/>
      <c r="N10" s="100">
        <f t="shared" si="1"/>
        <v>0</v>
      </c>
      <c r="O10" s="100"/>
      <c r="P10" s="41">
        <v>880</v>
      </c>
      <c r="Q10" s="11"/>
      <c r="R10" s="41">
        <v>260</v>
      </c>
      <c r="S10" s="185"/>
      <c r="T10" s="185"/>
      <c r="U10" s="185"/>
      <c r="V10" s="185"/>
      <c r="W10" s="41">
        <f t="shared" si="2"/>
        <v>0</v>
      </c>
      <c r="X10" s="41">
        <f t="shared" si="3"/>
        <v>0</v>
      </c>
      <c r="Y10" s="11"/>
      <c r="Z10" s="11"/>
      <c r="AA10" s="11"/>
      <c r="AB10" s="11"/>
      <c r="AC10" s="11"/>
    </row>
    <row r="11" spans="1:29" x14ac:dyDescent="0.2">
      <c r="A11" s="11">
        <f>+'SERVICIO FAENA'!A11</f>
        <v>9</v>
      </c>
      <c r="B11" s="11" t="str">
        <f>+'SERVICIO FAENA'!B11</f>
        <v>MUCA SAS</v>
      </c>
      <c r="C11" s="11"/>
      <c r="D11" s="11"/>
      <c r="E11" s="18">
        <f>+'SERVICIO FAENA'!E11</f>
        <v>46028</v>
      </c>
      <c r="F11" s="11"/>
      <c r="G11" s="180" t="e">
        <f t="shared" si="4"/>
        <v>#DIV/0!</v>
      </c>
      <c r="H11" s="11"/>
      <c r="I11" s="11"/>
      <c r="J11" s="180" t="e">
        <f t="shared" si="0"/>
        <v>#DIV/0!</v>
      </c>
      <c r="K11" s="100"/>
      <c r="L11" s="100"/>
      <c r="M11" s="100"/>
      <c r="N11" s="100">
        <f t="shared" si="1"/>
        <v>0</v>
      </c>
      <c r="O11" s="100"/>
      <c r="P11" s="41">
        <v>880</v>
      </c>
      <c r="Q11" s="11"/>
      <c r="R11" s="41">
        <v>260</v>
      </c>
      <c r="S11" s="185"/>
      <c r="T11" s="185"/>
      <c r="U11" s="185"/>
      <c r="V11" s="185"/>
      <c r="W11" s="41">
        <f t="shared" si="2"/>
        <v>0</v>
      </c>
      <c r="X11" s="41">
        <f t="shared" si="3"/>
        <v>0</v>
      </c>
      <c r="Y11" s="11"/>
      <c r="Z11" s="11"/>
      <c r="AA11" s="11"/>
      <c r="AB11" s="11"/>
      <c r="AC11" s="11"/>
    </row>
    <row r="12" spans="1:29" x14ac:dyDescent="0.2">
      <c r="A12" s="11">
        <f>+'SERVICIO FAENA'!A12</f>
        <v>10</v>
      </c>
      <c r="B12" s="11" t="str">
        <f>+'SERVICIO FAENA'!B12</f>
        <v>MORAGA</v>
      </c>
      <c r="C12" s="11"/>
      <c r="D12" s="11"/>
      <c r="E12" s="18">
        <f>+'SERVICIO FAENA'!E12</f>
        <v>46028</v>
      </c>
      <c r="F12" s="11"/>
      <c r="G12" s="180" t="e">
        <f t="shared" si="4"/>
        <v>#DIV/0!</v>
      </c>
      <c r="H12" s="11"/>
      <c r="I12" s="11"/>
      <c r="J12" s="180" t="e">
        <f t="shared" si="0"/>
        <v>#DIV/0!</v>
      </c>
      <c r="K12" s="100"/>
      <c r="L12" s="100"/>
      <c r="M12" s="100"/>
      <c r="N12" s="100">
        <f t="shared" si="1"/>
        <v>0</v>
      </c>
      <c r="O12" s="100"/>
      <c r="P12" s="41">
        <v>880</v>
      </c>
      <c r="Q12" s="11"/>
      <c r="R12" s="41">
        <v>260</v>
      </c>
      <c r="S12" s="185"/>
      <c r="T12" s="185"/>
      <c r="U12" s="185"/>
      <c r="V12" s="185"/>
      <c r="W12" s="41">
        <f t="shared" si="2"/>
        <v>0</v>
      </c>
      <c r="X12" s="41">
        <f t="shared" si="3"/>
        <v>0</v>
      </c>
      <c r="Y12" s="11"/>
      <c r="Z12" s="11"/>
      <c r="AA12" s="11"/>
      <c r="AB12" s="11"/>
      <c r="AC12" s="11"/>
    </row>
    <row r="13" spans="1:29" x14ac:dyDescent="0.2">
      <c r="A13" s="11">
        <f>+'SERVICIO FAENA'!A13</f>
        <v>11</v>
      </c>
      <c r="B13" s="11" t="str">
        <f>+'SERVICIO FAENA'!B13</f>
        <v>FERREYRA MARTIN</v>
      </c>
      <c r="C13" s="11"/>
      <c r="D13" s="11"/>
      <c r="E13" s="18">
        <f>+'SERVICIO FAENA'!E13</f>
        <v>46029</v>
      </c>
      <c r="F13" s="11"/>
      <c r="G13" s="180" t="e">
        <f t="shared" si="4"/>
        <v>#DIV/0!</v>
      </c>
      <c r="H13" s="11"/>
      <c r="I13" s="11"/>
      <c r="J13" s="180" t="e">
        <f t="shared" si="0"/>
        <v>#DIV/0!</v>
      </c>
      <c r="K13" s="100"/>
      <c r="L13" s="100"/>
      <c r="M13" s="100"/>
      <c r="N13" s="100">
        <f t="shared" si="1"/>
        <v>0</v>
      </c>
      <c r="O13" s="100"/>
      <c r="P13" s="41">
        <v>880</v>
      </c>
      <c r="Q13" s="11"/>
      <c r="R13" s="41">
        <v>260</v>
      </c>
      <c r="S13" s="185"/>
      <c r="T13" s="185"/>
      <c r="U13" s="185"/>
      <c r="V13" s="185"/>
      <c r="W13" s="41">
        <f t="shared" si="2"/>
        <v>0</v>
      </c>
      <c r="X13" s="41">
        <f t="shared" si="3"/>
        <v>0</v>
      </c>
      <c r="Y13" s="11"/>
      <c r="Z13" s="11"/>
      <c r="AA13" s="11"/>
      <c r="AB13" s="11"/>
      <c r="AC13" s="11"/>
    </row>
    <row r="14" spans="1:29" x14ac:dyDescent="0.2">
      <c r="A14" s="11">
        <f>+'SERVICIO FAENA'!A14</f>
        <v>12</v>
      </c>
      <c r="B14" s="11" t="str">
        <f>+'SERVICIO FAENA'!B14</f>
        <v>FERREYRA MARTIN</v>
      </c>
      <c r="C14" s="11"/>
      <c r="D14" s="11"/>
      <c r="E14" s="18">
        <f>+'SERVICIO FAENA'!E14</f>
        <v>46029</v>
      </c>
      <c r="F14" s="11"/>
      <c r="G14" s="180" t="e">
        <f t="shared" si="4"/>
        <v>#DIV/0!</v>
      </c>
      <c r="H14" s="11"/>
      <c r="I14" s="11"/>
      <c r="J14" s="180" t="e">
        <f t="shared" si="0"/>
        <v>#DIV/0!</v>
      </c>
      <c r="K14" s="100"/>
      <c r="L14" s="100"/>
      <c r="M14" s="100"/>
      <c r="N14" s="100">
        <f t="shared" si="1"/>
        <v>0</v>
      </c>
      <c r="O14" s="100"/>
      <c r="P14" s="41">
        <v>880</v>
      </c>
      <c r="Q14" s="11"/>
      <c r="R14" s="41">
        <v>260</v>
      </c>
      <c r="S14" s="185"/>
      <c r="T14" s="185"/>
      <c r="U14" s="185"/>
      <c r="V14" s="185"/>
      <c r="W14" s="41">
        <f t="shared" si="2"/>
        <v>0</v>
      </c>
      <c r="X14" s="41">
        <f t="shared" si="3"/>
        <v>0</v>
      </c>
      <c r="Y14" s="11"/>
      <c r="Z14" s="11"/>
      <c r="AA14" s="11"/>
      <c r="AB14" s="11"/>
      <c r="AC14" s="11"/>
    </row>
    <row r="15" spans="1:29" x14ac:dyDescent="0.2">
      <c r="A15" s="11">
        <f>+'SERVICIO FAENA'!A15</f>
        <v>13</v>
      </c>
      <c r="B15" s="11" t="str">
        <f>+'SERVICIO FAENA'!B15</f>
        <v>GANADERA NORTE NEUQUINO</v>
      </c>
      <c r="C15" s="11"/>
      <c r="D15" s="11"/>
      <c r="E15" s="18">
        <f>+'SERVICIO FAENA'!E15</f>
        <v>46029</v>
      </c>
      <c r="F15" s="11"/>
      <c r="G15" s="180" t="e">
        <f t="shared" si="4"/>
        <v>#DIV/0!</v>
      </c>
      <c r="H15" s="11"/>
      <c r="I15" s="11"/>
      <c r="J15" s="180" t="e">
        <f t="shared" si="0"/>
        <v>#DIV/0!</v>
      </c>
      <c r="K15" s="100"/>
      <c r="L15" s="100"/>
      <c r="M15" s="100"/>
      <c r="N15" s="100">
        <f t="shared" si="1"/>
        <v>0</v>
      </c>
      <c r="O15" s="100"/>
      <c r="P15" s="41">
        <v>880</v>
      </c>
      <c r="Q15" s="11"/>
      <c r="R15" s="41">
        <v>260</v>
      </c>
      <c r="S15" s="185"/>
      <c r="T15" s="185"/>
      <c r="U15" s="185"/>
      <c r="V15" s="185"/>
      <c r="W15" s="41">
        <f t="shared" si="2"/>
        <v>0</v>
      </c>
      <c r="X15" s="41">
        <f t="shared" si="3"/>
        <v>0</v>
      </c>
      <c r="Y15" s="11"/>
      <c r="Z15" s="11"/>
      <c r="AA15" s="11"/>
      <c r="AB15" s="11"/>
      <c r="AC15" s="11"/>
    </row>
    <row r="16" spans="1:29" x14ac:dyDescent="0.2">
      <c r="A16" s="11">
        <f>+'SERVICIO FAENA'!A16</f>
        <v>14</v>
      </c>
      <c r="B16" s="11" t="str">
        <f>+'SERVICIO FAENA'!B16</f>
        <v>FRIGORIFICO DE LA PATAGONIA SRL</v>
      </c>
      <c r="C16" s="11"/>
      <c r="D16" s="11"/>
      <c r="E16" s="18">
        <f>+'SERVICIO FAENA'!E16</f>
        <v>46030</v>
      </c>
      <c r="F16" s="11"/>
      <c r="G16" s="180" t="e">
        <f t="shared" si="4"/>
        <v>#DIV/0!</v>
      </c>
      <c r="H16" s="11"/>
      <c r="I16" s="11"/>
      <c r="J16" s="180" t="e">
        <f t="shared" si="0"/>
        <v>#DIV/0!</v>
      </c>
      <c r="K16" s="100"/>
      <c r="L16" s="100"/>
      <c r="M16" s="100"/>
      <c r="N16" s="100">
        <f t="shared" si="1"/>
        <v>0</v>
      </c>
      <c r="O16" s="100"/>
      <c r="P16" s="41">
        <v>880</v>
      </c>
      <c r="Q16" s="11"/>
      <c r="R16" s="41">
        <v>260</v>
      </c>
      <c r="S16" s="185"/>
      <c r="T16" s="185"/>
      <c r="U16" s="185"/>
      <c r="V16" s="185"/>
      <c r="W16" s="41">
        <f t="shared" si="2"/>
        <v>0</v>
      </c>
      <c r="X16" s="41">
        <f t="shared" si="3"/>
        <v>0</v>
      </c>
      <c r="Y16" s="11"/>
      <c r="Z16" s="11"/>
      <c r="AA16" s="11"/>
      <c r="AB16" s="11"/>
      <c r="AC16" s="11"/>
    </row>
    <row r="17" spans="1:29" x14ac:dyDescent="0.2">
      <c r="A17" s="11">
        <f>+'SERVICIO FAENA'!A17</f>
        <v>15</v>
      </c>
      <c r="B17" s="11" t="str">
        <f>+'SERVICIO FAENA'!B17</f>
        <v>GANADERA NORTE NEUQUINO</v>
      </c>
      <c r="C17" s="11"/>
      <c r="D17" s="11"/>
      <c r="E17" s="18">
        <f>+'SERVICIO FAENA'!E17</f>
        <v>46031</v>
      </c>
      <c r="F17" s="11"/>
      <c r="G17" s="180" t="e">
        <f t="shared" si="4"/>
        <v>#DIV/0!</v>
      </c>
      <c r="H17" s="11"/>
      <c r="I17" s="11"/>
      <c r="J17" s="180" t="e">
        <f t="shared" si="0"/>
        <v>#DIV/0!</v>
      </c>
      <c r="K17" s="100"/>
      <c r="L17" s="100"/>
      <c r="M17" s="100"/>
      <c r="N17" s="100">
        <f t="shared" si="1"/>
        <v>0</v>
      </c>
      <c r="O17" s="100"/>
      <c r="P17" s="41">
        <v>880</v>
      </c>
      <c r="Q17" s="11"/>
      <c r="R17" s="41">
        <v>260</v>
      </c>
      <c r="S17" s="185"/>
      <c r="T17" s="185"/>
      <c r="U17" s="185"/>
      <c r="V17" s="185"/>
      <c r="W17" s="41">
        <f t="shared" si="2"/>
        <v>0</v>
      </c>
      <c r="X17" s="41">
        <f t="shared" si="3"/>
        <v>0</v>
      </c>
      <c r="Y17" s="11"/>
      <c r="Z17" s="11"/>
      <c r="AA17" s="11"/>
      <c r="AB17" s="11"/>
      <c r="AC17" s="11"/>
    </row>
    <row r="18" spans="1:29" x14ac:dyDescent="0.2">
      <c r="A18" s="11">
        <f>+'SERVICIO FAENA'!A18</f>
        <v>16</v>
      </c>
      <c r="B18" s="11" t="str">
        <f>+'SERVICIO FAENA'!B18</f>
        <v>MORAGA</v>
      </c>
      <c r="C18" s="11"/>
      <c r="D18" s="11"/>
      <c r="E18" s="18">
        <f>+'SERVICIO FAENA'!E18</f>
        <v>46031</v>
      </c>
      <c r="F18" s="11"/>
      <c r="G18" s="180" t="e">
        <f t="shared" si="4"/>
        <v>#DIV/0!</v>
      </c>
      <c r="H18" s="11"/>
      <c r="I18" s="11"/>
      <c r="J18" s="180" t="e">
        <f t="shared" si="0"/>
        <v>#DIV/0!</v>
      </c>
      <c r="K18" s="100"/>
      <c r="L18" s="100"/>
      <c r="M18" s="100"/>
      <c r="N18" s="100">
        <f t="shared" si="1"/>
        <v>0</v>
      </c>
      <c r="O18" s="100"/>
      <c r="P18" s="41">
        <v>880</v>
      </c>
      <c r="Q18" s="11"/>
      <c r="R18" s="41">
        <v>260</v>
      </c>
      <c r="S18" s="185"/>
      <c r="T18" s="185"/>
      <c r="U18" s="185"/>
      <c r="V18" s="185"/>
      <c r="W18" s="41">
        <f t="shared" si="2"/>
        <v>0</v>
      </c>
      <c r="X18" s="41">
        <f t="shared" si="3"/>
        <v>0</v>
      </c>
      <c r="Y18" s="11"/>
      <c r="Z18" s="11"/>
      <c r="AA18" s="11"/>
      <c r="AB18" s="11"/>
      <c r="AC18" s="11"/>
    </row>
    <row r="19" spans="1:29" x14ac:dyDescent="0.2">
      <c r="A19" s="11">
        <f>+'SERVICIO FAENA'!A19</f>
        <v>17</v>
      </c>
      <c r="B19" s="11" t="str">
        <f>+'SERVICIO FAENA'!B19</f>
        <v>LASAGNO JORGE ALBERTO</v>
      </c>
      <c r="C19" s="11"/>
      <c r="D19" s="11"/>
      <c r="E19" s="18">
        <f>+'SERVICIO FAENA'!E19</f>
        <v>46031</v>
      </c>
      <c r="F19" s="11"/>
      <c r="G19" s="180" t="e">
        <f t="shared" si="4"/>
        <v>#DIV/0!</v>
      </c>
      <c r="H19" s="11"/>
      <c r="I19" s="11"/>
      <c r="J19" s="180" t="e">
        <f t="shared" si="0"/>
        <v>#DIV/0!</v>
      </c>
      <c r="K19" s="100"/>
      <c r="L19" s="100"/>
      <c r="M19" s="100"/>
      <c r="N19" s="100">
        <f t="shared" si="1"/>
        <v>0</v>
      </c>
      <c r="O19" s="100"/>
      <c r="P19" s="41">
        <v>880</v>
      </c>
      <c r="Q19" s="11"/>
      <c r="R19" s="41">
        <v>260</v>
      </c>
      <c r="S19" s="185"/>
      <c r="T19" s="185"/>
      <c r="U19" s="185"/>
      <c r="V19" s="185"/>
      <c r="W19" s="41">
        <f t="shared" si="2"/>
        <v>0</v>
      </c>
      <c r="X19" s="41">
        <f t="shared" si="3"/>
        <v>0</v>
      </c>
      <c r="Y19" s="11"/>
      <c r="Z19" s="11"/>
      <c r="AA19" s="11"/>
      <c r="AB19" s="11"/>
      <c r="AC19" s="11"/>
    </row>
    <row r="20" spans="1:29" x14ac:dyDescent="0.2">
      <c r="A20" s="11">
        <f>+'SERVICIO FAENA'!A20</f>
        <v>18</v>
      </c>
      <c r="B20" s="11" t="str">
        <f>+'SERVICIO FAENA'!B20</f>
        <v>GANADERA NORTE NEUQUINO</v>
      </c>
      <c r="C20" s="11"/>
      <c r="D20" s="11"/>
      <c r="E20" s="18">
        <f>+'SERVICIO FAENA'!E20</f>
        <v>46034</v>
      </c>
      <c r="F20" s="11"/>
      <c r="G20" s="180" t="e">
        <f t="shared" si="4"/>
        <v>#DIV/0!</v>
      </c>
      <c r="H20" s="11"/>
      <c r="I20" s="11"/>
      <c r="J20" s="180" t="e">
        <f t="shared" si="0"/>
        <v>#DIV/0!</v>
      </c>
      <c r="K20" s="100"/>
      <c r="L20" s="100"/>
      <c r="M20" s="100"/>
      <c r="N20" s="100">
        <f t="shared" si="1"/>
        <v>0</v>
      </c>
      <c r="O20" s="100"/>
      <c r="P20" s="41">
        <v>880</v>
      </c>
      <c r="Q20" s="11"/>
      <c r="R20" s="41">
        <v>260</v>
      </c>
      <c r="S20" s="185"/>
      <c r="T20" s="185"/>
      <c r="U20" s="185"/>
      <c r="V20" s="185"/>
      <c r="W20" s="41">
        <f t="shared" si="2"/>
        <v>0</v>
      </c>
      <c r="X20" s="41">
        <f t="shared" si="3"/>
        <v>0</v>
      </c>
      <c r="Y20" s="11"/>
      <c r="Z20" s="11"/>
      <c r="AA20" s="11"/>
      <c r="AB20" s="11"/>
      <c r="AC20" s="11"/>
    </row>
    <row r="21" spans="1:29" x14ac:dyDescent="0.2">
      <c r="A21" s="11">
        <f>+'SERVICIO FAENA'!A21</f>
        <v>19</v>
      </c>
      <c r="B21" s="11" t="str">
        <f>+'SERVICIO FAENA'!B21</f>
        <v>DOS DE FIERRO SA</v>
      </c>
      <c r="C21" s="11"/>
      <c r="D21" s="11"/>
      <c r="E21" s="18">
        <f>+'SERVICIO FAENA'!E21</f>
        <v>46034</v>
      </c>
      <c r="F21" s="11"/>
      <c r="G21" s="180" t="e">
        <f t="shared" si="4"/>
        <v>#DIV/0!</v>
      </c>
      <c r="H21" s="11"/>
      <c r="I21" s="11"/>
      <c r="J21" s="180" t="e">
        <f t="shared" si="0"/>
        <v>#DIV/0!</v>
      </c>
      <c r="K21" s="100"/>
      <c r="L21" s="100"/>
      <c r="M21" s="100"/>
      <c r="N21" s="100">
        <f t="shared" si="1"/>
        <v>0</v>
      </c>
      <c r="O21" s="100"/>
      <c r="P21" s="41">
        <v>880</v>
      </c>
      <c r="Q21" s="11"/>
      <c r="R21" s="41">
        <v>260</v>
      </c>
      <c r="S21" s="185"/>
      <c r="T21" s="185"/>
      <c r="U21" s="185"/>
      <c r="V21" s="185"/>
      <c r="W21" s="41">
        <f t="shared" si="2"/>
        <v>0</v>
      </c>
      <c r="X21" s="41">
        <f t="shared" si="3"/>
        <v>0</v>
      </c>
      <c r="Y21" s="11"/>
      <c r="Z21" s="11"/>
      <c r="AA21" s="11"/>
      <c r="AB21" s="11"/>
      <c r="AC21" s="11"/>
    </row>
    <row r="22" spans="1:29" x14ac:dyDescent="0.2">
      <c r="A22" s="11">
        <f>+'SERVICIO FAENA'!A22</f>
        <v>20</v>
      </c>
      <c r="B22" s="11" t="str">
        <f>+'SERVICIO FAENA'!B22</f>
        <v>FERREYRA MARTIN</v>
      </c>
      <c r="C22" s="11"/>
      <c r="D22" s="11"/>
      <c r="E22" s="18">
        <f>+'SERVICIO FAENA'!E22</f>
        <v>46034</v>
      </c>
      <c r="F22" s="11"/>
      <c r="G22" s="180" t="e">
        <f t="shared" si="4"/>
        <v>#DIV/0!</v>
      </c>
      <c r="H22" s="11"/>
      <c r="I22" s="11"/>
      <c r="J22" s="180" t="e">
        <f t="shared" si="0"/>
        <v>#DIV/0!</v>
      </c>
      <c r="K22" s="100"/>
      <c r="L22" s="100"/>
      <c r="M22" s="100"/>
      <c r="N22" s="100">
        <f t="shared" si="1"/>
        <v>0</v>
      </c>
      <c r="O22" s="100"/>
      <c r="P22" s="41">
        <v>880</v>
      </c>
      <c r="Q22" s="11"/>
      <c r="R22" s="41">
        <v>260</v>
      </c>
      <c r="S22" s="185"/>
      <c r="T22" s="185"/>
      <c r="U22" s="185"/>
      <c r="V22" s="185"/>
      <c r="W22" s="41">
        <f t="shared" si="2"/>
        <v>0</v>
      </c>
      <c r="X22" s="41">
        <f t="shared" si="3"/>
        <v>0</v>
      </c>
      <c r="Y22" s="11"/>
      <c r="Z22" s="11"/>
      <c r="AA22" s="11"/>
      <c r="AB22" s="11"/>
      <c r="AC22" s="11"/>
    </row>
    <row r="23" spans="1:29" x14ac:dyDescent="0.2">
      <c r="A23" s="11">
        <f>+'SERVICIO FAENA'!A23</f>
        <v>21</v>
      </c>
      <c r="B23" s="11" t="str">
        <f>+'SERVICIO FAENA'!B23</f>
        <v>MUCA SAS</v>
      </c>
      <c r="C23" s="11"/>
      <c r="D23" s="11"/>
      <c r="E23" s="18">
        <f>+'SERVICIO FAENA'!E23</f>
        <v>46035</v>
      </c>
      <c r="F23" s="11"/>
      <c r="G23" s="180" t="e">
        <f t="shared" si="4"/>
        <v>#DIV/0!</v>
      </c>
      <c r="H23" s="11"/>
      <c r="I23" s="11"/>
      <c r="J23" s="180" t="e">
        <f t="shared" si="0"/>
        <v>#DIV/0!</v>
      </c>
      <c r="K23" s="100"/>
      <c r="L23" s="100"/>
      <c r="M23" s="100"/>
      <c r="N23" s="100">
        <f t="shared" si="1"/>
        <v>0</v>
      </c>
      <c r="O23" s="100"/>
      <c r="P23" s="41">
        <v>880</v>
      </c>
      <c r="Q23" s="11"/>
      <c r="R23" s="41">
        <v>260</v>
      </c>
      <c r="S23" s="185"/>
      <c r="T23" s="185"/>
      <c r="U23" s="185"/>
      <c r="V23" s="185"/>
      <c r="W23" s="41">
        <f t="shared" si="2"/>
        <v>0</v>
      </c>
      <c r="X23" s="41">
        <f t="shared" si="3"/>
        <v>0</v>
      </c>
      <c r="Y23" s="11"/>
      <c r="Z23" s="11"/>
      <c r="AA23" s="11"/>
      <c r="AB23" s="11"/>
      <c r="AC23" s="11"/>
    </row>
    <row r="24" spans="1:29" x14ac:dyDescent="0.2">
      <c r="A24" s="11">
        <f>+'SERVICIO FAENA'!A24</f>
        <v>22</v>
      </c>
      <c r="B24" s="11" t="str">
        <f>+'SERVICIO FAENA'!B24</f>
        <v>MUCA SAS</v>
      </c>
      <c r="C24" s="11"/>
      <c r="D24" s="11"/>
      <c r="E24" s="18">
        <f>+'SERVICIO FAENA'!E24</f>
        <v>46035</v>
      </c>
      <c r="F24" s="11"/>
      <c r="G24" s="180" t="e">
        <f t="shared" si="4"/>
        <v>#DIV/0!</v>
      </c>
      <c r="H24" s="11"/>
      <c r="I24" s="11"/>
      <c r="J24" s="180" t="e">
        <f t="shared" si="0"/>
        <v>#DIV/0!</v>
      </c>
      <c r="K24" s="100"/>
      <c r="L24" s="100"/>
      <c r="M24" s="100"/>
      <c r="N24" s="100">
        <f t="shared" si="1"/>
        <v>0</v>
      </c>
      <c r="O24" s="100"/>
      <c r="P24" s="41">
        <v>880</v>
      </c>
      <c r="Q24" s="11"/>
      <c r="R24" s="41">
        <v>260</v>
      </c>
      <c r="S24" s="185"/>
      <c r="T24" s="185"/>
      <c r="U24" s="185"/>
      <c r="V24" s="185"/>
      <c r="W24" s="41">
        <f t="shared" si="2"/>
        <v>0</v>
      </c>
      <c r="X24" s="41">
        <f t="shared" si="3"/>
        <v>0</v>
      </c>
      <c r="Y24" s="11"/>
      <c r="Z24" s="11"/>
      <c r="AA24" s="11"/>
      <c r="AB24" s="11"/>
      <c r="AC24" s="11"/>
    </row>
    <row r="25" spans="1:29" x14ac:dyDescent="0.2">
      <c r="A25" s="11">
        <f>+'SERVICIO FAENA'!A25</f>
        <v>23</v>
      </c>
      <c r="B25" s="11" t="str">
        <f>+'SERVICIO FAENA'!B25</f>
        <v>MUCA SAS</v>
      </c>
      <c r="C25" s="11"/>
      <c r="D25" s="11"/>
      <c r="E25" s="18">
        <f>+'SERVICIO FAENA'!E25</f>
        <v>46035</v>
      </c>
      <c r="F25" s="11"/>
      <c r="G25" s="180" t="e">
        <f t="shared" si="4"/>
        <v>#DIV/0!</v>
      </c>
      <c r="H25" s="11"/>
      <c r="I25" s="11"/>
      <c r="J25" s="180" t="e">
        <f t="shared" si="0"/>
        <v>#DIV/0!</v>
      </c>
      <c r="K25" s="100"/>
      <c r="L25" s="100"/>
      <c r="M25" s="100"/>
      <c r="N25" s="100">
        <f t="shared" si="1"/>
        <v>0</v>
      </c>
      <c r="O25" s="100"/>
      <c r="P25" s="41">
        <v>880</v>
      </c>
      <c r="Q25" s="11"/>
      <c r="R25" s="41">
        <v>260</v>
      </c>
      <c r="S25" s="185"/>
      <c r="T25" s="185"/>
      <c r="U25" s="185"/>
      <c r="V25" s="185"/>
      <c r="W25" s="41">
        <f t="shared" si="2"/>
        <v>0</v>
      </c>
      <c r="X25" s="41">
        <f t="shared" si="3"/>
        <v>0</v>
      </c>
      <c r="Y25" s="11"/>
      <c r="Z25" s="11"/>
      <c r="AA25" s="11"/>
      <c r="AB25" s="11"/>
      <c r="AC25" s="24"/>
    </row>
    <row r="26" spans="1:29" x14ac:dyDescent="0.2">
      <c r="A26" s="11">
        <f>+'SERVICIO FAENA'!A26</f>
        <v>24</v>
      </c>
      <c r="B26" s="11" t="str">
        <f>+'SERVICIO FAENA'!B26</f>
        <v>FERREYRA MARTIN</v>
      </c>
      <c r="C26" s="11"/>
      <c r="D26" s="11"/>
      <c r="E26" s="18">
        <f>+'SERVICIO FAENA'!E26</f>
        <v>46036</v>
      </c>
      <c r="F26" s="11"/>
      <c r="G26" s="180" t="e">
        <f t="shared" si="4"/>
        <v>#DIV/0!</v>
      </c>
      <c r="H26" s="11"/>
      <c r="I26" s="11"/>
      <c r="J26" s="180" t="e">
        <f t="shared" si="0"/>
        <v>#DIV/0!</v>
      </c>
      <c r="K26" s="100"/>
      <c r="L26" s="100"/>
      <c r="M26" s="100"/>
      <c r="N26" s="100">
        <f t="shared" si="1"/>
        <v>0</v>
      </c>
      <c r="O26" s="100"/>
      <c r="P26" s="41">
        <v>880</v>
      </c>
      <c r="Q26" s="11"/>
      <c r="R26" s="41">
        <v>260</v>
      </c>
      <c r="S26" s="185"/>
      <c r="T26" s="185"/>
      <c r="U26" s="185"/>
      <c r="V26" s="185"/>
      <c r="W26" s="41">
        <f t="shared" si="2"/>
        <v>0</v>
      </c>
      <c r="X26" s="41">
        <f t="shared" si="3"/>
        <v>0</v>
      </c>
      <c r="Y26" s="11"/>
      <c r="Z26" s="11"/>
      <c r="AA26" s="11"/>
      <c r="AB26" s="11"/>
      <c r="AC26" s="24"/>
    </row>
    <row r="27" spans="1:29" x14ac:dyDescent="0.2">
      <c r="A27" s="11">
        <f>+'SERVICIO FAENA'!A27</f>
        <v>25</v>
      </c>
      <c r="B27" s="11" t="str">
        <f>+'SERVICIO FAENA'!B27</f>
        <v>FERREYRA ALBERTO</v>
      </c>
      <c r="C27" s="11"/>
      <c r="D27" s="11"/>
      <c r="E27" s="18">
        <f>+'SERVICIO FAENA'!E27</f>
        <v>46036</v>
      </c>
      <c r="F27" s="11"/>
      <c r="G27" s="180" t="e">
        <f t="shared" si="4"/>
        <v>#DIV/0!</v>
      </c>
      <c r="H27" s="11"/>
      <c r="I27" s="11"/>
      <c r="J27" s="180" t="e">
        <f t="shared" si="0"/>
        <v>#DIV/0!</v>
      </c>
      <c r="K27" s="100"/>
      <c r="L27" s="100"/>
      <c r="M27" s="100"/>
      <c r="N27" s="100">
        <f t="shared" si="1"/>
        <v>0</v>
      </c>
      <c r="O27" s="100"/>
      <c r="P27" s="41">
        <v>880</v>
      </c>
      <c r="Q27" s="11"/>
      <c r="R27" s="41">
        <v>260</v>
      </c>
      <c r="S27" s="185"/>
      <c r="T27" s="185"/>
      <c r="U27" s="185"/>
      <c r="V27" s="185"/>
      <c r="W27" s="41">
        <f t="shared" si="2"/>
        <v>0</v>
      </c>
      <c r="X27" s="41">
        <f t="shared" si="3"/>
        <v>0</v>
      </c>
      <c r="Y27" s="11"/>
      <c r="Z27" s="11"/>
      <c r="AA27" s="11"/>
      <c r="AB27" s="11"/>
      <c r="AC27" s="24"/>
    </row>
    <row r="28" spans="1:29" x14ac:dyDescent="0.2">
      <c r="A28" s="11">
        <f>+'SERVICIO FAENA'!A28</f>
        <v>26</v>
      </c>
      <c r="B28" s="11" t="str">
        <f>+'SERVICIO FAENA'!B28</f>
        <v>FRIGORIFICO DE LA PATAGONIA SRL</v>
      </c>
      <c r="C28" s="11"/>
      <c r="D28" s="11"/>
      <c r="E28" s="18">
        <f>+'SERVICIO FAENA'!E28</f>
        <v>46038</v>
      </c>
      <c r="F28" s="11"/>
      <c r="G28" s="180" t="e">
        <f t="shared" si="4"/>
        <v>#DIV/0!</v>
      </c>
      <c r="H28" s="11"/>
      <c r="I28" s="11"/>
      <c r="J28" s="180" t="e">
        <f t="shared" si="0"/>
        <v>#DIV/0!</v>
      </c>
      <c r="K28" s="100"/>
      <c r="L28" s="100"/>
      <c r="M28" s="100"/>
      <c r="N28" s="100">
        <f t="shared" si="1"/>
        <v>0</v>
      </c>
      <c r="O28" s="100"/>
      <c r="P28" s="41">
        <v>880</v>
      </c>
      <c r="Q28" s="11"/>
      <c r="R28" s="41">
        <v>260</v>
      </c>
      <c r="S28" s="185"/>
      <c r="T28" s="185"/>
      <c r="U28" s="185"/>
      <c r="V28" s="185"/>
      <c r="W28" s="41">
        <f t="shared" si="2"/>
        <v>0</v>
      </c>
      <c r="X28" s="41">
        <f t="shared" si="3"/>
        <v>0</v>
      </c>
      <c r="Y28" s="11"/>
      <c r="Z28" s="11"/>
      <c r="AA28" s="11"/>
      <c r="AB28" s="11"/>
      <c r="AC28" s="24"/>
    </row>
    <row r="29" spans="1:29" x14ac:dyDescent="0.2">
      <c r="A29" s="11">
        <f>+'SERVICIO FAENA'!A29</f>
        <v>27</v>
      </c>
      <c r="B29" s="11" t="str">
        <f>+'SERVICIO FAENA'!B29</f>
        <v>GANADERA NORTE NEUQUINO</v>
      </c>
      <c r="C29" s="11"/>
      <c r="D29" s="11"/>
      <c r="E29" s="18">
        <f>+'SERVICIO FAENA'!E29</f>
        <v>46041</v>
      </c>
      <c r="F29" s="11"/>
      <c r="G29" s="180" t="e">
        <f t="shared" si="4"/>
        <v>#DIV/0!</v>
      </c>
      <c r="H29" s="11"/>
      <c r="I29" s="11"/>
      <c r="J29" s="180" t="e">
        <f t="shared" si="0"/>
        <v>#DIV/0!</v>
      </c>
      <c r="K29" s="100"/>
      <c r="L29" s="100"/>
      <c r="M29" s="100"/>
      <c r="N29" s="100">
        <f t="shared" si="1"/>
        <v>0</v>
      </c>
      <c r="O29" s="100"/>
      <c r="P29" s="41">
        <v>880</v>
      </c>
      <c r="Q29" s="11"/>
      <c r="R29" s="41">
        <v>260</v>
      </c>
      <c r="S29" s="185"/>
      <c r="T29" s="185"/>
      <c r="U29" s="185"/>
      <c r="V29" s="185"/>
      <c r="W29" s="41">
        <f t="shared" si="2"/>
        <v>0</v>
      </c>
      <c r="X29" s="41">
        <f t="shared" si="3"/>
        <v>0</v>
      </c>
      <c r="Y29" s="11"/>
      <c r="Z29" s="11"/>
      <c r="AA29" s="11"/>
      <c r="AB29" s="11"/>
      <c r="AC29" s="24"/>
    </row>
    <row r="30" spans="1:29" x14ac:dyDescent="0.2">
      <c r="A30" s="11">
        <f>+'SERVICIO FAENA'!A30</f>
        <v>28</v>
      </c>
      <c r="B30" s="11" t="str">
        <f>+'SERVICIO FAENA'!B30</f>
        <v>DOS DE FIERRO SA</v>
      </c>
      <c r="C30" s="11"/>
      <c r="D30" s="11"/>
      <c r="E30" s="18">
        <f>+'SERVICIO FAENA'!E30</f>
        <v>46041</v>
      </c>
      <c r="F30" s="11"/>
      <c r="G30" s="180" t="e">
        <f t="shared" si="4"/>
        <v>#DIV/0!</v>
      </c>
      <c r="H30" s="11"/>
      <c r="I30" s="11"/>
      <c r="J30" s="180" t="e">
        <f t="shared" si="0"/>
        <v>#DIV/0!</v>
      </c>
      <c r="K30" s="100"/>
      <c r="L30" s="100"/>
      <c r="M30" s="100"/>
      <c r="N30" s="100">
        <f t="shared" si="1"/>
        <v>0</v>
      </c>
      <c r="O30" s="100"/>
      <c r="P30" s="41">
        <v>880</v>
      </c>
      <c r="Q30" s="11"/>
      <c r="R30" s="41">
        <v>260</v>
      </c>
      <c r="S30" s="185"/>
      <c r="T30" s="185"/>
      <c r="U30" s="185"/>
      <c r="V30" s="185"/>
      <c r="W30" s="41">
        <f t="shared" si="2"/>
        <v>0</v>
      </c>
      <c r="X30" s="41">
        <f t="shared" si="3"/>
        <v>0</v>
      </c>
      <c r="Y30" s="11"/>
      <c r="Z30" s="11"/>
      <c r="AA30" s="11"/>
      <c r="AB30" s="11"/>
      <c r="AC30" s="24"/>
    </row>
    <row r="31" spans="1:29" x14ac:dyDescent="0.2">
      <c r="A31" s="11">
        <f>+'SERVICIO FAENA'!A31</f>
        <v>29</v>
      </c>
      <c r="B31" s="11" t="str">
        <f>+'SERVICIO FAENA'!B31</f>
        <v>FERREYRA MARTIN</v>
      </c>
      <c r="C31" s="11"/>
      <c r="D31" s="11"/>
      <c r="E31" s="18">
        <f>+'SERVICIO FAENA'!E31</f>
        <v>46041</v>
      </c>
      <c r="F31" s="11"/>
      <c r="G31" s="180" t="e">
        <f t="shared" si="4"/>
        <v>#DIV/0!</v>
      </c>
      <c r="H31" s="11"/>
      <c r="I31" s="11"/>
      <c r="J31" s="180" t="e">
        <f t="shared" si="0"/>
        <v>#DIV/0!</v>
      </c>
      <c r="K31" s="100"/>
      <c r="L31" s="100"/>
      <c r="M31" s="100"/>
      <c r="N31" s="100">
        <f t="shared" si="1"/>
        <v>0</v>
      </c>
      <c r="O31" s="100"/>
      <c r="P31" s="41">
        <v>880</v>
      </c>
      <c r="Q31" s="11"/>
      <c r="R31" s="41">
        <v>260</v>
      </c>
      <c r="S31" s="185"/>
      <c r="T31" s="185"/>
      <c r="U31" s="185"/>
      <c r="V31" s="185"/>
      <c r="W31" s="41">
        <f t="shared" si="2"/>
        <v>0</v>
      </c>
      <c r="X31" s="41">
        <f t="shared" si="3"/>
        <v>0</v>
      </c>
      <c r="Y31" s="11"/>
      <c r="Z31" s="11"/>
      <c r="AA31" s="11"/>
      <c r="AB31" s="11"/>
      <c r="AC31" s="24"/>
    </row>
    <row r="32" spans="1:29" x14ac:dyDescent="0.2">
      <c r="A32" s="11">
        <f>+'SERVICIO FAENA'!A32</f>
        <v>30</v>
      </c>
      <c r="B32" s="11" t="str">
        <f>+'SERVICIO FAENA'!B32</f>
        <v>BOSQUES AMADOS SRL</v>
      </c>
      <c r="C32" s="11"/>
      <c r="D32" s="11"/>
      <c r="E32" s="18" t="str">
        <f>+'SERVICIO FAENA'!E32</f>
        <v>20-21/01/2026</v>
      </c>
      <c r="F32" s="11"/>
      <c r="G32" s="180" t="e">
        <f t="shared" si="4"/>
        <v>#DIV/0!</v>
      </c>
      <c r="H32" s="11"/>
      <c r="I32" s="11"/>
      <c r="J32" s="180" t="e">
        <f t="shared" si="0"/>
        <v>#DIV/0!</v>
      </c>
      <c r="K32" s="100"/>
      <c r="L32" s="100"/>
      <c r="M32" s="100"/>
      <c r="N32" s="100">
        <f t="shared" si="1"/>
        <v>0</v>
      </c>
      <c r="O32" s="100"/>
      <c r="P32" s="41">
        <v>880</v>
      </c>
      <c r="Q32" s="11"/>
      <c r="R32" s="41">
        <v>260</v>
      </c>
      <c r="S32" s="185"/>
      <c r="T32" s="185"/>
      <c r="U32" s="185"/>
      <c r="V32" s="185"/>
      <c r="W32" s="41">
        <f t="shared" si="2"/>
        <v>0</v>
      </c>
      <c r="X32" s="41">
        <f t="shared" si="3"/>
        <v>0</v>
      </c>
      <c r="Y32" s="11"/>
      <c r="Z32" s="11"/>
      <c r="AA32" s="11"/>
      <c r="AB32" s="11"/>
      <c r="AC32" s="24"/>
    </row>
    <row r="33" spans="1:29" x14ac:dyDescent="0.2">
      <c r="A33" s="11">
        <f>+'SERVICIO FAENA'!A33</f>
        <v>31</v>
      </c>
      <c r="B33" s="11" t="str">
        <f>+'SERVICIO FAENA'!B33</f>
        <v>MUCA SAS</v>
      </c>
      <c r="C33" s="11"/>
      <c r="D33" s="11"/>
      <c r="E33" s="18">
        <f>+'SERVICIO FAENA'!E33</f>
        <v>46042</v>
      </c>
      <c r="F33" s="11"/>
      <c r="G33" s="180" t="e">
        <f t="shared" si="4"/>
        <v>#DIV/0!</v>
      </c>
      <c r="H33" s="11"/>
      <c r="I33" s="11"/>
      <c r="J33" s="180" t="e">
        <f t="shared" si="0"/>
        <v>#DIV/0!</v>
      </c>
      <c r="K33" s="100"/>
      <c r="L33" s="100"/>
      <c r="M33" s="100"/>
      <c r="N33" s="100">
        <f t="shared" si="1"/>
        <v>0</v>
      </c>
      <c r="O33" s="100"/>
      <c r="P33" s="41">
        <v>880</v>
      </c>
      <c r="Q33" s="11"/>
      <c r="R33" s="41">
        <v>260</v>
      </c>
      <c r="S33" s="185"/>
      <c r="T33" s="185"/>
      <c r="U33" s="185"/>
      <c r="V33" s="185"/>
      <c r="W33" s="41">
        <f t="shared" si="2"/>
        <v>0</v>
      </c>
      <c r="X33" s="41">
        <f t="shared" si="3"/>
        <v>0</v>
      </c>
      <c r="Y33" s="11"/>
      <c r="Z33" s="11"/>
      <c r="AA33" s="11"/>
      <c r="AB33" s="11"/>
      <c r="AC33" s="24"/>
    </row>
    <row r="34" spans="1:29" x14ac:dyDescent="0.2">
      <c r="A34" s="11">
        <f>+'SERVICIO FAENA'!A34</f>
        <v>32</v>
      </c>
      <c r="B34" s="11" t="str">
        <f>+'SERVICIO FAENA'!B34</f>
        <v>FERREYRA ALBERTO</v>
      </c>
      <c r="C34" s="11"/>
      <c r="D34" s="11"/>
      <c r="E34" s="18">
        <f>+'SERVICIO FAENA'!E34</f>
        <v>46044</v>
      </c>
      <c r="F34" s="11"/>
      <c r="G34" s="180" t="e">
        <f t="shared" si="4"/>
        <v>#DIV/0!</v>
      </c>
      <c r="H34" s="11"/>
      <c r="I34" s="11"/>
      <c r="J34" s="180" t="e">
        <f t="shared" si="0"/>
        <v>#DIV/0!</v>
      </c>
      <c r="K34" s="100"/>
      <c r="L34" s="100"/>
      <c r="M34" s="100"/>
      <c r="N34" s="100">
        <f t="shared" si="1"/>
        <v>0</v>
      </c>
      <c r="O34" s="100"/>
      <c r="P34" s="41">
        <v>880</v>
      </c>
      <c r="Q34" s="11"/>
      <c r="R34" s="41">
        <v>260</v>
      </c>
      <c r="S34" s="185"/>
      <c r="T34" s="185"/>
      <c r="U34" s="185"/>
      <c r="V34" s="185"/>
      <c r="W34" s="41">
        <f t="shared" si="2"/>
        <v>0</v>
      </c>
      <c r="X34" s="41">
        <f t="shared" si="3"/>
        <v>0</v>
      </c>
      <c r="Y34" s="11"/>
      <c r="Z34" s="11"/>
      <c r="AA34" s="11"/>
      <c r="AB34" s="11"/>
      <c r="AC34" s="24"/>
    </row>
    <row r="35" spans="1:29" x14ac:dyDescent="0.2">
      <c r="A35" s="11">
        <f>+'SERVICIO FAENA'!A35</f>
        <v>33</v>
      </c>
      <c r="B35" s="11" t="str">
        <f>+'SERVICIO FAENA'!B35</f>
        <v>FERREYRA MARTIN</v>
      </c>
      <c r="C35" s="11"/>
      <c r="D35" s="11"/>
      <c r="E35" s="18">
        <f>+'SERVICIO FAENA'!E35</f>
        <v>46044</v>
      </c>
      <c r="F35" s="11"/>
      <c r="G35" s="180" t="e">
        <f t="shared" si="4"/>
        <v>#DIV/0!</v>
      </c>
      <c r="H35" s="11"/>
      <c r="I35" s="11"/>
      <c r="J35" s="180" t="e">
        <f t="shared" si="0"/>
        <v>#DIV/0!</v>
      </c>
      <c r="K35" s="100"/>
      <c r="L35" s="100"/>
      <c r="M35" s="100"/>
      <c r="N35" s="100">
        <f t="shared" si="1"/>
        <v>0</v>
      </c>
      <c r="O35" s="100"/>
      <c r="P35" s="41">
        <v>880</v>
      </c>
      <c r="Q35" s="11"/>
      <c r="R35" s="41">
        <v>260</v>
      </c>
      <c r="S35" s="185"/>
      <c r="T35" s="185"/>
      <c r="U35" s="185"/>
      <c r="V35" s="185"/>
      <c r="W35" s="41">
        <f t="shared" si="2"/>
        <v>0</v>
      </c>
      <c r="X35" s="41">
        <f t="shared" si="3"/>
        <v>0</v>
      </c>
      <c r="Y35" s="11"/>
      <c r="Z35" s="11"/>
      <c r="AA35" s="11"/>
      <c r="AB35" s="11"/>
      <c r="AC35" s="24"/>
    </row>
    <row r="36" spans="1:29" x14ac:dyDescent="0.2">
      <c r="A36" s="11">
        <f>+'SERVICIO FAENA'!A36</f>
        <v>34</v>
      </c>
      <c r="B36" s="11" t="str">
        <f>+'SERVICIO FAENA'!B36</f>
        <v>FRIGORIFICO DE LA PATAGONIA SRL</v>
      </c>
      <c r="C36" s="11"/>
      <c r="D36" s="11"/>
      <c r="E36" s="18">
        <f>+'SERVICIO FAENA'!E36</f>
        <v>46045</v>
      </c>
      <c r="F36" s="11"/>
      <c r="G36" s="180" t="e">
        <f t="shared" si="4"/>
        <v>#DIV/0!</v>
      </c>
      <c r="H36" s="11"/>
      <c r="I36" s="11"/>
      <c r="J36" s="180" t="e">
        <f t="shared" si="0"/>
        <v>#DIV/0!</v>
      </c>
      <c r="K36" s="100"/>
      <c r="L36" s="100"/>
      <c r="M36" s="100"/>
      <c r="N36" s="100">
        <f t="shared" si="1"/>
        <v>0</v>
      </c>
      <c r="O36" s="100"/>
      <c r="P36" s="41">
        <v>880</v>
      </c>
      <c r="Q36" s="11"/>
      <c r="R36" s="41">
        <v>260</v>
      </c>
      <c r="S36" s="185"/>
      <c r="T36" s="185"/>
      <c r="U36" s="185"/>
      <c r="V36" s="185"/>
      <c r="W36" s="41">
        <f t="shared" si="2"/>
        <v>0</v>
      </c>
      <c r="X36" s="41">
        <f t="shared" si="3"/>
        <v>0</v>
      </c>
      <c r="Y36" s="11"/>
      <c r="Z36" s="11"/>
      <c r="AA36" s="11"/>
      <c r="AB36" s="11"/>
      <c r="AC36" s="24"/>
    </row>
    <row r="37" spans="1:29" x14ac:dyDescent="0.2">
      <c r="A37" s="11">
        <f>+'SERVICIO FAENA'!A37</f>
        <v>35</v>
      </c>
      <c r="B37" s="11" t="str">
        <f>+'SERVICIO FAENA'!B37</f>
        <v>MUCA SAS</v>
      </c>
      <c r="C37" s="11"/>
      <c r="D37" s="11"/>
      <c r="E37" s="18">
        <f>+'SERVICIO FAENA'!E37</f>
        <v>46045</v>
      </c>
      <c r="F37" s="11"/>
      <c r="G37" s="180" t="e">
        <f t="shared" si="4"/>
        <v>#DIV/0!</v>
      </c>
      <c r="H37" s="11"/>
      <c r="I37" s="11"/>
      <c r="J37" s="180" t="e">
        <f t="shared" si="0"/>
        <v>#DIV/0!</v>
      </c>
      <c r="K37" s="100"/>
      <c r="L37" s="100"/>
      <c r="M37" s="100"/>
      <c r="N37" s="100">
        <f t="shared" si="1"/>
        <v>0</v>
      </c>
      <c r="O37" s="100"/>
      <c r="P37" s="41">
        <v>880</v>
      </c>
      <c r="Q37" s="11"/>
      <c r="R37" s="41">
        <v>260</v>
      </c>
      <c r="S37" s="185"/>
      <c r="T37" s="185"/>
      <c r="U37" s="185"/>
      <c r="V37" s="185"/>
      <c r="W37" s="41">
        <f t="shared" si="2"/>
        <v>0</v>
      </c>
      <c r="X37" s="41">
        <f t="shared" si="3"/>
        <v>0</v>
      </c>
      <c r="Y37" s="11"/>
      <c r="Z37" s="11"/>
      <c r="AA37" s="11"/>
      <c r="AB37" s="11"/>
      <c r="AC37" s="24"/>
    </row>
    <row r="38" spans="1:29" x14ac:dyDescent="0.2">
      <c r="A38" s="11">
        <f>+'SERVICIO FAENA'!A38</f>
        <v>36</v>
      </c>
      <c r="B38" s="11" t="str">
        <f>+'SERVICIO FAENA'!B38</f>
        <v>MUCA SAS</v>
      </c>
      <c r="C38" s="11"/>
      <c r="D38" s="11"/>
      <c r="E38" s="18">
        <f>+'SERVICIO FAENA'!E38</f>
        <v>46045</v>
      </c>
      <c r="F38" s="11"/>
      <c r="G38" s="180" t="e">
        <f t="shared" si="4"/>
        <v>#DIV/0!</v>
      </c>
      <c r="H38" s="11"/>
      <c r="I38" s="11"/>
      <c r="J38" s="180" t="e">
        <f t="shared" si="0"/>
        <v>#DIV/0!</v>
      </c>
      <c r="K38" s="100"/>
      <c r="L38" s="100"/>
      <c r="M38" s="100"/>
      <c r="N38" s="100">
        <f t="shared" si="1"/>
        <v>0</v>
      </c>
      <c r="O38" s="100"/>
      <c r="P38" s="41">
        <v>880</v>
      </c>
      <c r="Q38" s="11"/>
      <c r="R38" s="41">
        <v>260</v>
      </c>
      <c r="S38" s="185"/>
      <c r="T38" s="185"/>
      <c r="U38" s="185"/>
      <c r="V38" s="185"/>
      <c r="W38" s="41">
        <f t="shared" si="2"/>
        <v>0</v>
      </c>
      <c r="X38" s="41">
        <f t="shared" si="3"/>
        <v>0</v>
      </c>
      <c r="Y38" s="11"/>
      <c r="Z38" s="11"/>
      <c r="AA38" s="11"/>
      <c r="AB38" s="11"/>
      <c r="AC38" s="24"/>
    </row>
    <row r="39" spans="1:29" x14ac:dyDescent="0.2">
      <c r="A39" s="11">
        <f>+'SERVICIO FAENA'!A39</f>
        <v>37</v>
      </c>
      <c r="B39" s="11" t="str">
        <f>+'SERVICIO FAENA'!B39</f>
        <v>FERREYRA MARTIN</v>
      </c>
      <c r="C39" s="11"/>
      <c r="D39" s="11"/>
      <c r="E39" s="18">
        <f>+'SERVICIO FAENA'!E39</f>
        <v>46048</v>
      </c>
      <c r="F39" s="11"/>
      <c r="G39" s="180" t="e">
        <f t="shared" si="4"/>
        <v>#DIV/0!</v>
      </c>
      <c r="H39" s="11"/>
      <c r="I39" s="11"/>
      <c r="J39" s="180" t="e">
        <f t="shared" si="0"/>
        <v>#DIV/0!</v>
      </c>
      <c r="K39" s="100"/>
      <c r="L39" s="100"/>
      <c r="M39" s="100"/>
      <c r="N39" s="100">
        <f t="shared" si="1"/>
        <v>0</v>
      </c>
      <c r="O39" s="100"/>
      <c r="P39" s="41">
        <v>880</v>
      </c>
      <c r="Q39" s="11"/>
      <c r="R39" s="41">
        <v>260</v>
      </c>
      <c r="S39" s="185"/>
      <c r="T39" s="185"/>
      <c r="U39" s="185"/>
      <c r="V39" s="185"/>
      <c r="W39" s="41">
        <f t="shared" si="2"/>
        <v>0</v>
      </c>
      <c r="X39" s="41">
        <f t="shared" si="3"/>
        <v>0</v>
      </c>
      <c r="Y39" s="11"/>
      <c r="Z39" s="11"/>
      <c r="AA39" s="11"/>
      <c r="AB39" s="11"/>
      <c r="AC39" s="24"/>
    </row>
    <row r="40" spans="1:29" x14ac:dyDescent="0.2">
      <c r="A40" s="11">
        <f>+'SERVICIO FAENA'!A40</f>
        <v>38</v>
      </c>
      <c r="B40" s="11" t="str">
        <f>+'SERVICIO FAENA'!B40</f>
        <v>FRIGORIFICO DE LA PATAGONIA SRL</v>
      </c>
      <c r="C40" s="11"/>
      <c r="D40" s="11"/>
      <c r="E40" s="18">
        <f>+'SERVICIO FAENA'!E40</f>
        <v>46048</v>
      </c>
      <c r="F40" s="11"/>
      <c r="G40" s="180" t="e">
        <f t="shared" si="4"/>
        <v>#DIV/0!</v>
      </c>
      <c r="H40" s="11"/>
      <c r="I40" s="11"/>
      <c r="J40" s="180" t="e">
        <f t="shared" si="0"/>
        <v>#DIV/0!</v>
      </c>
      <c r="K40" s="100"/>
      <c r="L40" s="100"/>
      <c r="M40" s="100"/>
      <c r="N40" s="100">
        <f t="shared" si="1"/>
        <v>0</v>
      </c>
      <c r="O40" s="100"/>
      <c r="P40" s="41">
        <v>880</v>
      </c>
      <c r="Q40" s="11"/>
      <c r="R40" s="41">
        <v>260</v>
      </c>
      <c r="S40" s="185"/>
      <c r="T40" s="185"/>
      <c r="U40" s="185"/>
      <c r="V40" s="185"/>
      <c r="W40" s="41">
        <f t="shared" si="2"/>
        <v>0</v>
      </c>
      <c r="X40" s="41">
        <f t="shared" si="3"/>
        <v>0</v>
      </c>
      <c r="Y40" s="11"/>
      <c r="Z40" s="11"/>
      <c r="AA40" s="11"/>
      <c r="AB40" s="11"/>
      <c r="AC40" s="24"/>
    </row>
    <row r="41" spans="1:29" x14ac:dyDescent="0.2">
      <c r="A41" s="11">
        <f>+'SERVICIO FAENA'!A41</f>
        <v>39</v>
      </c>
      <c r="B41" s="11" t="str">
        <f>+'SERVICIO FAENA'!B41</f>
        <v>BOSQUES AMADOS SRL</v>
      </c>
      <c r="C41" s="11">
        <v>5</v>
      </c>
      <c r="D41" s="100">
        <v>2142</v>
      </c>
      <c r="E41" s="18">
        <f>+'SERVICIO FAENA'!E41</f>
        <v>46049</v>
      </c>
      <c r="F41" s="100">
        <v>1207.4000000000001</v>
      </c>
      <c r="G41" s="180">
        <f t="shared" si="4"/>
        <v>0.56367880485527544</v>
      </c>
      <c r="H41" s="100">
        <v>589.6</v>
      </c>
      <c r="I41" s="100">
        <v>594.9</v>
      </c>
      <c r="J41" s="180">
        <f>+((F41-(H41+I41))/F41)</f>
        <v>1.8966374026834595E-2</v>
      </c>
      <c r="K41" s="100">
        <v>279.33999999999997</v>
      </c>
      <c r="L41" s="100">
        <v>351.02</v>
      </c>
      <c r="M41" s="100">
        <v>554.79999999999995</v>
      </c>
      <c r="N41" s="100">
        <f>SUM(K41:M41)</f>
        <v>1185.1599999999999</v>
      </c>
      <c r="O41" s="100">
        <v>704.59</v>
      </c>
      <c r="P41" s="41">
        <v>880</v>
      </c>
      <c r="Q41" s="11">
        <v>279.33999999999997</v>
      </c>
      <c r="R41" s="41">
        <v>260</v>
      </c>
      <c r="S41" s="185">
        <v>192.7</v>
      </c>
      <c r="T41" s="185">
        <v>8</v>
      </c>
      <c r="U41" s="182">
        <f>+(Q41+O41)/N41</f>
        <v>0.83020857943231308</v>
      </c>
      <c r="V41" s="185">
        <f>+(T41+S41+Q41+O41)-N41</f>
        <v>-0.52999999999974534</v>
      </c>
      <c r="W41" s="41">
        <f>+(P41*O41)+(R41*Q41)</f>
        <v>692667.60000000009</v>
      </c>
      <c r="X41" s="41">
        <f t="shared" si="3"/>
        <v>838127.79600000009</v>
      </c>
      <c r="Y41" s="11"/>
      <c r="Z41" s="11"/>
      <c r="AA41" s="11"/>
      <c r="AB41" s="11"/>
      <c r="AC41" s="94">
        <f>+AB41-X41</f>
        <v>-838127.79600000009</v>
      </c>
    </row>
    <row r="42" spans="1:29" x14ac:dyDescent="0.2">
      <c r="A42" s="11">
        <f>+'SERVICIO FAENA'!A42</f>
        <v>40</v>
      </c>
      <c r="B42" s="11" t="str">
        <f>+'SERVICIO FAENA'!B42</f>
        <v>MUCA SAS</v>
      </c>
      <c r="C42" s="11"/>
      <c r="D42" s="11"/>
      <c r="E42" s="18">
        <f>+'SERVICIO FAENA'!E42</f>
        <v>46049</v>
      </c>
      <c r="F42" s="11"/>
      <c r="G42" s="180" t="e">
        <f t="shared" si="4"/>
        <v>#DIV/0!</v>
      </c>
      <c r="H42" s="11"/>
      <c r="I42" s="11"/>
      <c r="J42" s="180" t="e">
        <f t="shared" ref="J42:J105" si="5">+((F42-(H42+I42))/F42)</f>
        <v>#DIV/0!</v>
      </c>
      <c r="K42" s="100"/>
      <c r="L42" s="100"/>
      <c r="M42" s="100"/>
      <c r="N42" s="100">
        <f t="shared" ref="N42:N105" si="6">SUM(K42:M42)</f>
        <v>0</v>
      </c>
      <c r="O42" s="100"/>
      <c r="P42" s="41">
        <v>880</v>
      </c>
      <c r="Q42" s="11"/>
      <c r="R42" s="41">
        <v>260</v>
      </c>
      <c r="S42" s="185"/>
      <c r="T42" s="185"/>
      <c r="U42" s="185"/>
      <c r="V42" s="185"/>
      <c r="W42" s="41">
        <f t="shared" ref="W42:W105" si="7">+(P42*O42)+(R42*Q42)</f>
        <v>0</v>
      </c>
      <c r="X42" s="41">
        <f t="shared" si="3"/>
        <v>0</v>
      </c>
      <c r="Y42" s="11"/>
      <c r="Z42" s="11"/>
      <c r="AA42" s="11"/>
      <c r="AB42" s="11"/>
      <c r="AC42" s="24"/>
    </row>
    <row r="43" spans="1:29" x14ac:dyDescent="0.2">
      <c r="A43" s="11">
        <f>+'SERVICIO FAENA'!A43</f>
        <v>41</v>
      </c>
      <c r="B43" s="11" t="str">
        <f>+'SERVICIO FAENA'!B43</f>
        <v>MUCA SAS</v>
      </c>
      <c r="C43" s="11"/>
      <c r="D43" s="11"/>
      <c r="E43" s="18">
        <f>+'SERVICIO FAENA'!E43</f>
        <v>46049</v>
      </c>
      <c r="F43" s="11"/>
      <c r="G43" s="180" t="e">
        <f t="shared" si="4"/>
        <v>#DIV/0!</v>
      </c>
      <c r="H43" s="11"/>
      <c r="I43" s="11"/>
      <c r="J43" s="180" t="e">
        <f t="shared" si="5"/>
        <v>#DIV/0!</v>
      </c>
      <c r="K43" s="100"/>
      <c r="L43" s="100"/>
      <c r="M43" s="100"/>
      <c r="N43" s="100">
        <f t="shared" si="6"/>
        <v>0</v>
      </c>
      <c r="O43" s="100"/>
      <c r="P43" s="41">
        <v>880</v>
      </c>
      <c r="Q43" s="11"/>
      <c r="R43" s="41">
        <v>260</v>
      </c>
      <c r="S43" s="185"/>
      <c r="T43" s="185"/>
      <c r="U43" s="185"/>
      <c r="V43" s="185"/>
      <c r="W43" s="41">
        <f t="shared" si="7"/>
        <v>0</v>
      </c>
      <c r="X43" s="41">
        <f t="shared" si="3"/>
        <v>0</v>
      </c>
      <c r="Y43" s="11"/>
      <c r="Z43" s="11"/>
      <c r="AA43" s="11"/>
      <c r="AB43" s="11"/>
      <c r="AC43" s="24"/>
    </row>
    <row r="44" spans="1:29" x14ac:dyDescent="0.2">
      <c r="A44" s="11">
        <f>+'SERVICIO FAENA'!A44</f>
        <v>42</v>
      </c>
      <c r="B44" s="11" t="str">
        <f>+'SERVICIO FAENA'!B44</f>
        <v>FERREYRA MARTIN</v>
      </c>
      <c r="C44" s="11"/>
      <c r="D44" s="11"/>
      <c r="E44" s="18">
        <f>+'SERVICIO FAENA'!E44</f>
        <v>46050</v>
      </c>
      <c r="F44" s="11"/>
      <c r="G44" s="180" t="e">
        <f t="shared" si="4"/>
        <v>#DIV/0!</v>
      </c>
      <c r="H44" s="11"/>
      <c r="I44" s="11"/>
      <c r="J44" s="180" t="e">
        <f t="shared" si="5"/>
        <v>#DIV/0!</v>
      </c>
      <c r="K44" s="100"/>
      <c r="L44" s="100"/>
      <c r="M44" s="100"/>
      <c r="N44" s="100">
        <f t="shared" si="6"/>
        <v>0</v>
      </c>
      <c r="O44" s="100"/>
      <c r="P44" s="41">
        <v>880</v>
      </c>
      <c r="Q44" s="11"/>
      <c r="R44" s="41">
        <v>260</v>
      </c>
      <c r="S44" s="185"/>
      <c r="T44" s="185"/>
      <c r="U44" s="185"/>
      <c r="V44" s="185"/>
      <c r="W44" s="41">
        <f t="shared" si="7"/>
        <v>0</v>
      </c>
      <c r="X44" s="41">
        <f t="shared" si="3"/>
        <v>0</v>
      </c>
      <c r="Y44" s="11"/>
      <c r="Z44" s="11"/>
      <c r="AA44" s="11"/>
      <c r="AB44" s="11"/>
      <c r="AC44" s="24"/>
    </row>
    <row r="45" spans="1:29" x14ac:dyDescent="0.2">
      <c r="A45" s="11">
        <f>+'SERVICIO FAENA'!A45</f>
        <v>43</v>
      </c>
      <c r="B45" s="11" t="str">
        <f>+'SERVICIO FAENA'!B45</f>
        <v>FERREYRA MARTIN</v>
      </c>
      <c r="C45" s="11"/>
      <c r="D45" s="11"/>
      <c r="E45" s="18">
        <f>+'SERVICIO FAENA'!E45</f>
        <v>46050</v>
      </c>
      <c r="F45" s="11"/>
      <c r="G45" s="180" t="e">
        <f t="shared" si="4"/>
        <v>#DIV/0!</v>
      </c>
      <c r="H45" s="11"/>
      <c r="I45" s="11"/>
      <c r="J45" s="180" t="e">
        <f t="shared" si="5"/>
        <v>#DIV/0!</v>
      </c>
      <c r="K45" s="100"/>
      <c r="L45" s="100"/>
      <c r="M45" s="100"/>
      <c r="N45" s="100">
        <f t="shared" si="6"/>
        <v>0</v>
      </c>
      <c r="O45" s="100"/>
      <c r="P45" s="41">
        <v>880</v>
      </c>
      <c r="Q45" s="11"/>
      <c r="R45" s="41">
        <v>260</v>
      </c>
      <c r="S45" s="185"/>
      <c r="T45" s="185"/>
      <c r="U45" s="185"/>
      <c r="V45" s="185"/>
      <c r="W45" s="41">
        <f t="shared" si="7"/>
        <v>0</v>
      </c>
      <c r="X45" s="41">
        <f t="shared" si="3"/>
        <v>0</v>
      </c>
      <c r="Y45" s="11"/>
      <c r="Z45" s="11"/>
      <c r="AA45" s="11"/>
      <c r="AB45" s="11"/>
      <c r="AC45" s="24"/>
    </row>
    <row r="46" spans="1:29" x14ac:dyDescent="0.2">
      <c r="A46" s="11">
        <f>+'SERVICIO FAENA'!A46</f>
        <v>44</v>
      </c>
      <c r="B46" s="11" t="str">
        <f>+'SERVICIO FAENA'!B46</f>
        <v>FERREYRA ALBERTO</v>
      </c>
      <c r="C46" s="11"/>
      <c r="D46" s="11"/>
      <c r="E46" s="18">
        <f>+'SERVICIO FAENA'!E46</f>
        <v>46050</v>
      </c>
      <c r="F46" s="11"/>
      <c r="G46" s="180" t="e">
        <f t="shared" si="4"/>
        <v>#DIV/0!</v>
      </c>
      <c r="H46" s="11"/>
      <c r="I46" s="11"/>
      <c r="J46" s="180" t="e">
        <f t="shared" si="5"/>
        <v>#DIV/0!</v>
      </c>
      <c r="K46" s="100"/>
      <c r="L46" s="100"/>
      <c r="M46" s="100"/>
      <c r="N46" s="100">
        <f t="shared" si="6"/>
        <v>0</v>
      </c>
      <c r="O46" s="100"/>
      <c r="P46" s="41">
        <v>880</v>
      </c>
      <c r="Q46" s="11"/>
      <c r="R46" s="41">
        <v>260</v>
      </c>
      <c r="S46" s="185"/>
      <c r="T46" s="185"/>
      <c r="U46" s="185"/>
      <c r="V46" s="185"/>
      <c r="W46" s="41">
        <f t="shared" si="7"/>
        <v>0</v>
      </c>
      <c r="X46" s="41">
        <f t="shared" si="3"/>
        <v>0</v>
      </c>
      <c r="Y46" s="11"/>
      <c r="Z46" s="11"/>
      <c r="AA46" s="11"/>
      <c r="AB46" s="11"/>
      <c r="AC46" s="24"/>
    </row>
    <row r="47" spans="1:29" x14ac:dyDescent="0.2">
      <c r="A47" s="11">
        <f>+'SERVICIO FAENA'!A47</f>
        <v>45</v>
      </c>
      <c r="B47" s="11" t="str">
        <f>+'SERVICIO FAENA'!B47</f>
        <v>FRIGORIFICO DE LA PATAGONIA SRL</v>
      </c>
      <c r="C47" s="11"/>
      <c r="D47" s="11"/>
      <c r="E47" s="18">
        <f>+'SERVICIO FAENA'!E47</f>
        <v>46052</v>
      </c>
      <c r="F47" s="11"/>
      <c r="G47" s="180" t="e">
        <f t="shared" si="4"/>
        <v>#DIV/0!</v>
      </c>
      <c r="H47" s="11"/>
      <c r="I47" s="11"/>
      <c r="J47" s="180" t="e">
        <f t="shared" si="5"/>
        <v>#DIV/0!</v>
      </c>
      <c r="K47" s="100"/>
      <c r="L47" s="100"/>
      <c r="M47" s="100"/>
      <c r="N47" s="100">
        <f t="shared" si="6"/>
        <v>0</v>
      </c>
      <c r="O47" s="100"/>
      <c r="P47" s="41">
        <v>880</v>
      </c>
      <c r="Q47" s="11"/>
      <c r="R47" s="41">
        <v>260</v>
      </c>
      <c r="S47" s="185"/>
      <c r="T47" s="185"/>
      <c r="U47" s="185"/>
      <c r="V47" s="185"/>
      <c r="W47" s="41">
        <f t="shared" si="7"/>
        <v>0</v>
      </c>
      <c r="X47" s="41">
        <f t="shared" si="3"/>
        <v>0</v>
      </c>
      <c r="Y47" s="11"/>
      <c r="Z47" s="11"/>
      <c r="AA47" s="11"/>
      <c r="AB47" s="11"/>
      <c r="AC47" s="24"/>
    </row>
    <row r="48" spans="1:29" x14ac:dyDescent="0.2">
      <c r="A48" s="11">
        <f>+'SERVICIO FAENA'!A48</f>
        <v>46</v>
      </c>
      <c r="B48" s="11" t="str">
        <f>+'SERVICIO FAENA'!B48</f>
        <v>FRIGORIFICO DE LA PATAGONIA SRL</v>
      </c>
      <c r="C48" s="11"/>
      <c r="D48" s="11"/>
      <c r="E48" s="18">
        <f>+'SERVICIO FAENA'!E48</f>
        <v>46052</v>
      </c>
      <c r="F48" s="11"/>
      <c r="G48" s="180" t="e">
        <f t="shared" si="4"/>
        <v>#DIV/0!</v>
      </c>
      <c r="H48" s="11"/>
      <c r="I48" s="11"/>
      <c r="J48" s="180" t="e">
        <f t="shared" si="5"/>
        <v>#DIV/0!</v>
      </c>
      <c r="K48" s="100"/>
      <c r="L48" s="100"/>
      <c r="M48" s="100"/>
      <c r="N48" s="100">
        <f t="shared" si="6"/>
        <v>0</v>
      </c>
      <c r="O48" s="100"/>
      <c r="P48" s="41">
        <v>880</v>
      </c>
      <c r="Q48" s="11"/>
      <c r="R48" s="41">
        <v>260</v>
      </c>
      <c r="S48" s="185"/>
      <c r="T48" s="185"/>
      <c r="U48" s="185"/>
      <c r="V48" s="185"/>
      <c r="W48" s="41">
        <f t="shared" si="7"/>
        <v>0</v>
      </c>
      <c r="X48" s="41">
        <f t="shared" si="3"/>
        <v>0</v>
      </c>
      <c r="Y48" s="11"/>
      <c r="Z48" s="11"/>
      <c r="AA48" s="11"/>
      <c r="AB48" s="11"/>
      <c r="AC48" s="24"/>
    </row>
    <row r="49" spans="1:29" x14ac:dyDescent="0.2">
      <c r="A49" s="11">
        <f>+'SERVICIO FAENA'!A49</f>
        <v>47</v>
      </c>
      <c r="B49" s="11" t="str">
        <f>+'SERVICIO FAENA'!B49</f>
        <v>MUCA SAS</v>
      </c>
      <c r="C49" s="11"/>
      <c r="D49" s="11"/>
      <c r="E49" s="18">
        <f>+'SERVICIO FAENA'!E49</f>
        <v>46052</v>
      </c>
      <c r="F49" s="11"/>
      <c r="G49" s="180" t="e">
        <f t="shared" si="4"/>
        <v>#DIV/0!</v>
      </c>
      <c r="H49" s="11"/>
      <c r="I49" s="11"/>
      <c r="J49" s="180" t="e">
        <f t="shared" si="5"/>
        <v>#DIV/0!</v>
      </c>
      <c r="K49" s="100"/>
      <c r="L49" s="100"/>
      <c r="M49" s="100"/>
      <c r="N49" s="100">
        <f t="shared" si="6"/>
        <v>0</v>
      </c>
      <c r="O49" s="100"/>
      <c r="P49" s="41">
        <v>880</v>
      </c>
      <c r="Q49" s="11"/>
      <c r="R49" s="41">
        <v>260</v>
      </c>
      <c r="S49" s="185"/>
      <c r="T49" s="185"/>
      <c r="U49" s="185"/>
      <c r="V49" s="185"/>
      <c r="W49" s="41">
        <f t="shared" si="7"/>
        <v>0</v>
      </c>
      <c r="X49" s="41">
        <f t="shared" si="3"/>
        <v>0</v>
      </c>
      <c r="Y49" s="11"/>
      <c r="Z49" s="11"/>
      <c r="AA49" s="11"/>
      <c r="AB49" s="11"/>
      <c r="AC49" s="24"/>
    </row>
    <row r="50" spans="1:29" x14ac:dyDescent="0.2">
      <c r="A50" s="11">
        <f>+'SERVICIO FAENA'!A50</f>
        <v>48</v>
      </c>
      <c r="B50" s="11" t="str">
        <f>+'SERVICIO FAENA'!B50</f>
        <v>MUCA SAS</v>
      </c>
      <c r="C50" s="11"/>
      <c r="D50" s="11"/>
      <c r="E50" s="18">
        <f>+'SERVICIO FAENA'!E50</f>
        <v>46052</v>
      </c>
      <c r="F50" s="11"/>
      <c r="G50" s="180" t="e">
        <f t="shared" si="4"/>
        <v>#DIV/0!</v>
      </c>
      <c r="H50" s="11"/>
      <c r="I50" s="11"/>
      <c r="J50" s="180" t="e">
        <f t="shared" si="5"/>
        <v>#DIV/0!</v>
      </c>
      <c r="K50" s="100"/>
      <c r="L50" s="100"/>
      <c r="M50" s="100"/>
      <c r="N50" s="100">
        <f t="shared" si="6"/>
        <v>0</v>
      </c>
      <c r="O50" s="100"/>
      <c r="P50" s="41">
        <v>880</v>
      </c>
      <c r="Q50" s="11"/>
      <c r="R50" s="41">
        <v>260</v>
      </c>
      <c r="S50" s="185"/>
      <c r="T50" s="185"/>
      <c r="U50" s="185"/>
      <c r="V50" s="185"/>
      <c r="W50" s="41">
        <f t="shared" si="7"/>
        <v>0</v>
      </c>
      <c r="X50" s="41">
        <f t="shared" si="3"/>
        <v>0</v>
      </c>
      <c r="Y50" s="11"/>
      <c r="Z50" s="11"/>
      <c r="AA50" s="11"/>
      <c r="AB50" s="11"/>
      <c r="AC50" s="24"/>
    </row>
    <row r="51" spans="1:29" x14ac:dyDescent="0.2">
      <c r="A51" s="11">
        <f>+'SERVICIO FAENA'!A51</f>
        <v>49</v>
      </c>
      <c r="B51" s="11" t="str">
        <f>+'SERVICIO FAENA'!B51</f>
        <v>MUCA SAS</v>
      </c>
      <c r="C51" s="11"/>
      <c r="D51" s="11"/>
      <c r="E51" s="18">
        <f>+'SERVICIO FAENA'!E51</f>
        <v>46052</v>
      </c>
      <c r="F51" s="11"/>
      <c r="G51" s="180" t="e">
        <f t="shared" si="4"/>
        <v>#DIV/0!</v>
      </c>
      <c r="H51" s="11"/>
      <c r="I51" s="11"/>
      <c r="J51" s="180" t="e">
        <f t="shared" si="5"/>
        <v>#DIV/0!</v>
      </c>
      <c r="K51" s="100"/>
      <c r="L51" s="100"/>
      <c r="M51" s="100"/>
      <c r="N51" s="100">
        <f t="shared" si="6"/>
        <v>0</v>
      </c>
      <c r="O51" s="100"/>
      <c r="P51" s="41">
        <v>880</v>
      </c>
      <c r="Q51" s="11"/>
      <c r="R51" s="41">
        <v>260</v>
      </c>
      <c r="S51" s="185"/>
      <c r="T51" s="185"/>
      <c r="U51" s="185"/>
      <c r="V51" s="185"/>
      <c r="W51" s="41">
        <f t="shared" si="7"/>
        <v>0</v>
      </c>
      <c r="X51" s="41">
        <f t="shared" si="3"/>
        <v>0</v>
      </c>
      <c r="Y51" s="11"/>
      <c r="Z51" s="11"/>
      <c r="AA51" s="11"/>
      <c r="AB51" s="11"/>
      <c r="AC51" s="24"/>
    </row>
    <row r="52" spans="1:29" ht="13.5" thickBot="1" x14ac:dyDescent="0.25">
      <c r="A52" s="113">
        <f>+'SERVICIO FAENA'!A52</f>
        <v>50</v>
      </c>
      <c r="B52" s="113" t="str">
        <f>+'SERVICIO FAENA'!B52</f>
        <v>MUCA SAS</v>
      </c>
      <c r="C52" s="113"/>
      <c r="D52" s="113"/>
      <c r="E52" s="120">
        <f>+'SERVICIO FAENA'!E52</f>
        <v>46052</v>
      </c>
      <c r="F52" s="113"/>
      <c r="G52" s="181" t="e">
        <f t="shared" si="4"/>
        <v>#DIV/0!</v>
      </c>
      <c r="H52" s="113"/>
      <c r="I52" s="113"/>
      <c r="J52" s="181" t="e">
        <f t="shared" si="5"/>
        <v>#DIV/0!</v>
      </c>
      <c r="K52" s="121"/>
      <c r="L52" s="121"/>
      <c r="M52" s="121"/>
      <c r="N52" s="121">
        <f t="shared" si="6"/>
        <v>0</v>
      </c>
      <c r="O52" s="121"/>
      <c r="P52" s="118">
        <v>880</v>
      </c>
      <c r="Q52" s="113"/>
      <c r="R52" s="118">
        <v>260</v>
      </c>
      <c r="S52" s="186"/>
      <c r="T52" s="186"/>
      <c r="U52" s="186"/>
      <c r="V52" s="186"/>
      <c r="W52" s="118">
        <f t="shared" si="7"/>
        <v>0</v>
      </c>
      <c r="X52" s="118">
        <f t="shared" si="3"/>
        <v>0</v>
      </c>
      <c r="Y52" s="113"/>
      <c r="Z52" s="113"/>
      <c r="AA52" s="113"/>
      <c r="AB52" s="113"/>
      <c r="AC52" s="189"/>
    </row>
    <row r="53" spans="1:29" x14ac:dyDescent="0.2">
      <c r="A53" s="53">
        <f>+'SERVICIO FAENA'!A53</f>
        <v>51</v>
      </c>
      <c r="B53" s="53" t="str">
        <f>+'SERVICIO FAENA'!B53</f>
        <v>GANADERA NORTE NEUQUINO</v>
      </c>
      <c r="C53" s="53"/>
      <c r="D53" s="53"/>
      <c r="E53" s="59">
        <f>+'SERVICIO FAENA'!E53</f>
        <v>46055</v>
      </c>
      <c r="F53" s="53"/>
      <c r="G53" s="182" t="e">
        <f t="shared" si="4"/>
        <v>#DIV/0!</v>
      </c>
      <c r="H53" s="53"/>
      <c r="I53" s="53"/>
      <c r="J53" s="182" t="e">
        <f t="shared" si="5"/>
        <v>#DIV/0!</v>
      </c>
      <c r="K53" s="112"/>
      <c r="L53" s="112"/>
      <c r="M53" s="112"/>
      <c r="N53" s="112">
        <f t="shared" si="6"/>
        <v>0</v>
      </c>
      <c r="O53" s="112"/>
      <c r="P53" s="41">
        <v>880</v>
      </c>
      <c r="Q53" s="53"/>
      <c r="R53" s="41">
        <v>260</v>
      </c>
      <c r="S53" s="185"/>
      <c r="T53" s="185"/>
      <c r="U53" s="185"/>
      <c r="V53" s="185"/>
      <c r="W53" s="41">
        <f t="shared" si="7"/>
        <v>0</v>
      </c>
      <c r="X53" s="41">
        <f t="shared" si="3"/>
        <v>0</v>
      </c>
      <c r="Y53" s="53"/>
      <c r="Z53" s="53"/>
      <c r="AA53" s="53"/>
      <c r="AB53" s="53"/>
      <c r="AC53" s="190"/>
    </row>
    <row r="54" spans="1:29" x14ac:dyDescent="0.2">
      <c r="A54" s="11">
        <f>+'SERVICIO FAENA'!A54</f>
        <v>52</v>
      </c>
      <c r="B54" s="11" t="str">
        <f>+'SERVICIO FAENA'!B54</f>
        <v>FERREYRA MARTIN</v>
      </c>
      <c r="C54" s="11"/>
      <c r="D54" s="11"/>
      <c r="E54" s="18">
        <f>+'SERVICIO FAENA'!E54</f>
        <v>46055</v>
      </c>
      <c r="F54" s="11"/>
      <c r="G54" s="180" t="e">
        <f t="shared" si="4"/>
        <v>#DIV/0!</v>
      </c>
      <c r="H54" s="11"/>
      <c r="I54" s="11"/>
      <c r="J54" s="180" t="e">
        <f t="shared" si="5"/>
        <v>#DIV/0!</v>
      </c>
      <c r="K54" s="100"/>
      <c r="L54" s="100"/>
      <c r="M54" s="100"/>
      <c r="N54" s="100">
        <f t="shared" si="6"/>
        <v>0</v>
      </c>
      <c r="O54" s="100"/>
      <c r="P54" s="41">
        <v>880</v>
      </c>
      <c r="Q54" s="11"/>
      <c r="R54" s="41">
        <v>260</v>
      </c>
      <c r="S54" s="185"/>
      <c r="T54" s="185"/>
      <c r="U54" s="185"/>
      <c r="V54" s="185"/>
      <c r="W54" s="41">
        <f t="shared" si="7"/>
        <v>0</v>
      </c>
      <c r="X54" s="41">
        <f t="shared" si="3"/>
        <v>0</v>
      </c>
      <c r="Y54" s="11"/>
      <c r="Z54" s="11"/>
      <c r="AA54" s="11"/>
      <c r="AB54" s="11"/>
      <c r="AC54" s="24"/>
    </row>
    <row r="55" spans="1:29" x14ac:dyDescent="0.2">
      <c r="A55" s="11">
        <f>+'SERVICIO FAENA'!A55</f>
        <v>53</v>
      </c>
      <c r="B55" s="11" t="str">
        <f>+'SERVICIO FAENA'!B55</f>
        <v>BOSQUES AMADOS SRL</v>
      </c>
      <c r="C55" s="11"/>
      <c r="D55" s="11"/>
      <c r="E55" s="18">
        <f>+'SERVICIO FAENA'!E55</f>
        <v>46057</v>
      </c>
      <c r="F55" s="11"/>
      <c r="G55" s="180" t="e">
        <f t="shared" si="4"/>
        <v>#DIV/0!</v>
      </c>
      <c r="H55" s="11"/>
      <c r="I55" s="11"/>
      <c r="J55" s="180" t="e">
        <f t="shared" si="5"/>
        <v>#DIV/0!</v>
      </c>
      <c r="K55" s="100"/>
      <c r="L55" s="100"/>
      <c r="M55" s="100"/>
      <c r="N55" s="100">
        <f t="shared" si="6"/>
        <v>0</v>
      </c>
      <c r="O55" s="100"/>
      <c r="P55" s="41">
        <v>880</v>
      </c>
      <c r="Q55" s="11"/>
      <c r="R55" s="41">
        <v>260</v>
      </c>
      <c r="S55" s="185"/>
      <c r="T55" s="185"/>
      <c r="U55" s="185"/>
      <c r="V55" s="185"/>
      <c r="W55" s="41">
        <f t="shared" si="7"/>
        <v>0</v>
      </c>
      <c r="X55" s="41">
        <f t="shared" si="3"/>
        <v>0</v>
      </c>
      <c r="Y55" s="11"/>
      <c r="Z55" s="11"/>
      <c r="AA55" s="11"/>
      <c r="AB55" s="11"/>
      <c r="AC55" s="24"/>
    </row>
    <row r="56" spans="1:29" x14ac:dyDescent="0.2">
      <c r="A56" s="11">
        <f>+'SERVICIO FAENA'!A56</f>
        <v>54</v>
      </c>
      <c r="B56" s="11" t="str">
        <f>+'SERVICIO FAENA'!B56</f>
        <v>MUCA SAS</v>
      </c>
      <c r="C56" s="11"/>
      <c r="D56" s="11"/>
      <c r="E56" s="18">
        <f>+'SERVICIO FAENA'!E56</f>
        <v>46056</v>
      </c>
      <c r="F56" s="11"/>
      <c r="G56" s="180" t="e">
        <f t="shared" si="4"/>
        <v>#DIV/0!</v>
      </c>
      <c r="H56" s="11"/>
      <c r="I56" s="11"/>
      <c r="J56" s="180" t="e">
        <f t="shared" si="5"/>
        <v>#DIV/0!</v>
      </c>
      <c r="K56" s="100"/>
      <c r="L56" s="100"/>
      <c r="M56" s="100"/>
      <c r="N56" s="100">
        <f t="shared" si="6"/>
        <v>0</v>
      </c>
      <c r="O56" s="100"/>
      <c r="P56" s="41">
        <v>880</v>
      </c>
      <c r="Q56" s="11"/>
      <c r="R56" s="41">
        <v>260</v>
      </c>
      <c r="S56" s="185"/>
      <c r="T56" s="185"/>
      <c r="U56" s="185"/>
      <c r="V56" s="185"/>
      <c r="W56" s="41">
        <f t="shared" si="7"/>
        <v>0</v>
      </c>
      <c r="X56" s="41">
        <f t="shared" si="3"/>
        <v>0</v>
      </c>
      <c r="Y56" s="11"/>
      <c r="Z56" s="11"/>
      <c r="AA56" s="11"/>
      <c r="AB56" s="11"/>
      <c r="AC56" s="24"/>
    </row>
    <row r="57" spans="1:29" x14ac:dyDescent="0.2">
      <c r="A57" s="11">
        <f>+'SERVICIO FAENA'!A57</f>
        <v>55</v>
      </c>
      <c r="B57" s="11" t="str">
        <f>+'SERVICIO FAENA'!B57</f>
        <v>MORAGA</v>
      </c>
      <c r="C57" s="11"/>
      <c r="D57" s="11"/>
      <c r="E57" s="18">
        <f>+'SERVICIO FAENA'!E57</f>
        <v>46057</v>
      </c>
      <c r="F57" s="11"/>
      <c r="G57" s="180" t="e">
        <f t="shared" si="4"/>
        <v>#DIV/0!</v>
      </c>
      <c r="H57" s="11"/>
      <c r="I57" s="11"/>
      <c r="J57" s="180" t="e">
        <f t="shared" si="5"/>
        <v>#DIV/0!</v>
      </c>
      <c r="K57" s="100"/>
      <c r="L57" s="100"/>
      <c r="M57" s="100"/>
      <c r="N57" s="100">
        <f t="shared" si="6"/>
        <v>0</v>
      </c>
      <c r="O57" s="100"/>
      <c r="P57" s="41">
        <v>880</v>
      </c>
      <c r="Q57" s="11"/>
      <c r="R57" s="41">
        <v>260</v>
      </c>
      <c r="S57" s="185"/>
      <c r="T57" s="185"/>
      <c r="U57" s="185"/>
      <c r="V57" s="185"/>
      <c r="W57" s="41">
        <f t="shared" si="7"/>
        <v>0</v>
      </c>
      <c r="X57" s="41">
        <f t="shared" si="3"/>
        <v>0</v>
      </c>
      <c r="Y57" s="11"/>
      <c r="Z57" s="11"/>
      <c r="AA57" s="11"/>
      <c r="AB57" s="11"/>
      <c r="AC57" s="24"/>
    </row>
    <row r="58" spans="1:29" x14ac:dyDescent="0.2">
      <c r="A58" s="11">
        <f>+'SERVICIO FAENA'!A58</f>
        <v>56</v>
      </c>
      <c r="B58" s="11" t="str">
        <f>+'SERVICIO FAENA'!B58</f>
        <v>FERREYRA MARTIN</v>
      </c>
      <c r="C58" s="11"/>
      <c r="D58" s="11"/>
      <c r="E58" s="18">
        <f>+'SERVICIO FAENA'!E58</f>
        <v>46058</v>
      </c>
      <c r="F58" s="11"/>
      <c r="G58" s="180" t="e">
        <f t="shared" si="4"/>
        <v>#DIV/0!</v>
      </c>
      <c r="H58" s="11"/>
      <c r="I58" s="11"/>
      <c r="J58" s="180" t="e">
        <f t="shared" si="5"/>
        <v>#DIV/0!</v>
      </c>
      <c r="K58" s="100"/>
      <c r="L58" s="100"/>
      <c r="M58" s="100"/>
      <c r="N58" s="100">
        <f t="shared" si="6"/>
        <v>0</v>
      </c>
      <c r="O58" s="100"/>
      <c r="P58" s="41">
        <v>880</v>
      </c>
      <c r="Q58" s="11"/>
      <c r="R58" s="41">
        <v>260</v>
      </c>
      <c r="S58" s="185"/>
      <c r="T58" s="185"/>
      <c r="U58" s="185"/>
      <c r="V58" s="185"/>
      <c r="W58" s="41">
        <f t="shared" si="7"/>
        <v>0</v>
      </c>
      <c r="X58" s="41">
        <f t="shared" si="3"/>
        <v>0</v>
      </c>
      <c r="Y58" s="11"/>
      <c r="Z58" s="11"/>
      <c r="AA58" s="11"/>
      <c r="AB58" s="11"/>
      <c r="AC58" s="24"/>
    </row>
    <row r="59" spans="1:29" x14ac:dyDescent="0.2">
      <c r="A59" s="11">
        <f>+'SERVICIO FAENA'!A59</f>
        <v>57</v>
      </c>
      <c r="B59" s="11" t="str">
        <f>+'SERVICIO FAENA'!B59</f>
        <v>FERREYRA ALBERTO</v>
      </c>
      <c r="C59" s="11"/>
      <c r="D59" s="11"/>
      <c r="E59" s="18">
        <f>+'SERVICIO FAENA'!E59</f>
        <v>46057</v>
      </c>
      <c r="F59" s="11"/>
      <c r="G59" s="180" t="e">
        <f t="shared" si="4"/>
        <v>#DIV/0!</v>
      </c>
      <c r="H59" s="11"/>
      <c r="I59" s="11"/>
      <c r="J59" s="180" t="e">
        <f t="shared" si="5"/>
        <v>#DIV/0!</v>
      </c>
      <c r="K59" s="100"/>
      <c r="L59" s="100"/>
      <c r="M59" s="100"/>
      <c r="N59" s="100">
        <f t="shared" si="6"/>
        <v>0</v>
      </c>
      <c r="O59" s="100"/>
      <c r="P59" s="41">
        <v>880</v>
      </c>
      <c r="Q59" s="11"/>
      <c r="R59" s="41">
        <v>260</v>
      </c>
      <c r="S59" s="185"/>
      <c r="T59" s="185"/>
      <c r="U59" s="185"/>
      <c r="V59" s="185"/>
      <c r="W59" s="41">
        <f t="shared" si="7"/>
        <v>0</v>
      </c>
      <c r="X59" s="41">
        <f t="shared" si="3"/>
        <v>0</v>
      </c>
      <c r="Y59" s="11"/>
      <c r="Z59" s="11"/>
      <c r="AA59" s="11"/>
      <c r="AB59" s="11"/>
      <c r="AC59" s="24"/>
    </row>
    <row r="60" spans="1:29" x14ac:dyDescent="0.2">
      <c r="A60" s="11">
        <f>+'SERVICIO FAENA'!A60</f>
        <v>58</v>
      </c>
      <c r="B60" s="11" t="str">
        <f>+'SERVICIO FAENA'!B60</f>
        <v>FERREYRA MARTIN</v>
      </c>
      <c r="C60" s="11"/>
      <c r="D60" s="11"/>
      <c r="E60" s="18">
        <f>+'SERVICIO FAENA'!E60</f>
        <v>46058</v>
      </c>
      <c r="F60" s="11"/>
      <c r="G60" s="180" t="e">
        <f t="shared" si="4"/>
        <v>#DIV/0!</v>
      </c>
      <c r="H60" s="11"/>
      <c r="I60" s="11"/>
      <c r="J60" s="180" t="e">
        <f t="shared" si="5"/>
        <v>#DIV/0!</v>
      </c>
      <c r="K60" s="100"/>
      <c r="L60" s="100"/>
      <c r="M60" s="100"/>
      <c r="N60" s="100">
        <f t="shared" si="6"/>
        <v>0</v>
      </c>
      <c r="O60" s="100"/>
      <c r="P60" s="41">
        <v>880</v>
      </c>
      <c r="Q60" s="11"/>
      <c r="R60" s="41">
        <v>260</v>
      </c>
      <c r="S60" s="185"/>
      <c r="T60" s="185"/>
      <c r="U60" s="185"/>
      <c r="V60" s="185"/>
      <c r="W60" s="41">
        <f t="shared" si="7"/>
        <v>0</v>
      </c>
      <c r="X60" s="41">
        <f t="shared" si="3"/>
        <v>0</v>
      </c>
      <c r="Y60" s="11"/>
      <c r="Z60" s="11"/>
      <c r="AA60" s="11"/>
      <c r="AB60" s="11"/>
      <c r="AC60" s="24"/>
    </row>
    <row r="61" spans="1:29" x14ac:dyDescent="0.2">
      <c r="A61" s="11">
        <f>+'SERVICIO FAENA'!A61</f>
        <v>59</v>
      </c>
      <c r="B61" s="11" t="str">
        <f>+'SERVICIO FAENA'!B61</f>
        <v>FRIGORIFICO DE LA PATAGONIA SRL</v>
      </c>
      <c r="C61" s="11"/>
      <c r="D61" s="11"/>
      <c r="E61" s="18">
        <f>+'SERVICIO FAENA'!E61</f>
        <v>46059</v>
      </c>
      <c r="F61" s="11"/>
      <c r="G61" s="180" t="e">
        <f t="shared" si="4"/>
        <v>#DIV/0!</v>
      </c>
      <c r="H61" s="11"/>
      <c r="I61" s="11"/>
      <c r="J61" s="180" t="e">
        <f t="shared" si="5"/>
        <v>#DIV/0!</v>
      </c>
      <c r="K61" s="100"/>
      <c r="L61" s="100"/>
      <c r="M61" s="100"/>
      <c r="N61" s="100">
        <f t="shared" si="6"/>
        <v>0</v>
      </c>
      <c r="O61" s="100"/>
      <c r="P61" s="41">
        <v>880</v>
      </c>
      <c r="Q61" s="11"/>
      <c r="R61" s="41">
        <v>260</v>
      </c>
      <c r="S61" s="185"/>
      <c r="T61" s="185"/>
      <c r="U61" s="185"/>
      <c r="V61" s="185"/>
      <c r="W61" s="41">
        <f t="shared" si="7"/>
        <v>0</v>
      </c>
      <c r="X61" s="41">
        <f t="shared" si="3"/>
        <v>0</v>
      </c>
      <c r="Y61" s="11"/>
      <c r="Z61" s="11"/>
      <c r="AA61" s="11"/>
      <c r="AB61" s="11"/>
      <c r="AC61" s="24"/>
    </row>
    <row r="62" spans="1:29" x14ac:dyDescent="0.2">
      <c r="A62" s="11">
        <f>+'SERVICIO FAENA'!A62</f>
        <v>60</v>
      </c>
      <c r="B62" s="11" t="str">
        <f>+'SERVICIO FAENA'!B62</f>
        <v>FRIGORIFICO DE LA PATAGONIA SRL</v>
      </c>
      <c r="C62" s="11"/>
      <c r="D62" s="11"/>
      <c r="E62" s="18">
        <f>+'SERVICIO FAENA'!E62</f>
        <v>46059</v>
      </c>
      <c r="F62" s="11"/>
      <c r="G62" s="180" t="e">
        <f t="shared" si="4"/>
        <v>#DIV/0!</v>
      </c>
      <c r="H62" s="11"/>
      <c r="I62" s="11"/>
      <c r="J62" s="180" t="e">
        <f t="shared" si="5"/>
        <v>#DIV/0!</v>
      </c>
      <c r="K62" s="100"/>
      <c r="L62" s="100"/>
      <c r="M62" s="100"/>
      <c r="N62" s="100">
        <f t="shared" si="6"/>
        <v>0</v>
      </c>
      <c r="O62" s="100"/>
      <c r="P62" s="41">
        <v>880</v>
      </c>
      <c r="Q62" s="11"/>
      <c r="R62" s="41">
        <v>260</v>
      </c>
      <c r="S62" s="185"/>
      <c r="T62" s="185"/>
      <c r="U62" s="185"/>
      <c r="V62" s="185"/>
      <c r="W62" s="41">
        <f t="shared" si="7"/>
        <v>0</v>
      </c>
      <c r="X62" s="41">
        <f t="shared" si="3"/>
        <v>0</v>
      </c>
      <c r="Y62" s="11"/>
      <c r="Z62" s="11"/>
      <c r="AA62" s="11"/>
      <c r="AB62" s="11"/>
      <c r="AC62" s="24"/>
    </row>
    <row r="63" spans="1:29" x14ac:dyDescent="0.2">
      <c r="A63" s="11">
        <f>+'SERVICIO FAENA'!A63</f>
        <v>61</v>
      </c>
      <c r="B63" s="11" t="str">
        <f>+'SERVICIO FAENA'!B63</f>
        <v>MAIZALES DE LA PATAGONIA SRL</v>
      </c>
      <c r="C63" s="11"/>
      <c r="D63" s="11"/>
      <c r="E63" s="18">
        <f>+'SERVICIO FAENA'!E63</f>
        <v>46059</v>
      </c>
      <c r="F63" s="11"/>
      <c r="G63" s="180" t="e">
        <f t="shared" si="4"/>
        <v>#DIV/0!</v>
      </c>
      <c r="H63" s="11"/>
      <c r="I63" s="11"/>
      <c r="J63" s="180" t="e">
        <f t="shared" si="5"/>
        <v>#DIV/0!</v>
      </c>
      <c r="K63" s="100"/>
      <c r="L63" s="100"/>
      <c r="M63" s="100"/>
      <c r="N63" s="100">
        <f t="shared" si="6"/>
        <v>0</v>
      </c>
      <c r="O63" s="100"/>
      <c r="P63" s="41">
        <v>880</v>
      </c>
      <c r="Q63" s="11"/>
      <c r="R63" s="41">
        <v>260</v>
      </c>
      <c r="S63" s="185"/>
      <c r="T63" s="185"/>
      <c r="U63" s="185"/>
      <c r="V63" s="185"/>
      <c r="W63" s="41">
        <f t="shared" si="7"/>
        <v>0</v>
      </c>
      <c r="X63" s="41">
        <f t="shared" si="3"/>
        <v>0</v>
      </c>
      <c r="Y63" s="11"/>
      <c r="Z63" s="11"/>
      <c r="AA63" s="11"/>
      <c r="AB63" s="11"/>
      <c r="AC63" s="24"/>
    </row>
    <row r="64" spans="1:29" x14ac:dyDescent="0.2">
      <c r="A64" s="11">
        <f>+'SERVICIO FAENA'!A64</f>
        <v>62</v>
      </c>
      <c r="B64" s="11" t="str">
        <f>+'SERVICIO FAENA'!B64</f>
        <v>FRIGORIFICO DE LA PATAGONIA SRL</v>
      </c>
      <c r="C64" s="11"/>
      <c r="D64" s="11"/>
      <c r="E64" s="18">
        <f>+'SERVICIO FAENA'!E64</f>
        <v>46059</v>
      </c>
      <c r="F64" s="11"/>
      <c r="G64" s="180" t="e">
        <f t="shared" si="4"/>
        <v>#DIV/0!</v>
      </c>
      <c r="H64" s="11"/>
      <c r="I64" s="11"/>
      <c r="J64" s="180" t="e">
        <f t="shared" si="5"/>
        <v>#DIV/0!</v>
      </c>
      <c r="K64" s="100"/>
      <c r="L64" s="100"/>
      <c r="M64" s="100"/>
      <c r="N64" s="100">
        <f t="shared" si="6"/>
        <v>0</v>
      </c>
      <c r="O64" s="100"/>
      <c r="P64" s="41">
        <v>880</v>
      </c>
      <c r="Q64" s="11"/>
      <c r="R64" s="41">
        <v>260</v>
      </c>
      <c r="S64" s="185"/>
      <c r="T64" s="185"/>
      <c r="U64" s="185"/>
      <c r="V64" s="185"/>
      <c r="W64" s="41">
        <f t="shared" si="7"/>
        <v>0</v>
      </c>
      <c r="X64" s="41">
        <f t="shared" si="3"/>
        <v>0</v>
      </c>
      <c r="Y64" s="11"/>
      <c r="Z64" s="11"/>
      <c r="AA64" s="11"/>
      <c r="AB64" s="11"/>
      <c r="AC64" s="24"/>
    </row>
    <row r="65" spans="1:29" x14ac:dyDescent="0.2">
      <c r="A65" s="11">
        <f>+'SERVICIO FAENA'!A65</f>
        <v>63</v>
      </c>
      <c r="B65" s="11" t="str">
        <f>+'SERVICIO FAENA'!B65</f>
        <v>FERREYRA MARTIN</v>
      </c>
      <c r="C65" s="11"/>
      <c r="D65" s="11"/>
      <c r="E65" s="18">
        <f>+'SERVICIO FAENA'!E65</f>
        <v>46062</v>
      </c>
      <c r="F65" s="11"/>
      <c r="G65" s="180" t="e">
        <f t="shared" si="4"/>
        <v>#DIV/0!</v>
      </c>
      <c r="H65" s="11"/>
      <c r="I65" s="11"/>
      <c r="J65" s="180" t="e">
        <f t="shared" si="5"/>
        <v>#DIV/0!</v>
      </c>
      <c r="K65" s="100"/>
      <c r="L65" s="100"/>
      <c r="M65" s="100"/>
      <c r="N65" s="100">
        <f t="shared" si="6"/>
        <v>0</v>
      </c>
      <c r="O65" s="100"/>
      <c r="P65" s="41">
        <v>880</v>
      </c>
      <c r="Q65" s="11"/>
      <c r="R65" s="41">
        <v>260</v>
      </c>
      <c r="S65" s="185"/>
      <c r="T65" s="185"/>
      <c r="U65" s="185"/>
      <c r="V65" s="185"/>
      <c r="W65" s="41">
        <f t="shared" si="7"/>
        <v>0</v>
      </c>
      <c r="X65" s="41">
        <f t="shared" si="3"/>
        <v>0</v>
      </c>
      <c r="Y65" s="11"/>
      <c r="Z65" s="11"/>
      <c r="AA65" s="11"/>
      <c r="AB65" s="11"/>
      <c r="AC65" s="24"/>
    </row>
    <row r="66" spans="1:29" x14ac:dyDescent="0.2">
      <c r="A66" s="11">
        <f>+'SERVICIO FAENA'!A66</f>
        <v>64</v>
      </c>
      <c r="B66" s="11" t="str">
        <f>+'SERVICIO FAENA'!B66</f>
        <v>FERREYRA MARTIN</v>
      </c>
      <c r="C66" s="11"/>
      <c r="D66" s="11"/>
      <c r="E66" s="18">
        <f>+'SERVICIO FAENA'!E66</f>
        <v>46062</v>
      </c>
      <c r="F66" s="11"/>
      <c r="G66" s="180" t="e">
        <f t="shared" si="4"/>
        <v>#DIV/0!</v>
      </c>
      <c r="H66" s="11"/>
      <c r="I66" s="11"/>
      <c r="J66" s="180" t="e">
        <f t="shared" si="5"/>
        <v>#DIV/0!</v>
      </c>
      <c r="K66" s="100"/>
      <c r="L66" s="100"/>
      <c r="M66" s="100"/>
      <c r="N66" s="100">
        <f t="shared" si="6"/>
        <v>0</v>
      </c>
      <c r="O66" s="100"/>
      <c r="P66" s="41">
        <v>880</v>
      </c>
      <c r="Q66" s="11"/>
      <c r="R66" s="41">
        <v>260</v>
      </c>
      <c r="S66" s="185"/>
      <c r="T66" s="185"/>
      <c r="U66" s="185"/>
      <c r="V66" s="185"/>
      <c r="W66" s="41">
        <f t="shared" si="7"/>
        <v>0</v>
      </c>
      <c r="X66" s="41">
        <f t="shared" si="3"/>
        <v>0</v>
      </c>
      <c r="Y66" s="11"/>
      <c r="Z66" s="11"/>
      <c r="AA66" s="11"/>
      <c r="AB66" s="11"/>
      <c r="AC66" s="24"/>
    </row>
    <row r="67" spans="1:29" x14ac:dyDescent="0.2">
      <c r="A67" s="11">
        <f>+'SERVICIO FAENA'!A67</f>
        <v>65</v>
      </c>
      <c r="B67" s="11" t="str">
        <f>+'SERVICIO FAENA'!B67</f>
        <v>FERREYRA MARTIN</v>
      </c>
      <c r="C67" s="11"/>
      <c r="D67" s="11"/>
      <c r="E67" s="18">
        <f>+'SERVICIO FAENA'!E67</f>
        <v>46062</v>
      </c>
      <c r="F67" s="11"/>
      <c r="G67" s="180" t="e">
        <f t="shared" si="4"/>
        <v>#DIV/0!</v>
      </c>
      <c r="H67" s="11"/>
      <c r="I67" s="11"/>
      <c r="J67" s="180" t="e">
        <f t="shared" si="5"/>
        <v>#DIV/0!</v>
      </c>
      <c r="K67" s="100"/>
      <c r="L67" s="100"/>
      <c r="M67" s="100"/>
      <c r="N67" s="100">
        <f t="shared" si="6"/>
        <v>0</v>
      </c>
      <c r="O67" s="100"/>
      <c r="P67" s="41">
        <v>880</v>
      </c>
      <c r="Q67" s="11"/>
      <c r="R67" s="41">
        <v>260</v>
      </c>
      <c r="S67" s="185"/>
      <c r="T67" s="185"/>
      <c r="U67" s="185"/>
      <c r="V67" s="185"/>
      <c r="W67" s="41">
        <f t="shared" si="7"/>
        <v>0</v>
      </c>
      <c r="X67" s="41">
        <f t="shared" ref="X67:X130" si="8">+((O67*P67)+(Q67*R67))*1.21</f>
        <v>0</v>
      </c>
      <c r="Y67" s="11"/>
      <c r="Z67" s="11"/>
      <c r="AA67" s="11"/>
      <c r="AB67" s="11"/>
      <c r="AC67" s="24"/>
    </row>
    <row r="68" spans="1:29" x14ac:dyDescent="0.2">
      <c r="A68" s="11">
        <f>+'SERVICIO FAENA'!A68</f>
        <v>66</v>
      </c>
      <c r="B68" s="11" t="str">
        <f>+'SERVICIO FAENA'!B68</f>
        <v>DOS DE FIERRO SA</v>
      </c>
      <c r="C68" s="11"/>
      <c r="D68" s="11"/>
      <c r="E68" s="18">
        <f>+'SERVICIO FAENA'!E68</f>
        <v>46062</v>
      </c>
      <c r="F68" s="11"/>
      <c r="G68" s="180" t="e">
        <f t="shared" ref="G68:G131" si="9">+F68/D68</f>
        <v>#DIV/0!</v>
      </c>
      <c r="H68" s="11"/>
      <c r="I68" s="11"/>
      <c r="J68" s="180" t="e">
        <f t="shared" si="5"/>
        <v>#DIV/0!</v>
      </c>
      <c r="K68" s="100"/>
      <c r="L68" s="100"/>
      <c r="M68" s="100"/>
      <c r="N68" s="100">
        <f t="shared" si="6"/>
        <v>0</v>
      </c>
      <c r="O68" s="100"/>
      <c r="P68" s="41">
        <v>880</v>
      </c>
      <c r="Q68" s="11"/>
      <c r="R68" s="41">
        <v>260</v>
      </c>
      <c r="S68" s="185"/>
      <c r="T68" s="185"/>
      <c r="U68" s="185"/>
      <c r="V68" s="185"/>
      <c r="W68" s="41">
        <f t="shared" si="7"/>
        <v>0</v>
      </c>
      <c r="X68" s="41">
        <f t="shared" si="8"/>
        <v>0</v>
      </c>
      <c r="Y68" s="11"/>
      <c r="Z68" s="11"/>
      <c r="AA68" s="11"/>
      <c r="AB68" s="11"/>
      <c r="AC68" s="24"/>
    </row>
    <row r="69" spans="1:29" x14ac:dyDescent="0.2">
      <c r="A69" s="11">
        <f>+'SERVICIO FAENA'!A69</f>
        <v>67</v>
      </c>
      <c r="B69" s="11" t="str">
        <f>+'SERVICIO FAENA'!B69</f>
        <v>GANADERA NORTE NEUQUINO</v>
      </c>
      <c r="C69" s="11"/>
      <c r="D69" s="11"/>
      <c r="E69" s="18">
        <f>+'SERVICIO FAENA'!E69</f>
        <v>46062</v>
      </c>
      <c r="F69" s="11"/>
      <c r="G69" s="180" t="e">
        <f t="shared" si="9"/>
        <v>#DIV/0!</v>
      </c>
      <c r="H69" s="11"/>
      <c r="I69" s="11"/>
      <c r="J69" s="180" t="e">
        <f t="shared" si="5"/>
        <v>#DIV/0!</v>
      </c>
      <c r="K69" s="100"/>
      <c r="L69" s="100"/>
      <c r="M69" s="100"/>
      <c r="N69" s="100">
        <f t="shared" si="6"/>
        <v>0</v>
      </c>
      <c r="O69" s="100"/>
      <c r="P69" s="41">
        <v>880</v>
      </c>
      <c r="Q69" s="11"/>
      <c r="R69" s="41">
        <v>260</v>
      </c>
      <c r="S69" s="185"/>
      <c r="T69" s="185"/>
      <c r="U69" s="185"/>
      <c r="V69" s="185"/>
      <c r="W69" s="41">
        <f t="shared" si="7"/>
        <v>0</v>
      </c>
      <c r="X69" s="41">
        <f t="shared" si="8"/>
        <v>0</v>
      </c>
      <c r="Y69" s="11"/>
      <c r="Z69" s="11"/>
      <c r="AA69" s="11"/>
      <c r="AB69" s="11"/>
      <c r="AC69" s="24"/>
    </row>
    <row r="70" spans="1:29" x14ac:dyDescent="0.2">
      <c r="A70" s="11">
        <f>+'SERVICIO FAENA'!A70</f>
        <v>68</v>
      </c>
      <c r="B70" s="11" t="str">
        <f>+'SERVICIO FAENA'!B70</f>
        <v>BOSQUES AMADOS SRL</v>
      </c>
      <c r="C70" s="11"/>
      <c r="D70" s="11"/>
      <c r="E70" s="18">
        <f>+'SERVICIO FAENA'!E70</f>
        <v>46063</v>
      </c>
      <c r="F70" s="11"/>
      <c r="G70" s="180" t="e">
        <f t="shared" si="9"/>
        <v>#DIV/0!</v>
      </c>
      <c r="H70" s="11"/>
      <c r="I70" s="11"/>
      <c r="J70" s="180" t="e">
        <f t="shared" si="5"/>
        <v>#DIV/0!</v>
      </c>
      <c r="K70" s="100"/>
      <c r="L70" s="100"/>
      <c r="M70" s="100"/>
      <c r="N70" s="100">
        <f t="shared" si="6"/>
        <v>0</v>
      </c>
      <c r="O70" s="100"/>
      <c r="P70" s="41">
        <v>880</v>
      </c>
      <c r="Q70" s="11"/>
      <c r="R70" s="41">
        <v>260</v>
      </c>
      <c r="S70" s="185"/>
      <c r="T70" s="185"/>
      <c r="U70" s="185"/>
      <c r="V70" s="185"/>
      <c r="W70" s="41">
        <f t="shared" si="7"/>
        <v>0</v>
      </c>
      <c r="X70" s="41">
        <f t="shared" si="8"/>
        <v>0</v>
      </c>
      <c r="Y70" s="11"/>
      <c r="Z70" s="11"/>
      <c r="AA70" s="11"/>
      <c r="AB70" s="11"/>
      <c r="AC70" s="24"/>
    </row>
    <row r="71" spans="1:29" x14ac:dyDescent="0.2">
      <c r="A71" s="11">
        <f>+'SERVICIO FAENA'!A71</f>
        <v>69</v>
      </c>
      <c r="B71" s="11" t="str">
        <f>+'SERVICIO FAENA'!B71</f>
        <v>MUCA SAS</v>
      </c>
      <c r="C71" s="11"/>
      <c r="D71" s="11"/>
      <c r="E71" s="18">
        <f>+'SERVICIO FAENA'!E71</f>
        <v>46063</v>
      </c>
      <c r="F71" s="11"/>
      <c r="G71" s="180" t="e">
        <f t="shared" si="9"/>
        <v>#DIV/0!</v>
      </c>
      <c r="H71" s="11"/>
      <c r="I71" s="11"/>
      <c r="J71" s="180" t="e">
        <f t="shared" si="5"/>
        <v>#DIV/0!</v>
      </c>
      <c r="K71" s="100"/>
      <c r="L71" s="100"/>
      <c r="M71" s="100"/>
      <c r="N71" s="100">
        <f t="shared" si="6"/>
        <v>0</v>
      </c>
      <c r="O71" s="100"/>
      <c r="P71" s="41">
        <v>880</v>
      </c>
      <c r="Q71" s="11"/>
      <c r="R71" s="41">
        <v>260</v>
      </c>
      <c r="S71" s="185"/>
      <c r="T71" s="185"/>
      <c r="U71" s="185"/>
      <c r="V71" s="185"/>
      <c r="W71" s="41">
        <f t="shared" si="7"/>
        <v>0</v>
      </c>
      <c r="X71" s="41">
        <f t="shared" si="8"/>
        <v>0</v>
      </c>
      <c r="Y71" s="11"/>
      <c r="Z71" s="11"/>
      <c r="AA71" s="11"/>
      <c r="AB71" s="11"/>
      <c r="AC71" s="24"/>
    </row>
    <row r="72" spans="1:29" x14ac:dyDescent="0.2">
      <c r="A72" s="11">
        <f>+'SERVICIO FAENA'!A72</f>
        <v>70</v>
      </c>
      <c r="B72" s="11" t="str">
        <f>+'SERVICIO FAENA'!B72</f>
        <v>FERREYRA ALBERTO</v>
      </c>
      <c r="C72" s="11"/>
      <c r="D72" s="11"/>
      <c r="E72" s="18">
        <f>+'SERVICIO FAENA'!E72</f>
        <v>46065</v>
      </c>
      <c r="F72" s="11"/>
      <c r="G72" s="180" t="e">
        <f t="shared" si="9"/>
        <v>#DIV/0!</v>
      </c>
      <c r="H72" s="11"/>
      <c r="I72" s="11"/>
      <c r="J72" s="180" t="e">
        <f t="shared" si="5"/>
        <v>#DIV/0!</v>
      </c>
      <c r="K72" s="100"/>
      <c r="L72" s="100"/>
      <c r="M72" s="100"/>
      <c r="N72" s="100">
        <f t="shared" si="6"/>
        <v>0</v>
      </c>
      <c r="O72" s="100"/>
      <c r="P72" s="41">
        <v>880</v>
      </c>
      <c r="Q72" s="11"/>
      <c r="R72" s="41">
        <v>260</v>
      </c>
      <c r="S72" s="185"/>
      <c r="T72" s="185"/>
      <c r="U72" s="185"/>
      <c r="V72" s="185"/>
      <c r="W72" s="41">
        <f t="shared" si="7"/>
        <v>0</v>
      </c>
      <c r="X72" s="41">
        <f t="shared" si="8"/>
        <v>0</v>
      </c>
      <c r="Y72" s="11"/>
      <c r="Z72" s="11"/>
      <c r="AA72" s="11"/>
      <c r="AB72" s="11"/>
      <c r="AC72" s="24"/>
    </row>
    <row r="73" spans="1:29" x14ac:dyDescent="0.2">
      <c r="A73" s="11">
        <f>+'SERVICIO FAENA'!A73</f>
        <v>71</v>
      </c>
      <c r="B73" s="11" t="str">
        <f>+'SERVICIO FAENA'!B73</f>
        <v>FRIGORIFICO DE LA PATAGONIA SRL</v>
      </c>
      <c r="C73" s="11"/>
      <c r="D73" s="11"/>
      <c r="E73" s="18">
        <f>+'SERVICIO FAENA'!E73</f>
        <v>46065</v>
      </c>
      <c r="F73" s="11"/>
      <c r="G73" s="180" t="e">
        <f t="shared" si="9"/>
        <v>#DIV/0!</v>
      </c>
      <c r="H73" s="11"/>
      <c r="I73" s="11"/>
      <c r="J73" s="180" t="e">
        <f t="shared" si="5"/>
        <v>#DIV/0!</v>
      </c>
      <c r="K73" s="100"/>
      <c r="L73" s="100"/>
      <c r="M73" s="100"/>
      <c r="N73" s="100">
        <f t="shared" si="6"/>
        <v>0</v>
      </c>
      <c r="O73" s="100"/>
      <c r="P73" s="41">
        <v>880</v>
      </c>
      <c r="Q73" s="11"/>
      <c r="R73" s="41">
        <v>260</v>
      </c>
      <c r="S73" s="185"/>
      <c r="T73" s="185"/>
      <c r="U73" s="185"/>
      <c r="V73" s="185"/>
      <c r="W73" s="41">
        <f t="shared" si="7"/>
        <v>0</v>
      </c>
      <c r="X73" s="41">
        <f t="shared" si="8"/>
        <v>0</v>
      </c>
      <c r="Y73" s="11"/>
      <c r="Z73" s="11"/>
      <c r="AA73" s="11"/>
      <c r="AB73" s="11"/>
      <c r="AC73" s="24"/>
    </row>
    <row r="74" spans="1:29" x14ac:dyDescent="0.2">
      <c r="A74" s="11">
        <f>+'SERVICIO FAENA'!A74</f>
        <v>72</v>
      </c>
      <c r="B74" s="11" t="str">
        <f>+'SERVICIO FAENA'!B74</f>
        <v>FERREYRA MARTIN</v>
      </c>
      <c r="C74" s="11"/>
      <c r="D74" s="11"/>
      <c r="E74" s="18">
        <f>+'SERVICIO FAENA'!E74</f>
        <v>46065</v>
      </c>
      <c r="F74" s="11"/>
      <c r="G74" s="180" t="e">
        <f t="shared" si="9"/>
        <v>#DIV/0!</v>
      </c>
      <c r="H74" s="11"/>
      <c r="I74" s="11"/>
      <c r="J74" s="180" t="e">
        <f t="shared" si="5"/>
        <v>#DIV/0!</v>
      </c>
      <c r="K74" s="100"/>
      <c r="L74" s="100"/>
      <c r="M74" s="100"/>
      <c r="N74" s="100">
        <f t="shared" si="6"/>
        <v>0</v>
      </c>
      <c r="O74" s="100"/>
      <c r="P74" s="41">
        <v>880</v>
      </c>
      <c r="Q74" s="11"/>
      <c r="R74" s="41">
        <v>260</v>
      </c>
      <c r="S74" s="185"/>
      <c r="T74" s="185"/>
      <c r="U74" s="185"/>
      <c r="V74" s="185"/>
      <c r="W74" s="41">
        <f t="shared" si="7"/>
        <v>0</v>
      </c>
      <c r="X74" s="41">
        <f t="shared" si="8"/>
        <v>0</v>
      </c>
      <c r="Y74" s="11"/>
      <c r="Z74" s="11"/>
      <c r="AA74" s="11"/>
      <c r="AB74" s="11"/>
      <c r="AC74" s="24"/>
    </row>
    <row r="75" spans="1:29" x14ac:dyDescent="0.2">
      <c r="A75" s="11">
        <f>+'SERVICIO FAENA'!A75</f>
        <v>73</v>
      </c>
      <c r="B75" s="11" t="str">
        <f>+'SERVICIO FAENA'!B75</f>
        <v>FRIGORIFICO DE LA PATAGONIA SRL</v>
      </c>
      <c r="C75" s="11"/>
      <c r="D75" s="11"/>
      <c r="E75" s="18">
        <f>+'SERVICIO FAENA'!E75</f>
        <v>46065</v>
      </c>
      <c r="F75" s="11"/>
      <c r="G75" s="180" t="e">
        <f t="shared" si="9"/>
        <v>#DIV/0!</v>
      </c>
      <c r="H75" s="11"/>
      <c r="I75" s="11"/>
      <c r="J75" s="180" t="e">
        <f t="shared" si="5"/>
        <v>#DIV/0!</v>
      </c>
      <c r="K75" s="100"/>
      <c r="L75" s="100"/>
      <c r="M75" s="100"/>
      <c r="N75" s="100">
        <f t="shared" si="6"/>
        <v>0</v>
      </c>
      <c r="O75" s="100"/>
      <c r="P75" s="41">
        <v>880</v>
      </c>
      <c r="Q75" s="11"/>
      <c r="R75" s="41">
        <v>260</v>
      </c>
      <c r="S75" s="185"/>
      <c r="T75" s="185"/>
      <c r="U75" s="185"/>
      <c r="V75" s="185"/>
      <c r="W75" s="41">
        <f t="shared" si="7"/>
        <v>0</v>
      </c>
      <c r="X75" s="41">
        <f t="shared" si="8"/>
        <v>0</v>
      </c>
      <c r="Y75" s="11"/>
      <c r="Z75" s="11"/>
      <c r="AA75" s="11"/>
      <c r="AB75" s="11"/>
      <c r="AC75" s="24"/>
    </row>
    <row r="76" spans="1:29" x14ac:dyDescent="0.2">
      <c r="A76" s="11">
        <f>+'SERVICIO FAENA'!A76</f>
        <v>74</v>
      </c>
      <c r="B76" s="11" t="str">
        <f>+'SERVICIO FAENA'!B76</f>
        <v>FERREYRA MARTIN</v>
      </c>
      <c r="C76" s="11"/>
      <c r="D76" s="11"/>
      <c r="E76" s="18">
        <f>+'SERVICIO FAENA'!E76</f>
        <v>46071</v>
      </c>
      <c r="F76" s="11"/>
      <c r="G76" s="180" t="e">
        <f t="shared" si="9"/>
        <v>#DIV/0!</v>
      </c>
      <c r="H76" s="11"/>
      <c r="I76" s="11"/>
      <c r="J76" s="180" t="e">
        <f t="shared" si="5"/>
        <v>#DIV/0!</v>
      </c>
      <c r="K76" s="100"/>
      <c r="L76" s="100"/>
      <c r="M76" s="100"/>
      <c r="N76" s="100">
        <f t="shared" si="6"/>
        <v>0</v>
      </c>
      <c r="O76" s="100"/>
      <c r="P76" s="41">
        <v>880</v>
      </c>
      <c r="Q76" s="11"/>
      <c r="R76" s="41">
        <v>260</v>
      </c>
      <c r="S76" s="185"/>
      <c r="T76" s="185"/>
      <c r="U76" s="185"/>
      <c r="V76" s="185"/>
      <c r="W76" s="41">
        <f t="shared" si="7"/>
        <v>0</v>
      </c>
      <c r="X76" s="41">
        <f t="shared" si="8"/>
        <v>0</v>
      </c>
      <c r="Y76" s="11"/>
      <c r="Z76" s="11"/>
      <c r="AA76" s="11"/>
      <c r="AB76" s="11"/>
      <c r="AC76" s="24"/>
    </row>
    <row r="77" spans="1:29" x14ac:dyDescent="0.2">
      <c r="A77" s="11">
        <f>+'SERVICIO FAENA'!A77</f>
        <v>75</v>
      </c>
      <c r="B77" s="11" t="str">
        <f>+'SERVICIO FAENA'!B77</f>
        <v>FERREYRA MARTIN</v>
      </c>
      <c r="C77" s="11"/>
      <c r="D77" s="11"/>
      <c r="E77" s="18">
        <f>+'SERVICIO FAENA'!E77</f>
        <v>46071</v>
      </c>
      <c r="F77" s="11"/>
      <c r="G77" s="180" t="e">
        <f t="shared" si="9"/>
        <v>#DIV/0!</v>
      </c>
      <c r="H77" s="11"/>
      <c r="I77" s="11"/>
      <c r="J77" s="180" t="e">
        <f t="shared" si="5"/>
        <v>#DIV/0!</v>
      </c>
      <c r="K77" s="100"/>
      <c r="L77" s="100"/>
      <c r="M77" s="100"/>
      <c r="N77" s="100">
        <f t="shared" si="6"/>
        <v>0</v>
      </c>
      <c r="O77" s="100"/>
      <c r="P77" s="41">
        <v>880</v>
      </c>
      <c r="Q77" s="11"/>
      <c r="R77" s="41">
        <v>260</v>
      </c>
      <c r="S77" s="185"/>
      <c r="T77" s="185"/>
      <c r="U77" s="185"/>
      <c r="V77" s="185"/>
      <c r="W77" s="41">
        <f t="shared" si="7"/>
        <v>0</v>
      </c>
      <c r="X77" s="41">
        <f t="shared" si="8"/>
        <v>0</v>
      </c>
      <c r="Y77" s="11"/>
      <c r="Z77" s="11"/>
      <c r="AA77" s="11"/>
      <c r="AB77" s="11"/>
      <c r="AC77" s="24"/>
    </row>
    <row r="78" spans="1:29" x14ac:dyDescent="0.2">
      <c r="A78" s="11">
        <f>+'SERVICIO FAENA'!A78</f>
        <v>76</v>
      </c>
      <c r="B78" s="11" t="str">
        <f>+'SERVICIO FAENA'!B78</f>
        <v>BOSQUES AMADOS SRL</v>
      </c>
      <c r="C78" s="11"/>
      <c r="D78" s="11"/>
      <c r="E78" s="18">
        <f>+'SERVICIO FAENA'!E78</f>
        <v>46071</v>
      </c>
      <c r="F78" s="11"/>
      <c r="G78" s="180" t="e">
        <f t="shared" si="9"/>
        <v>#DIV/0!</v>
      </c>
      <c r="H78" s="11"/>
      <c r="I78" s="11"/>
      <c r="J78" s="180" t="e">
        <f t="shared" si="5"/>
        <v>#DIV/0!</v>
      </c>
      <c r="K78" s="100"/>
      <c r="L78" s="100"/>
      <c r="M78" s="100"/>
      <c r="N78" s="100">
        <f t="shared" si="6"/>
        <v>0</v>
      </c>
      <c r="O78" s="100"/>
      <c r="P78" s="41">
        <v>880</v>
      </c>
      <c r="Q78" s="11"/>
      <c r="R78" s="41">
        <v>260</v>
      </c>
      <c r="S78" s="185"/>
      <c r="T78" s="185"/>
      <c r="U78" s="185"/>
      <c r="V78" s="185"/>
      <c r="W78" s="41">
        <f t="shared" si="7"/>
        <v>0</v>
      </c>
      <c r="X78" s="41">
        <f t="shared" si="8"/>
        <v>0</v>
      </c>
      <c r="Y78" s="11"/>
      <c r="Z78" s="11"/>
      <c r="AA78" s="11"/>
      <c r="AB78" s="11"/>
      <c r="AC78" s="24"/>
    </row>
    <row r="79" spans="1:29" x14ac:dyDescent="0.2">
      <c r="A79" s="11">
        <f>+'SERVICIO FAENA'!A79</f>
        <v>77</v>
      </c>
      <c r="B79" s="11" t="str">
        <f>+'SERVICIO FAENA'!B79</f>
        <v>FERREYRA MARTIN</v>
      </c>
      <c r="C79" s="11"/>
      <c r="D79" s="11"/>
      <c r="E79" s="18">
        <f>+'SERVICIO FAENA'!E79</f>
        <v>46071</v>
      </c>
      <c r="F79" s="11"/>
      <c r="G79" s="180" t="e">
        <f t="shared" si="9"/>
        <v>#DIV/0!</v>
      </c>
      <c r="H79" s="11"/>
      <c r="I79" s="11"/>
      <c r="J79" s="180" t="e">
        <f t="shared" si="5"/>
        <v>#DIV/0!</v>
      </c>
      <c r="K79" s="100"/>
      <c r="L79" s="100"/>
      <c r="M79" s="100"/>
      <c r="N79" s="100">
        <f t="shared" si="6"/>
        <v>0</v>
      </c>
      <c r="O79" s="100"/>
      <c r="P79" s="41">
        <v>880</v>
      </c>
      <c r="Q79" s="11"/>
      <c r="R79" s="41">
        <v>260</v>
      </c>
      <c r="S79" s="185"/>
      <c r="T79" s="185"/>
      <c r="U79" s="185"/>
      <c r="V79" s="185"/>
      <c r="W79" s="41">
        <f t="shared" si="7"/>
        <v>0</v>
      </c>
      <c r="X79" s="41">
        <f t="shared" si="8"/>
        <v>0</v>
      </c>
      <c r="Y79" s="11"/>
      <c r="Z79" s="11"/>
      <c r="AA79" s="11"/>
      <c r="AB79" s="11"/>
      <c r="AC79" s="24"/>
    </row>
    <row r="80" spans="1:29" x14ac:dyDescent="0.2">
      <c r="A80" s="11">
        <f>+'SERVICIO FAENA'!A80</f>
        <v>78</v>
      </c>
      <c r="B80" s="11" t="str">
        <f>+'SERVICIO FAENA'!B80</f>
        <v>FERREYRA ALBERTO</v>
      </c>
      <c r="C80" s="11"/>
      <c r="D80" s="11"/>
      <c r="E80" s="18">
        <f>+'SERVICIO FAENA'!E80</f>
        <v>46073</v>
      </c>
      <c r="F80" s="11"/>
      <c r="G80" s="180" t="e">
        <f t="shared" si="9"/>
        <v>#DIV/0!</v>
      </c>
      <c r="H80" s="11"/>
      <c r="I80" s="11"/>
      <c r="J80" s="180" t="e">
        <f t="shared" si="5"/>
        <v>#DIV/0!</v>
      </c>
      <c r="K80" s="100"/>
      <c r="L80" s="100"/>
      <c r="M80" s="100"/>
      <c r="N80" s="100">
        <f t="shared" si="6"/>
        <v>0</v>
      </c>
      <c r="O80" s="100"/>
      <c r="P80" s="41">
        <v>880</v>
      </c>
      <c r="Q80" s="11"/>
      <c r="R80" s="41">
        <v>260</v>
      </c>
      <c r="S80" s="185"/>
      <c r="T80" s="185"/>
      <c r="U80" s="185"/>
      <c r="V80" s="185"/>
      <c r="W80" s="41">
        <f t="shared" si="7"/>
        <v>0</v>
      </c>
      <c r="X80" s="41">
        <f t="shared" si="8"/>
        <v>0</v>
      </c>
      <c r="Y80" s="11"/>
      <c r="Z80" s="11"/>
      <c r="AA80" s="11"/>
      <c r="AB80" s="11"/>
      <c r="AC80" s="24"/>
    </row>
    <row r="81" spans="1:29" x14ac:dyDescent="0.2">
      <c r="A81" s="11">
        <f>+'SERVICIO FAENA'!A81</f>
        <v>79</v>
      </c>
      <c r="B81" s="11" t="str">
        <f>+'SERVICIO FAENA'!B81</f>
        <v>MUCA SAS</v>
      </c>
      <c r="C81" s="11"/>
      <c r="D81" s="11"/>
      <c r="E81" s="18">
        <f>+'SERVICIO FAENA'!E81</f>
        <v>46073</v>
      </c>
      <c r="F81" s="11"/>
      <c r="G81" s="180" t="e">
        <f t="shared" si="9"/>
        <v>#DIV/0!</v>
      </c>
      <c r="H81" s="11"/>
      <c r="I81" s="11"/>
      <c r="J81" s="180" t="e">
        <f t="shared" si="5"/>
        <v>#DIV/0!</v>
      </c>
      <c r="K81" s="100"/>
      <c r="L81" s="100"/>
      <c r="M81" s="100"/>
      <c r="N81" s="100">
        <f t="shared" si="6"/>
        <v>0</v>
      </c>
      <c r="O81" s="100"/>
      <c r="P81" s="41">
        <v>880</v>
      </c>
      <c r="Q81" s="11"/>
      <c r="R81" s="41">
        <v>260</v>
      </c>
      <c r="S81" s="185"/>
      <c r="T81" s="185"/>
      <c r="U81" s="185"/>
      <c r="V81" s="185"/>
      <c r="W81" s="41">
        <f t="shared" si="7"/>
        <v>0</v>
      </c>
      <c r="X81" s="41">
        <f t="shared" si="8"/>
        <v>0</v>
      </c>
      <c r="Y81" s="11"/>
      <c r="Z81" s="11"/>
      <c r="AA81" s="11"/>
      <c r="AB81" s="11"/>
      <c r="AC81" s="24"/>
    </row>
    <row r="82" spans="1:29" x14ac:dyDescent="0.2">
      <c r="A82" s="11">
        <f>+'SERVICIO FAENA'!A82</f>
        <v>80</v>
      </c>
      <c r="B82" s="11" t="str">
        <f>+'SERVICIO FAENA'!B82</f>
        <v>FRIGORIFICO DE LA PATAGONIA SRL</v>
      </c>
      <c r="C82" s="11"/>
      <c r="D82" s="11"/>
      <c r="E82" s="18">
        <f>+'SERVICIO FAENA'!E82</f>
        <v>46073</v>
      </c>
      <c r="F82" s="11"/>
      <c r="G82" s="180" t="e">
        <f t="shared" si="9"/>
        <v>#DIV/0!</v>
      </c>
      <c r="H82" s="11"/>
      <c r="I82" s="11"/>
      <c r="J82" s="180" t="e">
        <f t="shared" si="5"/>
        <v>#DIV/0!</v>
      </c>
      <c r="K82" s="100"/>
      <c r="L82" s="100"/>
      <c r="M82" s="100"/>
      <c r="N82" s="100">
        <f t="shared" si="6"/>
        <v>0</v>
      </c>
      <c r="O82" s="100"/>
      <c r="P82" s="41">
        <v>880</v>
      </c>
      <c r="Q82" s="11"/>
      <c r="R82" s="41">
        <v>260</v>
      </c>
      <c r="S82" s="185"/>
      <c r="T82" s="185"/>
      <c r="U82" s="185"/>
      <c r="V82" s="185"/>
      <c r="W82" s="41">
        <f t="shared" si="7"/>
        <v>0</v>
      </c>
      <c r="X82" s="41">
        <f t="shared" si="8"/>
        <v>0</v>
      </c>
      <c r="Y82" s="11"/>
      <c r="Z82" s="11"/>
      <c r="AA82" s="11"/>
      <c r="AB82" s="11"/>
      <c r="AC82" s="24"/>
    </row>
    <row r="83" spans="1:29" x14ac:dyDescent="0.2">
      <c r="A83" s="11">
        <f>+'SERVICIO FAENA'!A83</f>
        <v>81</v>
      </c>
      <c r="B83" s="11" t="str">
        <f>+'SERVICIO FAENA'!B83</f>
        <v>FRIGORIFICO DE LA PATAGONIA SRL</v>
      </c>
      <c r="C83" s="11"/>
      <c r="D83" s="11"/>
      <c r="E83" s="18">
        <f>+'SERVICIO FAENA'!E83</f>
        <v>46073</v>
      </c>
      <c r="F83" s="11"/>
      <c r="G83" s="180" t="e">
        <f t="shared" si="9"/>
        <v>#DIV/0!</v>
      </c>
      <c r="H83" s="11"/>
      <c r="I83" s="11"/>
      <c r="J83" s="180" t="e">
        <f t="shared" si="5"/>
        <v>#DIV/0!</v>
      </c>
      <c r="K83" s="100"/>
      <c r="L83" s="100"/>
      <c r="M83" s="100"/>
      <c r="N83" s="100">
        <f t="shared" si="6"/>
        <v>0</v>
      </c>
      <c r="O83" s="100"/>
      <c r="P83" s="41">
        <v>880</v>
      </c>
      <c r="Q83" s="11"/>
      <c r="R83" s="41">
        <v>260</v>
      </c>
      <c r="S83" s="185"/>
      <c r="T83" s="185"/>
      <c r="U83" s="185"/>
      <c r="V83" s="185"/>
      <c r="W83" s="41">
        <f t="shared" si="7"/>
        <v>0</v>
      </c>
      <c r="X83" s="41">
        <f t="shared" si="8"/>
        <v>0</v>
      </c>
      <c r="Y83" s="11"/>
      <c r="Z83" s="11"/>
      <c r="AA83" s="11"/>
      <c r="AB83" s="11"/>
      <c r="AC83" s="24"/>
    </row>
    <row r="84" spans="1:29" x14ac:dyDescent="0.2">
      <c r="A84" s="11">
        <f>+'SERVICIO FAENA'!A84</f>
        <v>82</v>
      </c>
      <c r="B84" s="11" t="str">
        <f>+'SERVICIO FAENA'!B84</f>
        <v>MAIZALES DE LA PATAGONIA SRL</v>
      </c>
      <c r="C84" s="11"/>
      <c r="D84" s="11"/>
      <c r="E84" s="18">
        <f>+'SERVICIO FAENA'!E84</f>
        <v>46073</v>
      </c>
      <c r="F84" s="11"/>
      <c r="G84" s="180" t="e">
        <f t="shared" si="9"/>
        <v>#DIV/0!</v>
      </c>
      <c r="H84" s="11"/>
      <c r="I84" s="11"/>
      <c r="J84" s="180" t="e">
        <f t="shared" si="5"/>
        <v>#DIV/0!</v>
      </c>
      <c r="K84" s="100"/>
      <c r="L84" s="100"/>
      <c r="M84" s="100"/>
      <c r="N84" s="100">
        <f t="shared" si="6"/>
        <v>0</v>
      </c>
      <c r="O84" s="100"/>
      <c r="P84" s="41">
        <v>880</v>
      </c>
      <c r="Q84" s="11"/>
      <c r="R84" s="41">
        <v>260</v>
      </c>
      <c r="S84" s="185"/>
      <c r="T84" s="185"/>
      <c r="U84" s="185"/>
      <c r="V84" s="185"/>
      <c r="W84" s="41">
        <f t="shared" si="7"/>
        <v>0</v>
      </c>
      <c r="X84" s="41">
        <f t="shared" si="8"/>
        <v>0</v>
      </c>
      <c r="Y84" s="11"/>
      <c r="Z84" s="11"/>
      <c r="AA84" s="11"/>
      <c r="AB84" s="11"/>
      <c r="AC84" s="24"/>
    </row>
    <row r="85" spans="1:29" x14ac:dyDescent="0.2">
      <c r="A85" s="11">
        <f>+'SERVICIO FAENA'!A85</f>
        <v>83</v>
      </c>
      <c r="B85" s="11" t="str">
        <f>+'SERVICIO FAENA'!B85</f>
        <v>MAIZALES DE LA PATAGONIA SRL</v>
      </c>
      <c r="C85" s="11"/>
      <c r="D85" s="11"/>
      <c r="E85" s="18">
        <f>+'SERVICIO FAENA'!E85</f>
        <v>46073</v>
      </c>
      <c r="F85" s="11"/>
      <c r="G85" s="180" t="e">
        <f t="shared" si="9"/>
        <v>#DIV/0!</v>
      </c>
      <c r="H85" s="11"/>
      <c r="I85" s="11"/>
      <c r="J85" s="180" t="e">
        <f t="shared" si="5"/>
        <v>#DIV/0!</v>
      </c>
      <c r="K85" s="100"/>
      <c r="L85" s="100"/>
      <c r="M85" s="100"/>
      <c r="N85" s="100">
        <f t="shared" si="6"/>
        <v>0</v>
      </c>
      <c r="O85" s="100"/>
      <c r="P85" s="41">
        <v>880</v>
      </c>
      <c r="Q85" s="11"/>
      <c r="R85" s="41">
        <v>260</v>
      </c>
      <c r="S85" s="185"/>
      <c r="T85" s="185"/>
      <c r="U85" s="185"/>
      <c r="V85" s="185"/>
      <c r="W85" s="41">
        <f t="shared" si="7"/>
        <v>0</v>
      </c>
      <c r="X85" s="41">
        <f t="shared" si="8"/>
        <v>0</v>
      </c>
      <c r="Y85" s="11"/>
      <c r="Z85" s="11"/>
      <c r="AA85" s="11"/>
      <c r="AB85" s="11"/>
      <c r="AC85" s="24"/>
    </row>
    <row r="86" spans="1:29" x14ac:dyDescent="0.2">
      <c r="A86" s="11">
        <f>+'SERVICIO FAENA'!A86</f>
        <v>84</v>
      </c>
      <c r="B86" s="11" t="str">
        <f>+'SERVICIO FAENA'!B86</f>
        <v>DOS DE FIERRO SA</v>
      </c>
      <c r="C86" s="11"/>
      <c r="D86" s="11"/>
      <c r="E86" s="18">
        <f>+'SERVICIO FAENA'!E86</f>
        <v>46076</v>
      </c>
      <c r="F86" s="11"/>
      <c r="G86" s="180" t="e">
        <f t="shared" si="9"/>
        <v>#DIV/0!</v>
      </c>
      <c r="H86" s="11"/>
      <c r="I86" s="11"/>
      <c r="J86" s="180" t="e">
        <f t="shared" si="5"/>
        <v>#DIV/0!</v>
      </c>
      <c r="K86" s="100"/>
      <c r="L86" s="100"/>
      <c r="M86" s="100"/>
      <c r="N86" s="100">
        <f t="shared" si="6"/>
        <v>0</v>
      </c>
      <c r="O86" s="100"/>
      <c r="P86" s="41">
        <v>880</v>
      </c>
      <c r="Q86" s="11"/>
      <c r="R86" s="41">
        <v>260</v>
      </c>
      <c r="S86" s="185"/>
      <c r="T86" s="185"/>
      <c r="U86" s="185"/>
      <c r="V86" s="185"/>
      <c r="W86" s="41">
        <f t="shared" si="7"/>
        <v>0</v>
      </c>
      <c r="X86" s="41">
        <f t="shared" si="8"/>
        <v>0</v>
      </c>
      <c r="Y86" s="11"/>
      <c r="Z86" s="11"/>
      <c r="AA86" s="11"/>
      <c r="AB86" s="11"/>
      <c r="AC86" s="24"/>
    </row>
    <row r="87" spans="1:29" x14ac:dyDescent="0.2">
      <c r="A87" s="11">
        <f>+'SERVICIO FAENA'!A87</f>
        <v>85</v>
      </c>
      <c r="B87" s="11" t="str">
        <f>+'SERVICIO FAENA'!B87</f>
        <v>FERREYRA MARTIN</v>
      </c>
      <c r="C87" s="11">
        <v>7.5</v>
      </c>
      <c r="D87" s="11">
        <v>3322</v>
      </c>
      <c r="E87" s="18">
        <f>+'SERVICIO FAENA'!E87</f>
        <v>46076</v>
      </c>
      <c r="F87" s="11">
        <v>1884.7</v>
      </c>
      <c r="G87" s="180">
        <f t="shared" si="9"/>
        <v>0.56733895243829024</v>
      </c>
      <c r="H87" s="100">
        <v>862.4</v>
      </c>
      <c r="I87" s="100">
        <v>975.4</v>
      </c>
      <c r="J87" s="180">
        <f>+((F87-(H87+I87))/F87)</f>
        <v>2.4884597018093112E-2</v>
      </c>
      <c r="K87" s="11">
        <v>420.56</v>
      </c>
      <c r="L87" s="11">
        <v>257.3</v>
      </c>
      <c r="M87" s="11">
        <v>1158.4000000000001</v>
      </c>
      <c r="N87" s="100">
        <f t="shared" si="6"/>
        <v>1836.2600000000002</v>
      </c>
      <c r="O87" s="100">
        <v>1183.49</v>
      </c>
      <c r="P87" s="41">
        <v>880</v>
      </c>
      <c r="Q87" s="11">
        <v>412.4</v>
      </c>
      <c r="R87" s="41">
        <v>260</v>
      </c>
      <c r="S87" s="185">
        <v>236.5</v>
      </c>
      <c r="T87" s="185">
        <v>3</v>
      </c>
      <c r="U87" s="182">
        <f>+(Q87+O87)/N87</f>
        <v>0.86909805800921425</v>
      </c>
      <c r="V87" s="185">
        <f>+(T87+S87+Q87+O87)-N87</f>
        <v>-0.87000000000034561</v>
      </c>
      <c r="W87" s="41">
        <f t="shared" si="7"/>
        <v>1148695.2</v>
      </c>
      <c r="X87" s="41">
        <f t="shared" si="8"/>
        <v>1389921.1919999998</v>
      </c>
      <c r="Y87" s="11"/>
      <c r="Z87" s="11"/>
      <c r="AA87" s="11"/>
      <c r="AB87" s="11"/>
      <c r="AC87" s="24"/>
    </row>
    <row r="88" spans="1:29" x14ac:dyDescent="0.2">
      <c r="A88" s="11">
        <f>+'SERVICIO FAENA'!A88</f>
        <v>86</v>
      </c>
      <c r="B88" s="11" t="str">
        <f>+'SERVICIO FAENA'!B88</f>
        <v>MUCA SAS</v>
      </c>
      <c r="C88" s="11"/>
      <c r="D88" s="11"/>
      <c r="E88" s="18">
        <f>+'SERVICIO FAENA'!E88</f>
        <v>46077</v>
      </c>
      <c r="F88" s="11"/>
      <c r="G88" s="180" t="e">
        <f t="shared" si="9"/>
        <v>#DIV/0!</v>
      </c>
      <c r="H88" s="11"/>
      <c r="I88" s="11"/>
      <c r="J88" s="180" t="e">
        <f t="shared" si="5"/>
        <v>#DIV/0!</v>
      </c>
      <c r="K88" s="100"/>
      <c r="L88" s="100"/>
      <c r="M88" s="100"/>
      <c r="N88" s="100">
        <f t="shared" si="6"/>
        <v>0</v>
      </c>
      <c r="O88" s="100"/>
      <c r="P88" s="41">
        <v>880</v>
      </c>
      <c r="Q88" s="11"/>
      <c r="R88" s="41">
        <v>260</v>
      </c>
      <c r="S88" s="185"/>
      <c r="T88" s="185"/>
      <c r="U88" s="185"/>
      <c r="V88" s="185"/>
      <c r="W88" s="41">
        <f t="shared" si="7"/>
        <v>0</v>
      </c>
      <c r="X88" s="41">
        <f t="shared" si="8"/>
        <v>0</v>
      </c>
      <c r="Y88" s="11"/>
      <c r="Z88" s="11"/>
      <c r="AA88" s="11"/>
      <c r="AB88" s="11"/>
      <c r="AC88" s="24"/>
    </row>
    <row r="89" spans="1:29" x14ac:dyDescent="0.2">
      <c r="A89" s="11">
        <f>+'SERVICIO FAENA'!A89</f>
        <v>87</v>
      </c>
      <c r="B89" s="11" t="str">
        <f>+'SERVICIO FAENA'!B89</f>
        <v>BOSQUES AMADOS SRL</v>
      </c>
      <c r="C89" s="11"/>
      <c r="D89" s="11"/>
      <c r="E89" s="18">
        <f>+'SERVICIO FAENA'!E89</f>
        <v>46077</v>
      </c>
      <c r="F89" s="11"/>
      <c r="G89" s="180" t="e">
        <f t="shared" si="9"/>
        <v>#DIV/0!</v>
      </c>
      <c r="H89" s="11"/>
      <c r="I89" s="11"/>
      <c r="J89" s="180" t="e">
        <f t="shared" si="5"/>
        <v>#DIV/0!</v>
      </c>
      <c r="K89" s="100"/>
      <c r="L89" s="100"/>
      <c r="M89" s="100"/>
      <c r="N89" s="100">
        <f t="shared" si="6"/>
        <v>0</v>
      </c>
      <c r="O89" s="100"/>
      <c r="P89" s="41">
        <v>880</v>
      </c>
      <c r="Q89" s="11"/>
      <c r="R89" s="41">
        <v>260</v>
      </c>
      <c r="S89" s="185"/>
      <c r="T89" s="185"/>
      <c r="U89" s="185"/>
      <c r="V89" s="185"/>
      <c r="W89" s="41">
        <f t="shared" si="7"/>
        <v>0</v>
      </c>
      <c r="X89" s="41">
        <f t="shared" si="8"/>
        <v>0</v>
      </c>
      <c r="Y89" s="11"/>
      <c r="Z89" s="11"/>
      <c r="AA89" s="11"/>
      <c r="AB89" s="11"/>
      <c r="AC89" s="24"/>
    </row>
    <row r="90" spans="1:29" x14ac:dyDescent="0.2">
      <c r="A90" s="11">
        <f>+'SERVICIO FAENA'!A90</f>
        <v>88</v>
      </c>
      <c r="B90" s="11" t="str">
        <f>+'SERVICIO FAENA'!B90</f>
        <v>FERREYRA ALBERTO</v>
      </c>
      <c r="C90" s="11"/>
      <c r="D90" s="11"/>
      <c r="E90" s="18">
        <f>+'SERVICIO FAENA'!E90</f>
        <v>46078</v>
      </c>
      <c r="F90" s="11"/>
      <c r="G90" s="180" t="e">
        <f t="shared" si="9"/>
        <v>#DIV/0!</v>
      </c>
      <c r="H90" s="11"/>
      <c r="I90" s="11"/>
      <c r="J90" s="180" t="e">
        <f t="shared" si="5"/>
        <v>#DIV/0!</v>
      </c>
      <c r="K90" s="100"/>
      <c r="L90" s="100"/>
      <c r="M90" s="100"/>
      <c r="N90" s="100">
        <f t="shared" si="6"/>
        <v>0</v>
      </c>
      <c r="O90" s="100"/>
      <c r="P90" s="41">
        <v>880</v>
      </c>
      <c r="Q90" s="11"/>
      <c r="R90" s="41">
        <v>260</v>
      </c>
      <c r="S90" s="185"/>
      <c r="T90" s="185"/>
      <c r="U90" s="185"/>
      <c r="V90" s="185"/>
      <c r="W90" s="41">
        <f t="shared" si="7"/>
        <v>0</v>
      </c>
      <c r="X90" s="41">
        <f t="shared" si="8"/>
        <v>0</v>
      </c>
      <c r="Y90" s="11"/>
      <c r="Z90" s="11"/>
      <c r="AA90" s="11"/>
      <c r="AB90" s="11"/>
      <c r="AC90" s="24"/>
    </row>
    <row r="91" spans="1:29" x14ac:dyDescent="0.2">
      <c r="A91" s="11">
        <f>+'SERVICIO FAENA'!A91</f>
        <v>89</v>
      </c>
      <c r="B91" s="11" t="str">
        <f>+'SERVICIO FAENA'!B91</f>
        <v>FERREYRA MARTIN</v>
      </c>
      <c r="C91" s="11"/>
      <c r="D91" s="11"/>
      <c r="E91" s="18">
        <f>+'SERVICIO FAENA'!E91</f>
        <v>46078</v>
      </c>
      <c r="F91" s="11"/>
      <c r="G91" s="180" t="e">
        <f t="shared" si="9"/>
        <v>#DIV/0!</v>
      </c>
      <c r="H91" s="11"/>
      <c r="I91" s="11"/>
      <c r="J91" s="180" t="e">
        <f t="shared" si="5"/>
        <v>#DIV/0!</v>
      </c>
      <c r="K91" s="100"/>
      <c r="L91" s="100"/>
      <c r="M91" s="100"/>
      <c r="N91" s="100">
        <f t="shared" si="6"/>
        <v>0</v>
      </c>
      <c r="O91" s="100"/>
      <c r="P91" s="41">
        <v>880</v>
      </c>
      <c r="Q91" s="11"/>
      <c r="R91" s="41">
        <v>260</v>
      </c>
      <c r="S91" s="185"/>
      <c r="T91" s="185"/>
      <c r="U91" s="185"/>
      <c r="V91" s="185"/>
      <c r="W91" s="41">
        <f t="shared" si="7"/>
        <v>0</v>
      </c>
      <c r="X91" s="41">
        <f t="shared" si="8"/>
        <v>0</v>
      </c>
      <c r="Y91" s="11"/>
      <c r="Z91" s="11"/>
      <c r="AA91" s="11"/>
      <c r="AB91" s="11"/>
      <c r="AC91" s="24"/>
    </row>
    <row r="92" spans="1:29" x14ac:dyDescent="0.2">
      <c r="A92" s="11">
        <f>+'SERVICIO FAENA'!A92</f>
        <v>90</v>
      </c>
      <c r="B92" s="11" t="str">
        <f>+'SERVICIO FAENA'!B92</f>
        <v>FERREYRA MARTIN</v>
      </c>
      <c r="C92" s="11"/>
      <c r="D92" s="11"/>
      <c r="E92" s="18">
        <f>+'SERVICIO FAENA'!E92</f>
        <v>46078</v>
      </c>
      <c r="F92" s="11"/>
      <c r="G92" s="180" t="e">
        <f t="shared" si="9"/>
        <v>#DIV/0!</v>
      </c>
      <c r="H92" s="11"/>
      <c r="I92" s="11"/>
      <c r="J92" s="180" t="e">
        <f t="shared" si="5"/>
        <v>#DIV/0!</v>
      </c>
      <c r="K92" s="100"/>
      <c r="L92" s="100"/>
      <c r="M92" s="100"/>
      <c r="N92" s="100">
        <f t="shared" si="6"/>
        <v>0</v>
      </c>
      <c r="O92" s="100"/>
      <c r="P92" s="41">
        <v>880</v>
      </c>
      <c r="Q92" s="11"/>
      <c r="R92" s="41">
        <v>260</v>
      </c>
      <c r="S92" s="185"/>
      <c r="T92" s="185"/>
      <c r="U92" s="185"/>
      <c r="V92" s="185"/>
      <c r="W92" s="41">
        <f t="shared" si="7"/>
        <v>0</v>
      </c>
      <c r="X92" s="41">
        <f t="shared" si="8"/>
        <v>0</v>
      </c>
      <c r="Y92" s="11"/>
      <c r="Z92" s="11"/>
      <c r="AA92" s="11"/>
      <c r="AB92" s="11"/>
      <c r="AC92" s="24"/>
    </row>
    <row r="93" spans="1:29" x14ac:dyDescent="0.2">
      <c r="A93" s="11">
        <f>+'SERVICIO FAENA'!A93</f>
        <v>91</v>
      </c>
      <c r="B93" s="11" t="str">
        <f>+'SERVICIO FAENA'!B93</f>
        <v>FRIGORIFICO DE LA PATAGONIA SRL</v>
      </c>
      <c r="C93" s="11"/>
      <c r="D93" s="11"/>
      <c r="E93" s="18">
        <f>+'SERVICIO FAENA'!E93</f>
        <v>46080</v>
      </c>
      <c r="F93" s="11"/>
      <c r="G93" s="180" t="e">
        <f t="shared" si="9"/>
        <v>#DIV/0!</v>
      </c>
      <c r="H93" s="11"/>
      <c r="I93" s="11"/>
      <c r="J93" s="180" t="e">
        <f t="shared" si="5"/>
        <v>#DIV/0!</v>
      </c>
      <c r="K93" s="100"/>
      <c r="L93" s="100"/>
      <c r="M93" s="100"/>
      <c r="N93" s="100">
        <f t="shared" si="6"/>
        <v>0</v>
      </c>
      <c r="O93" s="100"/>
      <c r="P93" s="41">
        <v>880</v>
      </c>
      <c r="Q93" s="11"/>
      <c r="R93" s="41">
        <v>260</v>
      </c>
      <c r="S93" s="185"/>
      <c r="T93" s="185"/>
      <c r="U93" s="185"/>
      <c r="V93" s="185"/>
      <c r="W93" s="41">
        <f t="shared" si="7"/>
        <v>0</v>
      </c>
      <c r="X93" s="41">
        <f t="shared" si="8"/>
        <v>0</v>
      </c>
      <c r="Y93" s="11"/>
      <c r="Z93" s="11"/>
      <c r="AA93" s="11"/>
      <c r="AB93" s="11"/>
      <c r="AC93" s="24"/>
    </row>
    <row r="94" spans="1:29" x14ac:dyDescent="0.2">
      <c r="A94" s="11">
        <f>+'SERVICIO FAENA'!A94</f>
        <v>92</v>
      </c>
      <c r="B94" s="11" t="str">
        <f>+'SERVICIO FAENA'!B94</f>
        <v>MAIZALES DE LA PATAGONIA SRL</v>
      </c>
      <c r="C94" s="11"/>
      <c r="D94" s="11"/>
      <c r="E94" s="18">
        <f>+'SERVICIO FAENA'!E94</f>
        <v>46080</v>
      </c>
      <c r="F94" s="11"/>
      <c r="G94" s="180" t="e">
        <f t="shared" si="9"/>
        <v>#DIV/0!</v>
      </c>
      <c r="H94" s="11"/>
      <c r="I94" s="11"/>
      <c r="J94" s="180" t="e">
        <f t="shared" si="5"/>
        <v>#DIV/0!</v>
      </c>
      <c r="K94" s="100"/>
      <c r="L94" s="100"/>
      <c r="M94" s="100"/>
      <c r="N94" s="100">
        <f t="shared" si="6"/>
        <v>0</v>
      </c>
      <c r="O94" s="100"/>
      <c r="P94" s="41">
        <v>880</v>
      </c>
      <c r="Q94" s="11"/>
      <c r="R94" s="41">
        <v>260</v>
      </c>
      <c r="S94" s="185"/>
      <c r="T94" s="185"/>
      <c r="U94" s="185"/>
      <c r="V94" s="185"/>
      <c r="W94" s="41">
        <f t="shared" si="7"/>
        <v>0</v>
      </c>
      <c r="X94" s="41">
        <f t="shared" si="8"/>
        <v>0</v>
      </c>
      <c r="Y94" s="11"/>
      <c r="Z94" s="11"/>
      <c r="AA94" s="11"/>
      <c r="AB94" s="11"/>
      <c r="AC94" s="24"/>
    </row>
    <row r="95" spans="1:29" x14ac:dyDescent="0.2">
      <c r="A95" s="11">
        <f>+'SERVICIO FAENA'!A95</f>
        <v>93</v>
      </c>
      <c r="B95" s="11" t="str">
        <f>+'SERVICIO FAENA'!B95</f>
        <v>MAIZALES DE LA PATAGONIA SRL</v>
      </c>
      <c r="C95" s="11"/>
      <c r="D95" s="11"/>
      <c r="E95" s="18">
        <f>+'SERVICIO FAENA'!E95</f>
        <v>46080</v>
      </c>
      <c r="F95" s="11"/>
      <c r="G95" s="180" t="e">
        <f t="shared" si="9"/>
        <v>#DIV/0!</v>
      </c>
      <c r="H95" s="11"/>
      <c r="I95" s="11"/>
      <c r="J95" s="180" t="e">
        <f t="shared" si="5"/>
        <v>#DIV/0!</v>
      </c>
      <c r="K95" s="100"/>
      <c r="L95" s="100"/>
      <c r="M95" s="100"/>
      <c r="N95" s="100">
        <f t="shared" si="6"/>
        <v>0</v>
      </c>
      <c r="O95" s="100"/>
      <c r="P95" s="41">
        <v>880</v>
      </c>
      <c r="Q95" s="11"/>
      <c r="R95" s="41">
        <v>260</v>
      </c>
      <c r="S95" s="185"/>
      <c r="T95" s="185"/>
      <c r="U95" s="185"/>
      <c r="V95" s="185"/>
      <c r="W95" s="41">
        <f t="shared" si="7"/>
        <v>0</v>
      </c>
      <c r="X95" s="41">
        <f t="shared" si="8"/>
        <v>0</v>
      </c>
      <c r="Y95" s="11"/>
      <c r="Z95" s="11"/>
      <c r="AA95" s="11"/>
      <c r="AB95" s="11"/>
      <c r="AC95" s="24"/>
    </row>
    <row r="96" spans="1:29" x14ac:dyDescent="0.2">
      <c r="A96" s="11">
        <f>+'SERVICIO FAENA'!A96</f>
        <v>94</v>
      </c>
      <c r="B96" s="11" t="str">
        <f>+'SERVICIO FAENA'!B96</f>
        <v>FRIGORIFICO DE LA PATAGONIA SRL</v>
      </c>
      <c r="C96" s="11"/>
      <c r="D96" s="11"/>
      <c r="E96" s="18">
        <f>+'SERVICIO FAENA'!E96</f>
        <v>46080</v>
      </c>
      <c r="F96" s="11"/>
      <c r="G96" s="180" t="e">
        <f t="shared" si="9"/>
        <v>#DIV/0!</v>
      </c>
      <c r="H96" s="11"/>
      <c r="I96" s="11"/>
      <c r="J96" s="180" t="e">
        <f t="shared" si="5"/>
        <v>#DIV/0!</v>
      </c>
      <c r="K96" s="100"/>
      <c r="L96" s="100"/>
      <c r="M96" s="100"/>
      <c r="N96" s="100">
        <f t="shared" si="6"/>
        <v>0</v>
      </c>
      <c r="O96" s="100"/>
      <c r="P96" s="41">
        <v>880</v>
      </c>
      <c r="Q96" s="11"/>
      <c r="R96" s="41">
        <v>260</v>
      </c>
      <c r="S96" s="185"/>
      <c r="T96" s="185"/>
      <c r="U96" s="185"/>
      <c r="V96" s="185"/>
      <c r="W96" s="41">
        <f t="shared" si="7"/>
        <v>0</v>
      </c>
      <c r="X96" s="41">
        <f t="shared" si="8"/>
        <v>0</v>
      </c>
      <c r="Y96" s="11"/>
      <c r="Z96" s="11"/>
      <c r="AA96" s="11"/>
      <c r="AB96" s="11"/>
      <c r="AC96" s="24"/>
    </row>
    <row r="97" spans="1:29" x14ac:dyDescent="0.2">
      <c r="A97" s="11">
        <f>+'SERVICIO FAENA'!A97</f>
        <v>95</v>
      </c>
      <c r="B97" s="11" t="str">
        <f>+'SERVICIO FAENA'!B97</f>
        <v>MUCA SAS</v>
      </c>
      <c r="C97" s="11"/>
      <c r="D97" s="11"/>
      <c r="E97" s="18">
        <f>+'SERVICIO FAENA'!E97</f>
        <v>46080</v>
      </c>
      <c r="F97" s="11"/>
      <c r="G97" s="180" t="e">
        <f t="shared" si="9"/>
        <v>#DIV/0!</v>
      </c>
      <c r="H97" s="11"/>
      <c r="I97" s="11"/>
      <c r="J97" s="180" t="e">
        <f t="shared" si="5"/>
        <v>#DIV/0!</v>
      </c>
      <c r="K97" s="100"/>
      <c r="L97" s="100"/>
      <c r="M97" s="100"/>
      <c r="N97" s="100">
        <f t="shared" si="6"/>
        <v>0</v>
      </c>
      <c r="O97" s="100"/>
      <c r="P97" s="41">
        <v>880</v>
      </c>
      <c r="Q97" s="11"/>
      <c r="R97" s="41">
        <v>260</v>
      </c>
      <c r="S97" s="185"/>
      <c r="T97" s="185"/>
      <c r="U97" s="185"/>
      <c r="V97" s="185"/>
      <c r="W97" s="41">
        <f t="shared" si="7"/>
        <v>0</v>
      </c>
      <c r="X97" s="41">
        <f t="shared" si="8"/>
        <v>0</v>
      </c>
      <c r="Y97" s="11"/>
      <c r="Z97" s="11"/>
      <c r="AA97" s="11"/>
      <c r="AB97" s="11"/>
      <c r="AC97" s="24"/>
    </row>
    <row r="98" spans="1:29" ht="13.5" thickBot="1" x14ac:dyDescent="0.25">
      <c r="A98" s="113">
        <f>+'SERVICIO FAENA'!A98</f>
        <v>96</v>
      </c>
      <c r="B98" s="113" t="str">
        <f>+'SERVICIO FAENA'!B98</f>
        <v>FRIGORIFICO DE LA PATAGONIA SRL</v>
      </c>
      <c r="C98" s="113"/>
      <c r="D98" s="113"/>
      <c r="E98" s="120">
        <f>+'SERVICIO FAENA'!E98</f>
        <v>46080</v>
      </c>
      <c r="F98" s="113"/>
      <c r="G98" s="181" t="e">
        <f t="shared" si="9"/>
        <v>#DIV/0!</v>
      </c>
      <c r="H98" s="113"/>
      <c r="I98" s="113"/>
      <c r="J98" s="181" t="e">
        <f t="shared" si="5"/>
        <v>#DIV/0!</v>
      </c>
      <c r="K98" s="121"/>
      <c r="L98" s="121"/>
      <c r="M98" s="121"/>
      <c r="N98" s="121">
        <f t="shared" si="6"/>
        <v>0</v>
      </c>
      <c r="O98" s="121"/>
      <c r="P98" s="118">
        <v>880</v>
      </c>
      <c r="Q98" s="113"/>
      <c r="R98" s="118">
        <v>260</v>
      </c>
      <c r="S98" s="186"/>
      <c r="T98" s="186"/>
      <c r="U98" s="186"/>
      <c r="V98" s="186"/>
      <c r="W98" s="118">
        <f t="shared" si="7"/>
        <v>0</v>
      </c>
      <c r="X98" s="118">
        <f t="shared" si="8"/>
        <v>0</v>
      </c>
      <c r="Y98" s="113"/>
      <c r="Z98" s="113"/>
      <c r="AA98" s="113"/>
      <c r="AB98" s="113"/>
      <c r="AC98" s="189"/>
    </row>
    <row r="99" spans="1:29" x14ac:dyDescent="0.2">
      <c r="A99" s="53">
        <f>+'SERVICIO FAENA'!A99</f>
        <v>97</v>
      </c>
      <c r="B99" s="53" t="str">
        <f>+'SERVICIO FAENA'!B99</f>
        <v>FERREYRA MARTIN</v>
      </c>
      <c r="C99" s="53"/>
      <c r="D99" s="53"/>
      <c r="E99" s="59">
        <f>+'SERVICIO FAENA'!E99</f>
        <v>46083</v>
      </c>
      <c r="F99" s="53"/>
      <c r="G99" s="182" t="e">
        <f t="shared" si="9"/>
        <v>#DIV/0!</v>
      </c>
      <c r="H99" s="53"/>
      <c r="I99" s="53"/>
      <c r="J99" s="182" t="e">
        <f t="shared" si="5"/>
        <v>#DIV/0!</v>
      </c>
      <c r="K99" s="112"/>
      <c r="L99" s="112"/>
      <c r="M99" s="112"/>
      <c r="N99" s="112">
        <f t="shared" si="6"/>
        <v>0</v>
      </c>
      <c r="O99" s="112"/>
      <c r="P99" s="41">
        <v>880</v>
      </c>
      <c r="Q99" s="53"/>
      <c r="R99" s="41">
        <v>260</v>
      </c>
      <c r="S99" s="185"/>
      <c r="T99" s="185"/>
      <c r="U99" s="185"/>
      <c r="V99" s="185"/>
      <c r="W99" s="41">
        <f t="shared" si="7"/>
        <v>0</v>
      </c>
      <c r="X99" s="41">
        <f t="shared" si="8"/>
        <v>0</v>
      </c>
      <c r="Y99" s="53"/>
      <c r="Z99" s="53"/>
      <c r="AA99" s="53"/>
      <c r="AB99" s="53"/>
      <c r="AC99" s="190"/>
    </row>
    <row r="100" spans="1:29" x14ac:dyDescent="0.2">
      <c r="A100" s="11">
        <f>+'SERVICIO FAENA'!A100</f>
        <v>98</v>
      </c>
      <c r="B100" s="11" t="str">
        <f>+'SERVICIO FAENA'!B100</f>
        <v>GANADERA NORTE NEUQUINO</v>
      </c>
      <c r="C100" s="11"/>
      <c r="D100" s="11"/>
      <c r="E100" s="18">
        <f>+'SERVICIO FAENA'!E100</f>
        <v>46083</v>
      </c>
      <c r="F100" s="11"/>
      <c r="G100" s="180" t="e">
        <f t="shared" si="9"/>
        <v>#DIV/0!</v>
      </c>
      <c r="H100" s="11"/>
      <c r="I100" s="11"/>
      <c r="J100" s="180" t="e">
        <f t="shared" si="5"/>
        <v>#DIV/0!</v>
      </c>
      <c r="K100" s="100"/>
      <c r="L100" s="100"/>
      <c r="M100" s="100"/>
      <c r="N100" s="100">
        <f t="shared" si="6"/>
        <v>0</v>
      </c>
      <c r="O100" s="100"/>
      <c r="P100" s="41">
        <v>880</v>
      </c>
      <c r="Q100" s="11"/>
      <c r="R100" s="41">
        <v>260</v>
      </c>
      <c r="S100" s="185"/>
      <c r="T100" s="185"/>
      <c r="U100" s="185"/>
      <c r="V100" s="185"/>
      <c r="W100" s="41">
        <f t="shared" si="7"/>
        <v>0</v>
      </c>
      <c r="X100" s="41">
        <f t="shared" si="8"/>
        <v>0</v>
      </c>
      <c r="Y100" s="11"/>
      <c r="Z100" s="11"/>
      <c r="AA100" s="11"/>
      <c r="AB100" s="11"/>
      <c r="AC100" s="24"/>
    </row>
    <row r="101" spans="1:29" x14ac:dyDescent="0.2">
      <c r="A101" s="11">
        <f>+'SERVICIO FAENA'!A101</f>
        <v>99</v>
      </c>
      <c r="B101" s="11" t="str">
        <f>+'SERVICIO FAENA'!B101</f>
        <v>DOS DE FIERRO SA</v>
      </c>
      <c r="C101" s="11"/>
      <c r="D101" s="11"/>
      <c r="E101" s="18">
        <f>+'SERVICIO FAENA'!E101</f>
        <v>46083</v>
      </c>
      <c r="F101" s="11"/>
      <c r="G101" s="180" t="e">
        <f t="shared" si="9"/>
        <v>#DIV/0!</v>
      </c>
      <c r="H101" s="11"/>
      <c r="I101" s="11"/>
      <c r="J101" s="180" t="e">
        <f t="shared" si="5"/>
        <v>#DIV/0!</v>
      </c>
      <c r="K101" s="100"/>
      <c r="L101" s="100"/>
      <c r="M101" s="100"/>
      <c r="N101" s="100">
        <f t="shared" si="6"/>
        <v>0</v>
      </c>
      <c r="O101" s="100"/>
      <c r="P101" s="41">
        <v>880</v>
      </c>
      <c r="Q101" s="11"/>
      <c r="R101" s="41">
        <v>260</v>
      </c>
      <c r="S101" s="185"/>
      <c r="T101" s="185"/>
      <c r="U101" s="185"/>
      <c r="V101" s="185"/>
      <c r="W101" s="41">
        <f t="shared" si="7"/>
        <v>0</v>
      </c>
      <c r="X101" s="41">
        <f t="shared" si="8"/>
        <v>0</v>
      </c>
      <c r="Y101" s="11"/>
      <c r="Z101" s="11"/>
      <c r="AA101" s="11"/>
      <c r="AB101" s="11"/>
      <c r="AC101" s="24"/>
    </row>
    <row r="102" spans="1:29" x14ac:dyDescent="0.2">
      <c r="A102" s="11">
        <f>+'SERVICIO FAENA'!A102</f>
        <v>100</v>
      </c>
      <c r="B102" s="11" t="str">
        <f>+'SERVICIO FAENA'!B102</f>
        <v>BOSQUES AMADOS SRL</v>
      </c>
      <c r="C102" s="11"/>
      <c r="D102" s="11"/>
      <c r="E102" s="18">
        <f>+'SERVICIO FAENA'!E102</f>
        <v>46084</v>
      </c>
      <c r="F102" s="11"/>
      <c r="G102" s="180" t="e">
        <f t="shared" si="9"/>
        <v>#DIV/0!</v>
      </c>
      <c r="H102" s="11"/>
      <c r="I102" s="11"/>
      <c r="J102" s="180" t="e">
        <f t="shared" si="5"/>
        <v>#DIV/0!</v>
      </c>
      <c r="K102" s="100"/>
      <c r="L102" s="100"/>
      <c r="M102" s="100"/>
      <c r="N102" s="100">
        <f t="shared" si="6"/>
        <v>0</v>
      </c>
      <c r="O102" s="100"/>
      <c r="P102" s="41">
        <v>880</v>
      </c>
      <c r="Q102" s="11"/>
      <c r="R102" s="41">
        <v>260</v>
      </c>
      <c r="S102" s="185"/>
      <c r="T102" s="185"/>
      <c r="U102" s="185"/>
      <c r="V102" s="185"/>
      <c r="W102" s="41">
        <f t="shared" si="7"/>
        <v>0</v>
      </c>
      <c r="X102" s="41">
        <f t="shared" si="8"/>
        <v>0</v>
      </c>
      <c r="Y102" s="11"/>
      <c r="Z102" s="11"/>
      <c r="AA102" s="11"/>
      <c r="AB102" s="11"/>
      <c r="AC102" s="24"/>
    </row>
    <row r="103" spans="1:29" x14ac:dyDescent="0.2">
      <c r="A103" s="11">
        <f>+'SERVICIO FAENA'!A103</f>
        <v>101</v>
      </c>
      <c r="B103" s="11" t="str">
        <f>+'SERVICIO FAENA'!B103</f>
        <v>FERREYRA ALBERTO</v>
      </c>
      <c r="C103" s="11"/>
      <c r="D103" s="11"/>
      <c r="E103" s="18">
        <f>+'SERVICIO FAENA'!E103</f>
        <v>46085</v>
      </c>
      <c r="F103" s="11"/>
      <c r="G103" s="180" t="e">
        <f t="shared" si="9"/>
        <v>#DIV/0!</v>
      </c>
      <c r="H103" s="11"/>
      <c r="I103" s="11"/>
      <c r="J103" s="180" t="e">
        <f t="shared" si="5"/>
        <v>#DIV/0!</v>
      </c>
      <c r="K103" s="100"/>
      <c r="L103" s="100"/>
      <c r="M103" s="100"/>
      <c r="N103" s="100">
        <f t="shared" si="6"/>
        <v>0</v>
      </c>
      <c r="O103" s="100"/>
      <c r="P103" s="41">
        <v>880</v>
      </c>
      <c r="Q103" s="11"/>
      <c r="R103" s="41">
        <v>260</v>
      </c>
      <c r="S103" s="185"/>
      <c r="T103" s="185"/>
      <c r="U103" s="185"/>
      <c r="V103" s="185"/>
      <c r="W103" s="41">
        <f t="shared" si="7"/>
        <v>0</v>
      </c>
      <c r="X103" s="41">
        <f t="shared" si="8"/>
        <v>0</v>
      </c>
      <c r="Y103" s="11"/>
      <c r="Z103" s="11"/>
      <c r="AA103" s="11"/>
      <c r="AB103" s="11"/>
      <c r="AC103" s="24"/>
    </row>
    <row r="104" spans="1:29" x14ac:dyDescent="0.2">
      <c r="A104" s="11">
        <f>+'SERVICIO FAENA'!A104</f>
        <v>102</v>
      </c>
      <c r="B104" s="11" t="str">
        <f>+'SERVICIO FAENA'!B104</f>
        <v>FERREYRA MARTIN</v>
      </c>
      <c r="C104" s="11"/>
      <c r="D104" s="11"/>
      <c r="E104" s="18">
        <f>+'SERVICIO FAENA'!E104</f>
        <v>46085</v>
      </c>
      <c r="F104" s="11"/>
      <c r="G104" s="180" t="e">
        <f t="shared" si="9"/>
        <v>#DIV/0!</v>
      </c>
      <c r="H104" s="11"/>
      <c r="I104" s="11"/>
      <c r="J104" s="180" t="e">
        <f t="shared" si="5"/>
        <v>#DIV/0!</v>
      </c>
      <c r="K104" s="100"/>
      <c r="L104" s="100"/>
      <c r="M104" s="100"/>
      <c r="N104" s="100">
        <f t="shared" si="6"/>
        <v>0</v>
      </c>
      <c r="O104" s="100"/>
      <c r="P104" s="41">
        <v>880</v>
      </c>
      <c r="Q104" s="11"/>
      <c r="R104" s="41">
        <v>260</v>
      </c>
      <c r="S104" s="185"/>
      <c r="T104" s="185"/>
      <c r="U104" s="185"/>
      <c r="V104" s="185"/>
      <c r="W104" s="41">
        <f t="shared" si="7"/>
        <v>0</v>
      </c>
      <c r="X104" s="41">
        <f t="shared" si="8"/>
        <v>0</v>
      </c>
      <c r="Y104" s="11"/>
      <c r="Z104" s="11"/>
      <c r="AA104" s="11"/>
      <c r="AB104" s="11"/>
      <c r="AC104" s="24"/>
    </row>
    <row r="105" spans="1:29" x14ac:dyDescent="0.2">
      <c r="A105" s="11">
        <f>+'SERVICIO FAENA'!A105</f>
        <v>103</v>
      </c>
      <c r="B105" s="11" t="str">
        <f>+'SERVICIO FAENA'!B105</f>
        <v>FERREYRA MARTIN</v>
      </c>
      <c r="C105" s="11"/>
      <c r="D105" s="11"/>
      <c r="E105" s="18">
        <f>+'SERVICIO FAENA'!E105</f>
        <v>46085</v>
      </c>
      <c r="F105" s="11"/>
      <c r="G105" s="180" t="e">
        <f t="shared" si="9"/>
        <v>#DIV/0!</v>
      </c>
      <c r="H105" s="11"/>
      <c r="I105" s="11"/>
      <c r="J105" s="180" t="e">
        <f t="shared" si="5"/>
        <v>#DIV/0!</v>
      </c>
      <c r="K105" s="100"/>
      <c r="L105" s="100"/>
      <c r="M105" s="100"/>
      <c r="N105" s="100">
        <f t="shared" si="6"/>
        <v>0</v>
      </c>
      <c r="O105" s="100"/>
      <c r="P105" s="41">
        <v>880</v>
      </c>
      <c r="Q105" s="11"/>
      <c r="R105" s="41">
        <v>260</v>
      </c>
      <c r="S105" s="185"/>
      <c r="T105" s="185"/>
      <c r="U105" s="185"/>
      <c r="V105" s="185"/>
      <c r="W105" s="41">
        <f t="shared" si="7"/>
        <v>0</v>
      </c>
      <c r="X105" s="41">
        <f t="shared" si="8"/>
        <v>0</v>
      </c>
      <c r="Y105" s="11"/>
      <c r="Z105" s="11"/>
      <c r="AA105" s="11"/>
      <c r="AB105" s="11"/>
      <c r="AC105" s="24"/>
    </row>
    <row r="106" spans="1:29" x14ac:dyDescent="0.2">
      <c r="A106" s="11">
        <f>+'SERVICIO FAENA'!A106</f>
        <v>104</v>
      </c>
      <c r="B106" s="11" t="str">
        <f>+'SERVICIO FAENA'!B106</f>
        <v>MUCA SAS</v>
      </c>
      <c r="C106" s="11"/>
      <c r="D106" s="11"/>
      <c r="E106" s="18">
        <f>+'SERVICIO FAENA'!E106</f>
        <v>46085</v>
      </c>
      <c r="F106" s="11"/>
      <c r="G106" s="180" t="e">
        <f t="shared" si="9"/>
        <v>#DIV/0!</v>
      </c>
      <c r="H106" s="11"/>
      <c r="I106" s="11"/>
      <c r="J106" s="180" t="e">
        <f t="shared" ref="J106:J169" si="10">+((F106-(H106+I106))/F106)</f>
        <v>#DIV/0!</v>
      </c>
      <c r="K106" s="100"/>
      <c r="L106" s="100"/>
      <c r="M106" s="100"/>
      <c r="N106" s="100">
        <f t="shared" ref="N106:N169" si="11">SUM(K106:M106)</f>
        <v>0</v>
      </c>
      <c r="O106" s="100"/>
      <c r="P106" s="41">
        <v>880</v>
      </c>
      <c r="Q106" s="11"/>
      <c r="R106" s="41">
        <v>260</v>
      </c>
      <c r="S106" s="185"/>
      <c r="T106" s="185"/>
      <c r="U106" s="185"/>
      <c r="V106" s="185"/>
      <c r="W106" s="41">
        <f t="shared" ref="W106:W169" si="12">+(P106*O106)+(R106*Q106)</f>
        <v>0</v>
      </c>
      <c r="X106" s="41">
        <f t="shared" si="8"/>
        <v>0</v>
      </c>
      <c r="Y106" s="11"/>
      <c r="Z106" s="11"/>
      <c r="AA106" s="11"/>
      <c r="AB106" s="11"/>
      <c r="AC106" s="24"/>
    </row>
    <row r="107" spans="1:29" x14ac:dyDescent="0.2">
      <c r="A107" s="11">
        <f>+'SERVICIO FAENA'!A107</f>
        <v>0</v>
      </c>
      <c r="B107" s="11">
        <f>+'SERVICIO FAENA'!B107</f>
        <v>0</v>
      </c>
      <c r="C107" s="11"/>
      <c r="D107" s="11"/>
      <c r="E107" s="18">
        <f>+'SERVICIO FAENA'!E107</f>
        <v>0</v>
      </c>
      <c r="F107" s="11"/>
      <c r="G107" s="180" t="e">
        <f t="shared" si="9"/>
        <v>#DIV/0!</v>
      </c>
      <c r="H107" s="11"/>
      <c r="I107" s="11"/>
      <c r="J107" s="180" t="e">
        <f t="shared" si="10"/>
        <v>#DIV/0!</v>
      </c>
      <c r="K107" s="100"/>
      <c r="L107" s="100"/>
      <c r="M107" s="100"/>
      <c r="N107" s="100">
        <f t="shared" si="11"/>
        <v>0</v>
      </c>
      <c r="O107" s="100"/>
      <c r="P107" s="41">
        <v>880</v>
      </c>
      <c r="Q107" s="11"/>
      <c r="R107" s="41">
        <v>260</v>
      </c>
      <c r="S107" s="185"/>
      <c r="T107" s="185"/>
      <c r="U107" s="185"/>
      <c r="V107" s="185"/>
      <c r="W107" s="41">
        <f t="shared" si="12"/>
        <v>0</v>
      </c>
      <c r="X107" s="41">
        <f t="shared" si="8"/>
        <v>0</v>
      </c>
      <c r="Y107" s="11"/>
      <c r="Z107" s="11"/>
      <c r="AA107" s="11"/>
      <c r="AB107" s="11"/>
      <c r="AC107" s="24"/>
    </row>
    <row r="108" spans="1:29" x14ac:dyDescent="0.2">
      <c r="A108" s="11">
        <f>+'SERVICIO FAENA'!A108</f>
        <v>0</v>
      </c>
      <c r="B108" s="11">
        <f>+'SERVICIO FAENA'!B108</f>
        <v>0</v>
      </c>
      <c r="C108" s="11"/>
      <c r="D108" s="11"/>
      <c r="E108" s="18">
        <f>+'SERVICIO FAENA'!E108</f>
        <v>0</v>
      </c>
      <c r="F108" s="11"/>
      <c r="G108" s="180" t="e">
        <f t="shared" si="9"/>
        <v>#DIV/0!</v>
      </c>
      <c r="H108" s="11"/>
      <c r="I108" s="11"/>
      <c r="J108" s="180" t="e">
        <f t="shared" si="10"/>
        <v>#DIV/0!</v>
      </c>
      <c r="K108" s="100"/>
      <c r="L108" s="100"/>
      <c r="M108" s="100"/>
      <c r="N108" s="100">
        <f t="shared" si="11"/>
        <v>0</v>
      </c>
      <c r="O108" s="100"/>
      <c r="P108" s="41">
        <v>880</v>
      </c>
      <c r="Q108" s="11"/>
      <c r="R108" s="41">
        <v>260</v>
      </c>
      <c r="S108" s="185"/>
      <c r="T108" s="185"/>
      <c r="U108" s="185"/>
      <c r="V108" s="185"/>
      <c r="W108" s="41">
        <f t="shared" si="12"/>
        <v>0</v>
      </c>
      <c r="X108" s="41">
        <f t="shared" si="8"/>
        <v>0</v>
      </c>
      <c r="Y108" s="11"/>
      <c r="Z108" s="11"/>
      <c r="AA108" s="11"/>
      <c r="AB108" s="11"/>
      <c r="AC108" s="24"/>
    </row>
    <row r="109" spans="1:29" x14ac:dyDescent="0.2">
      <c r="A109" s="11">
        <f>+'SERVICIO FAENA'!A109</f>
        <v>0</v>
      </c>
      <c r="B109" s="11">
        <f>+'SERVICIO FAENA'!B109</f>
        <v>0</v>
      </c>
      <c r="C109" s="11"/>
      <c r="D109" s="11"/>
      <c r="E109" s="18">
        <f>+'SERVICIO FAENA'!E109</f>
        <v>0</v>
      </c>
      <c r="F109" s="11"/>
      <c r="G109" s="180" t="e">
        <f t="shared" si="9"/>
        <v>#DIV/0!</v>
      </c>
      <c r="H109" s="11"/>
      <c r="I109" s="11"/>
      <c r="J109" s="180" t="e">
        <f t="shared" si="10"/>
        <v>#DIV/0!</v>
      </c>
      <c r="K109" s="100"/>
      <c r="L109" s="100"/>
      <c r="M109" s="100"/>
      <c r="N109" s="100">
        <f t="shared" si="11"/>
        <v>0</v>
      </c>
      <c r="O109" s="100"/>
      <c r="P109" s="41">
        <v>880</v>
      </c>
      <c r="Q109" s="11"/>
      <c r="R109" s="41">
        <v>260</v>
      </c>
      <c r="S109" s="185"/>
      <c r="T109" s="185"/>
      <c r="U109" s="185"/>
      <c r="V109" s="185"/>
      <c r="W109" s="41">
        <f t="shared" si="12"/>
        <v>0</v>
      </c>
      <c r="X109" s="41">
        <f t="shared" si="8"/>
        <v>0</v>
      </c>
      <c r="Y109" s="11"/>
      <c r="Z109" s="11"/>
      <c r="AA109" s="11"/>
      <c r="AB109" s="11"/>
      <c r="AC109" s="24"/>
    </row>
    <row r="110" spans="1:29" x14ac:dyDescent="0.2">
      <c r="A110" s="11">
        <f>+'SERVICIO FAENA'!A110</f>
        <v>0</v>
      </c>
      <c r="B110" s="11">
        <f>+'SERVICIO FAENA'!B110</f>
        <v>0</v>
      </c>
      <c r="C110" s="11"/>
      <c r="D110" s="11"/>
      <c r="E110" s="18">
        <f>+'SERVICIO FAENA'!E110</f>
        <v>0</v>
      </c>
      <c r="F110" s="11"/>
      <c r="G110" s="180" t="e">
        <f t="shared" si="9"/>
        <v>#DIV/0!</v>
      </c>
      <c r="H110" s="11"/>
      <c r="I110" s="11"/>
      <c r="J110" s="180" t="e">
        <f t="shared" si="10"/>
        <v>#DIV/0!</v>
      </c>
      <c r="K110" s="100"/>
      <c r="L110" s="100"/>
      <c r="M110" s="100"/>
      <c r="N110" s="100">
        <f t="shared" si="11"/>
        <v>0</v>
      </c>
      <c r="O110" s="100"/>
      <c r="P110" s="41">
        <v>880</v>
      </c>
      <c r="Q110" s="11"/>
      <c r="R110" s="41">
        <v>260</v>
      </c>
      <c r="S110" s="185"/>
      <c r="T110" s="185"/>
      <c r="U110" s="185"/>
      <c r="V110" s="185"/>
      <c r="W110" s="41">
        <f t="shared" si="12"/>
        <v>0</v>
      </c>
      <c r="X110" s="41">
        <f t="shared" si="8"/>
        <v>0</v>
      </c>
      <c r="Y110" s="11"/>
      <c r="Z110" s="11"/>
      <c r="AA110" s="11"/>
      <c r="AB110" s="11"/>
      <c r="AC110" s="24"/>
    </row>
    <row r="111" spans="1:29" x14ac:dyDescent="0.2">
      <c r="A111" s="11">
        <f>+'SERVICIO FAENA'!A111</f>
        <v>0</v>
      </c>
      <c r="B111" s="11">
        <f>+'SERVICIO FAENA'!B111</f>
        <v>0</v>
      </c>
      <c r="C111" s="11"/>
      <c r="D111" s="11"/>
      <c r="E111" s="18">
        <f>+'SERVICIO FAENA'!E111</f>
        <v>0</v>
      </c>
      <c r="F111" s="11"/>
      <c r="G111" s="180" t="e">
        <f t="shared" si="9"/>
        <v>#DIV/0!</v>
      </c>
      <c r="H111" s="11"/>
      <c r="I111" s="11"/>
      <c r="J111" s="180" t="e">
        <f t="shared" si="10"/>
        <v>#DIV/0!</v>
      </c>
      <c r="K111" s="100"/>
      <c r="L111" s="100"/>
      <c r="M111" s="100"/>
      <c r="N111" s="100">
        <f t="shared" si="11"/>
        <v>0</v>
      </c>
      <c r="O111" s="100"/>
      <c r="P111" s="41">
        <v>880</v>
      </c>
      <c r="Q111" s="11"/>
      <c r="R111" s="41">
        <v>260</v>
      </c>
      <c r="S111" s="185"/>
      <c r="T111" s="185"/>
      <c r="U111" s="185"/>
      <c r="V111" s="185"/>
      <c r="W111" s="41">
        <f t="shared" si="12"/>
        <v>0</v>
      </c>
      <c r="X111" s="41">
        <f t="shared" si="8"/>
        <v>0</v>
      </c>
      <c r="Y111" s="11"/>
      <c r="Z111" s="11"/>
      <c r="AA111" s="11"/>
      <c r="AB111" s="11"/>
      <c r="AC111" s="24"/>
    </row>
    <row r="112" spans="1:29" x14ac:dyDescent="0.2">
      <c r="A112" s="11">
        <f>+'SERVICIO FAENA'!A112</f>
        <v>0</v>
      </c>
      <c r="B112" s="11">
        <f>+'SERVICIO FAENA'!B112</f>
        <v>0</v>
      </c>
      <c r="C112" s="11"/>
      <c r="D112" s="11"/>
      <c r="E112" s="18">
        <f>+'SERVICIO FAENA'!E112</f>
        <v>0</v>
      </c>
      <c r="F112" s="11"/>
      <c r="G112" s="180" t="e">
        <f t="shared" si="9"/>
        <v>#DIV/0!</v>
      </c>
      <c r="H112" s="11"/>
      <c r="I112" s="11"/>
      <c r="J112" s="180" t="e">
        <f t="shared" si="10"/>
        <v>#DIV/0!</v>
      </c>
      <c r="K112" s="100"/>
      <c r="L112" s="100"/>
      <c r="M112" s="100"/>
      <c r="N112" s="100">
        <f t="shared" si="11"/>
        <v>0</v>
      </c>
      <c r="O112" s="100"/>
      <c r="P112" s="41">
        <v>880</v>
      </c>
      <c r="Q112" s="11"/>
      <c r="R112" s="41">
        <v>260</v>
      </c>
      <c r="S112" s="185"/>
      <c r="T112" s="185"/>
      <c r="U112" s="185"/>
      <c r="V112" s="185"/>
      <c r="W112" s="41">
        <f t="shared" si="12"/>
        <v>0</v>
      </c>
      <c r="X112" s="41">
        <f t="shared" si="8"/>
        <v>0</v>
      </c>
      <c r="Y112" s="11"/>
      <c r="Z112" s="11"/>
      <c r="AA112" s="11"/>
      <c r="AB112" s="11"/>
      <c r="AC112" s="24"/>
    </row>
    <row r="113" spans="1:29" x14ac:dyDescent="0.2">
      <c r="A113" s="11">
        <f>+'SERVICIO FAENA'!A113</f>
        <v>0</v>
      </c>
      <c r="B113" s="11">
        <f>+'SERVICIO FAENA'!B113</f>
        <v>0</v>
      </c>
      <c r="C113" s="11"/>
      <c r="D113" s="11"/>
      <c r="E113" s="18">
        <f>+'SERVICIO FAENA'!E113</f>
        <v>0</v>
      </c>
      <c r="F113" s="11"/>
      <c r="G113" s="180" t="e">
        <f t="shared" si="9"/>
        <v>#DIV/0!</v>
      </c>
      <c r="H113" s="11"/>
      <c r="I113" s="11"/>
      <c r="J113" s="180" t="e">
        <f t="shared" si="10"/>
        <v>#DIV/0!</v>
      </c>
      <c r="K113" s="100"/>
      <c r="L113" s="100"/>
      <c r="M113" s="100"/>
      <c r="N113" s="100">
        <f t="shared" si="11"/>
        <v>0</v>
      </c>
      <c r="O113" s="100"/>
      <c r="P113" s="41">
        <v>880</v>
      </c>
      <c r="Q113" s="11"/>
      <c r="R113" s="41">
        <v>260</v>
      </c>
      <c r="S113" s="185"/>
      <c r="T113" s="185"/>
      <c r="U113" s="185"/>
      <c r="V113" s="185"/>
      <c r="W113" s="41">
        <f t="shared" si="12"/>
        <v>0</v>
      </c>
      <c r="X113" s="41">
        <f t="shared" si="8"/>
        <v>0</v>
      </c>
      <c r="Y113" s="11"/>
      <c r="Z113" s="11"/>
      <c r="AA113" s="11"/>
      <c r="AB113" s="11"/>
      <c r="AC113" s="24"/>
    </row>
    <row r="114" spans="1:29" x14ac:dyDescent="0.2">
      <c r="A114" s="11">
        <f>+'SERVICIO FAENA'!A114</f>
        <v>0</v>
      </c>
      <c r="B114" s="11">
        <f>+'SERVICIO FAENA'!B114</f>
        <v>0</v>
      </c>
      <c r="C114" s="11"/>
      <c r="D114" s="11"/>
      <c r="E114" s="18">
        <f>+'SERVICIO FAENA'!E114</f>
        <v>0</v>
      </c>
      <c r="F114" s="11"/>
      <c r="G114" s="180" t="e">
        <f t="shared" si="9"/>
        <v>#DIV/0!</v>
      </c>
      <c r="H114" s="11"/>
      <c r="I114" s="11"/>
      <c r="J114" s="180" t="e">
        <f t="shared" si="10"/>
        <v>#DIV/0!</v>
      </c>
      <c r="K114" s="100"/>
      <c r="L114" s="100"/>
      <c r="M114" s="100"/>
      <c r="N114" s="100">
        <f t="shared" si="11"/>
        <v>0</v>
      </c>
      <c r="O114" s="100"/>
      <c r="P114" s="41">
        <v>880</v>
      </c>
      <c r="Q114" s="11"/>
      <c r="R114" s="41">
        <v>260</v>
      </c>
      <c r="S114" s="185"/>
      <c r="T114" s="185"/>
      <c r="U114" s="185"/>
      <c r="V114" s="185"/>
      <c r="W114" s="41">
        <f t="shared" si="12"/>
        <v>0</v>
      </c>
      <c r="X114" s="41">
        <f t="shared" si="8"/>
        <v>0</v>
      </c>
      <c r="Y114" s="11"/>
      <c r="Z114" s="11"/>
      <c r="AA114" s="11"/>
      <c r="AB114" s="11"/>
      <c r="AC114" s="24"/>
    </row>
    <row r="115" spans="1:29" x14ac:dyDescent="0.2">
      <c r="A115" s="11">
        <f>+'SERVICIO FAENA'!A115</f>
        <v>0</v>
      </c>
      <c r="B115" s="11">
        <f>+'SERVICIO FAENA'!B115</f>
        <v>0</v>
      </c>
      <c r="C115" s="11"/>
      <c r="D115" s="11"/>
      <c r="E115" s="18">
        <f>+'SERVICIO FAENA'!E115</f>
        <v>0</v>
      </c>
      <c r="F115" s="11"/>
      <c r="G115" s="180" t="e">
        <f t="shared" si="9"/>
        <v>#DIV/0!</v>
      </c>
      <c r="H115" s="11"/>
      <c r="I115" s="11"/>
      <c r="J115" s="180" t="e">
        <f t="shared" si="10"/>
        <v>#DIV/0!</v>
      </c>
      <c r="K115" s="100"/>
      <c r="L115" s="100"/>
      <c r="M115" s="100"/>
      <c r="N115" s="100">
        <f t="shared" si="11"/>
        <v>0</v>
      </c>
      <c r="O115" s="100"/>
      <c r="P115" s="41">
        <v>880</v>
      </c>
      <c r="Q115" s="11"/>
      <c r="R115" s="41">
        <v>260</v>
      </c>
      <c r="S115" s="185"/>
      <c r="T115" s="185"/>
      <c r="U115" s="185"/>
      <c r="V115" s="185"/>
      <c r="W115" s="41">
        <f t="shared" si="12"/>
        <v>0</v>
      </c>
      <c r="X115" s="41">
        <f t="shared" si="8"/>
        <v>0</v>
      </c>
      <c r="Y115" s="11"/>
      <c r="Z115" s="11"/>
      <c r="AA115" s="11"/>
      <c r="AB115" s="11"/>
      <c r="AC115" s="24"/>
    </row>
    <row r="116" spans="1:29" x14ac:dyDescent="0.2">
      <c r="A116" s="11">
        <f>+'SERVICIO FAENA'!A116</f>
        <v>0</v>
      </c>
      <c r="B116" s="11">
        <f>+'SERVICIO FAENA'!B116</f>
        <v>0</v>
      </c>
      <c r="C116" s="11"/>
      <c r="D116" s="11"/>
      <c r="E116" s="18">
        <f>+'SERVICIO FAENA'!E116</f>
        <v>0</v>
      </c>
      <c r="F116" s="11"/>
      <c r="G116" s="180" t="e">
        <f t="shared" si="9"/>
        <v>#DIV/0!</v>
      </c>
      <c r="H116" s="11"/>
      <c r="I116" s="11"/>
      <c r="J116" s="180" t="e">
        <f t="shared" si="10"/>
        <v>#DIV/0!</v>
      </c>
      <c r="K116" s="100"/>
      <c r="L116" s="100"/>
      <c r="M116" s="100"/>
      <c r="N116" s="100">
        <f t="shared" si="11"/>
        <v>0</v>
      </c>
      <c r="O116" s="100"/>
      <c r="P116" s="41">
        <v>880</v>
      </c>
      <c r="Q116" s="11"/>
      <c r="R116" s="41">
        <v>260</v>
      </c>
      <c r="S116" s="185"/>
      <c r="T116" s="185"/>
      <c r="U116" s="185"/>
      <c r="V116" s="185"/>
      <c r="W116" s="41">
        <f t="shared" si="12"/>
        <v>0</v>
      </c>
      <c r="X116" s="41">
        <f t="shared" si="8"/>
        <v>0</v>
      </c>
      <c r="Y116" s="11"/>
      <c r="Z116" s="11"/>
      <c r="AA116" s="11"/>
      <c r="AB116" s="11"/>
      <c r="AC116" s="24"/>
    </row>
    <row r="117" spans="1:29" x14ac:dyDescent="0.2">
      <c r="A117" s="11">
        <f>+'SERVICIO FAENA'!A117</f>
        <v>0</v>
      </c>
      <c r="B117" s="11">
        <f>+'SERVICIO FAENA'!B117</f>
        <v>0</v>
      </c>
      <c r="C117" s="11"/>
      <c r="D117" s="11"/>
      <c r="E117" s="18">
        <f>+'SERVICIO FAENA'!E117</f>
        <v>0</v>
      </c>
      <c r="F117" s="11"/>
      <c r="G117" s="180" t="e">
        <f t="shared" si="9"/>
        <v>#DIV/0!</v>
      </c>
      <c r="H117" s="11"/>
      <c r="I117" s="11"/>
      <c r="J117" s="180" t="e">
        <f t="shared" si="10"/>
        <v>#DIV/0!</v>
      </c>
      <c r="K117" s="100"/>
      <c r="L117" s="100"/>
      <c r="M117" s="100"/>
      <c r="N117" s="100">
        <f t="shared" si="11"/>
        <v>0</v>
      </c>
      <c r="O117" s="100"/>
      <c r="P117" s="41">
        <v>880</v>
      </c>
      <c r="Q117" s="11"/>
      <c r="R117" s="41">
        <v>260</v>
      </c>
      <c r="S117" s="185"/>
      <c r="T117" s="185"/>
      <c r="U117" s="185"/>
      <c r="V117" s="185"/>
      <c r="W117" s="41">
        <f t="shared" si="12"/>
        <v>0</v>
      </c>
      <c r="X117" s="41">
        <f t="shared" si="8"/>
        <v>0</v>
      </c>
      <c r="Y117" s="11"/>
      <c r="Z117" s="11"/>
      <c r="AA117" s="11"/>
      <c r="AB117" s="11"/>
      <c r="AC117" s="24"/>
    </row>
    <row r="118" spans="1:29" x14ac:dyDescent="0.2">
      <c r="A118" s="11">
        <f>+'SERVICIO FAENA'!A118</f>
        <v>0</v>
      </c>
      <c r="B118" s="11">
        <f>+'SERVICIO FAENA'!B118</f>
        <v>0</v>
      </c>
      <c r="C118" s="11"/>
      <c r="D118" s="11"/>
      <c r="E118" s="18">
        <f>+'SERVICIO FAENA'!E118</f>
        <v>0</v>
      </c>
      <c r="F118" s="11"/>
      <c r="G118" s="180" t="e">
        <f t="shared" si="9"/>
        <v>#DIV/0!</v>
      </c>
      <c r="H118" s="11"/>
      <c r="I118" s="11"/>
      <c r="J118" s="180" t="e">
        <f t="shared" si="10"/>
        <v>#DIV/0!</v>
      </c>
      <c r="K118" s="100"/>
      <c r="L118" s="100"/>
      <c r="M118" s="100"/>
      <c r="N118" s="100">
        <f t="shared" si="11"/>
        <v>0</v>
      </c>
      <c r="O118" s="100"/>
      <c r="P118" s="41">
        <v>880</v>
      </c>
      <c r="Q118" s="11"/>
      <c r="R118" s="41">
        <v>260</v>
      </c>
      <c r="S118" s="185"/>
      <c r="T118" s="185"/>
      <c r="U118" s="185"/>
      <c r="V118" s="185"/>
      <c r="W118" s="41">
        <f t="shared" si="12"/>
        <v>0</v>
      </c>
      <c r="X118" s="41">
        <f t="shared" si="8"/>
        <v>0</v>
      </c>
      <c r="Y118" s="11"/>
      <c r="Z118" s="11"/>
      <c r="AA118" s="11"/>
      <c r="AB118" s="11"/>
      <c r="AC118" s="24"/>
    </row>
    <row r="119" spans="1:29" x14ac:dyDescent="0.2">
      <c r="A119" s="11">
        <f>+'SERVICIO FAENA'!A119</f>
        <v>0</v>
      </c>
      <c r="B119" s="11">
        <f>+'SERVICIO FAENA'!B119</f>
        <v>0</v>
      </c>
      <c r="C119" s="11"/>
      <c r="D119" s="11"/>
      <c r="E119" s="18">
        <f>+'SERVICIO FAENA'!E119</f>
        <v>0</v>
      </c>
      <c r="F119" s="11"/>
      <c r="G119" s="180" t="e">
        <f t="shared" si="9"/>
        <v>#DIV/0!</v>
      </c>
      <c r="H119" s="11"/>
      <c r="I119" s="11"/>
      <c r="J119" s="180" t="e">
        <f t="shared" si="10"/>
        <v>#DIV/0!</v>
      </c>
      <c r="K119" s="100"/>
      <c r="L119" s="100"/>
      <c r="M119" s="100"/>
      <c r="N119" s="100">
        <f t="shared" si="11"/>
        <v>0</v>
      </c>
      <c r="O119" s="100"/>
      <c r="P119" s="41">
        <v>880</v>
      </c>
      <c r="Q119" s="11"/>
      <c r="R119" s="41">
        <v>260</v>
      </c>
      <c r="S119" s="185"/>
      <c r="T119" s="185"/>
      <c r="U119" s="185"/>
      <c r="V119" s="185"/>
      <c r="W119" s="41">
        <f t="shared" si="12"/>
        <v>0</v>
      </c>
      <c r="X119" s="41">
        <f t="shared" si="8"/>
        <v>0</v>
      </c>
      <c r="Y119" s="11"/>
      <c r="Z119" s="11"/>
      <c r="AA119" s="11"/>
      <c r="AB119" s="11"/>
      <c r="AC119" s="24"/>
    </row>
    <row r="120" spans="1:29" x14ac:dyDescent="0.2">
      <c r="A120" s="11">
        <f>+'SERVICIO FAENA'!A120</f>
        <v>0</v>
      </c>
      <c r="B120" s="11">
        <f>+'SERVICIO FAENA'!B120</f>
        <v>0</v>
      </c>
      <c r="C120" s="11"/>
      <c r="D120" s="11"/>
      <c r="E120" s="18">
        <f>+'SERVICIO FAENA'!E120</f>
        <v>0</v>
      </c>
      <c r="F120" s="11"/>
      <c r="G120" s="180" t="e">
        <f t="shared" si="9"/>
        <v>#DIV/0!</v>
      </c>
      <c r="H120" s="11"/>
      <c r="I120" s="11"/>
      <c r="J120" s="180" t="e">
        <f t="shared" si="10"/>
        <v>#DIV/0!</v>
      </c>
      <c r="K120" s="100"/>
      <c r="L120" s="100"/>
      <c r="M120" s="100"/>
      <c r="N120" s="100">
        <f t="shared" si="11"/>
        <v>0</v>
      </c>
      <c r="O120" s="100"/>
      <c r="P120" s="41">
        <v>880</v>
      </c>
      <c r="Q120" s="11"/>
      <c r="R120" s="41">
        <v>260</v>
      </c>
      <c r="S120" s="185"/>
      <c r="T120" s="185"/>
      <c r="U120" s="185"/>
      <c r="V120" s="185"/>
      <c r="W120" s="41">
        <f t="shared" si="12"/>
        <v>0</v>
      </c>
      <c r="X120" s="41">
        <f t="shared" si="8"/>
        <v>0</v>
      </c>
      <c r="Y120" s="11"/>
      <c r="Z120" s="11"/>
      <c r="AA120" s="11"/>
      <c r="AB120" s="11"/>
      <c r="AC120" s="24"/>
    </row>
    <row r="121" spans="1:29" x14ac:dyDescent="0.2">
      <c r="A121" s="11">
        <f>+'SERVICIO FAENA'!A121</f>
        <v>0</v>
      </c>
      <c r="B121" s="11">
        <f>+'SERVICIO FAENA'!B121</f>
        <v>0</v>
      </c>
      <c r="C121" s="11"/>
      <c r="D121" s="11"/>
      <c r="E121" s="18">
        <f>+'SERVICIO FAENA'!E121</f>
        <v>0</v>
      </c>
      <c r="F121" s="11"/>
      <c r="G121" s="180" t="e">
        <f t="shared" si="9"/>
        <v>#DIV/0!</v>
      </c>
      <c r="H121" s="11"/>
      <c r="I121" s="11"/>
      <c r="J121" s="180" t="e">
        <f t="shared" si="10"/>
        <v>#DIV/0!</v>
      </c>
      <c r="K121" s="100"/>
      <c r="L121" s="100"/>
      <c r="M121" s="100"/>
      <c r="N121" s="100">
        <f t="shared" si="11"/>
        <v>0</v>
      </c>
      <c r="O121" s="100"/>
      <c r="P121" s="41">
        <v>880</v>
      </c>
      <c r="Q121" s="11"/>
      <c r="R121" s="41">
        <v>260</v>
      </c>
      <c r="S121" s="185"/>
      <c r="T121" s="185"/>
      <c r="U121" s="185"/>
      <c r="V121" s="185"/>
      <c r="W121" s="41">
        <f t="shared" si="12"/>
        <v>0</v>
      </c>
      <c r="X121" s="41">
        <f t="shared" si="8"/>
        <v>0</v>
      </c>
      <c r="Y121" s="11"/>
      <c r="Z121" s="11"/>
      <c r="AA121" s="11"/>
      <c r="AB121" s="11"/>
      <c r="AC121" s="24"/>
    </row>
    <row r="122" spans="1:29" x14ac:dyDescent="0.2">
      <c r="A122" s="11">
        <f>+'SERVICIO FAENA'!A122</f>
        <v>0</v>
      </c>
      <c r="B122" s="11">
        <f>+'SERVICIO FAENA'!B122</f>
        <v>0</v>
      </c>
      <c r="C122" s="11"/>
      <c r="D122" s="11"/>
      <c r="E122" s="18">
        <f>+'SERVICIO FAENA'!E122</f>
        <v>0</v>
      </c>
      <c r="F122" s="11"/>
      <c r="G122" s="180" t="e">
        <f t="shared" si="9"/>
        <v>#DIV/0!</v>
      </c>
      <c r="H122" s="11"/>
      <c r="I122" s="11"/>
      <c r="J122" s="180" t="e">
        <f t="shared" si="10"/>
        <v>#DIV/0!</v>
      </c>
      <c r="K122" s="100"/>
      <c r="L122" s="100"/>
      <c r="M122" s="100"/>
      <c r="N122" s="100">
        <f t="shared" si="11"/>
        <v>0</v>
      </c>
      <c r="O122" s="100"/>
      <c r="P122" s="41">
        <v>880</v>
      </c>
      <c r="Q122" s="11"/>
      <c r="R122" s="41">
        <v>260</v>
      </c>
      <c r="S122" s="185"/>
      <c r="T122" s="185"/>
      <c r="U122" s="185"/>
      <c r="V122" s="185"/>
      <c r="W122" s="41">
        <f t="shared" si="12"/>
        <v>0</v>
      </c>
      <c r="X122" s="41">
        <f t="shared" si="8"/>
        <v>0</v>
      </c>
      <c r="Y122" s="11"/>
      <c r="Z122" s="11"/>
      <c r="AA122" s="11"/>
      <c r="AB122" s="11"/>
      <c r="AC122" s="24"/>
    </row>
    <row r="123" spans="1:29" x14ac:dyDescent="0.2">
      <c r="A123" s="11">
        <f>+'SERVICIO FAENA'!A123</f>
        <v>0</v>
      </c>
      <c r="B123" s="11">
        <f>+'SERVICIO FAENA'!B123</f>
        <v>0</v>
      </c>
      <c r="C123" s="11"/>
      <c r="D123" s="11"/>
      <c r="E123" s="18">
        <f>+'SERVICIO FAENA'!E123</f>
        <v>0</v>
      </c>
      <c r="F123" s="11"/>
      <c r="G123" s="180" t="e">
        <f t="shared" si="9"/>
        <v>#DIV/0!</v>
      </c>
      <c r="H123" s="11"/>
      <c r="I123" s="11"/>
      <c r="J123" s="180" t="e">
        <f t="shared" si="10"/>
        <v>#DIV/0!</v>
      </c>
      <c r="K123" s="100"/>
      <c r="L123" s="100"/>
      <c r="M123" s="100"/>
      <c r="N123" s="100">
        <f t="shared" si="11"/>
        <v>0</v>
      </c>
      <c r="O123" s="100"/>
      <c r="P123" s="41">
        <v>880</v>
      </c>
      <c r="Q123" s="11"/>
      <c r="R123" s="41">
        <v>260</v>
      </c>
      <c r="S123" s="185"/>
      <c r="T123" s="185"/>
      <c r="U123" s="185"/>
      <c r="V123" s="185"/>
      <c r="W123" s="41">
        <f t="shared" si="12"/>
        <v>0</v>
      </c>
      <c r="X123" s="41">
        <f t="shared" si="8"/>
        <v>0</v>
      </c>
      <c r="Y123" s="11"/>
      <c r="Z123" s="11"/>
      <c r="AA123" s="11"/>
      <c r="AB123" s="11"/>
      <c r="AC123" s="24"/>
    </row>
    <row r="124" spans="1:29" x14ac:dyDescent="0.2">
      <c r="A124" s="11">
        <f>+'SERVICIO FAENA'!A124</f>
        <v>0</v>
      </c>
      <c r="B124" s="11">
        <f>+'SERVICIO FAENA'!B124</f>
        <v>0</v>
      </c>
      <c r="C124" s="11"/>
      <c r="D124" s="11"/>
      <c r="E124" s="18">
        <f>+'SERVICIO FAENA'!E124</f>
        <v>0</v>
      </c>
      <c r="F124" s="11"/>
      <c r="G124" s="180" t="e">
        <f t="shared" si="9"/>
        <v>#DIV/0!</v>
      </c>
      <c r="H124" s="11"/>
      <c r="I124" s="11"/>
      <c r="J124" s="180" t="e">
        <f t="shared" si="10"/>
        <v>#DIV/0!</v>
      </c>
      <c r="K124" s="100"/>
      <c r="L124" s="100"/>
      <c r="M124" s="100"/>
      <c r="N124" s="100">
        <f t="shared" si="11"/>
        <v>0</v>
      </c>
      <c r="O124" s="100"/>
      <c r="P124" s="41">
        <v>880</v>
      </c>
      <c r="Q124" s="11"/>
      <c r="R124" s="41">
        <v>260</v>
      </c>
      <c r="S124" s="185"/>
      <c r="T124" s="185"/>
      <c r="U124" s="185"/>
      <c r="V124" s="185"/>
      <c r="W124" s="41">
        <f t="shared" si="12"/>
        <v>0</v>
      </c>
      <c r="X124" s="41">
        <f t="shared" si="8"/>
        <v>0</v>
      </c>
      <c r="Y124" s="11"/>
      <c r="Z124" s="11"/>
      <c r="AA124" s="11"/>
      <c r="AB124" s="11"/>
      <c r="AC124" s="24"/>
    </row>
    <row r="125" spans="1:29" x14ac:dyDescent="0.2">
      <c r="A125" s="11">
        <f>+'SERVICIO FAENA'!A125</f>
        <v>0</v>
      </c>
      <c r="B125" s="11">
        <f>+'SERVICIO FAENA'!B125</f>
        <v>0</v>
      </c>
      <c r="C125" s="11"/>
      <c r="D125" s="11"/>
      <c r="E125" s="18">
        <f>+'SERVICIO FAENA'!E125</f>
        <v>0</v>
      </c>
      <c r="F125" s="11"/>
      <c r="G125" s="180" t="e">
        <f t="shared" si="9"/>
        <v>#DIV/0!</v>
      </c>
      <c r="H125" s="11"/>
      <c r="I125" s="11"/>
      <c r="J125" s="180" t="e">
        <f t="shared" si="10"/>
        <v>#DIV/0!</v>
      </c>
      <c r="K125" s="100"/>
      <c r="L125" s="100"/>
      <c r="M125" s="100"/>
      <c r="N125" s="100">
        <f t="shared" si="11"/>
        <v>0</v>
      </c>
      <c r="O125" s="100"/>
      <c r="P125" s="41">
        <v>880</v>
      </c>
      <c r="Q125" s="11"/>
      <c r="R125" s="41">
        <v>260</v>
      </c>
      <c r="S125" s="185"/>
      <c r="T125" s="185"/>
      <c r="U125" s="185"/>
      <c r="V125" s="185"/>
      <c r="W125" s="41">
        <f t="shared" si="12"/>
        <v>0</v>
      </c>
      <c r="X125" s="41">
        <f t="shared" si="8"/>
        <v>0</v>
      </c>
      <c r="Y125" s="11"/>
      <c r="Z125" s="11"/>
      <c r="AA125" s="11"/>
      <c r="AB125" s="11"/>
      <c r="AC125" s="24"/>
    </row>
    <row r="126" spans="1:29" x14ac:dyDescent="0.2">
      <c r="A126" s="11">
        <f>+'SERVICIO FAENA'!A126</f>
        <v>0</v>
      </c>
      <c r="B126" s="11">
        <f>+'SERVICIO FAENA'!B126</f>
        <v>0</v>
      </c>
      <c r="C126" s="11"/>
      <c r="D126" s="11"/>
      <c r="E126" s="18">
        <f>+'SERVICIO FAENA'!E126</f>
        <v>0</v>
      </c>
      <c r="F126" s="11"/>
      <c r="G126" s="180" t="e">
        <f t="shared" si="9"/>
        <v>#DIV/0!</v>
      </c>
      <c r="H126" s="11"/>
      <c r="I126" s="11"/>
      <c r="J126" s="180" t="e">
        <f t="shared" si="10"/>
        <v>#DIV/0!</v>
      </c>
      <c r="K126" s="100"/>
      <c r="L126" s="100"/>
      <c r="M126" s="100"/>
      <c r="N126" s="100">
        <f t="shared" si="11"/>
        <v>0</v>
      </c>
      <c r="O126" s="100"/>
      <c r="P126" s="41">
        <v>880</v>
      </c>
      <c r="Q126" s="11"/>
      <c r="R126" s="41">
        <v>260</v>
      </c>
      <c r="S126" s="185"/>
      <c r="T126" s="185"/>
      <c r="U126" s="185"/>
      <c r="V126" s="185"/>
      <c r="W126" s="41">
        <f t="shared" si="12"/>
        <v>0</v>
      </c>
      <c r="X126" s="41">
        <f t="shared" si="8"/>
        <v>0</v>
      </c>
      <c r="Y126" s="11"/>
      <c r="Z126" s="11"/>
      <c r="AA126" s="11"/>
      <c r="AB126" s="11"/>
      <c r="AC126" s="24"/>
    </row>
    <row r="127" spans="1:29" x14ac:dyDescent="0.2">
      <c r="A127" s="11">
        <f>+'SERVICIO FAENA'!A127</f>
        <v>0</v>
      </c>
      <c r="B127" s="11">
        <f>+'SERVICIO FAENA'!B127</f>
        <v>0</v>
      </c>
      <c r="C127" s="11"/>
      <c r="D127" s="11"/>
      <c r="E127" s="18">
        <f>+'SERVICIO FAENA'!E127</f>
        <v>0</v>
      </c>
      <c r="F127" s="11"/>
      <c r="G127" s="180" t="e">
        <f t="shared" si="9"/>
        <v>#DIV/0!</v>
      </c>
      <c r="H127" s="11"/>
      <c r="I127" s="11"/>
      <c r="J127" s="180" t="e">
        <f t="shared" si="10"/>
        <v>#DIV/0!</v>
      </c>
      <c r="K127" s="100"/>
      <c r="L127" s="100"/>
      <c r="M127" s="100"/>
      <c r="N127" s="100">
        <f t="shared" si="11"/>
        <v>0</v>
      </c>
      <c r="O127" s="100"/>
      <c r="P127" s="41">
        <v>880</v>
      </c>
      <c r="Q127" s="11"/>
      <c r="R127" s="41">
        <v>260</v>
      </c>
      <c r="S127" s="185"/>
      <c r="T127" s="185"/>
      <c r="U127" s="185"/>
      <c r="V127" s="185"/>
      <c r="W127" s="41">
        <f t="shared" si="12"/>
        <v>0</v>
      </c>
      <c r="X127" s="41">
        <f t="shared" si="8"/>
        <v>0</v>
      </c>
      <c r="Y127" s="11"/>
      <c r="Z127" s="11"/>
      <c r="AA127" s="11"/>
      <c r="AB127" s="11"/>
      <c r="AC127" s="24"/>
    </row>
    <row r="128" spans="1:29" x14ac:dyDescent="0.2">
      <c r="A128" s="11">
        <f>+'SERVICIO FAENA'!A128</f>
        <v>0</v>
      </c>
      <c r="B128" s="11">
        <f>+'SERVICIO FAENA'!B128</f>
        <v>0</v>
      </c>
      <c r="C128" s="11"/>
      <c r="D128" s="11"/>
      <c r="E128" s="18">
        <f>+'SERVICIO FAENA'!E128</f>
        <v>0</v>
      </c>
      <c r="F128" s="11"/>
      <c r="G128" s="180" t="e">
        <f t="shared" si="9"/>
        <v>#DIV/0!</v>
      </c>
      <c r="H128" s="11"/>
      <c r="I128" s="11"/>
      <c r="J128" s="180" t="e">
        <f t="shared" si="10"/>
        <v>#DIV/0!</v>
      </c>
      <c r="K128" s="100"/>
      <c r="L128" s="100"/>
      <c r="M128" s="100"/>
      <c r="N128" s="100">
        <f t="shared" si="11"/>
        <v>0</v>
      </c>
      <c r="O128" s="100"/>
      <c r="P128" s="41">
        <v>880</v>
      </c>
      <c r="Q128" s="11"/>
      <c r="R128" s="41">
        <v>260</v>
      </c>
      <c r="S128" s="185"/>
      <c r="T128" s="185"/>
      <c r="U128" s="185"/>
      <c r="V128" s="185"/>
      <c r="W128" s="41">
        <f t="shared" si="12"/>
        <v>0</v>
      </c>
      <c r="X128" s="41">
        <f t="shared" si="8"/>
        <v>0</v>
      </c>
      <c r="Y128" s="11"/>
      <c r="Z128" s="11"/>
      <c r="AA128" s="11"/>
      <c r="AB128" s="11"/>
      <c r="AC128" s="24"/>
    </row>
    <row r="129" spans="1:29" x14ac:dyDescent="0.2">
      <c r="A129" s="11">
        <f>+'SERVICIO FAENA'!A129</f>
        <v>0</v>
      </c>
      <c r="B129" s="11">
        <f>+'SERVICIO FAENA'!B129</f>
        <v>0</v>
      </c>
      <c r="C129" s="11"/>
      <c r="D129" s="11"/>
      <c r="E129" s="18">
        <f>+'SERVICIO FAENA'!E129</f>
        <v>0</v>
      </c>
      <c r="F129" s="11"/>
      <c r="G129" s="180" t="e">
        <f t="shared" si="9"/>
        <v>#DIV/0!</v>
      </c>
      <c r="H129" s="11"/>
      <c r="I129" s="11"/>
      <c r="J129" s="180" t="e">
        <f t="shared" si="10"/>
        <v>#DIV/0!</v>
      </c>
      <c r="K129" s="100"/>
      <c r="L129" s="100"/>
      <c r="M129" s="100"/>
      <c r="N129" s="100">
        <f t="shared" si="11"/>
        <v>0</v>
      </c>
      <c r="O129" s="100"/>
      <c r="P129" s="41">
        <v>880</v>
      </c>
      <c r="Q129" s="11"/>
      <c r="R129" s="41">
        <v>260</v>
      </c>
      <c r="S129" s="185"/>
      <c r="T129" s="185"/>
      <c r="U129" s="185"/>
      <c r="V129" s="185"/>
      <c r="W129" s="41">
        <f t="shared" si="12"/>
        <v>0</v>
      </c>
      <c r="X129" s="41">
        <f t="shared" si="8"/>
        <v>0</v>
      </c>
      <c r="Y129" s="11"/>
      <c r="Z129" s="11"/>
      <c r="AA129" s="11"/>
      <c r="AB129" s="11"/>
      <c r="AC129" s="24"/>
    </row>
    <row r="130" spans="1:29" x14ac:dyDescent="0.2">
      <c r="A130" s="11">
        <f>+'SERVICIO FAENA'!A130</f>
        <v>0</v>
      </c>
      <c r="B130" s="11">
        <f>+'SERVICIO FAENA'!B130</f>
        <v>0</v>
      </c>
      <c r="C130" s="11"/>
      <c r="D130" s="11"/>
      <c r="E130" s="18">
        <f>+'SERVICIO FAENA'!E130</f>
        <v>0</v>
      </c>
      <c r="F130" s="11"/>
      <c r="G130" s="180" t="e">
        <f t="shared" si="9"/>
        <v>#DIV/0!</v>
      </c>
      <c r="H130" s="11"/>
      <c r="I130" s="11"/>
      <c r="J130" s="180" t="e">
        <f t="shared" si="10"/>
        <v>#DIV/0!</v>
      </c>
      <c r="K130" s="100"/>
      <c r="L130" s="100"/>
      <c r="M130" s="100"/>
      <c r="N130" s="100">
        <f t="shared" si="11"/>
        <v>0</v>
      </c>
      <c r="O130" s="100"/>
      <c r="P130" s="41">
        <v>880</v>
      </c>
      <c r="Q130" s="11"/>
      <c r="R130" s="41">
        <v>260</v>
      </c>
      <c r="S130" s="185"/>
      <c r="T130" s="185"/>
      <c r="U130" s="185"/>
      <c r="V130" s="185"/>
      <c r="W130" s="41">
        <f t="shared" si="12"/>
        <v>0</v>
      </c>
      <c r="X130" s="41">
        <f t="shared" si="8"/>
        <v>0</v>
      </c>
      <c r="Y130" s="11"/>
      <c r="Z130" s="11"/>
      <c r="AA130" s="11"/>
      <c r="AB130" s="11"/>
      <c r="AC130" s="24"/>
    </row>
    <row r="131" spans="1:29" x14ac:dyDescent="0.2">
      <c r="A131" s="11">
        <f>+'SERVICIO FAENA'!A131</f>
        <v>0</v>
      </c>
      <c r="B131" s="11">
        <f>+'SERVICIO FAENA'!B131</f>
        <v>0</v>
      </c>
      <c r="C131" s="11"/>
      <c r="D131" s="11"/>
      <c r="E131" s="18">
        <f>+'SERVICIO FAENA'!E131</f>
        <v>0</v>
      </c>
      <c r="F131" s="11"/>
      <c r="G131" s="180" t="e">
        <f t="shared" si="9"/>
        <v>#DIV/0!</v>
      </c>
      <c r="H131" s="11"/>
      <c r="I131" s="11"/>
      <c r="J131" s="180" t="e">
        <f t="shared" si="10"/>
        <v>#DIV/0!</v>
      </c>
      <c r="K131" s="100"/>
      <c r="L131" s="100"/>
      <c r="M131" s="100"/>
      <c r="N131" s="100">
        <f t="shared" si="11"/>
        <v>0</v>
      </c>
      <c r="O131" s="100"/>
      <c r="P131" s="41">
        <v>880</v>
      </c>
      <c r="Q131" s="11"/>
      <c r="R131" s="41">
        <v>260</v>
      </c>
      <c r="S131" s="185"/>
      <c r="T131" s="185"/>
      <c r="U131" s="185"/>
      <c r="V131" s="185"/>
      <c r="W131" s="41">
        <f t="shared" si="12"/>
        <v>0</v>
      </c>
      <c r="X131" s="41">
        <f t="shared" ref="X131:X194" si="13">+((O131*P131)+(Q131*R131))*1.21</f>
        <v>0</v>
      </c>
      <c r="Y131" s="11"/>
      <c r="Z131" s="11"/>
      <c r="AA131" s="11"/>
      <c r="AB131" s="11"/>
      <c r="AC131" s="24"/>
    </row>
    <row r="132" spans="1:29" x14ac:dyDescent="0.2">
      <c r="A132" s="11">
        <f>+'SERVICIO FAENA'!A132</f>
        <v>0</v>
      </c>
      <c r="B132" s="11">
        <f>+'SERVICIO FAENA'!B132</f>
        <v>0</v>
      </c>
      <c r="C132" s="11"/>
      <c r="D132" s="11"/>
      <c r="E132" s="18">
        <f>+'SERVICIO FAENA'!E132</f>
        <v>0</v>
      </c>
      <c r="F132" s="11"/>
      <c r="G132" s="180" t="e">
        <f t="shared" ref="G132:G195" si="14">+F132/D132</f>
        <v>#DIV/0!</v>
      </c>
      <c r="H132" s="11"/>
      <c r="I132" s="11"/>
      <c r="J132" s="180" t="e">
        <f t="shared" si="10"/>
        <v>#DIV/0!</v>
      </c>
      <c r="K132" s="100"/>
      <c r="L132" s="100"/>
      <c r="M132" s="100"/>
      <c r="N132" s="100">
        <f t="shared" si="11"/>
        <v>0</v>
      </c>
      <c r="O132" s="100"/>
      <c r="P132" s="41">
        <v>880</v>
      </c>
      <c r="Q132" s="11"/>
      <c r="R132" s="41">
        <v>260</v>
      </c>
      <c r="S132" s="185"/>
      <c r="T132" s="185"/>
      <c r="U132" s="185"/>
      <c r="V132" s="185"/>
      <c r="W132" s="41">
        <f t="shared" si="12"/>
        <v>0</v>
      </c>
      <c r="X132" s="41">
        <f t="shared" si="13"/>
        <v>0</v>
      </c>
      <c r="Y132" s="11"/>
      <c r="Z132" s="11"/>
      <c r="AA132" s="11"/>
      <c r="AB132" s="11"/>
      <c r="AC132" s="24"/>
    </row>
    <row r="133" spans="1:29" x14ac:dyDescent="0.2">
      <c r="A133" s="11">
        <f>+'SERVICIO FAENA'!A133</f>
        <v>0</v>
      </c>
      <c r="B133" s="11">
        <f>+'SERVICIO FAENA'!B133</f>
        <v>0</v>
      </c>
      <c r="C133" s="11"/>
      <c r="D133" s="11"/>
      <c r="E133" s="18">
        <f>+'SERVICIO FAENA'!E133</f>
        <v>0</v>
      </c>
      <c r="F133" s="11"/>
      <c r="G133" s="180" t="e">
        <f t="shared" si="14"/>
        <v>#DIV/0!</v>
      </c>
      <c r="H133" s="11"/>
      <c r="I133" s="11"/>
      <c r="J133" s="180" t="e">
        <f t="shared" si="10"/>
        <v>#DIV/0!</v>
      </c>
      <c r="K133" s="100"/>
      <c r="L133" s="100"/>
      <c r="M133" s="100"/>
      <c r="N133" s="100">
        <f t="shared" si="11"/>
        <v>0</v>
      </c>
      <c r="O133" s="100"/>
      <c r="P133" s="41">
        <v>880</v>
      </c>
      <c r="Q133" s="11"/>
      <c r="R133" s="41">
        <v>260</v>
      </c>
      <c r="S133" s="185"/>
      <c r="T133" s="185"/>
      <c r="U133" s="185"/>
      <c r="V133" s="185"/>
      <c r="W133" s="41">
        <f t="shared" si="12"/>
        <v>0</v>
      </c>
      <c r="X133" s="41">
        <f t="shared" si="13"/>
        <v>0</v>
      </c>
      <c r="Y133" s="11"/>
      <c r="Z133" s="11"/>
      <c r="AA133" s="11"/>
      <c r="AB133" s="11"/>
      <c r="AC133" s="24"/>
    </row>
    <row r="134" spans="1:29" x14ac:dyDescent="0.2">
      <c r="A134" s="11">
        <f>+'SERVICIO FAENA'!A134</f>
        <v>0</v>
      </c>
      <c r="B134" s="11">
        <f>+'SERVICIO FAENA'!B134</f>
        <v>0</v>
      </c>
      <c r="C134" s="11"/>
      <c r="D134" s="11"/>
      <c r="E134" s="18">
        <f>+'SERVICIO FAENA'!E134</f>
        <v>0</v>
      </c>
      <c r="F134" s="11"/>
      <c r="G134" s="180" t="e">
        <f t="shared" si="14"/>
        <v>#DIV/0!</v>
      </c>
      <c r="H134" s="11"/>
      <c r="I134" s="11"/>
      <c r="J134" s="180" t="e">
        <f t="shared" si="10"/>
        <v>#DIV/0!</v>
      </c>
      <c r="K134" s="100"/>
      <c r="L134" s="100"/>
      <c r="M134" s="100"/>
      <c r="N134" s="100">
        <f t="shared" si="11"/>
        <v>0</v>
      </c>
      <c r="O134" s="100"/>
      <c r="P134" s="41">
        <v>880</v>
      </c>
      <c r="Q134" s="11"/>
      <c r="R134" s="41">
        <v>260</v>
      </c>
      <c r="S134" s="185"/>
      <c r="T134" s="185"/>
      <c r="U134" s="185"/>
      <c r="V134" s="185"/>
      <c r="W134" s="41">
        <f t="shared" si="12"/>
        <v>0</v>
      </c>
      <c r="X134" s="41">
        <f t="shared" si="13"/>
        <v>0</v>
      </c>
      <c r="Y134" s="11"/>
      <c r="Z134" s="11"/>
      <c r="AA134" s="11"/>
      <c r="AB134" s="11"/>
      <c r="AC134" s="24"/>
    </row>
    <row r="135" spans="1:29" x14ac:dyDescent="0.2">
      <c r="A135" s="11">
        <f>+'SERVICIO FAENA'!A135</f>
        <v>0</v>
      </c>
      <c r="B135" s="11">
        <f>+'SERVICIO FAENA'!B135</f>
        <v>0</v>
      </c>
      <c r="C135" s="11"/>
      <c r="D135" s="11"/>
      <c r="E135" s="18">
        <f>+'SERVICIO FAENA'!E135</f>
        <v>0</v>
      </c>
      <c r="F135" s="11"/>
      <c r="G135" s="180" t="e">
        <f t="shared" si="14"/>
        <v>#DIV/0!</v>
      </c>
      <c r="H135" s="11"/>
      <c r="I135" s="11"/>
      <c r="J135" s="180" t="e">
        <f t="shared" si="10"/>
        <v>#DIV/0!</v>
      </c>
      <c r="K135" s="100"/>
      <c r="L135" s="100"/>
      <c r="M135" s="100"/>
      <c r="N135" s="100">
        <f t="shared" si="11"/>
        <v>0</v>
      </c>
      <c r="O135" s="100"/>
      <c r="P135" s="41">
        <v>880</v>
      </c>
      <c r="Q135" s="11"/>
      <c r="R135" s="41">
        <v>260</v>
      </c>
      <c r="S135" s="185"/>
      <c r="T135" s="185"/>
      <c r="U135" s="185"/>
      <c r="V135" s="185"/>
      <c r="W135" s="41">
        <f t="shared" si="12"/>
        <v>0</v>
      </c>
      <c r="X135" s="41">
        <f t="shared" si="13"/>
        <v>0</v>
      </c>
      <c r="Y135" s="11"/>
      <c r="Z135" s="11"/>
      <c r="AA135" s="11"/>
      <c r="AB135" s="11"/>
      <c r="AC135" s="24"/>
    </row>
    <row r="136" spans="1:29" x14ac:dyDescent="0.2">
      <c r="A136" s="11">
        <f>+'SERVICIO FAENA'!A136</f>
        <v>0</v>
      </c>
      <c r="B136" s="11">
        <f>+'SERVICIO FAENA'!B136</f>
        <v>0</v>
      </c>
      <c r="C136" s="11"/>
      <c r="D136" s="11"/>
      <c r="E136" s="18">
        <f>+'SERVICIO FAENA'!E136</f>
        <v>0</v>
      </c>
      <c r="F136" s="11"/>
      <c r="G136" s="180" t="e">
        <f t="shared" si="14"/>
        <v>#DIV/0!</v>
      </c>
      <c r="H136" s="11"/>
      <c r="I136" s="11"/>
      <c r="J136" s="180" t="e">
        <f t="shared" si="10"/>
        <v>#DIV/0!</v>
      </c>
      <c r="K136" s="100"/>
      <c r="L136" s="100"/>
      <c r="M136" s="100"/>
      <c r="N136" s="100">
        <f t="shared" si="11"/>
        <v>0</v>
      </c>
      <c r="O136" s="100"/>
      <c r="P136" s="41">
        <v>880</v>
      </c>
      <c r="Q136" s="11"/>
      <c r="R136" s="41">
        <v>260</v>
      </c>
      <c r="S136" s="185"/>
      <c r="T136" s="185"/>
      <c r="U136" s="185"/>
      <c r="V136" s="185"/>
      <c r="W136" s="41">
        <f t="shared" si="12"/>
        <v>0</v>
      </c>
      <c r="X136" s="41">
        <f t="shared" si="13"/>
        <v>0</v>
      </c>
      <c r="Y136" s="11"/>
      <c r="Z136" s="11"/>
      <c r="AA136" s="11"/>
      <c r="AB136" s="11"/>
      <c r="AC136" s="24"/>
    </row>
    <row r="137" spans="1:29" x14ac:dyDescent="0.2">
      <c r="A137" s="11">
        <f>+'SERVICIO FAENA'!A137</f>
        <v>0</v>
      </c>
      <c r="B137" s="11">
        <f>+'SERVICIO FAENA'!B137</f>
        <v>0</v>
      </c>
      <c r="C137" s="11"/>
      <c r="D137" s="11"/>
      <c r="E137" s="18">
        <f>+'SERVICIO FAENA'!E137</f>
        <v>0</v>
      </c>
      <c r="F137" s="11"/>
      <c r="G137" s="180" t="e">
        <f t="shared" si="14"/>
        <v>#DIV/0!</v>
      </c>
      <c r="H137" s="11"/>
      <c r="I137" s="11"/>
      <c r="J137" s="180" t="e">
        <f t="shared" si="10"/>
        <v>#DIV/0!</v>
      </c>
      <c r="K137" s="100"/>
      <c r="L137" s="100"/>
      <c r="M137" s="100"/>
      <c r="N137" s="100">
        <f t="shared" si="11"/>
        <v>0</v>
      </c>
      <c r="O137" s="100"/>
      <c r="P137" s="41">
        <v>880</v>
      </c>
      <c r="Q137" s="11"/>
      <c r="R137" s="41">
        <v>260</v>
      </c>
      <c r="S137" s="185"/>
      <c r="T137" s="185"/>
      <c r="U137" s="185"/>
      <c r="V137" s="185"/>
      <c r="W137" s="41">
        <f t="shared" si="12"/>
        <v>0</v>
      </c>
      <c r="X137" s="41">
        <f t="shared" si="13"/>
        <v>0</v>
      </c>
      <c r="Y137" s="11"/>
      <c r="Z137" s="11"/>
      <c r="AA137" s="11"/>
      <c r="AB137" s="11"/>
      <c r="AC137" s="24"/>
    </row>
    <row r="138" spans="1:29" x14ac:dyDescent="0.2">
      <c r="A138" s="11">
        <f>+'SERVICIO FAENA'!A138</f>
        <v>0</v>
      </c>
      <c r="B138" s="11">
        <f>+'SERVICIO FAENA'!B138</f>
        <v>0</v>
      </c>
      <c r="C138" s="11"/>
      <c r="D138" s="11"/>
      <c r="E138" s="18">
        <f>+'SERVICIO FAENA'!E138</f>
        <v>0</v>
      </c>
      <c r="F138" s="11"/>
      <c r="G138" s="180" t="e">
        <f t="shared" si="14"/>
        <v>#DIV/0!</v>
      </c>
      <c r="H138" s="11"/>
      <c r="I138" s="11"/>
      <c r="J138" s="180" t="e">
        <f t="shared" si="10"/>
        <v>#DIV/0!</v>
      </c>
      <c r="K138" s="100"/>
      <c r="L138" s="100"/>
      <c r="M138" s="100"/>
      <c r="N138" s="100">
        <f t="shared" si="11"/>
        <v>0</v>
      </c>
      <c r="O138" s="100"/>
      <c r="P138" s="41">
        <v>880</v>
      </c>
      <c r="Q138" s="11"/>
      <c r="R138" s="41">
        <v>260</v>
      </c>
      <c r="S138" s="185"/>
      <c r="T138" s="185"/>
      <c r="U138" s="185"/>
      <c r="V138" s="185"/>
      <c r="W138" s="41">
        <f t="shared" si="12"/>
        <v>0</v>
      </c>
      <c r="X138" s="41">
        <f t="shared" si="13"/>
        <v>0</v>
      </c>
      <c r="Y138" s="11"/>
      <c r="Z138" s="11"/>
      <c r="AA138" s="11"/>
      <c r="AB138" s="11"/>
      <c r="AC138" s="24"/>
    </row>
    <row r="139" spans="1:29" x14ac:dyDescent="0.2">
      <c r="A139" s="11">
        <f>+'SERVICIO FAENA'!A139</f>
        <v>0</v>
      </c>
      <c r="B139" s="11">
        <f>+'SERVICIO FAENA'!B139</f>
        <v>0</v>
      </c>
      <c r="C139" s="11"/>
      <c r="D139" s="11"/>
      <c r="E139" s="18">
        <f>+'SERVICIO FAENA'!E139</f>
        <v>0</v>
      </c>
      <c r="F139" s="11"/>
      <c r="G139" s="180" t="e">
        <f t="shared" si="14"/>
        <v>#DIV/0!</v>
      </c>
      <c r="H139" s="11"/>
      <c r="I139" s="11"/>
      <c r="J139" s="180" t="e">
        <f t="shared" si="10"/>
        <v>#DIV/0!</v>
      </c>
      <c r="K139" s="100"/>
      <c r="L139" s="100"/>
      <c r="M139" s="100"/>
      <c r="N139" s="100">
        <f t="shared" si="11"/>
        <v>0</v>
      </c>
      <c r="O139" s="100"/>
      <c r="P139" s="41">
        <v>880</v>
      </c>
      <c r="Q139" s="11"/>
      <c r="R139" s="41">
        <v>260</v>
      </c>
      <c r="S139" s="185"/>
      <c r="T139" s="185"/>
      <c r="U139" s="185"/>
      <c r="V139" s="185"/>
      <c r="W139" s="41">
        <f t="shared" si="12"/>
        <v>0</v>
      </c>
      <c r="X139" s="41">
        <f t="shared" si="13"/>
        <v>0</v>
      </c>
      <c r="Y139" s="11"/>
      <c r="Z139" s="11"/>
      <c r="AA139" s="11"/>
      <c r="AB139" s="11"/>
      <c r="AC139" s="24"/>
    </row>
    <row r="140" spans="1:29" x14ac:dyDescent="0.2">
      <c r="A140" s="11">
        <f>+'SERVICIO FAENA'!A140</f>
        <v>0</v>
      </c>
      <c r="B140" s="11">
        <f>+'SERVICIO FAENA'!B140</f>
        <v>0</v>
      </c>
      <c r="C140" s="11"/>
      <c r="D140" s="11"/>
      <c r="E140" s="18">
        <f>+'SERVICIO FAENA'!E140</f>
        <v>0</v>
      </c>
      <c r="F140" s="11"/>
      <c r="G140" s="180" t="e">
        <f t="shared" si="14"/>
        <v>#DIV/0!</v>
      </c>
      <c r="H140" s="11"/>
      <c r="I140" s="11"/>
      <c r="J140" s="180" t="e">
        <f t="shared" si="10"/>
        <v>#DIV/0!</v>
      </c>
      <c r="K140" s="100"/>
      <c r="L140" s="100"/>
      <c r="M140" s="100"/>
      <c r="N140" s="100">
        <f t="shared" si="11"/>
        <v>0</v>
      </c>
      <c r="O140" s="100"/>
      <c r="P140" s="41">
        <v>880</v>
      </c>
      <c r="Q140" s="11"/>
      <c r="R140" s="41">
        <v>260</v>
      </c>
      <c r="S140" s="185"/>
      <c r="T140" s="185"/>
      <c r="U140" s="185"/>
      <c r="V140" s="185"/>
      <c r="W140" s="41">
        <f t="shared" si="12"/>
        <v>0</v>
      </c>
      <c r="X140" s="41">
        <f t="shared" si="13"/>
        <v>0</v>
      </c>
      <c r="Y140" s="11"/>
      <c r="Z140" s="11"/>
      <c r="AA140" s="11"/>
      <c r="AB140" s="11"/>
      <c r="AC140" s="24"/>
    </row>
    <row r="141" spans="1:29" x14ac:dyDescent="0.2">
      <c r="A141" s="11">
        <f>+'SERVICIO FAENA'!A141</f>
        <v>0</v>
      </c>
      <c r="B141" s="11">
        <f>+'SERVICIO FAENA'!B141</f>
        <v>0</v>
      </c>
      <c r="C141" s="11"/>
      <c r="D141" s="11"/>
      <c r="E141" s="18">
        <f>+'SERVICIO FAENA'!E141</f>
        <v>0</v>
      </c>
      <c r="F141" s="11"/>
      <c r="G141" s="180" t="e">
        <f t="shared" si="14"/>
        <v>#DIV/0!</v>
      </c>
      <c r="H141" s="11"/>
      <c r="I141" s="11"/>
      <c r="J141" s="180" t="e">
        <f t="shared" si="10"/>
        <v>#DIV/0!</v>
      </c>
      <c r="K141" s="100"/>
      <c r="L141" s="100"/>
      <c r="M141" s="100"/>
      <c r="N141" s="100">
        <f t="shared" si="11"/>
        <v>0</v>
      </c>
      <c r="O141" s="100"/>
      <c r="P141" s="41">
        <v>880</v>
      </c>
      <c r="Q141" s="11"/>
      <c r="R141" s="41">
        <v>260</v>
      </c>
      <c r="S141" s="185"/>
      <c r="T141" s="185"/>
      <c r="U141" s="185"/>
      <c r="V141" s="185"/>
      <c r="W141" s="41">
        <f t="shared" si="12"/>
        <v>0</v>
      </c>
      <c r="X141" s="41">
        <f t="shared" si="13"/>
        <v>0</v>
      </c>
      <c r="Y141" s="11"/>
      <c r="Z141" s="11"/>
      <c r="AA141" s="11"/>
      <c r="AB141" s="11"/>
      <c r="AC141" s="24"/>
    </row>
    <row r="142" spans="1:29" x14ac:dyDescent="0.2">
      <c r="A142" s="11">
        <f>+'SERVICIO FAENA'!A142</f>
        <v>0</v>
      </c>
      <c r="B142" s="11">
        <f>+'SERVICIO FAENA'!B142</f>
        <v>0</v>
      </c>
      <c r="C142" s="11"/>
      <c r="D142" s="11"/>
      <c r="E142" s="18">
        <f>+'SERVICIO FAENA'!E142</f>
        <v>0</v>
      </c>
      <c r="F142" s="11"/>
      <c r="G142" s="180" t="e">
        <f t="shared" si="14"/>
        <v>#DIV/0!</v>
      </c>
      <c r="H142" s="11"/>
      <c r="I142" s="11"/>
      <c r="J142" s="180" t="e">
        <f t="shared" si="10"/>
        <v>#DIV/0!</v>
      </c>
      <c r="K142" s="100"/>
      <c r="L142" s="100"/>
      <c r="M142" s="100"/>
      <c r="N142" s="100">
        <f t="shared" si="11"/>
        <v>0</v>
      </c>
      <c r="O142" s="100"/>
      <c r="P142" s="41">
        <v>880</v>
      </c>
      <c r="Q142" s="11"/>
      <c r="R142" s="41">
        <v>260</v>
      </c>
      <c r="S142" s="185"/>
      <c r="T142" s="185"/>
      <c r="U142" s="185"/>
      <c r="V142" s="185"/>
      <c r="W142" s="41">
        <f t="shared" si="12"/>
        <v>0</v>
      </c>
      <c r="X142" s="41">
        <f t="shared" si="13"/>
        <v>0</v>
      </c>
      <c r="Y142" s="11"/>
      <c r="Z142" s="11"/>
      <c r="AA142" s="11"/>
      <c r="AB142" s="11"/>
      <c r="AC142" s="24"/>
    </row>
    <row r="143" spans="1:29" x14ac:dyDescent="0.2">
      <c r="A143" s="11">
        <f>+'SERVICIO FAENA'!A143</f>
        <v>0</v>
      </c>
      <c r="B143" s="11">
        <f>+'SERVICIO FAENA'!B143</f>
        <v>0</v>
      </c>
      <c r="C143" s="11"/>
      <c r="D143" s="11"/>
      <c r="E143" s="18">
        <f>+'SERVICIO FAENA'!E143</f>
        <v>0</v>
      </c>
      <c r="F143" s="11"/>
      <c r="G143" s="180" t="e">
        <f t="shared" si="14"/>
        <v>#DIV/0!</v>
      </c>
      <c r="H143" s="11"/>
      <c r="I143" s="11"/>
      <c r="J143" s="180" t="e">
        <f t="shared" si="10"/>
        <v>#DIV/0!</v>
      </c>
      <c r="K143" s="100"/>
      <c r="L143" s="100"/>
      <c r="M143" s="100"/>
      <c r="N143" s="100">
        <f t="shared" si="11"/>
        <v>0</v>
      </c>
      <c r="O143" s="100"/>
      <c r="P143" s="41">
        <v>880</v>
      </c>
      <c r="Q143" s="11"/>
      <c r="R143" s="41">
        <v>260</v>
      </c>
      <c r="S143" s="185"/>
      <c r="T143" s="185"/>
      <c r="U143" s="185"/>
      <c r="V143" s="185"/>
      <c r="W143" s="41">
        <f t="shared" si="12"/>
        <v>0</v>
      </c>
      <c r="X143" s="41">
        <f t="shared" si="13"/>
        <v>0</v>
      </c>
      <c r="Y143" s="11"/>
      <c r="Z143" s="11"/>
      <c r="AA143" s="11"/>
      <c r="AB143" s="11"/>
      <c r="AC143" s="24"/>
    </row>
    <row r="144" spans="1:29" x14ac:dyDescent="0.2">
      <c r="A144" s="11">
        <f>+'SERVICIO FAENA'!A144</f>
        <v>0</v>
      </c>
      <c r="B144" s="11">
        <f>+'SERVICIO FAENA'!B144</f>
        <v>0</v>
      </c>
      <c r="C144" s="11"/>
      <c r="D144" s="11"/>
      <c r="E144" s="18">
        <f>+'SERVICIO FAENA'!E144</f>
        <v>0</v>
      </c>
      <c r="F144" s="11"/>
      <c r="G144" s="180" t="e">
        <f t="shared" si="14"/>
        <v>#DIV/0!</v>
      </c>
      <c r="H144" s="11"/>
      <c r="I144" s="11"/>
      <c r="J144" s="180" t="e">
        <f t="shared" si="10"/>
        <v>#DIV/0!</v>
      </c>
      <c r="K144" s="100"/>
      <c r="L144" s="100"/>
      <c r="M144" s="100"/>
      <c r="N144" s="100">
        <f t="shared" si="11"/>
        <v>0</v>
      </c>
      <c r="O144" s="100"/>
      <c r="P144" s="41">
        <v>880</v>
      </c>
      <c r="Q144" s="11"/>
      <c r="R144" s="41">
        <v>260</v>
      </c>
      <c r="S144" s="185"/>
      <c r="T144" s="185"/>
      <c r="U144" s="185"/>
      <c r="V144" s="185"/>
      <c r="W144" s="41">
        <f t="shared" si="12"/>
        <v>0</v>
      </c>
      <c r="X144" s="41">
        <f t="shared" si="13"/>
        <v>0</v>
      </c>
      <c r="Y144" s="11"/>
      <c r="Z144" s="11"/>
      <c r="AA144" s="11"/>
      <c r="AB144" s="11"/>
      <c r="AC144" s="24"/>
    </row>
    <row r="145" spans="1:29" x14ac:dyDescent="0.2">
      <c r="A145" s="11">
        <f>+'SERVICIO FAENA'!A145</f>
        <v>0</v>
      </c>
      <c r="B145" s="11">
        <f>+'SERVICIO FAENA'!B145</f>
        <v>0</v>
      </c>
      <c r="C145" s="11"/>
      <c r="D145" s="11"/>
      <c r="E145" s="18">
        <f>+'SERVICIO FAENA'!E145</f>
        <v>0</v>
      </c>
      <c r="F145" s="11"/>
      <c r="G145" s="180" t="e">
        <f t="shared" si="14"/>
        <v>#DIV/0!</v>
      </c>
      <c r="H145" s="11"/>
      <c r="I145" s="11"/>
      <c r="J145" s="180" t="e">
        <f t="shared" si="10"/>
        <v>#DIV/0!</v>
      </c>
      <c r="K145" s="100"/>
      <c r="L145" s="100"/>
      <c r="M145" s="100"/>
      <c r="N145" s="100">
        <f t="shared" si="11"/>
        <v>0</v>
      </c>
      <c r="O145" s="100"/>
      <c r="P145" s="41">
        <v>880</v>
      </c>
      <c r="Q145" s="11"/>
      <c r="R145" s="41">
        <v>260</v>
      </c>
      <c r="S145" s="185"/>
      <c r="T145" s="185"/>
      <c r="U145" s="185"/>
      <c r="V145" s="185"/>
      <c r="W145" s="41">
        <f t="shared" si="12"/>
        <v>0</v>
      </c>
      <c r="X145" s="41">
        <f t="shared" si="13"/>
        <v>0</v>
      </c>
      <c r="Y145" s="11"/>
      <c r="Z145" s="11"/>
      <c r="AA145" s="11"/>
      <c r="AB145" s="11"/>
      <c r="AC145" s="24"/>
    </row>
    <row r="146" spans="1:29" x14ac:dyDescent="0.2">
      <c r="A146" s="11">
        <f>+'SERVICIO FAENA'!A146</f>
        <v>0</v>
      </c>
      <c r="B146" s="11">
        <f>+'SERVICIO FAENA'!B146</f>
        <v>0</v>
      </c>
      <c r="C146" s="11"/>
      <c r="D146" s="11"/>
      <c r="E146" s="18">
        <f>+'SERVICIO FAENA'!E146</f>
        <v>0</v>
      </c>
      <c r="F146" s="11"/>
      <c r="G146" s="180" t="e">
        <f t="shared" si="14"/>
        <v>#DIV/0!</v>
      </c>
      <c r="H146" s="11"/>
      <c r="I146" s="11"/>
      <c r="J146" s="180" t="e">
        <f t="shared" si="10"/>
        <v>#DIV/0!</v>
      </c>
      <c r="K146" s="100"/>
      <c r="L146" s="100"/>
      <c r="M146" s="100"/>
      <c r="N146" s="100">
        <f t="shared" si="11"/>
        <v>0</v>
      </c>
      <c r="O146" s="100"/>
      <c r="P146" s="41">
        <v>880</v>
      </c>
      <c r="Q146" s="11"/>
      <c r="R146" s="41">
        <v>260</v>
      </c>
      <c r="S146" s="185"/>
      <c r="T146" s="185"/>
      <c r="U146" s="185"/>
      <c r="V146" s="185"/>
      <c r="W146" s="41">
        <f t="shared" si="12"/>
        <v>0</v>
      </c>
      <c r="X146" s="41">
        <f t="shared" si="13"/>
        <v>0</v>
      </c>
      <c r="Y146" s="11"/>
      <c r="Z146" s="11"/>
      <c r="AA146" s="11"/>
      <c r="AB146" s="11"/>
      <c r="AC146" s="24"/>
    </row>
    <row r="147" spans="1:29" x14ac:dyDescent="0.2">
      <c r="A147" s="11">
        <f>+'SERVICIO FAENA'!A147</f>
        <v>0</v>
      </c>
      <c r="B147" s="11">
        <f>+'SERVICIO FAENA'!B147</f>
        <v>0</v>
      </c>
      <c r="C147" s="11"/>
      <c r="D147" s="11"/>
      <c r="E147" s="18">
        <f>+'SERVICIO FAENA'!E147</f>
        <v>0</v>
      </c>
      <c r="F147" s="11"/>
      <c r="G147" s="180" t="e">
        <f t="shared" si="14"/>
        <v>#DIV/0!</v>
      </c>
      <c r="H147" s="11"/>
      <c r="I147" s="11"/>
      <c r="J147" s="180" t="e">
        <f t="shared" si="10"/>
        <v>#DIV/0!</v>
      </c>
      <c r="K147" s="100"/>
      <c r="L147" s="100"/>
      <c r="M147" s="100"/>
      <c r="N147" s="100">
        <f t="shared" si="11"/>
        <v>0</v>
      </c>
      <c r="O147" s="100"/>
      <c r="P147" s="41">
        <v>880</v>
      </c>
      <c r="Q147" s="11"/>
      <c r="R147" s="41">
        <v>260</v>
      </c>
      <c r="S147" s="185"/>
      <c r="T147" s="185"/>
      <c r="U147" s="185"/>
      <c r="V147" s="185"/>
      <c r="W147" s="41">
        <f t="shared" si="12"/>
        <v>0</v>
      </c>
      <c r="X147" s="41">
        <f t="shared" si="13"/>
        <v>0</v>
      </c>
      <c r="Y147" s="11"/>
      <c r="Z147" s="11"/>
      <c r="AA147" s="11"/>
      <c r="AB147" s="11"/>
      <c r="AC147" s="24"/>
    </row>
    <row r="148" spans="1:29" x14ac:dyDescent="0.2">
      <c r="A148" s="11">
        <f>+'SERVICIO FAENA'!A148</f>
        <v>0</v>
      </c>
      <c r="B148" s="11">
        <f>+'SERVICIO FAENA'!B148</f>
        <v>0</v>
      </c>
      <c r="C148" s="11"/>
      <c r="D148" s="11"/>
      <c r="E148" s="18">
        <f>+'SERVICIO FAENA'!E148</f>
        <v>0</v>
      </c>
      <c r="F148" s="11"/>
      <c r="G148" s="180" t="e">
        <f t="shared" si="14"/>
        <v>#DIV/0!</v>
      </c>
      <c r="H148" s="11"/>
      <c r="I148" s="11"/>
      <c r="J148" s="180" t="e">
        <f t="shared" si="10"/>
        <v>#DIV/0!</v>
      </c>
      <c r="K148" s="100"/>
      <c r="L148" s="100"/>
      <c r="M148" s="100"/>
      <c r="N148" s="100">
        <f t="shared" si="11"/>
        <v>0</v>
      </c>
      <c r="O148" s="100"/>
      <c r="P148" s="41">
        <v>880</v>
      </c>
      <c r="Q148" s="11"/>
      <c r="R148" s="41">
        <v>260</v>
      </c>
      <c r="S148" s="185"/>
      <c r="T148" s="185"/>
      <c r="U148" s="185"/>
      <c r="V148" s="185"/>
      <c r="W148" s="41">
        <f t="shared" si="12"/>
        <v>0</v>
      </c>
      <c r="X148" s="41">
        <f t="shared" si="13"/>
        <v>0</v>
      </c>
      <c r="Y148" s="11"/>
      <c r="Z148" s="11"/>
      <c r="AA148" s="11"/>
      <c r="AB148" s="11"/>
      <c r="AC148" s="24"/>
    </row>
    <row r="149" spans="1:29" x14ac:dyDescent="0.2">
      <c r="A149" s="11">
        <f>+'SERVICIO FAENA'!A149</f>
        <v>0</v>
      </c>
      <c r="B149" s="11">
        <f>+'SERVICIO FAENA'!B149</f>
        <v>0</v>
      </c>
      <c r="C149" s="11"/>
      <c r="D149" s="11"/>
      <c r="E149" s="18">
        <f>+'SERVICIO FAENA'!E149</f>
        <v>0</v>
      </c>
      <c r="F149" s="11"/>
      <c r="G149" s="180" t="e">
        <f t="shared" si="14"/>
        <v>#DIV/0!</v>
      </c>
      <c r="H149" s="11"/>
      <c r="I149" s="11"/>
      <c r="J149" s="180" t="e">
        <f t="shared" si="10"/>
        <v>#DIV/0!</v>
      </c>
      <c r="K149" s="100"/>
      <c r="L149" s="100"/>
      <c r="M149" s="100"/>
      <c r="N149" s="100">
        <f t="shared" si="11"/>
        <v>0</v>
      </c>
      <c r="O149" s="100"/>
      <c r="P149" s="41">
        <v>880</v>
      </c>
      <c r="Q149" s="11"/>
      <c r="R149" s="41">
        <v>260</v>
      </c>
      <c r="S149" s="185"/>
      <c r="T149" s="185"/>
      <c r="U149" s="185"/>
      <c r="V149" s="185"/>
      <c r="W149" s="41">
        <f t="shared" si="12"/>
        <v>0</v>
      </c>
      <c r="X149" s="41">
        <f t="shared" si="13"/>
        <v>0</v>
      </c>
      <c r="Y149" s="11"/>
      <c r="Z149" s="11"/>
      <c r="AA149" s="11"/>
      <c r="AB149" s="11"/>
      <c r="AC149" s="24"/>
    </row>
    <row r="150" spans="1:29" x14ac:dyDescent="0.2">
      <c r="A150" s="11">
        <f>+'SERVICIO FAENA'!A150</f>
        <v>0</v>
      </c>
      <c r="B150" s="11">
        <f>+'SERVICIO FAENA'!B150</f>
        <v>0</v>
      </c>
      <c r="C150" s="11"/>
      <c r="D150" s="11"/>
      <c r="E150" s="18">
        <f>+'SERVICIO FAENA'!E150</f>
        <v>0</v>
      </c>
      <c r="F150" s="11"/>
      <c r="G150" s="180" t="e">
        <f t="shared" si="14"/>
        <v>#DIV/0!</v>
      </c>
      <c r="H150" s="11"/>
      <c r="I150" s="11"/>
      <c r="J150" s="180" t="e">
        <f t="shared" si="10"/>
        <v>#DIV/0!</v>
      </c>
      <c r="K150" s="100"/>
      <c r="L150" s="100"/>
      <c r="M150" s="100"/>
      <c r="N150" s="100">
        <f t="shared" si="11"/>
        <v>0</v>
      </c>
      <c r="O150" s="100"/>
      <c r="P150" s="41">
        <v>880</v>
      </c>
      <c r="Q150" s="11"/>
      <c r="R150" s="41">
        <v>260</v>
      </c>
      <c r="S150" s="185"/>
      <c r="T150" s="185"/>
      <c r="U150" s="185"/>
      <c r="V150" s="185"/>
      <c r="W150" s="41">
        <f t="shared" si="12"/>
        <v>0</v>
      </c>
      <c r="X150" s="41">
        <f t="shared" si="13"/>
        <v>0</v>
      </c>
      <c r="Y150" s="11"/>
      <c r="Z150" s="11"/>
      <c r="AA150" s="11"/>
      <c r="AB150" s="11"/>
      <c r="AC150" s="24"/>
    </row>
    <row r="151" spans="1:29" x14ac:dyDescent="0.2">
      <c r="A151" s="11">
        <f>+'SERVICIO FAENA'!A151</f>
        <v>0</v>
      </c>
      <c r="B151" s="11">
        <f>+'SERVICIO FAENA'!B151</f>
        <v>0</v>
      </c>
      <c r="C151" s="11"/>
      <c r="D151" s="11"/>
      <c r="E151" s="18">
        <f>+'SERVICIO FAENA'!E151</f>
        <v>0</v>
      </c>
      <c r="F151" s="11"/>
      <c r="G151" s="180" t="e">
        <f t="shared" si="14"/>
        <v>#DIV/0!</v>
      </c>
      <c r="H151" s="11"/>
      <c r="I151" s="11"/>
      <c r="J151" s="180" t="e">
        <f t="shared" si="10"/>
        <v>#DIV/0!</v>
      </c>
      <c r="K151" s="100"/>
      <c r="L151" s="100"/>
      <c r="M151" s="100"/>
      <c r="N151" s="100">
        <f t="shared" si="11"/>
        <v>0</v>
      </c>
      <c r="O151" s="100"/>
      <c r="P151" s="41">
        <v>880</v>
      </c>
      <c r="Q151" s="11"/>
      <c r="R151" s="41">
        <v>260</v>
      </c>
      <c r="S151" s="185"/>
      <c r="T151" s="185"/>
      <c r="U151" s="185"/>
      <c r="V151" s="185"/>
      <c r="W151" s="41">
        <f t="shared" si="12"/>
        <v>0</v>
      </c>
      <c r="X151" s="41">
        <f t="shared" si="13"/>
        <v>0</v>
      </c>
      <c r="Y151" s="11"/>
      <c r="Z151" s="11"/>
      <c r="AA151" s="11"/>
      <c r="AB151" s="11"/>
      <c r="AC151" s="24"/>
    </row>
    <row r="152" spans="1:29" x14ac:dyDescent="0.2">
      <c r="A152" s="11">
        <f>+'SERVICIO FAENA'!A152</f>
        <v>0</v>
      </c>
      <c r="B152" s="11">
        <f>+'SERVICIO FAENA'!B152</f>
        <v>0</v>
      </c>
      <c r="C152" s="11"/>
      <c r="D152" s="11"/>
      <c r="E152" s="18">
        <f>+'SERVICIO FAENA'!E152</f>
        <v>0</v>
      </c>
      <c r="F152" s="11"/>
      <c r="G152" s="180" t="e">
        <f t="shared" si="14"/>
        <v>#DIV/0!</v>
      </c>
      <c r="H152" s="11"/>
      <c r="I152" s="11"/>
      <c r="J152" s="180" t="e">
        <f t="shared" si="10"/>
        <v>#DIV/0!</v>
      </c>
      <c r="K152" s="100"/>
      <c r="L152" s="100"/>
      <c r="M152" s="100"/>
      <c r="N152" s="100">
        <f t="shared" si="11"/>
        <v>0</v>
      </c>
      <c r="O152" s="100"/>
      <c r="P152" s="41">
        <v>880</v>
      </c>
      <c r="Q152" s="11"/>
      <c r="R152" s="41">
        <v>260</v>
      </c>
      <c r="S152" s="185"/>
      <c r="T152" s="185"/>
      <c r="U152" s="185"/>
      <c r="V152" s="185"/>
      <c r="W152" s="41">
        <f t="shared" si="12"/>
        <v>0</v>
      </c>
      <c r="X152" s="41">
        <f t="shared" si="13"/>
        <v>0</v>
      </c>
      <c r="Y152" s="11"/>
      <c r="Z152" s="11"/>
      <c r="AA152" s="11"/>
      <c r="AB152" s="11"/>
      <c r="AC152" s="24"/>
    </row>
    <row r="153" spans="1:29" x14ac:dyDescent="0.2">
      <c r="A153" s="11">
        <f>+'SERVICIO FAENA'!A153</f>
        <v>0</v>
      </c>
      <c r="B153" s="11">
        <f>+'SERVICIO FAENA'!B153</f>
        <v>0</v>
      </c>
      <c r="C153" s="11"/>
      <c r="D153" s="11"/>
      <c r="E153" s="18">
        <f>+'SERVICIO FAENA'!E153</f>
        <v>0</v>
      </c>
      <c r="F153" s="11"/>
      <c r="G153" s="180" t="e">
        <f t="shared" si="14"/>
        <v>#DIV/0!</v>
      </c>
      <c r="H153" s="11"/>
      <c r="I153" s="11"/>
      <c r="J153" s="180" t="e">
        <f t="shared" si="10"/>
        <v>#DIV/0!</v>
      </c>
      <c r="K153" s="100"/>
      <c r="L153" s="100"/>
      <c r="M153" s="100"/>
      <c r="N153" s="100">
        <f t="shared" si="11"/>
        <v>0</v>
      </c>
      <c r="O153" s="100"/>
      <c r="P153" s="41">
        <v>880</v>
      </c>
      <c r="Q153" s="11"/>
      <c r="R153" s="41">
        <v>260</v>
      </c>
      <c r="S153" s="185"/>
      <c r="T153" s="185"/>
      <c r="U153" s="185"/>
      <c r="V153" s="185"/>
      <c r="W153" s="41">
        <f t="shared" si="12"/>
        <v>0</v>
      </c>
      <c r="X153" s="41">
        <f t="shared" si="13"/>
        <v>0</v>
      </c>
      <c r="Y153" s="11"/>
      <c r="Z153" s="11"/>
      <c r="AA153" s="11"/>
      <c r="AB153" s="11"/>
      <c r="AC153" s="24"/>
    </row>
    <row r="154" spans="1:29" x14ac:dyDescent="0.2">
      <c r="A154" s="11">
        <f>+'SERVICIO FAENA'!A154</f>
        <v>0</v>
      </c>
      <c r="B154" s="11">
        <f>+'SERVICIO FAENA'!B154</f>
        <v>0</v>
      </c>
      <c r="C154" s="11"/>
      <c r="D154" s="11"/>
      <c r="E154" s="18">
        <f>+'SERVICIO FAENA'!E154</f>
        <v>0</v>
      </c>
      <c r="F154" s="11"/>
      <c r="G154" s="180" t="e">
        <f t="shared" si="14"/>
        <v>#DIV/0!</v>
      </c>
      <c r="H154" s="11"/>
      <c r="I154" s="11"/>
      <c r="J154" s="180" t="e">
        <f t="shared" si="10"/>
        <v>#DIV/0!</v>
      </c>
      <c r="K154" s="100"/>
      <c r="L154" s="100"/>
      <c r="M154" s="100"/>
      <c r="N154" s="100">
        <f t="shared" si="11"/>
        <v>0</v>
      </c>
      <c r="O154" s="100"/>
      <c r="P154" s="41">
        <v>880</v>
      </c>
      <c r="Q154" s="11"/>
      <c r="R154" s="41">
        <v>260</v>
      </c>
      <c r="S154" s="185"/>
      <c r="T154" s="185"/>
      <c r="U154" s="185"/>
      <c r="V154" s="185"/>
      <c r="W154" s="41">
        <f t="shared" si="12"/>
        <v>0</v>
      </c>
      <c r="X154" s="41">
        <f t="shared" si="13"/>
        <v>0</v>
      </c>
      <c r="Y154" s="11"/>
      <c r="Z154" s="11"/>
      <c r="AA154" s="11"/>
      <c r="AB154" s="11"/>
      <c r="AC154" s="24"/>
    </row>
    <row r="155" spans="1:29" x14ac:dyDescent="0.2">
      <c r="A155" s="11">
        <f>+'SERVICIO FAENA'!A155</f>
        <v>0</v>
      </c>
      <c r="B155" s="11">
        <f>+'SERVICIO FAENA'!B155</f>
        <v>0</v>
      </c>
      <c r="C155" s="11"/>
      <c r="D155" s="11"/>
      <c r="E155" s="18">
        <f>+'SERVICIO FAENA'!E155</f>
        <v>0</v>
      </c>
      <c r="F155" s="11"/>
      <c r="G155" s="180" t="e">
        <f t="shared" si="14"/>
        <v>#DIV/0!</v>
      </c>
      <c r="H155" s="11"/>
      <c r="I155" s="11"/>
      <c r="J155" s="180" t="e">
        <f t="shared" si="10"/>
        <v>#DIV/0!</v>
      </c>
      <c r="K155" s="100"/>
      <c r="L155" s="100"/>
      <c r="M155" s="100"/>
      <c r="N155" s="100">
        <f t="shared" si="11"/>
        <v>0</v>
      </c>
      <c r="O155" s="100"/>
      <c r="P155" s="41">
        <v>880</v>
      </c>
      <c r="Q155" s="11"/>
      <c r="R155" s="41">
        <v>260</v>
      </c>
      <c r="S155" s="185"/>
      <c r="T155" s="185"/>
      <c r="U155" s="185"/>
      <c r="V155" s="185"/>
      <c r="W155" s="41">
        <f t="shared" si="12"/>
        <v>0</v>
      </c>
      <c r="X155" s="41">
        <f t="shared" si="13"/>
        <v>0</v>
      </c>
      <c r="Y155" s="11"/>
      <c r="Z155" s="11"/>
      <c r="AA155" s="11"/>
      <c r="AB155" s="11"/>
      <c r="AC155" s="24"/>
    </row>
    <row r="156" spans="1:29" x14ac:dyDescent="0.2">
      <c r="A156" s="11">
        <f>+'SERVICIO FAENA'!A156</f>
        <v>0</v>
      </c>
      <c r="B156" s="11">
        <f>+'SERVICIO FAENA'!B156</f>
        <v>0</v>
      </c>
      <c r="C156" s="11"/>
      <c r="D156" s="11"/>
      <c r="E156" s="18">
        <f>+'SERVICIO FAENA'!E156</f>
        <v>0</v>
      </c>
      <c r="F156" s="11"/>
      <c r="G156" s="180" t="e">
        <f t="shared" si="14"/>
        <v>#DIV/0!</v>
      </c>
      <c r="H156" s="11"/>
      <c r="I156" s="11"/>
      <c r="J156" s="180" t="e">
        <f t="shared" si="10"/>
        <v>#DIV/0!</v>
      </c>
      <c r="K156" s="100"/>
      <c r="L156" s="100"/>
      <c r="M156" s="100"/>
      <c r="N156" s="100">
        <f t="shared" si="11"/>
        <v>0</v>
      </c>
      <c r="O156" s="100"/>
      <c r="P156" s="41">
        <v>880</v>
      </c>
      <c r="Q156" s="11"/>
      <c r="R156" s="41">
        <v>260</v>
      </c>
      <c r="S156" s="185"/>
      <c r="T156" s="185"/>
      <c r="U156" s="185"/>
      <c r="V156" s="185"/>
      <c r="W156" s="41">
        <f t="shared" si="12"/>
        <v>0</v>
      </c>
      <c r="X156" s="41">
        <f t="shared" si="13"/>
        <v>0</v>
      </c>
      <c r="Y156" s="11"/>
      <c r="Z156" s="11"/>
      <c r="AA156" s="11"/>
      <c r="AB156" s="11"/>
      <c r="AC156" s="24"/>
    </row>
    <row r="157" spans="1:29" x14ac:dyDescent="0.2">
      <c r="A157" s="11">
        <f>+'SERVICIO FAENA'!A157</f>
        <v>0</v>
      </c>
      <c r="B157" s="11">
        <f>+'SERVICIO FAENA'!B157</f>
        <v>0</v>
      </c>
      <c r="C157" s="11"/>
      <c r="D157" s="11"/>
      <c r="E157" s="18">
        <f>+'SERVICIO FAENA'!E157</f>
        <v>0</v>
      </c>
      <c r="F157" s="11"/>
      <c r="G157" s="180" t="e">
        <f t="shared" si="14"/>
        <v>#DIV/0!</v>
      </c>
      <c r="H157" s="11"/>
      <c r="I157" s="11"/>
      <c r="J157" s="180" t="e">
        <f t="shared" si="10"/>
        <v>#DIV/0!</v>
      </c>
      <c r="K157" s="100"/>
      <c r="L157" s="100"/>
      <c r="M157" s="100"/>
      <c r="N157" s="100">
        <f t="shared" si="11"/>
        <v>0</v>
      </c>
      <c r="O157" s="100"/>
      <c r="P157" s="41">
        <v>880</v>
      </c>
      <c r="Q157" s="11"/>
      <c r="R157" s="41">
        <v>260</v>
      </c>
      <c r="S157" s="185"/>
      <c r="T157" s="185"/>
      <c r="U157" s="185"/>
      <c r="V157" s="185"/>
      <c r="W157" s="41">
        <f t="shared" si="12"/>
        <v>0</v>
      </c>
      <c r="X157" s="41">
        <f t="shared" si="13"/>
        <v>0</v>
      </c>
      <c r="Y157" s="11"/>
      <c r="Z157" s="11"/>
      <c r="AA157" s="11"/>
      <c r="AB157" s="11"/>
      <c r="AC157" s="24"/>
    </row>
    <row r="158" spans="1:29" x14ac:dyDescent="0.2">
      <c r="A158" s="11">
        <f>+'SERVICIO FAENA'!A158</f>
        <v>0</v>
      </c>
      <c r="B158" s="11">
        <f>+'SERVICIO FAENA'!B158</f>
        <v>0</v>
      </c>
      <c r="C158" s="11"/>
      <c r="D158" s="11"/>
      <c r="E158" s="18">
        <f>+'SERVICIO FAENA'!E158</f>
        <v>0</v>
      </c>
      <c r="F158" s="11"/>
      <c r="G158" s="180" t="e">
        <f t="shared" si="14"/>
        <v>#DIV/0!</v>
      </c>
      <c r="H158" s="11"/>
      <c r="I158" s="11"/>
      <c r="J158" s="180" t="e">
        <f t="shared" si="10"/>
        <v>#DIV/0!</v>
      </c>
      <c r="K158" s="100"/>
      <c r="L158" s="100"/>
      <c r="M158" s="100"/>
      <c r="N158" s="100">
        <f t="shared" si="11"/>
        <v>0</v>
      </c>
      <c r="O158" s="100"/>
      <c r="P158" s="41">
        <v>880</v>
      </c>
      <c r="Q158" s="11"/>
      <c r="R158" s="41">
        <v>260</v>
      </c>
      <c r="S158" s="185"/>
      <c r="T158" s="185"/>
      <c r="U158" s="185"/>
      <c r="V158" s="185"/>
      <c r="W158" s="41">
        <f t="shared" si="12"/>
        <v>0</v>
      </c>
      <c r="X158" s="41">
        <f t="shared" si="13"/>
        <v>0</v>
      </c>
      <c r="Y158" s="11"/>
      <c r="Z158" s="11"/>
      <c r="AA158" s="11"/>
      <c r="AB158" s="11"/>
      <c r="AC158" s="24"/>
    </row>
    <row r="159" spans="1:29" x14ac:dyDescent="0.2">
      <c r="A159" s="11">
        <f>+'SERVICIO FAENA'!A159</f>
        <v>0</v>
      </c>
      <c r="B159" s="11">
        <f>+'SERVICIO FAENA'!B159</f>
        <v>0</v>
      </c>
      <c r="C159" s="11"/>
      <c r="D159" s="11"/>
      <c r="E159" s="18">
        <f>+'SERVICIO FAENA'!E159</f>
        <v>0</v>
      </c>
      <c r="F159" s="11"/>
      <c r="G159" s="180" t="e">
        <f t="shared" si="14"/>
        <v>#DIV/0!</v>
      </c>
      <c r="H159" s="11"/>
      <c r="I159" s="11"/>
      <c r="J159" s="180" t="e">
        <f t="shared" si="10"/>
        <v>#DIV/0!</v>
      </c>
      <c r="K159" s="100"/>
      <c r="L159" s="100"/>
      <c r="M159" s="100"/>
      <c r="N159" s="100">
        <f t="shared" si="11"/>
        <v>0</v>
      </c>
      <c r="O159" s="100"/>
      <c r="P159" s="41">
        <v>880</v>
      </c>
      <c r="Q159" s="11"/>
      <c r="R159" s="41">
        <v>260</v>
      </c>
      <c r="S159" s="185"/>
      <c r="T159" s="185"/>
      <c r="U159" s="185"/>
      <c r="V159" s="185"/>
      <c r="W159" s="41">
        <f t="shared" si="12"/>
        <v>0</v>
      </c>
      <c r="X159" s="41">
        <f t="shared" si="13"/>
        <v>0</v>
      </c>
      <c r="Y159" s="11"/>
      <c r="Z159" s="11"/>
      <c r="AA159" s="11"/>
      <c r="AB159" s="11"/>
      <c r="AC159" s="24"/>
    </row>
    <row r="160" spans="1:29" x14ac:dyDescent="0.2">
      <c r="A160" s="11">
        <f>+'SERVICIO FAENA'!A160</f>
        <v>0</v>
      </c>
      <c r="B160" s="11">
        <f>+'SERVICIO FAENA'!B160</f>
        <v>0</v>
      </c>
      <c r="C160" s="11"/>
      <c r="D160" s="11"/>
      <c r="E160" s="18">
        <f>+'SERVICIO FAENA'!E160</f>
        <v>0</v>
      </c>
      <c r="F160" s="11"/>
      <c r="G160" s="180" t="e">
        <f t="shared" si="14"/>
        <v>#DIV/0!</v>
      </c>
      <c r="H160" s="11"/>
      <c r="I160" s="11"/>
      <c r="J160" s="180" t="e">
        <f t="shared" si="10"/>
        <v>#DIV/0!</v>
      </c>
      <c r="K160" s="100"/>
      <c r="L160" s="100"/>
      <c r="M160" s="100"/>
      <c r="N160" s="100">
        <f t="shared" si="11"/>
        <v>0</v>
      </c>
      <c r="O160" s="100"/>
      <c r="P160" s="41">
        <v>880</v>
      </c>
      <c r="Q160" s="11"/>
      <c r="R160" s="41">
        <v>260</v>
      </c>
      <c r="S160" s="185"/>
      <c r="T160" s="185"/>
      <c r="U160" s="185"/>
      <c r="V160" s="185"/>
      <c r="W160" s="41">
        <f t="shared" si="12"/>
        <v>0</v>
      </c>
      <c r="X160" s="41">
        <f t="shared" si="13"/>
        <v>0</v>
      </c>
      <c r="Y160" s="11"/>
      <c r="Z160" s="11"/>
      <c r="AA160" s="11"/>
      <c r="AB160" s="11"/>
      <c r="AC160" s="24"/>
    </row>
    <row r="161" spans="1:29" x14ac:dyDescent="0.2">
      <c r="A161" s="11">
        <f>+'SERVICIO FAENA'!A161</f>
        <v>0</v>
      </c>
      <c r="B161" s="11">
        <f>+'SERVICIO FAENA'!B161</f>
        <v>0</v>
      </c>
      <c r="C161" s="11"/>
      <c r="D161" s="11"/>
      <c r="E161" s="18">
        <f>+'SERVICIO FAENA'!E161</f>
        <v>0</v>
      </c>
      <c r="F161" s="11"/>
      <c r="G161" s="180" t="e">
        <f t="shared" si="14"/>
        <v>#DIV/0!</v>
      </c>
      <c r="H161" s="11"/>
      <c r="I161" s="11"/>
      <c r="J161" s="180" t="e">
        <f t="shared" si="10"/>
        <v>#DIV/0!</v>
      </c>
      <c r="K161" s="100"/>
      <c r="L161" s="100"/>
      <c r="M161" s="100"/>
      <c r="N161" s="100">
        <f t="shared" si="11"/>
        <v>0</v>
      </c>
      <c r="O161" s="100"/>
      <c r="P161" s="41">
        <v>880</v>
      </c>
      <c r="Q161" s="11"/>
      <c r="R161" s="41">
        <v>260</v>
      </c>
      <c r="S161" s="185"/>
      <c r="T161" s="185"/>
      <c r="U161" s="185"/>
      <c r="V161" s="185"/>
      <c r="W161" s="41">
        <f t="shared" si="12"/>
        <v>0</v>
      </c>
      <c r="X161" s="41">
        <f t="shared" si="13"/>
        <v>0</v>
      </c>
      <c r="Y161" s="11"/>
      <c r="Z161" s="11"/>
      <c r="AA161" s="11"/>
      <c r="AB161" s="11"/>
      <c r="AC161" s="24"/>
    </row>
    <row r="162" spans="1:29" x14ac:dyDescent="0.2">
      <c r="A162" s="11">
        <f>+'SERVICIO FAENA'!A162</f>
        <v>0</v>
      </c>
      <c r="B162" s="11">
        <f>+'SERVICIO FAENA'!B162</f>
        <v>0</v>
      </c>
      <c r="C162" s="11"/>
      <c r="D162" s="11"/>
      <c r="E162" s="18">
        <f>+'SERVICIO FAENA'!E162</f>
        <v>0</v>
      </c>
      <c r="F162" s="11"/>
      <c r="G162" s="180" t="e">
        <f t="shared" si="14"/>
        <v>#DIV/0!</v>
      </c>
      <c r="H162" s="11"/>
      <c r="I162" s="11"/>
      <c r="J162" s="180" t="e">
        <f t="shared" si="10"/>
        <v>#DIV/0!</v>
      </c>
      <c r="K162" s="100"/>
      <c r="L162" s="100"/>
      <c r="M162" s="100"/>
      <c r="N162" s="100">
        <f t="shared" si="11"/>
        <v>0</v>
      </c>
      <c r="O162" s="100"/>
      <c r="P162" s="41">
        <v>880</v>
      </c>
      <c r="Q162" s="11"/>
      <c r="R162" s="41">
        <v>260</v>
      </c>
      <c r="S162" s="185"/>
      <c r="T162" s="185"/>
      <c r="U162" s="185"/>
      <c r="V162" s="185"/>
      <c r="W162" s="41">
        <f t="shared" si="12"/>
        <v>0</v>
      </c>
      <c r="X162" s="41">
        <f t="shared" si="13"/>
        <v>0</v>
      </c>
      <c r="Y162" s="11"/>
      <c r="Z162" s="11"/>
      <c r="AA162" s="11"/>
      <c r="AB162" s="11"/>
      <c r="AC162" s="24"/>
    </row>
    <row r="163" spans="1:29" x14ac:dyDescent="0.2">
      <c r="A163" s="11">
        <f>+'SERVICIO FAENA'!A163</f>
        <v>0</v>
      </c>
      <c r="B163" s="11">
        <f>+'SERVICIO FAENA'!B163</f>
        <v>0</v>
      </c>
      <c r="C163" s="11"/>
      <c r="D163" s="11"/>
      <c r="E163" s="18">
        <f>+'SERVICIO FAENA'!E163</f>
        <v>0</v>
      </c>
      <c r="F163" s="11"/>
      <c r="G163" s="180" t="e">
        <f t="shared" si="14"/>
        <v>#DIV/0!</v>
      </c>
      <c r="H163" s="11"/>
      <c r="I163" s="11"/>
      <c r="J163" s="180" t="e">
        <f t="shared" si="10"/>
        <v>#DIV/0!</v>
      </c>
      <c r="K163" s="100"/>
      <c r="L163" s="100"/>
      <c r="M163" s="100"/>
      <c r="N163" s="100">
        <f t="shared" si="11"/>
        <v>0</v>
      </c>
      <c r="O163" s="100"/>
      <c r="P163" s="41">
        <v>880</v>
      </c>
      <c r="Q163" s="11"/>
      <c r="R163" s="41">
        <v>260</v>
      </c>
      <c r="S163" s="185"/>
      <c r="T163" s="185"/>
      <c r="U163" s="185"/>
      <c r="V163" s="185"/>
      <c r="W163" s="41">
        <f t="shared" si="12"/>
        <v>0</v>
      </c>
      <c r="X163" s="41">
        <f t="shared" si="13"/>
        <v>0</v>
      </c>
      <c r="Y163" s="11"/>
      <c r="Z163" s="11"/>
      <c r="AA163" s="11"/>
      <c r="AB163" s="11"/>
      <c r="AC163" s="24"/>
    </row>
    <row r="164" spans="1:29" x14ac:dyDescent="0.2">
      <c r="A164" s="11">
        <f>+'SERVICIO FAENA'!A164</f>
        <v>0</v>
      </c>
      <c r="B164" s="11">
        <f>+'SERVICIO FAENA'!B164</f>
        <v>0</v>
      </c>
      <c r="C164" s="11"/>
      <c r="D164" s="11"/>
      <c r="E164" s="18">
        <f>+'SERVICIO FAENA'!E164</f>
        <v>0</v>
      </c>
      <c r="F164" s="11"/>
      <c r="G164" s="180" t="e">
        <f t="shared" si="14"/>
        <v>#DIV/0!</v>
      </c>
      <c r="H164" s="11"/>
      <c r="I164" s="11"/>
      <c r="J164" s="180" t="e">
        <f t="shared" si="10"/>
        <v>#DIV/0!</v>
      </c>
      <c r="K164" s="100"/>
      <c r="L164" s="100"/>
      <c r="M164" s="100"/>
      <c r="N164" s="100">
        <f t="shared" si="11"/>
        <v>0</v>
      </c>
      <c r="O164" s="100"/>
      <c r="P164" s="41">
        <v>880</v>
      </c>
      <c r="Q164" s="11"/>
      <c r="R164" s="41">
        <v>260</v>
      </c>
      <c r="S164" s="185"/>
      <c r="T164" s="185"/>
      <c r="U164" s="185"/>
      <c r="V164" s="185"/>
      <c r="W164" s="41">
        <f t="shared" si="12"/>
        <v>0</v>
      </c>
      <c r="X164" s="41">
        <f t="shared" si="13"/>
        <v>0</v>
      </c>
      <c r="Y164" s="11"/>
      <c r="Z164" s="11"/>
      <c r="AA164" s="11"/>
      <c r="AB164" s="11"/>
      <c r="AC164" s="24"/>
    </row>
    <row r="165" spans="1:29" x14ac:dyDescent="0.2">
      <c r="A165" s="11">
        <f>+'SERVICIO FAENA'!A165</f>
        <v>0</v>
      </c>
      <c r="B165" s="11">
        <f>+'SERVICIO FAENA'!B165</f>
        <v>0</v>
      </c>
      <c r="C165" s="11"/>
      <c r="D165" s="11"/>
      <c r="E165" s="18">
        <f>+'SERVICIO FAENA'!E165</f>
        <v>0</v>
      </c>
      <c r="F165" s="11"/>
      <c r="G165" s="180" t="e">
        <f t="shared" si="14"/>
        <v>#DIV/0!</v>
      </c>
      <c r="H165" s="11"/>
      <c r="I165" s="11"/>
      <c r="J165" s="180" t="e">
        <f t="shared" si="10"/>
        <v>#DIV/0!</v>
      </c>
      <c r="K165" s="100"/>
      <c r="L165" s="100"/>
      <c r="M165" s="100"/>
      <c r="N165" s="100">
        <f t="shared" si="11"/>
        <v>0</v>
      </c>
      <c r="O165" s="100"/>
      <c r="P165" s="41">
        <v>880</v>
      </c>
      <c r="Q165" s="11"/>
      <c r="R165" s="41">
        <v>260</v>
      </c>
      <c r="S165" s="185"/>
      <c r="T165" s="185"/>
      <c r="U165" s="185"/>
      <c r="V165" s="185"/>
      <c r="W165" s="41">
        <f t="shared" si="12"/>
        <v>0</v>
      </c>
      <c r="X165" s="41">
        <f t="shared" si="13"/>
        <v>0</v>
      </c>
      <c r="Y165" s="11"/>
      <c r="Z165" s="11"/>
      <c r="AA165" s="11"/>
      <c r="AB165" s="11"/>
      <c r="AC165" s="24"/>
    </row>
    <row r="166" spans="1:29" x14ac:dyDescent="0.2">
      <c r="A166" s="11">
        <f>+'SERVICIO FAENA'!A166</f>
        <v>0</v>
      </c>
      <c r="B166" s="11">
        <f>+'SERVICIO FAENA'!B166</f>
        <v>0</v>
      </c>
      <c r="C166" s="11"/>
      <c r="D166" s="11"/>
      <c r="E166" s="18">
        <f>+'SERVICIO FAENA'!E166</f>
        <v>0</v>
      </c>
      <c r="F166" s="11"/>
      <c r="G166" s="180" t="e">
        <f t="shared" si="14"/>
        <v>#DIV/0!</v>
      </c>
      <c r="H166" s="11"/>
      <c r="I166" s="11"/>
      <c r="J166" s="180" t="e">
        <f t="shared" si="10"/>
        <v>#DIV/0!</v>
      </c>
      <c r="K166" s="100"/>
      <c r="L166" s="100"/>
      <c r="M166" s="100"/>
      <c r="N166" s="100">
        <f t="shared" si="11"/>
        <v>0</v>
      </c>
      <c r="O166" s="100"/>
      <c r="P166" s="41">
        <v>880</v>
      </c>
      <c r="Q166" s="11"/>
      <c r="R166" s="41">
        <v>260</v>
      </c>
      <c r="S166" s="185"/>
      <c r="T166" s="185"/>
      <c r="U166" s="185"/>
      <c r="V166" s="185"/>
      <c r="W166" s="41">
        <f t="shared" si="12"/>
        <v>0</v>
      </c>
      <c r="X166" s="41">
        <f t="shared" si="13"/>
        <v>0</v>
      </c>
      <c r="Y166" s="11"/>
      <c r="Z166" s="11"/>
      <c r="AA166" s="11"/>
      <c r="AB166" s="11"/>
      <c r="AC166" s="24"/>
    </row>
    <row r="167" spans="1:29" x14ac:dyDescent="0.2">
      <c r="A167" s="11">
        <f>+'SERVICIO FAENA'!A167</f>
        <v>0</v>
      </c>
      <c r="B167" s="11">
        <f>+'SERVICIO FAENA'!B167</f>
        <v>0</v>
      </c>
      <c r="C167" s="11"/>
      <c r="D167" s="11"/>
      <c r="E167" s="18">
        <f>+'SERVICIO FAENA'!E167</f>
        <v>0</v>
      </c>
      <c r="F167" s="11"/>
      <c r="G167" s="180" t="e">
        <f t="shared" si="14"/>
        <v>#DIV/0!</v>
      </c>
      <c r="H167" s="11"/>
      <c r="I167" s="11"/>
      <c r="J167" s="180" t="e">
        <f t="shared" si="10"/>
        <v>#DIV/0!</v>
      </c>
      <c r="K167" s="100"/>
      <c r="L167" s="100"/>
      <c r="M167" s="100"/>
      <c r="N167" s="100">
        <f t="shared" si="11"/>
        <v>0</v>
      </c>
      <c r="O167" s="100"/>
      <c r="P167" s="41">
        <v>880</v>
      </c>
      <c r="Q167" s="11"/>
      <c r="R167" s="41">
        <v>260</v>
      </c>
      <c r="S167" s="185"/>
      <c r="T167" s="185"/>
      <c r="U167" s="185"/>
      <c r="V167" s="185"/>
      <c r="W167" s="41">
        <f t="shared" si="12"/>
        <v>0</v>
      </c>
      <c r="X167" s="41">
        <f t="shared" si="13"/>
        <v>0</v>
      </c>
      <c r="Y167" s="11"/>
      <c r="Z167" s="11"/>
      <c r="AA167" s="11"/>
      <c r="AB167" s="11"/>
      <c r="AC167" s="24"/>
    </row>
    <row r="168" spans="1:29" x14ac:dyDescent="0.2">
      <c r="A168" s="11">
        <f>+'SERVICIO FAENA'!A168</f>
        <v>0</v>
      </c>
      <c r="B168" s="11">
        <f>+'SERVICIO FAENA'!B168</f>
        <v>0</v>
      </c>
      <c r="C168" s="11"/>
      <c r="D168" s="11"/>
      <c r="E168" s="18">
        <f>+'SERVICIO FAENA'!E168</f>
        <v>0</v>
      </c>
      <c r="F168" s="11"/>
      <c r="G168" s="180" t="e">
        <f t="shared" si="14"/>
        <v>#DIV/0!</v>
      </c>
      <c r="H168" s="11"/>
      <c r="I168" s="11"/>
      <c r="J168" s="180" t="e">
        <f t="shared" si="10"/>
        <v>#DIV/0!</v>
      </c>
      <c r="K168" s="100"/>
      <c r="L168" s="100"/>
      <c r="M168" s="100"/>
      <c r="N168" s="100">
        <f t="shared" si="11"/>
        <v>0</v>
      </c>
      <c r="O168" s="100"/>
      <c r="P168" s="41">
        <v>880</v>
      </c>
      <c r="Q168" s="11"/>
      <c r="R168" s="41">
        <v>260</v>
      </c>
      <c r="S168" s="185"/>
      <c r="T168" s="185"/>
      <c r="U168" s="185"/>
      <c r="V168" s="185"/>
      <c r="W168" s="41">
        <f t="shared" si="12"/>
        <v>0</v>
      </c>
      <c r="X168" s="41">
        <f t="shared" si="13"/>
        <v>0</v>
      </c>
      <c r="Y168" s="11"/>
      <c r="Z168" s="11"/>
      <c r="AA168" s="11"/>
      <c r="AB168" s="11"/>
      <c r="AC168" s="24"/>
    </row>
    <row r="169" spans="1:29" x14ac:dyDescent="0.2">
      <c r="A169" s="11">
        <f>+'SERVICIO FAENA'!A169</f>
        <v>0</v>
      </c>
      <c r="B169" s="11">
        <f>+'SERVICIO FAENA'!B169</f>
        <v>0</v>
      </c>
      <c r="C169" s="11"/>
      <c r="D169" s="11"/>
      <c r="E169" s="18">
        <f>+'SERVICIO FAENA'!E169</f>
        <v>0</v>
      </c>
      <c r="F169" s="11"/>
      <c r="G169" s="180" t="e">
        <f t="shared" si="14"/>
        <v>#DIV/0!</v>
      </c>
      <c r="H169" s="11"/>
      <c r="I169" s="11"/>
      <c r="J169" s="180" t="e">
        <f t="shared" si="10"/>
        <v>#DIV/0!</v>
      </c>
      <c r="K169" s="100"/>
      <c r="L169" s="100"/>
      <c r="M169" s="100"/>
      <c r="N169" s="100">
        <f t="shared" si="11"/>
        <v>0</v>
      </c>
      <c r="O169" s="100"/>
      <c r="P169" s="41">
        <v>880</v>
      </c>
      <c r="Q169" s="11"/>
      <c r="R169" s="41">
        <v>260</v>
      </c>
      <c r="S169" s="185"/>
      <c r="T169" s="185"/>
      <c r="U169" s="185"/>
      <c r="V169" s="185"/>
      <c r="W169" s="41">
        <f t="shared" si="12"/>
        <v>0</v>
      </c>
      <c r="X169" s="41">
        <f t="shared" si="13"/>
        <v>0</v>
      </c>
      <c r="Y169" s="11"/>
      <c r="Z169" s="11"/>
      <c r="AA169" s="11"/>
      <c r="AB169" s="11"/>
      <c r="AC169" s="24"/>
    </row>
    <row r="170" spans="1:29" x14ac:dyDescent="0.2">
      <c r="A170" s="11">
        <f>+'SERVICIO FAENA'!A170</f>
        <v>0</v>
      </c>
      <c r="B170" s="11">
        <f>+'SERVICIO FAENA'!B170</f>
        <v>0</v>
      </c>
      <c r="C170" s="11"/>
      <c r="D170" s="11"/>
      <c r="E170" s="18">
        <f>+'SERVICIO FAENA'!E170</f>
        <v>0</v>
      </c>
      <c r="F170" s="11"/>
      <c r="G170" s="180" t="e">
        <f t="shared" si="14"/>
        <v>#DIV/0!</v>
      </c>
      <c r="H170" s="11"/>
      <c r="I170" s="11"/>
      <c r="J170" s="180" t="e">
        <f t="shared" ref="J170:J233" si="15">+((F170-(H170+I170))/F170)</f>
        <v>#DIV/0!</v>
      </c>
      <c r="K170" s="100"/>
      <c r="L170" s="100"/>
      <c r="M170" s="100"/>
      <c r="N170" s="100">
        <f t="shared" ref="N170:N233" si="16">SUM(K170:M170)</f>
        <v>0</v>
      </c>
      <c r="O170" s="100"/>
      <c r="P170" s="41">
        <v>880</v>
      </c>
      <c r="Q170" s="11"/>
      <c r="R170" s="41">
        <v>260</v>
      </c>
      <c r="S170" s="185"/>
      <c r="T170" s="185"/>
      <c r="U170" s="185"/>
      <c r="V170" s="185"/>
      <c r="W170" s="41">
        <f t="shared" ref="W170:W233" si="17">+(P170*O170)+(R170*Q170)</f>
        <v>0</v>
      </c>
      <c r="X170" s="41">
        <f t="shared" si="13"/>
        <v>0</v>
      </c>
      <c r="Y170" s="11"/>
      <c r="Z170" s="11"/>
      <c r="AA170" s="11"/>
      <c r="AB170" s="11"/>
      <c r="AC170" s="24"/>
    </row>
    <row r="171" spans="1:29" x14ac:dyDescent="0.2">
      <c r="A171" s="11">
        <f>+'SERVICIO FAENA'!A171</f>
        <v>0</v>
      </c>
      <c r="B171" s="11">
        <f>+'SERVICIO FAENA'!B171</f>
        <v>0</v>
      </c>
      <c r="C171" s="11"/>
      <c r="D171" s="11"/>
      <c r="E171" s="18">
        <f>+'SERVICIO FAENA'!E171</f>
        <v>0</v>
      </c>
      <c r="F171" s="11"/>
      <c r="G171" s="180" t="e">
        <f t="shared" si="14"/>
        <v>#DIV/0!</v>
      </c>
      <c r="H171" s="11"/>
      <c r="I171" s="11"/>
      <c r="J171" s="180" t="e">
        <f t="shared" si="15"/>
        <v>#DIV/0!</v>
      </c>
      <c r="K171" s="100"/>
      <c r="L171" s="100"/>
      <c r="M171" s="100"/>
      <c r="N171" s="100">
        <f t="shared" si="16"/>
        <v>0</v>
      </c>
      <c r="O171" s="100"/>
      <c r="P171" s="41">
        <v>880</v>
      </c>
      <c r="Q171" s="11"/>
      <c r="R171" s="41">
        <v>260</v>
      </c>
      <c r="S171" s="185"/>
      <c r="T171" s="185"/>
      <c r="U171" s="185"/>
      <c r="V171" s="185"/>
      <c r="W171" s="41">
        <f t="shared" si="17"/>
        <v>0</v>
      </c>
      <c r="X171" s="41">
        <f t="shared" si="13"/>
        <v>0</v>
      </c>
      <c r="Y171" s="11"/>
      <c r="Z171" s="11"/>
      <c r="AA171" s="11"/>
      <c r="AB171" s="11"/>
      <c r="AC171" s="24"/>
    </row>
    <row r="172" spans="1:29" x14ac:dyDescent="0.2">
      <c r="A172" s="11">
        <f>+'SERVICIO FAENA'!A172</f>
        <v>0</v>
      </c>
      <c r="B172" s="11">
        <f>+'SERVICIO FAENA'!B172</f>
        <v>0</v>
      </c>
      <c r="C172" s="11"/>
      <c r="D172" s="11"/>
      <c r="E172" s="18">
        <f>+'SERVICIO FAENA'!E172</f>
        <v>0</v>
      </c>
      <c r="F172" s="11"/>
      <c r="G172" s="180" t="e">
        <f t="shared" si="14"/>
        <v>#DIV/0!</v>
      </c>
      <c r="H172" s="11"/>
      <c r="I172" s="11"/>
      <c r="J172" s="180" t="e">
        <f t="shared" si="15"/>
        <v>#DIV/0!</v>
      </c>
      <c r="K172" s="100"/>
      <c r="L172" s="100"/>
      <c r="M172" s="100"/>
      <c r="N172" s="100">
        <f t="shared" si="16"/>
        <v>0</v>
      </c>
      <c r="O172" s="100"/>
      <c r="P172" s="41">
        <v>880</v>
      </c>
      <c r="Q172" s="11"/>
      <c r="R172" s="41">
        <v>260</v>
      </c>
      <c r="S172" s="185"/>
      <c r="T172" s="185"/>
      <c r="U172" s="185"/>
      <c r="V172" s="185"/>
      <c r="W172" s="41">
        <f t="shared" si="17"/>
        <v>0</v>
      </c>
      <c r="X172" s="41">
        <f t="shared" si="13"/>
        <v>0</v>
      </c>
      <c r="Y172" s="11"/>
      <c r="Z172" s="11"/>
      <c r="AA172" s="11"/>
      <c r="AB172" s="11"/>
      <c r="AC172" s="24"/>
    </row>
    <row r="173" spans="1:29" x14ac:dyDescent="0.2">
      <c r="A173" s="11">
        <f>+'SERVICIO FAENA'!A173</f>
        <v>0</v>
      </c>
      <c r="B173" s="11">
        <f>+'SERVICIO FAENA'!B173</f>
        <v>0</v>
      </c>
      <c r="C173" s="11"/>
      <c r="D173" s="11"/>
      <c r="E173" s="18">
        <f>+'SERVICIO FAENA'!E173</f>
        <v>0</v>
      </c>
      <c r="F173" s="11"/>
      <c r="G173" s="180" t="e">
        <f t="shared" si="14"/>
        <v>#DIV/0!</v>
      </c>
      <c r="H173" s="11"/>
      <c r="I173" s="11"/>
      <c r="J173" s="180" t="e">
        <f t="shared" si="15"/>
        <v>#DIV/0!</v>
      </c>
      <c r="K173" s="100"/>
      <c r="L173" s="100"/>
      <c r="M173" s="100"/>
      <c r="N173" s="100">
        <f t="shared" si="16"/>
        <v>0</v>
      </c>
      <c r="O173" s="100"/>
      <c r="P173" s="41">
        <v>880</v>
      </c>
      <c r="Q173" s="11"/>
      <c r="R173" s="41">
        <v>260</v>
      </c>
      <c r="S173" s="185"/>
      <c r="T173" s="185"/>
      <c r="U173" s="185"/>
      <c r="V173" s="185"/>
      <c r="W173" s="41">
        <f t="shared" si="17"/>
        <v>0</v>
      </c>
      <c r="X173" s="41">
        <f t="shared" si="13"/>
        <v>0</v>
      </c>
      <c r="Y173" s="11"/>
      <c r="Z173" s="11"/>
      <c r="AA173" s="11"/>
      <c r="AB173" s="11"/>
      <c r="AC173" s="24"/>
    </row>
    <row r="174" spans="1:29" x14ac:dyDescent="0.2">
      <c r="A174" s="11">
        <f>+'SERVICIO FAENA'!A174</f>
        <v>0</v>
      </c>
      <c r="B174" s="11">
        <f>+'SERVICIO FAENA'!B174</f>
        <v>0</v>
      </c>
      <c r="C174" s="11"/>
      <c r="D174" s="11"/>
      <c r="E174" s="18">
        <f>+'SERVICIO FAENA'!E174</f>
        <v>0</v>
      </c>
      <c r="F174" s="11"/>
      <c r="G174" s="180" t="e">
        <f t="shared" si="14"/>
        <v>#DIV/0!</v>
      </c>
      <c r="H174" s="11"/>
      <c r="I174" s="11"/>
      <c r="J174" s="180" t="e">
        <f t="shared" si="15"/>
        <v>#DIV/0!</v>
      </c>
      <c r="K174" s="100"/>
      <c r="L174" s="100"/>
      <c r="M174" s="100"/>
      <c r="N174" s="100">
        <f t="shared" si="16"/>
        <v>0</v>
      </c>
      <c r="O174" s="100"/>
      <c r="P174" s="41">
        <v>880</v>
      </c>
      <c r="Q174" s="11"/>
      <c r="R174" s="41">
        <v>260</v>
      </c>
      <c r="S174" s="185"/>
      <c r="T174" s="185"/>
      <c r="U174" s="185"/>
      <c r="V174" s="185"/>
      <c r="W174" s="41">
        <f t="shared" si="17"/>
        <v>0</v>
      </c>
      <c r="X174" s="41">
        <f t="shared" si="13"/>
        <v>0</v>
      </c>
      <c r="Y174" s="11"/>
      <c r="Z174" s="11"/>
      <c r="AA174" s="11"/>
      <c r="AB174" s="11"/>
      <c r="AC174" s="24"/>
    </row>
    <row r="175" spans="1:29" x14ac:dyDescent="0.2">
      <c r="A175" s="11">
        <f>+'SERVICIO FAENA'!A175</f>
        <v>0</v>
      </c>
      <c r="B175" s="11">
        <f>+'SERVICIO FAENA'!B175</f>
        <v>0</v>
      </c>
      <c r="C175" s="11"/>
      <c r="D175" s="11"/>
      <c r="E175" s="18">
        <f>+'SERVICIO FAENA'!E175</f>
        <v>0</v>
      </c>
      <c r="F175" s="11"/>
      <c r="G175" s="180" t="e">
        <f t="shared" si="14"/>
        <v>#DIV/0!</v>
      </c>
      <c r="H175" s="11"/>
      <c r="I175" s="11"/>
      <c r="J175" s="180" t="e">
        <f t="shared" si="15"/>
        <v>#DIV/0!</v>
      </c>
      <c r="K175" s="100"/>
      <c r="L175" s="100"/>
      <c r="M175" s="100"/>
      <c r="N175" s="100">
        <f t="shared" si="16"/>
        <v>0</v>
      </c>
      <c r="O175" s="100"/>
      <c r="P175" s="41">
        <v>880</v>
      </c>
      <c r="Q175" s="11"/>
      <c r="R175" s="41">
        <v>260</v>
      </c>
      <c r="S175" s="185"/>
      <c r="T175" s="185"/>
      <c r="U175" s="185"/>
      <c r="V175" s="185"/>
      <c r="W175" s="41">
        <f t="shared" si="17"/>
        <v>0</v>
      </c>
      <c r="X175" s="41">
        <f t="shared" si="13"/>
        <v>0</v>
      </c>
      <c r="Y175" s="11"/>
      <c r="Z175" s="11"/>
      <c r="AA175" s="11"/>
      <c r="AB175" s="11"/>
      <c r="AC175" s="24"/>
    </row>
    <row r="176" spans="1:29" x14ac:dyDescent="0.2">
      <c r="A176" s="11">
        <f>+'SERVICIO FAENA'!A176</f>
        <v>0</v>
      </c>
      <c r="B176" s="11">
        <f>+'SERVICIO FAENA'!B176</f>
        <v>0</v>
      </c>
      <c r="C176" s="11"/>
      <c r="D176" s="11"/>
      <c r="E176" s="18">
        <f>+'SERVICIO FAENA'!E176</f>
        <v>0</v>
      </c>
      <c r="F176" s="11"/>
      <c r="G176" s="180" t="e">
        <f t="shared" si="14"/>
        <v>#DIV/0!</v>
      </c>
      <c r="H176" s="11"/>
      <c r="I176" s="11"/>
      <c r="J176" s="180" t="e">
        <f t="shared" si="15"/>
        <v>#DIV/0!</v>
      </c>
      <c r="K176" s="100"/>
      <c r="L176" s="100"/>
      <c r="M176" s="100"/>
      <c r="N176" s="100">
        <f t="shared" si="16"/>
        <v>0</v>
      </c>
      <c r="O176" s="100"/>
      <c r="P176" s="41">
        <v>880</v>
      </c>
      <c r="Q176" s="11"/>
      <c r="R176" s="41">
        <v>260</v>
      </c>
      <c r="S176" s="185"/>
      <c r="T176" s="185"/>
      <c r="U176" s="185"/>
      <c r="V176" s="185"/>
      <c r="W176" s="41">
        <f t="shared" si="17"/>
        <v>0</v>
      </c>
      <c r="X176" s="41">
        <f t="shared" si="13"/>
        <v>0</v>
      </c>
      <c r="Y176" s="11"/>
      <c r="Z176" s="11"/>
      <c r="AA176" s="11"/>
      <c r="AB176" s="11"/>
      <c r="AC176" s="24"/>
    </row>
    <row r="177" spans="1:29" x14ac:dyDescent="0.2">
      <c r="A177" s="11">
        <f>+'SERVICIO FAENA'!A177</f>
        <v>0</v>
      </c>
      <c r="B177" s="11">
        <f>+'SERVICIO FAENA'!B177</f>
        <v>0</v>
      </c>
      <c r="C177" s="11"/>
      <c r="D177" s="11"/>
      <c r="E177" s="18">
        <f>+'SERVICIO FAENA'!E177</f>
        <v>0</v>
      </c>
      <c r="F177" s="11"/>
      <c r="G177" s="180" t="e">
        <f t="shared" si="14"/>
        <v>#DIV/0!</v>
      </c>
      <c r="H177" s="11"/>
      <c r="I177" s="11"/>
      <c r="J177" s="180" t="e">
        <f t="shared" si="15"/>
        <v>#DIV/0!</v>
      </c>
      <c r="K177" s="100"/>
      <c r="L177" s="100"/>
      <c r="M177" s="100"/>
      <c r="N177" s="100">
        <f t="shared" si="16"/>
        <v>0</v>
      </c>
      <c r="O177" s="100"/>
      <c r="P177" s="41">
        <v>880</v>
      </c>
      <c r="Q177" s="11"/>
      <c r="R177" s="41">
        <v>260</v>
      </c>
      <c r="S177" s="185"/>
      <c r="T177" s="185"/>
      <c r="U177" s="185"/>
      <c r="V177" s="185"/>
      <c r="W177" s="41">
        <f t="shared" si="17"/>
        <v>0</v>
      </c>
      <c r="X177" s="41">
        <f t="shared" si="13"/>
        <v>0</v>
      </c>
      <c r="Y177" s="11"/>
      <c r="Z177" s="11"/>
      <c r="AA177" s="11"/>
      <c r="AB177" s="11"/>
      <c r="AC177" s="24"/>
    </row>
    <row r="178" spans="1:29" x14ac:dyDescent="0.2">
      <c r="A178" s="11">
        <f>+'SERVICIO FAENA'!A178</f>
        <v>0</v>
      </c>
      <c r="B178" s="11">
        <f>+'SERVICIO FAENA'!B178</f>
        <v>0</v>
      </c>
      <c r="C178" s="11"/>
      <c r="D178" s="11"/>
      <c r="E178" s="18">
        <f>+'SERVICIO FAENA'!E178</f>
        <v>0</v>
      </c>
      <c r="F178" s="11"/>
      <c r="G178" s="180" t="e">
        <f t="shared" si="14"/>
        <v>#DIV/0!</v>
      </c>
      <c r="H178" s="11"/>
      <c r="I178" s="11"/>
      <c r="J178" s="180" t="e">
        <f t="shared" si="15"/>
        <v>#DIV/0!</v>
      </c>
      <c r="K178" s="100"/>
      <c r="L178" s="100"/>
      <c r="M178" s="100"/>
      <c r="N178" s="100">
        <f t="shared" si="16"/>
        <v>0</v>
      </c>
      <c r="O178" s="100"/>
      <c r="P178" s="41">
        <v>880</v>
      </c>
      <c r="Q178" s="11"/>
      <c r="R178" s="41">
        <v>260</v>
      </c>
      <c r="S178" s="185"/>
      <c r="T178" s="185"/>
      <c r="U178" s="185"/>
      <c r="V178" s="185"/>
      <c r="W178" s="41">
        <f t="shared" si="17"/>
        <v>0</v>
      </c>
      <c r="X178" s="41">
        <f t="shared" si="13"/>
        <v>0</v>
      </c>
      <c r="Y178" s="11"/>
      <c r="Z178" s="11"/>
      <c r="AA178" s="11"/>
      <c r="AB178" s="11"/>
      <c r="AC178" s="24"/>
    </row>
    <row r="179" spans="1:29" x14ac:dyDescent="0.2">
      <c r="A179" s="11">
        <f>+'SERVICIO FAENA'!A179</f>
        <v>0</v>
      </c>
      <c r="B179" s="11">
        <f>+'SERVICIO FAENA'!B179</f>
        <v>0</v>
      </c>
      <c r="C179" s="11"/>
      <c r="D179" s="11"/>
      <c r="E179" s="18">
        <f>+'SERVICIO FAENA'!E179</f>
        <v>0</v>
      </c>
      <c r="F179" s="11"/>
      <c r="G179" s="180" t="e">
        <f t="shared" si="14"/>
        <v>#DIV/0!</v>
      </c>
      <c r="H179" s="11"/>
      <c r="I179" s="11"/>
      <c r="J179" s="180" t="e">
        <f t="shared" si="15"/>
        <v>#DIV/0!</v>
      </c>
      <c r="K179" s="100"/>
      <c r="L179" s="100"/>
      <c r="M179" s="100"/>
      <c r="N179" s="100">
        <f t="shared" si="16"/>
        <v>0</v>
      </c>
      <c r="O179" s="100"/>
      <c r="P179" s="41">
        <v>880</v>
      </c>
      <c r="Q179" s="11"/>
      <c r="R179" s="41">
        <v>260</v>
      </c>
      <c r="S179" s="185"/>
      <c r="T179" s="185"/>
      <c r="U179" s="185"/>
      <c r="V179" s="185"/>
      <c r="W179" s="41">
        <f t="shared" si="17"/>
        <v>0</v>
      </c>
      <c r="X179" s="41">
        <f t="shared" si="13"/>
        <v>0</v>
      </c>
      <c r="Y179" s="11"/>
      <c r="Z179" s="11"/>
      <c r="AA179" s="11"/>
      <c r="AB179" s="11"/>
      <c r="AC179" s="24"/>
    </row>
    <row r="180" spans="1:29" x14ac:dyDescent="0.2">
      <c r="A180" s="11">
        <f>+'SERVICIO FAENA'!A180</f>
        <v>0</v>
      </c>
      <c r="B180" s="11">
        <f>+'SERVICIO FAENA'!B180</f>
        <v>0</v>
      </c>
      <c r="C180" s="11"/>
      <c r="D180" s="11"/>
      <c r="E180" s="18">
        <f>+'SERVICIO FAENA'!E180</f>
        <v>0</v>
      </c>
      <c r="F180" s="11"/>
      <c r="G180" s="180" t="e">
        <f t="shared" si="14"/>
        <v>#DIV/0!</v>
      </c>
      <c r="H180" s="11"/>
      <c r="I180" s="11"/>
      <c r="J180" s="180" t="e">
        <f t="shared" si="15"/>
        <v>#DIV/0!</v>
      </c>
      <c r="K180" s="100"/>
      <c r="L180" s="100"/>
      <c r="M180" s="100"/>
      <c r="N180" s="100">
        <f t="shared" si="16"/>
        <v>0</v>
      </c>
      <c r="O180" s="100"/>
      <c r="P180" s="41">
        <v>880</v>
      </c>
      <c r="Q180" s="11"/>
      <c r="R180" s="41">
        <v>260</v>
      </c>
      <c r="S180" s="185"/>
      <c r="T180" s="185"/>
      <c r="U180" s="185"/>
      <c r="V180" s="185"/>
      <c r="W180" s="41">
        <f t="shared" si="17"/>
        <v>0</v>
      </c>
      <c r="X180" s="41">
        <f t="shared" si="13"/>
        <v>0</v>
      </c>
      <c r="Y180" s="11"/>
      <c r="Z180" s="11"/>
      <c r="AA180" s="11"/>
      <c r="AB180" s="11"/>
      <c r="AC180" s="24"/>
    </row>
    <row r="181" spans="1:29" x14ac:dyDescent="0.2">
      <c r="A181" s="11">
        <f>+'SERVICIO FAENA'!A181</f>
        <v>0</v>
      </c>
      <c r="B181" s="11">
        <f>+'SERVICIO FAENA'!B181</f>
        <v>0</v>
      </c>
      <c r="C181" s="11"/>
      <c r="D181" s="11"/>
      <c r="E181" s="18">
        <f>+'SERVICIO FAENA'!E181</f>
        <v>0</v>
      </c>
      <c r="F181" s="11"/>
      <c r="G181" s="180" t="e">
        <f t="shared" si="14"/>
        <v>#DIV/0!</v>
      </c>
      <c r="H181" s="11"/>
      <c r="I181" s="11"/>
      <c r="J181" s="180" t="e">
        <f t="shared" si="15"/>
        <v>#DIV/0!</v>
      </c>
      <c r="K181" s="100"/>
      <c r="L181" s="100"/>
      <c r="M181" s="100"/>
      <c r="N181" s="100">
        <f t="shared" si="16"/>
        <v>0</v>
      </c>
      <c r="O181" s="100"/>
      <c r="P181" s="41">
        <v>880</v>
      </c>
      <c r="Q181" s="11"/>
      <c r="R181" s="41">
        <v>260</v>
      </c>
      <c r="S181" s="185"/>
      <c r="T181" s="185"/>
      <c r="U181" s="185"/>
      <c r="V181" s="185"/>
      <c r="W181" s="41">
        <f t="shared" si="17"/>
        <v>0</v>
      </c>
      <c r="X181" s="41">
        <f t="shared" si="13"/>
        <v>0</v>
      </c>
      <c r="Y181" s="11"/>
      <c r="Z181" s="11"/>
      <c r="AA181" s="11"/>
      <c r="AB181" s="11"/>
      <c r="AC181" s="24"/>
    </row>
    <row r="182" spans="1:29" x14ac:dyDescent="0.2">
      <c r="A182" s="11">
        <f>+'SERVICIO FAENA'!A182</f>
        <v>0</v>
      </c>
      <c r="B182" s="11">
        <f>+'SERVICIO FAENA'!B182</f>
        <v>0</v>
      </c>
      <c r="C182" s="11"/>
      <c r="D182" s="11"/>
      <c r="E182" s="18">
        <f>+'SERVICIO FAENA'!E182</f>
        <v>0</v>
      </c>
      <c r="F182" s="11"/>
      <c r="G182" s="180" t="e">
        <f t="shared" si="14"/>
        <v>#DIV/0!</v>
      </c>
      <c r="H182" s="11"/>
      <c r="I182" s="11"/>
      <c r="J182" s="180" t="e">
        <f t="shared" si="15"/>
        <v>#DIV/0!</v>
      </c>
      <c r="K182" s="100"/>
      <c r="L182" s="100"/>
      <c r="M182" s="100"/>
      <c r="N182" s="100">
        <f t="shared" si="16"/>
        <v>0</v>
      </c>
      <c r="O182" s="100"/>
      <c r="P182" s="41">
        <v>880</v>
      </c>
      <c r="Q182" s="11"/>
      <c r="R182" s="41">
        <v>260</v>
      </c>
      <c r="S182" s="185"/>
      <c r="T182" s="185"/>
      <c r="U182" s="185"/>
      <c r="V182" s="185"/>
      <c r="W182" s="41">
        <f t="shared" si="17"/>
        <v>0</v>
      </c>
      <c r="X182" s="41">
        <f t="shared" si="13"/>
        <v>0</v>
      </c>
      <c r="Y182" s="11"/>
      <c r="Z182" s="11"/>
      <c r="AA182" s="11"/>
      <c r="AB182" s="11"/>
      <c r="AC182" s="24"/>
    </row>
    <row r="183" spans="1:29" x14ac:dyDescent="0.2">
      <c r="A183" s="11">
        <f>+'SERVICIO FAENA'!A183</f>
        <v>0</v>
      </c>
      <c r="B183" s="11">
        <f>+'SERVICIO FAENA'!B183</f>
        <v>0</v>
      </c>
      <c r="C183" s="11"/>
      <c r="D183" s="11"/>
      <c r="E183" s="18">
        <f>+'SERVICIO FAENA'!E183</f>
        <v>0</v>
      </c>
      <c r="F183" s="11"/>
      <c r="G183" s="180" t="e">
        <f t="shared" si="14"/>
        <v>#DIV/0!</v>
      </c>
      <c r="H183" s="11"/>
      <c r="I183" s="11"/>
      <c r="J183" s="180" t="e">
        <f t="shared" si="15"/>
        <v>#DIV/0!</v>
      </c>
      <c r="K183" s="100"/>
      <c r="L183" s="100"/>
      <c r="M183" s="100"/>
      <c r="N183" s="100">
        <f t="shared" si="16"/>
        <v>0</v>
      </c>
      <c r="O183" s="100"/>
      <c r="P183" s="41">
        <v>880</v>
      </c>
      <c r="Q183" s="11"/>
      <c r="R183" s="41">
        <v>260</v>
      </c>
      <c r="S183" s="185"/>
      <c r="T183" s="185"/>
      <c r="U183" s="185"/>
      <c r="V183" s="185"/>
      <c r="W183" s="41">
        <f t="shared" si="17"/>
        <v>0</v>
      </c>
      <c r="X183" s="41">
        <f t="shared" si="13"/>
        <v>0</v>
      </c>
      <c r="Y183" s="11"/>
      <c r="Z183" s="11"/>
      <c r="AA183" s="11"/>
      <c r="AB183" s="11"/>
      <c r="AC183" s="24"/>
    </row>
    <row r="184" spans="1:29" x14ac:dyDescent="0.2">
      <c r="A184" s="11">
        <f>+'SERVICIO FAENA'!A184</f>
        <v>0</v>
      </c>
      <c r="B184" s="11">
        <f>+'SERVICIO FAENA'!B184</f>
        <v>0</v>
      </c>
      <c r="C184" s="11"/>
      <c r="D184" s="11"/>
      <c r="E184" s="18">
        <f>+'SERVICIO FAENA'!E184</f>
        <v>0</v>
      </c>
      <c r="F184" s="11"/>
      <c r="G184" s="180" t="e">
        <f t="shared" si="14"/>
        <v>#DIV/0!</v>
      </c>
      <c r="H184" s="11"/>
      <c r="I184" s="11"/>
      <c r="J184" s="180" t="e">
        <f t="shared" si="15"/>
        <v>#DIV/0!</v>
      </c>
      <c r="K184" s="100"/>
      <c r="L184" s="100"/>
      <c r="M184" s="100"/>
      <c r="N184" s="100">
        <f t="shared" si="16"/>
        <v>0</v>
      </c>
      <c r="O184" s="100"/>
      <c r="P184" s="41">
        <v>880</v>
      </c>
      <c r="Q184" s="11"/>
      <c r="R184" s="41">
        <v>260</v>
      </c>
      <c r="S184" s="185"/>
      <c r="T184" s="185"/>
      <c r="U184" s="185"/>
      <c r="V184" s="185"/>
      <c r="W184" s="41">
        <f t="shared" si="17"/>
        <v>0</v>
      </c>
      <c r="X184" s="41">
        <f t="shared" si="13"/>
        <v>0</v>
      </c>
      <c r="Y184" s="11"/>
      <c r="Z184" s="11"/>
      <c r="AA184" s="11"/>
      <c r="AB184" s="11"/>
      <c r="AC184" s="24"/>
    </row>
    <row r="185" spans="1:29" x14ac:dyDescent="0.2">
      <c r="A185" s="11">
        <f>+'SERVICIO FAENA'!A185</f>
        <v>0</v>
      </c>
      <c r="B185" s="11">
        <f>+'SERVICIO FAENA'!B185</f>
        <v>0</v>
      </c>
      <c r="C185" s="11"/>
      <c r="D185" s="11"/>
      <c r="E185" s="18">
        <f>+'SERVICIO FAENA'!E185</f>
        <v>0</v>
      </c>
      <c r="F185" s="11"/>
      <c r="G185" s="180" t="e">
        <f t="shared" si="14"/>
        <v>#DIV/0!</v>
      </c>
      <c r="H185" s="11"/>
      <c r="I185" s="11"/>
      <c r="J185" s="180" t="e">
        <f t="shared" si="15"/>
        <v>#DIV/0!</v>
      </c>
      <c r="K185" s="100"/>
      <c r="L185" s="100"/>
      <c r="M185" s="100"/>
      <c r="N185" s="100">
        <f t="shared" si="16"/>
        <v>0</v>
      </c>
      <c r="O185" s="100"/>
      <c r="P185" s="41">
        <v>880</v>
      </c>
      <c r="Q185" s="11"/>
      <c r="R185" s="41">
        <v>260</v>
      </c>
      <c r="S185" s="185"/>
      <c r="T185" s="185"/>
      <c r="U185" s="185"/>
      <c r="V185" s="185"/>
      <c r="W185" s="41">
        <f t="shared" si="17"/>
        <v>0</v>
      </c>
      <c r="X185" s="41">
        <f t="shared" si="13"/>
        <v>0</v>
      </c>
      <c r="Y185" s="11"/>
      <c r="Z185" s="11"/>
      <c r="AA185" s="11"/>
      <c r="AB185" s="11"/>
      <c r="AC185" s="24"/>
    </row>
    <row r="186" spans="1:29" x14ac:dyDescent="0.2">
      <c r="A186" s="11">
        <f>+'SERVICIO FAENA'!A186</f>
        <v>0</v>
      </c>
      <c r="B186" s="11">
        <f>+'SERVICIO FAENA'!B186</f>
        <v>0</v>
      </c>
      <c r="C186" s="11"/>
      <c r="D186" s="11"/>
      <c r="E186" s="18">
        <f>+'SERVICIO FAENA'!E186</f>
        <v>0</v>
      </c>
      <c r="F186" s="11"/>
      <c r="G186" s="180" t="e">
        <f t="shared" si="14"/>
        <v>#DIV/0!</v>
      </c>
      <c r="H186" s="11"/>
      <c r="I186" s="11"/>
      <c r="J186" s="180" t="e">
        <f t="shared" si="15"/>
        <v>#DIV/0!</v>
      </c>
      <c r="K186" s="100"/>
      <c r="L186" s="100"/>
      <c r="M186" s="100"/>
      <c r="N186" s="100">
        <f t="shared" si="16"/>
        <v>0</v>
      </c>
      <c r="O186" s="100"/>
      <c r="P186" s="41">
        <v>880</v>
      </c>
      <c r="Q186" s="11"/>
      <c r="R186" s="41">
        <v>260</v>
      </c>
      <c r="S186" s="185"/>
      <c r="T186" s="185"/>
      <c r="U186" s="185"/>
      <c r="V186" s="185"/>
      <c r="W186" s="41">
        <f t="shared" si="17"/>
        <v>0</v>
      </c>
      <c r="X186" s="41">
        <f t="shared" si="13"/>
        <v>0</v>
      </c>
      <c r="Y186" s="11"/>
      <c r="Z186" s="11"/>
      <c r="AA186" s="11"/>
      <c r="AB186" s="11"/>
      <c r="AC186" s="24"/>
    </row>
    <row r="187" spans="1:29" x14ac:dyDescent="0.2">
      <c r="A187" s="11">
        <f>+'SERVICIO FAENA'!A187</f>
        <v>0</v>
      </c>
      <c r="B187" s="11">
        <f>+'SERVICIO FAENA'!B187</f>
        <v>0</v>
      </c>
      <c r="C187" s="11"/>
      <c r="D187" s="11"/>
      <c r="E187" s="18">
        <f>+'SERVICIO FAENA'!E187</f>
        <v>0</v>
      </c>
      <c r="F187" s="11"/>
      <c r="G187" s="180" t="e">
        <f t="shared" si="14"/>
        <v>#DIV/0!</v>
      </c>
      <c r="H187" s="11"/>
      <c r="I187" s="11"/>
      <c r="J187" s="180" t="e">
        <f t="shared" si="15"/>
        <v>#DIV/0!</v>
      </c>
      <c r="K187" s="100"/>
      <c r="L187" s="100"/>
      <c r="M187" s="100"/>
      <c r="N187" s="100">
        <f t="shared" si="16"/>
        <v>0</v>
      </c>
      <c r="O187" s="100"/>
      <c r="P187" s="41">
        <v>880</v>
      </c>
      <c r="Q187" s="11"/>
      <c r="R187" s="41">
        <v>260</v>
      </c>
      <c r="S187" s="185"/>
      <c r="T187" s="185"/>
      <c r="U187" s="185"/>
      <c r="V187" s="185"/>
      <c r="W187" s="41">
        <f t="shared" si="17"/>
        <v>0</v>
      </c>
      <c r="X187" s="41">
        <f t="shared" si="13"/>
        <v>0</v>
      </c>
      <c r="Y187" s="11"/>
      <c r="Z187" s="11"/>
      <c r="AA187" s="11"/>
      <c r="AB187" s="11"/>
      <c r="AC187" s="24"/>
    </row>
    <row r="188" spans="1:29" x14ac:dyDescent="0.2">
      <c r="A188" s="11">
        <f>+'SERVICIO FAENA'!A188</f>
        <v>0</v>
      </c>
      <c r="B188" s="11">
        <f>+'SERVICIO FAENA'!B188</f>
        <v>0</v>
      </c>
      <c r="C188" s="11"/>
      <c r="D188" s="11"/>
      <c r="E188" s="18">
        <f>+'SERVICIO FAENA'!E188</f>
        <v>0</v>
      </c>
      <c r="F188" s="11"/>
      <c r="G188" s="180" t="e">
        <f t="shared" si="14"/>
        <v>#DIV/0!</v>
      </c>
      <c r="H188" s="11"/>
      <c r="I188" s="11"/>
      <c r="J188" s="180" t="e">
        <f t="shared" si="15"/>
        <v>#DIV/0!</v>
      </c>
      <c r="K188" s="100"/>
      <c r="L188" s="100"/>
      <c r="M188" s="100"/>
      <c r="N188" s="100">
        <f t="shared" si="16"/>
        <v>0</v>
      </c>
      <c r="O188" s="100"/>
      <c r="P188" s="41">
        <v>880</v>
      </c>
      <c r="Q188" s="11"/>
      <c r="R188" s="41">
        <v>260</v>
      </c>
      <c r="S188" s="185"/>
      <c r="T188" s="185"/>
      <c r="U188" s="185"/>
      <c r="V188" s="185"/>
      <c r="W188" s="41">
        <f t="shared" si="17"/>
        <v>0</v>
      </c>
      <c r="X188" s="41">
        <f t="shared" si="13"/>
        <v>0</v>
      </c>
      <c r="Y188" s="11"/>
      <c r="Z188" s="11"/>
      <c r="AA188" s="11"/>
      <c r="AB188" s="11"/>
      <c r="AC188" s="24"/>
    </row>
    <row r="189" spans="1:29" x14ac:dyDescent="0.2">
      <c r="A189" s="11">
        <f>+'SERVICIO FAENA'!A189</f>
        <v>0</v>
      </c>
      <c r="B189" s="11">
        <f>+'SERVICIO FAENA'!B189</f>
        <v>0</v>
      </c>
      <c r="C189" s="11"/>
      <c r="D189" s="11"/>
      <c r="E189" s="18">
        <f>+'SERVICIO FAENA'!E189</f>
        <v>0</v>
      </c>
      <c r="F189" s="11"/>
      <c r="G189" s="180" t="e">
        <f t="shared" si="14"/>
        <v>#DIV/0!</v>
      </c>
      <c r="H189" s="11"/>
      <c r="I189" s="11"/>
      <c r="J189" s="180" t="e">
        <f t="shared" si="15"/>
        <v>#DIV/0!</v>
      </c>
      <c r="K189" s="100"/>
      <c r="L189" s="100"/>
      <c r="M189" s="100"/>
      <c r="N189" s="100">
        <f t="shared" si="16"/>
        <v>0</v>
      </c>
      <c r="O189" s="100"/>
      <c r="P189" s="41">
        <v>880</v>
      </c>
      <c r="Q189" s="11"/>
      <c r="R189" s="41">
        <v>260</v>
      </c>
      <c r="S189" s="185"/>
      <c r="T189" s="185"/>
      <c r="U189" s="185"/>
      <c r="V189" s="185"/>
      <c r="W189" s="41">
        <f t="shared" si="17"/>
        <v>0</v>
      </c>
      <c r="X189" s="41">
        <f t="shared" si="13"/>
        <v>0</v>
      </c>
      <c r="Y189" s="11"/>
      <c r="Z189" s="11"/>
      <c r="AA189" s="11"/>
      <c r="AB189" s="11"/>
      <c r="AC189" s="24"/>
    </row>
    <row r="190" spans="1:29" x14ac:dyDescent="0.2">
      <c r="A190" s="11">
        <f>+'SERVICIO FAENA'!A190</f>
        <v>0</v>
      </c>
      <c r="B190" s="11">
        <f>+'SERVICIO FAENA'!B190</f>
        <v>0</v>
      </c>
      <c r="C190" s="11"/>
      <c r="D190" s="11"/>
      <c r="E190" s="18">
        <f>+'SERVICIO FAENA'!E190</f>
        <v>0</v>
      </c>
      <c r="F190" s="11"/>
      <c r="G190" s="180" t="e">
        <f t="shared" si="14"/>
        <v>#DIV/0!</v>
      </c>
      <c r="H190" s="11"/>
      <c r="I190" s="11"/>
      <c r="J190" s="180" t="e">
        <f t="shared" si="15"/>
        <v>#DIV/0!</v>
      </c>
      <c r="K190" s="100"/>
      <c r="L190" s="100"/>
      <c r="M190" s="100"/>
      <c r="N190" s="100">
        <f t="shared" si="16"/>
        <v>0</v>
      </c>
      <c r="O190" s="100"/>
      <c r="P190" s="41">
        <v>880</v>
      </c>
      <c r="Q190" s="11"/>
      <c r="R190" s="41">
        <v>260</v>
      </c>
      <c r="S190" s="185"/>
      <c r="T190" s="185"/>
      <c r="U190" s="185"/>
      <c r="V190" s="185"/>
      <c r="W190" s="41">
        <f t="shared" si="17"/>
        <v>0</v>
      </c>
      <c r="X190" s="41">
        <f t="shared" si="13"/>
        <v>0</v>
      </c>
      <c r="Y190" s="11"/>
      <c r="Z190" s="11"/>
      <c r="AA190" s="11"/>
      <c r="AB190" s="11"/>
      <c r="AC190" s="24"/>
    </row>
    <row r="191" spans="1:29" x14ac:dyDescent="0.2">
      <c r="A191" s="11">
        <f>+'SERVICIO FAENA'!A191</f>
        <v>0</v>
      </c>
      <c r="B191" s="11">
        <f>+'SERVICIO FAENA'!B191</f>
        <v>0</v>
      </c>
      <c r="C191" s="11"/>
      <c r="D191" s="11"/>
      <c r="E191" s="18">
        <f>+'SERVICIO FAENA'!E191</f>
        <v>0</v>
      </c>
      <c r="F191" s="11"/>
      <c r="G191" s="180" t="e">
        <f t="shared" si="14"/>
        <v>#DIV/0!</v>
      </c>
      <c r="H191" s="11"/>
      <c r="I191" s="11"/>
      <c r="J191" s="180" t="e">
        <f t="shared" si="15"/>
        <v>#DIV/0!</v>
      </c>
      <c r="K191" s="100"/>
      <c r="L191" s="100"/>
      <c r="M191" s="100"/>
      <c r="N191" s="100">
        <f t="shared" si="16"/>
        <v>0</v>
      </c>
      <c r="O191" s="100"/>
      <c r="P191" s="41">
        <v>880</v>
      </c>
      <c r="Q191" s="11"/>
      <c r="R191" s="41">
        <v>260</v>
      </c>
      <c r="S191" s="185"/>
      <c r="T191" s="185"/>
      <c r="U191" s="185"/>
      <c r="V191" s="185"/>
      <c r="W191" s="41">
        <f t="shared" si="17"/>
        <v>0</v>
      </c>
      <c r="X191" s="41">
        <f t="shared" si="13"/>
        <v>0</v>
      </c>
      <c r="Y191" s="11"/>
      <c r="Z191" s="11"/>
      <c r="AA191" s="11"/>
      <c r="AB191" s="11"/>
      <c r="AC191" s="24"/>
    </row>
    <row r="192" spans="1:29" x14ac:dyDescent="0.2">
      <c r="A192" s="11">
        <f>+'SERVICIO FAENA'!A192</f>
        <v>0</v>
      </c>
      <c r="B192" s="11">
        <f>+'SERVICIO FAENA'!B192</f>
        <v>0</v>
      </c>
      <c r="C192" s="11"/>
      <c r="D192" s="11"/>
      <c r="E192" s="18">
        <f>+'SERVICIO FAENA'!E192</f>
        <v>0</v>
      </c>
      <c r="F192" s="11"/>
      <c r="G192" s="180" t="e">
        <f t="shared" si="14"/>
        <v>#DIV/0!</v>
      </c>
      <c r="H192" s="11"/>
      <c r="I192" s="11"/>
      <c r="J192" s="180" t="e">
        <f t="shared" si="15"/>
        <v>#DIV/0!</v>
      </c>
      <c r="K192" s="100"/>
      <c r="L192" s="100"/>
      <c r="M192" s="100"/>
      <c r="N192" s="100">
        <f t="shared" si="16"/>
        <v>0</v>
      </c>
      <c r="O192" s="100"/>
      <c r="P192" s="41">
        <v>880</v>
      </c>
      <c r="Q192" s="11"/>
      <c r="R192" s="41">
        <v>260</v>
      </c>
      <c r="S192" s="185"/>
      <c r="T192" s="185"/>
      <c r="U192" s="185"/>
      <c r="V192" s="185"/>
      <c r="W192" s="41">
        <f t="shared" si="17"/>
        <v>0</v>
      </c>
      <c r="X192" s="41">
        <f t="shared" si="13"/>
        <v>0</v>
      </c>
      <c r="Y192" s="11"/>
      <c r="Z192" s="11"/>
      <c r="AA192" s="11"/>
      <c r="AB192" s="11"/>
      <c r="AC192" s="24"/>
    </row>
    <row r="193" spans="1:29" x14ac:dyDescent="0.2">
      <c r="A193" s="11">
        <f>+'SERVICIO FAENA'!A193</f>
        <v>0</v>
      </c>
      <c r="B193" s="11">
        <f>+'SERVICIO FAENA'!B193</f>
        <v>0</v>
      </c>
      <c r="C193" s="11"/>
      <c r="D193" s="11"/>
      <c r="E193" s="18">
        <f>+'SERVICIO FAENA'!E193</f>
        <v>0</v>
      </c>
      <c r="F193" s="11"/>
      <c r="G193" s="180" t="e">
        <f t="shared" si="14"/>
        <v>#DIV/0!</v>
      </c>
      <c r="H193" s="11"/>
      <c r="I193" s="11"/>
      <c r="J193" s="180" t="e">
        <f t="shared" si="15"/>
        <v>#DIV/0!</v>
      </c>
      <c r="K193" s="100"/>
      <c r="L193" s="100"/>
      <c r="M193" s="100"/>
      <c r="N193" s="100">
        <f t="shared" si="16"/>
        <v>0</v>
      </c>
      <c r="O193" s="100"/>
      <c r="P193" s="41">
        <v>880</v>
      </c>
      <c r="Q193" s="11"/>
      <c r="R193" s="41">
        <v>260</v>
      </c>
      <c r="S193" s="185"/>
      <c r="T193" s="185"/>
      <c r="U193" s="185"/>
      <c r="V193" s="185"/>
      <c r="W193" s="41">
        <f t="shared" si="17"/>
        <v>0</v>
      </c>
      <c r="X193" s="41">
        <f t="shared" si="13"/>
        <v>0</v>
      </c>
      <c r="Y193" s="11"/>
      <c r="Z193" s="11"/>
      <c r="AA193" s="11"/>
      <c r="AB193" s="11"/>
      <c r="AC193" s="24"/>
    </row>
    <row r="194" spans="1:29" x14ac:dyDescent="0.2">
      <c r="A194" s="11">
        <f>+'SERVICIO FAENA'!A194</f>
        <v>0</v>
      </c>
      <c r="B194" s="11">
        <f>+'SERVICIO FAENA'!B194</f>
        <v>0</v>
      </c>
      <c r="C194" s="11"/>
      <c r="D194" s="11"/>
      <c r="E194" s="18">
        <f>+'SERVICIO FAENA'!E194</f>
        <v>0</v>
      </c>
      <c r="F194" s="11"/>
      <c r="G194" s="180" t="e">
        <f t="shared" si="14"/>
        <v>#DIV/0!</v>
      </c>
      <c r="H194" s="11"/>
      <c r="I194" s="11"/>
      <c r="J194" s="180" t="e">
        <f t="shared" si="15"/>
        <v>#DIV/0!</v>
      </c>
      <c r="K194" s="100"/>
      <c r="L194" s="100"/>
      <c r="M194" s="100"/>
      <c r="N194" s="100">
        <f t="shared" si="16"/>
        <v>0</v>
      </c>
      <c r="O194" s="100"/>
      <c r="P194" s="41">
        <v>880</v>
      </c>
      <c r="Q194" s="11"/>
      <c r="R194" s="41">
        <v>260</v>
      </c>
      <c r="S194" s="185"/>
      <c r="T194" s="185"/>
      <c r="U194" s="185"/>
      <c r="V194" s="185"/>
      <c r="W194" s="41">
        <f t="shared" si="17"/>
        <v>0</v>
      </c>
      <c r="X194" s="41">
        <f t="shared" si="13"/>
        <v>0</v>
      </c>
      <c r="Y194" s="11"/>
      <c r="Z194" s="11"/>
      <c r="AA194" s="11"/>
      <c r="AB194" s="11"/>
      <c r="AC194" s="24"/>
    </row>
    <row r="195" spans="1:29" x14ac:dyDescent="0.2">
      <c r="A195" s="11">
        <f>+'SERVICIO FAENA'!A195</f>
        <v>0</v>
      </c>
      <c r="B195" s="11">
        <f>+'SERVICIO FAENA'!B195</f>
        <v>0</v>
      </c>
      <c r="C195" s="11"/>
      <c r="D195" s="11"/>
      <c r="E195" s="18">
        <f>+'SERVICIO FAENA'!E195</f>
        <v>0</v>
      </c>
      <c r="F195" s="11"/>
      <c r="G195" s="180" t="e">
        <f t="shared" si="14"/>
        <v>#DIV/0!</v>
      </c>
      <c r="H195" s="11"/>
      <c r="I195" s="11"/>
      <c r="J195" s="180" t="e">
        <f t="shared" si="15"/>
        <v>#DIV/0!</v>
      </c>
      <c r="K195" s="100"/>
      <c r="L195" s="100"/>
      <c r="M195" s="100"/>
      <c r="N195" s="100">
        <f t="shared" si="16"/>
        <v>0</v>
      </c>
      <c r="O195" s="100"/>
      <c r="P195" s="41">
        <v>880</v>
      </c>
      <c r="Q195" s="11"/>
      <c r="R195" s="41">
        <v>260</v>
      </c>
      <c r="S195" s="185"/>
      <c r="T195" s="185"/>
      <c r="U195" s="185"/>
      <c r="V195" s="185"/>
      <c r="W195" s="41">
        <f t="shared" si="17"/>
        <v>0</v>
      </c>
      <c r="X195" s="41">
        <f t="shared" ref="X195:X258" si="18">+((O195*P195)+(Q195*R195))*1.21</f>
        <v>0</v>
      </c>
      <c r="Y195" s="11"/>
      <c r="Z195" s="11"/>
      <c r="AA195" s="11"/>
      <c r="AB195" s="11"/>
      <c r="AC195" s="24"/>
    </row>
    <row r="196" spans="1:29" x14ac:dyDescent="0.2">
      <c r="A196" s="11">
        <f>+'SERVICIO FAENA'!A196</f>
        <v>0</v>
      </c>
      <c r="B196" s="11">
        <f>+'SERVICIO FAENA'!B196</f>
        <v>0</v>
      </c>
      <c r="C196" s="11"/>
      <c r="D196" s="11"/>
      <c r="E196" s="18">
        <f>+'SERVICIO FAENA'!E196</f>
        <v>0</v>
      </c>
      <c r="F196" s="11"/>
      <c r="G196" s="180" t="e">
        <f t="shared" ref="G196:G259" si="19">+F196/D196</f>
        <v>#DIV/0!</v>
      </c>
      <c r="H196" s="11"/>
      <c r="I196" s="11"/>
      <c r="J196" s="180" t="e">
        <f t="shared" si="15"/>
        <v>#DIV/0!</v>
      </c>
      <c r="K196" s="100"/>
      <c r="L196" s="100"/>
      <c r="M196" s="100"/>
      <c r="N196" s="100">
        <f t="shared" si="16"/>
        <v>0</v>
      </c>
      <c r="O196" s="100"/>
      <c r="P196" s="41">
        <v>880</v>
      </c>
      <c r="Q196" s="11"/>
      <c r="R196" s="41">
        <v>260</v>
      </c>
      <c r="S196" s="185"/>
      <c r="T196" s="185"/>
      <c r="U196" s="185"/>
      <c r="V196" s="185"/>
      <c r="W196" s="41">
        <f t="shared" si="17"/>
        <v>0</v>
      </c>
      <c r="X196" s="41">
        <f t="shared" si="18"/>
        <v>0</v>
      </c>
      <c r="Y196" s="11"/>
      <c r="Z196" s="11"/>
      <c r="AA196" s="11"/>
      <c r="AB196" s="11"/>
      <c r="AC196" s="24"/>
    </row>
    <row r="197" spans="1:29" x14ac:dyDescent="0.2">
      <c r="A197" s="11">
        <f>+'SERVICIO FAENA'!A197</f>
        <v>0</v>
      </c>
      <c r="B197" s="11">
        <f>+'SERVICIO FAENA'!B197</f>
        <v>0</v>
      </c>
      <c r="C197" s="11"/>
      <c r="D197" s="11"/>
      <c r="E197" s="18">
        <f>+'SERVICIO FAENA'!E197</f>
        <v>0</v>
      </c>
      <c r="F197" s="11"/>
      <c r="G197" s="180" t="e">
        <f t="shared" si="19"/>
        <v>#DIV/0!</v>
      </c>
      <c r="H197" s="11"/>
      <c r="I197" s="11"/>
      <c r="J197" s="180" t="e">
        <f t="shared" si="15"/>
        <v>#DIV/0!</v>
      </c>
      <c r="K197" s="100"/>
      <c r="L197" s="100"/>
      <c r="M197" s="100"/>
      <c r="N197" s="100">
        <f t="shared" si="16"/>
        <v>0</v>
      </c>
      <c r="O197" s="100"/>
      <c r="P197" s="41">
        <v>880</v>
      </c>
      <c r="Q197" s="11"/>
      <c r="R197" s="41">
        <v>260</v>
      </c>
      <c r="S197" s="185"/>
      <c r="T197" s="185"/>
      <c r="U197" s="185"/>
      <c r="V197" s="185"/>
      <c r="W197" s="41">
        <f t="shared" si="17"/>
        <v>0</v>
      </c>
      <c r="X197" s="41">
        <f t="shared" si="18"/>
        <v>0</v>
      </c>
      <c r="Y197" s="11"/>
      <c r="Z197" s="11"/>
      <c r="AA197" s="11"/>
      <c r="AB197" s="11"/>
      <c r="AC197" s="24"/>
    </row>
    <row r="198" spans="1:29" x14ac:dyDescent="0.2">
      <c r="A198" s="11">
        <f>+'SERVICIO FAENA'!A198</f>
        <v>0</v>
      </c>
      <c r="B198" s="11">
        <f>+'SERVICIO FAENA'!B198</f>
        <v>0</v>
      </c>
      <c r="C198" s="11"/>
      <c r="D198" s="11"/>
      <c r="E198" s="18">
        <f>+'SERVICIO FAENA'!E198</f>
        <v>0</v>
      </c>
      <c r="F198" s="11"/>
      <c r="G198" s="180" t="e">
        <f t="shared" si="19"/>
        <v>#DIV/0!</v>
      </c>
      <c r="H198" s="11"/>
      <c r="I198" s="11"/>
      <c r="J198" s="180" t="e">
        <f t="shared" si="15"/>
        <v>#DIV/0!</v>
      </c>
      <c r="K198" s="100"/>
      <c r="L198" s="100"/>
      <c r="M198" s="100"/>
      <c r="N198" s="100">
        <f t="shared" si="16"/>
        <v>0</v>
      </c>
      <c r="O198" s="100"/>
      <c r="P198" s="41">
        <v>880</v>
      </c>
      <c r="Q198" s="11"/>
      <c r="R198" s="41">
        <v>260</v>
      </c>
      <c r="S198" s="185"/>
      <c r="T198" s="185"/>
      <c r="U198" s="185"/>
      <c r="V198" s="185"/>
      <c r="W198" s="41">
        <f t="shared" si="17"/>
        <v>0</v>
      </c>
      <c r="X198" s="41">
        <f t="shared" si="18"/>
        <v>0</v>
      </c>
      <c r="Y198" s="11"/>
      <c r="Z198" s="11"/>
      <c r="AA198" s="11"/>
      <c r="AB198" s="11"/>
      <c r="AC198" s="24"/>
    </row>
    <row r="199" spans="1:29" x14ac:dyDescent="0.2">
      <c r="A199" s="11">
        <f>+'SERVICIO FAENA'!A199</f>
        <v>0</v>
      </c>
      <c r="B199" s="11">
        <f>+'SERVICIO FAENA'!B199</f>
        <v>0</v>
      </c>
      <c r="C199" s="11"/>
      <c r="D199" s="11"/>
      <c r="E199" s="18">
        <f>+'SERVICIO FAENA'!E199</f>
        <v>0</v>
      </c>
      <c r="F199" s="11"/>
      <c r="G199" s="180" t="e">
        <f t="shared" si="19"/>
        <v>#DIV/0!</v>
      </c>
      <c r="H199" s="11"/>
      <c r="I199" s="11"/>
      <c r="J199" s="180" t="e">
        <f t="shared" si="15"/>
        <v>#DIV/0!</v>
      </c>
      <c r="K199" s="100"/>
      <c r="L199" s="100"/>
      <c r="M199" s="100"/>
      <c r="N199" s="100">
        <f t="shared" si="16"/>
        <v>0</v>
      </c>
      <c r="O199" s="100"/>
      <c r="P199" s="41">
        <v>880</v>
      </c>
      <c r="Q199" s="11"/>
      <c r="R199" s="41">
        <v>260</v>
      </c>
      <c r="S199" s="185"/>
      <c r="T199" s="185"/>
      <c r="U199" s="185"/>
      <c r="V199" s="185"/>
      <c r="W199" s="41">
        <f t="shared" si="17"/>
        <v>0</v>
      </c>
      <c r="X199" s="41">
        <f t="shared" si="18"/>
        <v>0</v>
      </c>
      <c r="Y199" s="11"/>
      <c r="Z199" s="11"/>
      <c r="AA199" s="11"/>
      <c r="AB199" s="11"/>
      <c r="AC199" s="24"/>
    </row>
    <row r="200" spans="1:29" x14ac:dyDescent="0.2">
      <c r="A200" s="11">
        <f>+'SERVICIO FAENA'!A200</f>
        <v>0</v>
      </c>
      <c r="B200" s="11">
        <f>+'SERVICIO FAENA'!B200</f>
        <v>0</v>
      </c>
      <c r="C200" s="11"/>
      <c r="D200" s="11"/>
      <c r="E200" s="18">
        <f>+'SERVICIO FAENA'!E200</f>
        <v>0</v>
      </c>
      <c r="F200" s="11"/>
      <c r="G200" s="180" t="e">
        <f t="shared" si="19"/>
        <v>#DIV/0!</v>
      </c>
      <c r="H200" s="11"/>
      <c r="I200" s="11"/>
      <c r="J200" s="180" t="e">
        <f t="shared" si="15"/>
        <v>#DIV/0!</v>
      </c>
      <c r="K200" s="100"/>
      <c r="L200" s="100"/>
      <c r="M200" s="100"/>
      <c r="N200" s="100">
        <f t="shared" si="16"/>
        <v>0</v>
      </c>
      <c r="O200" s="100"/>
      <c r="P200" s="41">
        <v>880</v>
      </c>
      <c r="Q200" s="11"/>
      <c r="R200" s="41">
        <v>260</v>
      </c>
      <c r="S200" s="185"/>
      <c r="T200" s="185"/>
      <c r="U200" s="185"/>
      <c r="V200" s="185"/>
      <c r="W200" s="41">
        <f t="shared" si="17"/>
        <v>0</v>
      </c>
      <c r="X200" s="41">
        <f t="shared" si="18"/>
        <v>0</v>
      </c>
      <c r="Y200" s="11"/>
      <c r="Z200" s="11"/>
      <c r="AA200" s="11"/>
      <c r="AB200" s="11"/>
      <c r="AC200" s="24"/>
    </row>
    <row r="201" spans="1:29" x14ac:dyDescent="0.2">
      <c r="A201" s="11">
        <f>+'SERVICIO FAENA'!A201</f>
        <v>0</v>
      </c>
      <c r="B201" s="11">
        <f>+'SERVICIO FAENA'!B201</f>
        <v>0</v>
      </c>
      <c r="C201" s="11"/>
      <c r="D201" s="11"/>
      <c r="E201" s="18">
        <f>+'SERVICIO FAENA'!E201</f>
        <v>0</v>
      </c>
      <c r="F201" s="11"/>
      <c r="G201" s="180" t="e">
        <f t="shared" si="19"/>
        <v>#DIV/0!</v>
      </c>
      <c r="H201" s="11"/>
      <c r="I201" s="11"/>
      <c r="J201" s="180" t="e">
        <f t="shared" si="15"/>
        <v>#DIV/0!</v>
      </c>
      <c r="K201" s="100"/>
      <c r="L201" s="100"/>
      <c r="M201" s="100"/>
      <c r="N201" s="100">
        <f t="shared" si="16"/>
        <v>0</v>
      </c>
      <c r="O201" s="100"/>
      <c r="P201" s="41">
        <v>880</v>
      </c>
      <c r="Q201" s="11"/>
      <c r="R201" s="41">
        <v>260</v>
      </c>
      <c r="S201" s="185"/>
      <c r="T201" s="185"/>
      <c r="U201" s="185"/>
      <c r="V201" s="185"/>
      <c r="W201" s="41">
        <f t="shared" si="17"/>
        <v>0</v>
      </c>
      <c r="X201" s="41">
        <f t="shared" si="18"/>
        <v>0</v>
      </c>
      <c r="Y201" s="11"/>
      <c r="Z201" s="11"/>
      <c r="AA201" s="11"/>
      <c r="AB201" s="11"/>
      <c r="AC201" s="24"/>
    </row>
    <row r="202" spans="1:29" x14ac:dyDescent="0.2">
      <c r="A202" s="11">
        <f>+'SERVICIO FAENA'!A202</f>
        <v>0</v>
      </c>
      <c r="B202" s="11">
        <f>+'SERVICIO FAENA'!B202</f>
        <v>0</v>
      </c>
      <c r="C202" s="11"/>
      <c r="D202" s="11"/>
      <c r="E202" s="18">
        <f>+'SERVICIO FAENA'!E202</f>
        <v>0</v>
      </c>
      <c r="F202" s="11"/>
      <c r="G202" s="180" t="e">
        <f t="shared" si="19"/>
        <v>#DIV/0!</v>
      </c>
      <c r="H202" s="11"/>
      <c r="I202" s="11"/>
      <c r="J202" s="180" t="e">
        <f t="shared" si="15"/>
        <v>#DIV/0!</v>
      </c>
      <c r="K202" s="100"/>
      <c r="L202" s="100"/>
      <c r="M202" s="100"/>
      <c r="N202" s="100">
        <f t="shared" si="16"/>
        <v>0</v>
      </c>
      <c r="O202" s="100"/>
      <c r="P202" s="41">
        <v>880</v>
      </c>
      <c r="Q202" s="11"/>
      <c r="R202" s="41">
        <v>260</v>
      </c>
      <c r="S202" s="185"/>
      <c r="T202" s="185"/>
      <c r="U202" s="185"/>
      <c r="V202" s="185"/>
      <c r="W202" s="41">
        <f t="shared" si="17"/>
        <v>0</v>
      </c>
      <c r="X202" s="41">
        <f t="shared" si="18"/>
        <v>0</v>
      </c>
      <c r="Y202" s="11"/>
      <c r="Z202" s="11"/>
      <c r="AA202" s="11"/>
      <c r="AB202" s="11"/>
      <c r="AC202" s="24"/>
    </row>
    <row r="203" spans="1:29" x14ac:dyDescent="0.2">
      <c r="A203" s="11">
        <f>+'SERVICIO FAENA'!A203</f>
        <v>0</v>
      </c>
      <c r="B203" s="11">
        <f>+'SERVICIO FAENA'!B203</f>
        <v>0</v>
      </c>
      <c r="C203" s="11"/>
      <c r="D203" s="11"/>
      <c r="E203" s="18">
        <f>+'SERVICIO FAENA'!E203</f>
        <v>0</v>
      </c>
      <c r="F203" s="11"/>
      <c r="G203" s="180" t="e">
        <f t="shared" si="19"/>
        <v>#DIV/0!</v>
      </c>
      <c r="H203" s="11"/>
      <c r="I203" s="11"/>
      <c r="J203" s="180" t="e">
        <f t="shared" si="15"/>
        <v>#DIV/0!</v>
      </c>
      <c r="K203" s="100"/>
      <c r="L203" s="100"/>
      <c r="M203" s="100"/>
      <c r="N203" s="100">
        <f t="shared" si="16"/>
        <v>0</v>
      </c>
      <c r="O203" s="100"/>
      <c r="P203" s="41">
        <v>880</v>
      </c>
      <c r="Q203" s="11"/>
      <c r="R203" s="41">
        <v>260</v>
      </c>
      <c r="S203" s="185"/>
      <c r="T203" s="185"/>
      <c r="U203" s="185"/>
      <c r="V203" s="185"/>
      <c r="W203" s="41">
        <f t="shared" si="17"/>
        <v>0</v>
      </c>
      <c r="X203" s="41">
        <f t="shared" si="18"/>
        <v>0</v>
      </c>
      <c r="Y203" s="11"/>
      <c r="Z203" s="11"/>
      <c r="AA203" s="11"/>
      <c r="AB203" s="11"/>
      <c r="AC203" s="24"/>
    </row>
    <row r="204" spans="1:29" x14ac:dyDescent="0.2">
      <c r="A204" s="11">
        <f>+'SERVICIO FAENA'!A204</f>
        <v>0</v>
      </c>
      <c r="B204" s="11">
        <f>+'SERVICIO FAENA'!B204</f>
        <v>0</v>
      </c>
      <c r="C204" s="11"/>
      <c r="D204" s="11"/>
      <c r="E204" s="18">
        <f>+'SERVICIO FAENA'!E204</f>
        <v>0</v>
      </c>
      <c r="F204" s="11"/>
      <c r="G204" s="180" t="e">
        <f t="shared" si="19"/>
        <v>#DIV/0!</v>
      </c>
      <c r="H204" s="11"/>
      <c r="I204" s="11"/>
      <c r="J204" s="180" t="e">
        <f t="shared" si="15"/>
        <v>#DIV/0!</v>
      </c>
      <c r="K204" s="100"/>
      <c r="L204" s="100"/>
      <c r="M204" s="100"/>
      <c r="N204" s="100">
        <f t="shared" si="16"/>
        <v>0</v>
      </c>
      <c r="O204" s="100"/>
      <c r="P204" s="41">
        <v>880</v>
      </c>
      <c r="Q204" s="11"/>
      <c r="R204" s="41">
        <v>260</v>
      </c>
      <c r="S204" s="185"/>
      <c r="T204" s="185"/>
      <c r="U204" s="185"/>
      <c r="V204" s="185"/>
      <c r="W204" s="41">
        <f t="shared" si="17"/>
        <v>0</v>
      </c>
      <c r="X204" s="41">
        <f t="shared" si="18"/>
        <v>0</v>
      </c>
      <c r="Y204" s="11"/>
      <c r="Z204" s="11"/>
      <c r="AA204" s="11"/>
      <c r="AB204" s="11"/>
      <c r="AC204" s="24"/>
    </row>
    <row r="205" spans="1:29" x14ac:dyDescent="0.2">
      <c r="A205" s="11">
        <f>+'SERVICIO FAENA'!A205</f>
        <v>0</v>
      </c>
      <c r="B205" s="11">
        <f>+'SERVICIO FAENA'!B205</f>
        <v>0</v>
      </c>
      <c r="C205" s="11"/>
      <c r="D205" s="11"/>
      <c r="E205" s="18">
        <f>+'SERVICIO FAENA'!E205</f>
        <v>0</v>
      </c>
      <c r="F205" s="11"/>
      <c r="G205" s="180" t="e">
        <f t="shared" si="19"/>
        <v>#DIV/0!</v>
      </c>
      <c r="H205" s="11"/>
      <c r="I205" s="11"/>
      <c r="J205" s="180" t="e">
        <f t="shared" si="15"/>
        <v>#DIV/0!</v>
      </c>
      <c r="K205" s="100"/>
      <c r="L205" s="100"/>
      <c r="M205" s="100"/>
      <c r="N205" s="100">
        <f t="shared" si="16"/>
        <v>0</v>
      </c>
      <c r="O205" s="100"/>
      <c r="P205" s="41">
        <v>880</v>
      </c>
      <c r="Q205" s="11"/>
      <c r="R205" s="41">
        <v>260</v>
      </c>
      <c r="S205" s="185"/>
      <c r="T205" s="185"/>
      <c r="U205" s="185"/>
      <c r="V205" s="185"/>
      <c r="W205" s="41">
        <f t="shared" si="17"/>
        <v>0</v>
      </c>
      <c r="X205" s="41">
        <f t="shared" si="18"/>
        <v>0</v>
      </c>
      <c r="Y205" s="11"/>
      <c r="Z205" s="11"/>
      <c r="AA205" s="11"/>
      <c r="AB205" s="11"/>
      <c r="AC205" s="24"/>
    </row>
    <row r="206" spans="1:29" x14ac:dyDescent="0.2">
      <c r="A206" s="11">
        <f>+'SERVICIO FAENA'!A206</f>
        <v>0</v>
      </c>
      <c r="B206" s="11">
        <f>+'SERVICIO FAENA'!B206</f>
        <v>0</v>
      </c>
      <c r="C206" s="11"/>
      <c r="D206" s="11"/>
      <c r="E206" s="18">
        <f>+'SERVICIO FAENA'!E206</f>
        <v>0</v>
      </c>
      <c r="F206" s="11"/>
      <c r="G206" s="180" t="e">
        <f t="shared" si="19"/>
        <v>#DIV/0!</v>
      </c>
      <c r="H206" s="11"/>
      <c r="I206" s="11"/>
      <c r="J206" s="180" t="e">
        <f t="shared" si="15"/>
        <v>#DIV/0!</v>
      </c>
      <c r="K206" s="100"/>
      <c r="L206" s="100"/>
      <c r="M206" s="100"/>
      <c r="N206" s="100">
        <f t="shared" si="16"/>
        <v>0</v>
      </c>
      <c r="O206" s="100"/>
      <c r="P206" s="41">
        <v>880</v>
      </c>
      <c r="Q206" s="11"/>
      <c r="R206" s="41">
        <v>260</v>
      </c>
      <c r="S206" s="185"/>
      <c r="T206" s="185"/>
      <c r="U206" s="185"/>
      <c r="V206" s="185"/>
      <c r="W206" s="41">
        <f t="shared" si="17"/>
        <v>0</v>
      </c>
      <c r="X206" s="41">
        <f t="shared" si="18"/>
        <v>0</v>
      </c>
      <c r="Y206" s="11"/>
      <c r="Z206" s="11"/>
      <c r="AA206" s="11"/>
      <c r="AB206" s="11"/>
      <c r="AC206" s="24"/>
    </row>
    <row r="207" spans="1:29" x14ac:dyDescent="0.2">
      <c r="A207" s="11">
        <f>+'SERVICIO FAENA'!A207</f>
        <v>0</v>
      </c>
      <c r="B207" s="11">
        <f>+'SERVICIO FAENA'!B207</f>
        <v>0</v>
      </c>
      <c r="C207" s="11"/>
      <c r="D207" s="11"/>
      <c r="E207" s="18">
        <f>+'SERVICIO FAENA'!E207</f>
        <v>0</v>
      </c>
      <c r="F207" s="11"/>
      <c r="G207" s="180" t="e">
        <f t="shared" si="19"/>
        <v>#DIV/0!</v>
      </c>
      <c r="H207" s="11"/>
      <c r="I207" s="11"/>
      <c r="J207" s="180" t="e">
        <f t="shared" si="15"/>
        <v>#DIV/0!</v>
      </c>
      <c r="K207" s="100"/>
      <c r="L207" s="100"/>
      <c r="M207" s="100"/>
      <c r="N207" s="100">
        <f t="shared" si="16"/>
        <v>0</v>
      </c>
      <c r="O207" s="100"/>
      <c r="P207" s="41">
        <v>880</v>
      </c>
      <c r="Q207" s="11"/>
      <c r="R207" s="41">
        <v>260</v>
      </c>
      <c r="S207" s="185"/>
      <c r="T207" s="185"/>
      <c r="U207" s="185"/>
      <c r="V207" s="185"/>
      <c r="W207" s="41">
        <f t="shared" si="17"/>
        <v>0</v>
      </c>
      <c r="X207" s="41">
        <f t="shared" si="18"/>
        <v>0</v>
      </c>
      <c r="Y207" s="11"/>
      <c r="Z207" s="11"/>
      <c r="AA207" s="11"/>
      <c r="AB207" s="11"/>
      <c r="AC207" s="24"/>
    </row>
    <row r="208" spans="1:29" x14ac:dyDescent="0.2">
      <c r="A208" s="11">
        <f>+'SERVICIO FAENA'!A208</f>
        <v>0</v>
      </c>
      <c r="B208" s="11">
        <f>+'SERVICIO FAENA'!B208</f>
        <v>0</v>
      </c>
      <c r="C208" s="11"/>
      <c r="D208" s="11"/>
      <c r="E208" s="18">
        <f>+'SERVICIO FAENA'!E208</f>
        <v>0</v>
      </c>
      <c r="F208" s="11"/>
      <c r="G208" s="180" t="e">
        <f t="shared" si="19"/>
        <v>#DIV/0!</v>
      </c>
      <c r="H208" s="11"/>
      <c r="I208" s="11"/>
      <c r="J208" s="180" t="e">
        <f t="shared" si="15"/>
        <v>#DIV/0!</v>
      </c>
      <c r="K208" s="100"/>
      <c r="L208" s="100"/>
      <c r="M208" s="100"/>
      <c r="N208" s="100">
        <f t="shared" si="16"/>
        <v>0</v>
      </c>
      <c r="O208" s="100"/>
      <c r="P208" s="41">
        <v>880</v>
      </c>
      <c r="Q208" s="11"/>
      <c r="R208" s="41">
        <v>260</v>
      </c>
      <c r="S208" s="185"/>
      <c r="T208" s="185"/>
      <c r="U208" s="185"/>
      <c r="V208" s="185"/>
      <c r="W208" s="41">
        <f t="shared" si="17"/>
        <v>0</v>
      </c>
      <c r="X208" s="41">
        <f t="shared" si="18"/>
        <v>0</v>
      </c>
      <c r="Y208" s="11"/>
      <c r="Z208" s="11"/>
      <c r="AA208" s="11"/>
      <c r="AB208" s="11"/>
      <c r="AC208" s="24"/>
    </row>
    <row r="209" spans="1:29" x14ac:dyDescent="0.2">
      <c r="A209" s="11">
        <f>+'SERVICIO FAENA'!A209</f>
        <v>0</v>
      </c>
      <c r="B209" s="11">
        <f>+'SERVICIO FAENA'!B209</f>
        <v>0</v>
      </c>
      <c r="C209" s="11"/>
      <c r="D209" s="11"/>
      <c r="E209" s="18">
        <f>+'SERVICIO FAENA'!E209</f>
        <v>0</v>
      </c>
      <c r="F209" s="11"/>
      <c r="G209" s="180" t="e">
        <f t="shared" si="19"/>
        <v>#DIV/0!</v>
      </c>
      <c r="H209" s="11"/>
      <c r="I209" s="11"/>
      <c r="J209" s="180" t="e">
        <f t="shared" si="15"/>
        <v>#DIV/0!</v>
      </c>
      <c r="K209" s="100"/>
      <c r="L209" s="100"/>
      <c r="M209" s="100"/>
      <c r="N209" s="100">
        <f t="shared" si="16"/>
        <v>0</v>
      </c>
      <c r="O209" s="100"/>
      <c r="P209" s="41">
        <v>880</v>
      </c>
      <c r="Q209" s="11"/>
      <c r="R209" s="41">
        <v>260</v>
      </c>
      <c r="S209" s="185"/>
      <c r="T209" s="185"/>
      <c r="U209" s="185"/>
      <c r="V209" s="185"/>
      <c r="W209" s="41">
        <f t="shared" si="17"/>
        <v>0</v>
      </c>
      <c r="X209" s="41">
        <f t="shared" si="18"/>
        <v>0</v>
      </c>
      <c r="Y209" s="11"/>
      <c r="Z209" s="11"/>
      <c r="AA209" s="11"/>
      <c r="AB209" s="11"/>
      <c r="AC209" s="24"/>
    </row>
    <row r="210" spans="1:29" x14ac:dyDescent="0.2">
      <c r="A210" s="11">
        <f>+'SERVICIO FAENA'!A210</f>
        <v>0</v>
      </c>
      <c r="B210" s="11">
        <f>+'SERVICIO FAENA'!B210</f>
        <v>0</v>
      </c>
      <c r="C210" s="11"/>
      <c r="D210" s="11"/>
      <c r="E210" s="18">
        <f>+'SERVICIO FAENA'!E210</f>
        <v>0</v>
      </c>
      <c r="F210" s="11"/>
      <c r="G210" s="180" t="e">
        <f t="shared" si="19"/>
        <v>#DIV/0!</v>
      </c>
      <c r="H210" s="11"/>
      <c r="I210" s="11"/>
      <c r="J210" s="180" t="e">
        <f t="shared" si="15"/>
        <v>#DIV/0!</v>
      </c>
      <c r="K210" s="100"/>
      <c r="L210" s="100"/>
      <c r="M210" s="100"/>
      <c r="N210" s="100">
        <f t="shared" si="16"/>
        <v>0</v>
      </c>
      <c r="O210" s="100"/>
      <c r="P210" s="41">
        <v>880</v>
      </c>
      <c r="Q210" s="11"/>
      <c r="R210" s="41">
        <v>260</v>
      </c>
      <c r="S210" s="185"/>
      <c r="T210" s="185"/>
      <c r="U210" s="185"/>
      <c r="V210" s="185"/>
      <c r="W210" s="41">
        <f t="shared" si="17"/>
        <v>0</v>
      </c>
      <c r="X210" s="41">
        <f t="shared" si="18"/>
        <v>0</v>
      </c>
      <c r="Y210" s="11"/>
      <c r="Z210" s="11"/>
      <c r="AA210" s="11"/>
      <c r="AB210" s="11"/>
      <c r="AC210" s="24"/>
    </row>
    <row r="211" spans="1:29" x14ac:dyDescent="0.2">
      <c r="A211" s="11">
        <f>+'SERVICIO FAENA'!A211</f>
        <v>0</v>
      </c>
      <c r="B211" s="11">
        <f>+'SERVICIO FAENA'!B211</f>
        <v>0</v>
      </c>
      <c r="C211" s="11"/>
      <c r="D211" s="11"/>
      <c r="E211" s="18">
        <f>+'SERVICIO FAENA'!E211</f>
        <v>0</v>
      </c>
      <c r="F211" s="11"/>
      <c r="G211" s="180" t="e">
        <f t="shared" si="19"/>
        <v>#DIV/0!</v>
      </c>
      <c r="H211" s="11"/>
      <c r="I211" s="11"/>
      <c r="J211" s="180" t="e">
        <f t="shared" si="15"/>
        <v>#DIV/0!</v>
      </c>
      <c r="K211" s="100"/>
      <c r="L211" s="100"/>
      <c r="M211" s="100"/>
      <c r="N211" s="100">
        <f t="shared" si="16"/>
        <v>0</v>
      </c>
      <c r="O211" s="100"/>
      <c r="P211" s="41">
        <v>880</v>
      </c>
      <c r="Q211" s="11"/>
      <c r="R211" s="41">
        <v>260</v>
      </c>
      <c r="S211" s="185"/>
      <c r="T211" s="185"/>
      <c r="U211" s="185"/>
      <c r="V211" s="185"/>
      <c r="W211" s="41">
        <f t="shared" si="17"/>
        <v>0</v>
      </c>
      <c r="X211" s="41">
        <f t="shared" si="18"/>
        <v>0</v>
      </c>
      <c r="Y211" s="11"/>
      <c r="Z211" s="11"/>
      <c r="AA211" s="11"/>
      <c r="AB211" s="11"/>
      <c r="AC211" s="24"/>
    </row>
    <row r="212" spans="1:29" x14ac:dyDescent="0.2">
      <c r="A212" s="11">
        <f>+'SERVICIO FAENA'!A212</f>
        <v>0</v>
      </c>
      <c r="B212" s="11">
        <f>+'SERVICIO FAENA'!B212</f>
        <v>0</v>
      </c>
      <c r="C212" s="11"/>
      <c r="D212" s="11"/>
      <c r="E212" s="18">
        <f>+'SERVICIO FAENA'!E212</f>
        <v>0</v>
      </c>
      <c r="F212" s="11"/>
      <c r="G212" s="180" t="e">
        <f t="shared" si="19"/>
        <v>#DIV/0!</v>
      </c>
      <c r="H212" s="11"/>
      <c r="I212" s="11"/>
      <c r="J212" s="180" t="e">
        <f t="shared" si="15"/>
        <v>#DIV/0!</v>
      </c>
      <c r="K212" s="100"/>
      <c r="L212" s="100"/>
      <c r="M212" s="100"/>
      <c r="N212" s="100">
        <f t="shared" si="16"/>
        <v>0</v>
      </c>
      <c r="O212" s="100"/>
      <c r="P212" s="41">
        <v>880</v>
      </c>
      <c r="Q212" s="11"/>
      <c r="R212" s="41">
        <v>260</v>
      </c>
      <c r="S212" s="185"/>
      <c r="T212" s="185"/>
      <c r="U212" s="185"/>
      <c r="V212" s="185"/>
      <c r="W212" s="41">
        <f t="shared" si="17"/>
        <v>0</v>
      </c>
      <c r="X212" s="41">
        <f t="shared" si="18"/>
        <v>0</v>
      </c>
      <c r="Y212" s="11"/>
      <c r="Z212" s="11"/>
      <c r="AA212" s="11"/>
      <c r="AB212" s="11"/>
      <c r="AC212" s="24"/>
    </row>
    <row r="213" spans="1:29" x14ac:dyDescent="0.2">
      <c r="A213" s="11">
        <f>+'SERVICIO FAENA'!A213</f>
        <v>0</v>
      </c>
      <c r="B213" s="11">
        <f>+'SERVICIO FAENA'!B213</f>
        <v>0</v>
      </c>
      <c r="C213" s="11"/>
      <c r="D213" s="11"/>
      <c r="E213" s="18">
        <f>+'SERVICIO FAENA'!E213</f>
        <v>0</v>
      </c>
      <c r="F213" s="11"/>
      <c r="G213" s="180" t="e">
        <f t="shared" si="19"/>
        <v>#DIV/0!</v>
      </c>
      <c r="H213" s="11"/>
      <c r="I213" s="11"/>
      <c r="J213" s="180" t="e">
        <f t="shared" si="15"/>
        <v>#DIV/0!</v>
      </c>
      <c r="K213" s="100"/>
      <c r="L213" s="100"/>
      <c r="M213" s="100"/>
      <c r="N213" s="100">
        <f t="shared" si="16"/>
        <v>0</v>
      </c>
      <c r="O213" s="100"/>
      <c r="P213" s="41">
        <v>880</v>
      </c>
      <c r="Q213" s="11"/>
      <c r="R213" s="41">
        <v>260</v>
      </c>
      <c r="S213" s="185"/>
      <c r="T213" s="185"/>
      <c r="U213" s="185"/>
      <c r="V213" s="185"/>
      <c r="W213" s="41">
        <f t="shared" si="17"/>
        <v>0</v>
      </c>
      <c r="X213" s="41">
        <f t="shared" si="18"/>
        <v>0</v>
      </c>
      <c r="Y213" s="11"/>
      <c r="Z213" s="11"/>
      <c r="AA213" s="11"/>
      <c r="AB213" s="11"/>
      <c r="AC213" s="24"/>
    </row>
    <row r="214" spans="1:29" x14ac:dyDescent="0.2">
      <c r="A214" s="11">
        <f>+'SERVICIO FAENA'!A214</f>
        <v>0</v>
      </c>
      <c r="B214" s="11">
        <f>+'SERVICIO FAENA'!B214</f>
        <v>0</v>
      </c>
      <c r="C214" s="11"/>
      <c r="D214" s="11"/>
      <c r="E214" s="18">
        <f>+'SERVICIO FAENA'!E214</f>
        <v>0</v>
      </c>
      <c r="F214" s="11"/>
      <c r="G214" s="180" t="e">
        <f t="shared" si="19"/>
        <v>#DIV/0!</v>
      </c>
      <c r="H214" s="11"/>
      <c r="I214" s="11"/>
      <c r="J214" s="180" t="e">
        <f t="shared" si="15"/>
        <v>#DIV/0!</v>
      </c>
      <c r="K214" s="100"/>
      <c r="L214" s="100"/>
      <c r="M214" s="100"/>
      <c r="N214" s="100">
        <f t="shared" si="16"/>
        <v>0</v>
      </c>
      <c r="O214" s="100"/>
      <c r="P214" s="41">
        <v>880</v>
      </c>
      <c r="Q214" s="11"/>
      <c r="R214" s="41">
        <v>260</v>
      </c>
      <c r="S214" s="185"/>
      <c r="T214" s="185"/>
      <c r="U214" s="185"/>
      <c r="V214" s="185"/>
      <c r="W214" s="41">
        <f t="shared" si="17"/>
        <v>0</v>
      </c>
      <c r="X214" s="41">
        <f t="shared" si="18"/>
        <v>0</v>
      </c>
      <c r="Y214" s="11"/>
      <c r="Z214" s="11"/>
      <c r="AA214" s="11"/>
      <c r="AB214" s="11"/>
      <c r="AC214" s="24"/>
    </row>
    <row r="215" spans="1:29" x14ac:dyDescent="0.2">
      <c r="A215" s="11">
        <f>+'SERVICIO FAENA'!A215</f>
        <v>0</v>
      </c>
      <c r="B215" s="11">
        <f>+'SERVICIO FAENA'!B215</f>
        <v>0</v>
      </c>
      <c r="C215" s="11"/>
      <c r="D215" s="11"/>
      <c r="E215" s="18">
        <f>+'SERVICIO FAENA'!E215</f>
        <v>0</v>
      </c>
      <c r="F215" s="11"/>
      <c r="G215" s="180" t="e">
        <f t="shared" si="19"/>
        <v>#DIV/0!</v>
      </c>
      <c r="H215" s="11"/>
      <c r="I215" s="11"/>
      <c r="J215" s="180" t="e">
        <f t="shared" si="15"/>
        <v>#DIV/0!</v>
      </c>
      <c r="K215" s="100"/>
      <c r="L215" s="100"/>
      <c r="M215" s="100"/>
      <c r="N215" s="100">
        <f t="shared" si="16"/>
        <v>0</v>
      </c>
      <c r="O215" s="100"/>
      <c r="P215" s="41">
        <v>880</v>
      </c>
      <c r="Q215" s="11"/>
      <c r="R215" s="41">
        <v>260</v>
      </c>
      <c r="S215" s="185"/>
      <c r="T215" s="185"/>
      <c r="U215" s="185"/>
      <c r="V215" s="185"/>
      <c r="W215" s="41">
        <f t="shared" si="17"/>
        <v>0</v>
      </c>
      <c r="X215" s="41">
        <f t="shared" si="18"/>
        <v>0</v>
      </c>
      <c r="Y215" s="11"/>
      <c r="Z215" s="11"/>
      <c r="AA215" s="11"/>
      <c r="AB215" s="11"/>
      <c r="AC215" s="24"/>
    </row>
    <row r="216" spans="1:29" x14ac:dyDescent="0.2">
      <c r="A216" s="11">
        <f>+'SERVICIO FAENA'!A216</f>
        <v>0</v>
      </c>
      <c r="B216" s="11">
        <f>+'SERVICIO FAENA'!B216</f>
        <v>0</v>
      </c>
      <c r="C216" s="11"/>
      <c r="D216" s="11"/>
      <c r="E216" s="18">
        <f>+'SERVICIO FAENA'!E216</f>
        <v>0</v>
      </c>
      <c r="F216" s="11"/>
      <c r="G216" s="180" t="e">
        <f t="shared" si="19"/>
        <v>#DIV/0!</v>
      </c>
      <c r="H216" s="11"/>
      <c r="I216" s="11"/>
      <c r="J216" s="180" t="e">
        <f t="shared" si="15"/>
        <v>#DIV/0!</v>
      </c>
      <c r="K216" s="100"/>
      <c r="L216" s="100"/>
      <c r="M216" s="100"/>
      <c r="N216" s="100">
        <f t="shared" si="16"/>
        <v>0</v>
      </c>
      <c r="O216" s="100"/>
      <c r="P216" s="41">
        <v>880</v>
      </c>
      <c r="Q216" s="11"/>
      <c r="R216" s="41">
        <v>260</v>
      </c>
      <c r="S216" s="185"/>
      <c r="T216" s="185"/>
      <c r="U216" s="185"/>
      <c r="V216" s="185"/>
      <c r="W216" s="41">
        <f t="shared" si="17"/>
        <v>0</v>
      </c>
      <c r="X216" s="41">
        <f t="shared" si="18"/>
        <v>0</v>
      </c>
      <c r="Y216" s="11"/>
      <c r="Z216" s="11"/>
      <c r="AA216" s="11"/>
      <c r="AB216" s="11"/>
      <c r="AC216" s="24"/>
    </row>
    <row r="217" spans="1:29" x14ac:dyDescent="0.2">
      <c r="A217" s="11">
        <f>+'SERVICIO FAENA'!A217</f>
        <v>0</v>
      </c>
      <c r="B217" s="11">
        <f>+'SERVICIO FAENA'!B217</f>
        <v>0</v>
      </c>
      <c r="C217" s="11"/>
      <c r="D217" s="11"/>
      <c r="E217" s="18">
        <f>+'SERVICIO FAENA'!E217</f>
        <v>0</v>
      </c>
      <c r="F217" s="11"/>
      <c r="G217" s="180" t="e">
        <f t="shared" si="19"/>
        <v>#DIV/0!</v>
      </c>
      <c r="H217" s="11"/>
      <c r="I217" s="11"/>
      <c r="J217" s="180" t="e">
        <f t="shared" si="15"/>
        <v>#DIV/0!</v>
      </c>
      <c r="K217" s="100"/>
      <c r="L217" s="100"/>
      <c r="M217" s="100"/>
      <c r="N217" s="100">
        <f t="shared" si="16"/>
        <v>0</v>
      </c>
      <c r="O217" s="100"/>
      <c r="P217" s="41">
        <v>880</v>
      </c>
      <c r="Q217" s="11"/>
      <c r="R217" s="41">
        <v>260</v>
      </c>
      <c r="S217" s="185"/>
      <c r="T217" s="185"/>
      <c r="U217" s="185"/>
      <c r="V217" s="185"/>
      <c r="W217" s="41">
        <f t="shared" si="17"/>
        <v>0</v>
      </c>
      <c r="X217" s="41">
        <f t="shared" si="18"/>
        <v>0</v>
      </c>
      <c r="Y217" s="11"/>
      <c r="Z217" s="11"/>
      <c r="AA217" s="11"/>
      <c r="AB217" s="11"/>
      <c r="AC217" s="24"/>
    </row>
    <row r="218" spans="1:29" x14ac:dyDescent="0.2">
      <c r="A218" s="11">
        <f>+'SERVICIO FAENA'!A218</f>
        <v>0</v>
      </c>
      <c r="B218" s="11">
        <f>+'SERVICIO FAENA'!B218</f>
        <v>0</v>
      </c>
      <c r="C218" s="11"/>
      <c r="D218" s="11"/>
      <c r="E218" s="18">
        <f>+'SERVICIO FAENA'!E218</f>
        <v>0</v>
      </c>
      <c r="F218" s="11"/>
      <c r="G218" s="180" t="e">
        <f t="shared" si="19"/>
        <v>#DIV/0!</v>
      </c>
      <c r="H218" s="11"/>
      <c r="I218" s="11"/>
      <c r="J218" s="180" t="e">
        <f t="shared" si="15"/>
        <v>#DIV/0!</v>
      </c>
      <c r="K218" s="100"/>
      <c r="L218" s="100"/>
      <c r="M218" s="100"/>
      <c r="N218" s="100">
        <f t="shared" si="16"/>
        <v>0</v>
      </c>
      <c r="O218" s="100"/>
      <c r="P218" s="41">
        <v>880</v>
      </c>
      <c r="Q218" s="11"/>
      <c r="R218" s="41">
        <v>260</v>
      </c>
      <c r="S218" s="185"/>
      <c r="T218" s="185"/>
      <c r="U218" s="185"/>
      <c r="V218" s="185"/>
      <c r="W218" s="41">
        <f t="shared" si="17"/>
        <v>0</v>
      </c>
      <c r="X218" s="41">
        <f t="shared" si="18"/>
        <v>0</v>
      </c>
      <c r="Y218" s="11"/>
      <c r="Z218" s="11"/>
      <c r="AA218" s="11"/>
      <c r="AB218" s="11"/>
      <c r="AC218" s="24"/>
    </row>
    <row r="219" spans="1:29" x14ac:dyDescent="0.2">
      <c r="A219" s="11">
        <f>+'SERVICIO FAENA'!A219</f>
        <v>0</v>
      </c>
      <c r="B219" s="11">
        <f>+'SERVICIO FAENA'!B219</f>
        <v>0</v>
      </c>
      <c r="C219" s="11"/>
      <c r="D219" s="11"/>
      <c r="E219" s="18">
        <f>+'SERVICIO FAENA'!E219</f>
        <v>0</v>
      </c>
      <c r="F219" s="11"/>
      <c r="G219" s="180" t="e">
        <f t="shared" si="19"/>
        <v>#DIV/0!</v>
      </c>
      <c r="H219" s="11"/>
      <c r="I219" s="11"/>
      <c r="J219" s="180" t="e">
        <f t="shared" si="15"/>
        <v>#DIV/0!</v>
      </c>
      <c r="K219" s="100"/>
      <c r="L219" s="100"/>
      <c r="M219" s="100"/>
      <c r="N219" s="100">
        <f t="shared" si="16"/>
        <v>0</v>
      </c>
      <c r="O219" s="100"/>
      <c r="P219" s="41">
        <v>880</v>
      </c>
      <c r="Q219" s="11"/>
      <c r="R219" s="41">
        <v>260</v>
      </c>
      <c r="S219" s="185"/>
      <c r="T219" s="185"/>
      <c r="U219" s="185"/>
      <c r="V219" s="185"/>
      <c r="W219" s="41">
        <f t="shared" si="17"/>
        <v>0</v>
      </c>
      <c r="X219" s="41">
        <f t="shared" si="18"/>
        <v>0</v>
      </c>
      <c r="Y219" s="11"/>
      <c r="Z219" s="11"/>
      <c r="AA219" s="11"/>
      <c r="AB219" s="11"/>
      <c r="AC219" s="24"/>
    </row>
    <row r="220" spans="1:29" x14ac:dyDescent="0.2">
      <c r="A220" s="11">
        <f>+'SERVICIO FAENA'!A220</f>
        <v>0</v>
      </c>
      <c r="B220" s="11">
        <f>+'SERVICIO FAENA'!B220</f>
        <v>0</v>
      </c>
      <c r="C220" s="11"/>
      <c r="D220" s="11"/>
      <c r="E220" s="18">
        <f>+'SERVICIO FAENA'!E220</f>
        <v>0</v>
      </c>
      <c r="F220" s="11"/>
      <c r="G220" s="180" t="e">
        <f t="shared" si="19"/>
        <v>#DIV/0!</v>
      </c>
      <c r="H220" s="11"/>
      <c r="I220" s="11"/>
      <c r="J220" s="180" t="e">
        <f t="shared" si="15"/>
        <v>#DIV/0!</v>
      </c>
      <c r="K220" s="100"/>
      <c r="L220" s="100"/>
      <c r="M220" s="100"/>
      <c r="N220" s="100">
        <f t="shared" si="16"/>
        <v>0</v>
      </c>
      <c r="O220" s="100"/>
      <c r="P220" s="41">
        <v>880</v>
      </c>
      <c r="Q220" s="11"/>
      <c r="R220" s="41">
        <v>260</v>
      </c>
      <c r="S220" s="185"/>
      <c r="T220" s="185"/>
      <c r="U220" s="185"/>
      <c r="V220" s="185"/>
      <c r="W220" s="41">
        <f t="shared" si="17"/>
        <v>0</v>
      </c>
      <c r="X220" s="41">
        <f t="shared" si="18"/>
        <v>0</v>
      </c>
      <c r="Y220" s="11"/>
      <c r="Z220" s="11"/>
      <c r="AA220" s="11"/>
      <c r="AB220" s="11"/>
      <c r="AC220" s="24"/>
    </row>
    <row r="221" spans="1:29" x14ac:dyDescent="0.2">
      <c r="A221" s="11">
        <f>+'SERVICIO FAENA'!A221</f>
        <v>0</v>
      </c>
      <c r="B221" s="11">
        <f>+'SERVICIO FAENA'!B221</f>
        <v>0</v>
      </c>
      <c r="C221" s="11"/>
      <c r="D221" s="11"/>
      <c r="E221" s="18">
        <f>+'SERVICIO FAENA'!E221</f>
        <v>0</v>
      </c>
      <c r="F221" s="11"/>
      <c r="G221" s="180" t="e">
        <f t="shared" si="19"/>
        <v>#DIV/0!</v>
      </c>
      <c r="H221" s="11"/>
      <c r="I221" s="11"/>
      <c r="J221" s="180" t="e">
        <f t="shared" si="15"/>
        <v>#DIV/0!</v>
      </c>
      <c r="K221" s="100"/>
      <c r="L221" s="100"/>
      <c r="M221" s="100"/>
      <c r="N221" s="100">
        <f t="shared" si="16"/>
        <v>0</v>
      </c>
      <c r="O221" s="100"/>
      <c r="P221" s="41">
        <v>880</v>
      </c>
      <c r="Q221" s="11"/>
      <c r="R221" s="41">
        <v>260</v>
      </c>
      <c r="S221" s="185"/>
      <c r="T221" s="185"/>
      <c r="U221" s="185"/>
      <c r="V221" s="185"/>
      <c r="W221" s="41">
        <f t="shared" si="17"/>
        <v>0</v>
      </c>
      <c r="X221" s="41">
        <f t="shared" si="18"/>
        <v>0</v>
      </c>
      <c r="Y221" s="11"/>
      <c r="Z221" s="11"/>
      <c r="AA221" s="11"/>
      <c r="AB221" s="11"/>
      <c r="AC221" s="24"/>
    </row>
    <row r="222" spans="1:29" x14ac:dyDescent="0.2">
      <c r="A222" s="11">
        <f>+'SERVICIO FAENA'!A222</f>
        <v>0</v>
      </c>
      <c r="B222" s="11">
        <f>+'SERVICIO FAENA'!B222</f>
        <v>0</v>
      </c>
      <c r="C222" s="11"/>
      <c r="D222" s="11"/>
      <c r="E222" s="18">
        <f>+'SERVICIO FAENA'!E222</f>
        <v>0</v>
      </c>
      <c r="F222" s="11"/>
      <c r="G222" s="180" t="e">
        <f t="shared" si="19"/>
        <v>#DIV/0!</v>
      </c>
      <c r="H222" s="11"/>
      <c r="I222" s="11"/>
      <c r="J222" s="180" t="e">
        <f t="shared" si="15"/>
        <v>#DIV/0!</v>
      </c>
      <c r="K222" s="100"/>
      <c r="L222" s="100"/>
      <c r="M222" s="100"/>
      <c r="N222" s="100">
        <f t="shared" si="16"/>
        <v>0</v>
      </c>
      <c r="O222" s="100"/>
      <c r="P222" s="41">
        <v>880</v>
      </c>
      <c r="Q222" s="11"/>
      <c r="R222" s="41">
        <v>260</v>
      </c>
      <c r="S222" s="185"/>
      <c r="T222" s="185"/>
      <c r="U222" s="185"/>
      <c r="V222" s="185"/>
      <c r="W222" s="41">
        <f t="shared" si="17"/>
        <v>0</v>
      </c>
      <c r="X222" s="41">
        <f t="shared" si="18"/>
        <v>0</v>
      </c>
      <c r="Y222" s="11"/>
      <c r="Z222" s="11"/>
      <c r="AA222" s="11"/>
      <c r="AB222" s="11"/>
      <c r="AC222" s="24"/>
    </row>
    <row r="223" spans="1:29" x14ac:dyDescent="0.2">
      <c r="A223" s="11">
        <f>+'SERVICIO FAENA'!A223</f>
        <v>0</v>
      </c>
      <c r="B223" s="11">
        <f>+'SERVICIO FAENA'!B223</f>
        <v>0</v>
      </c>
      <c r="C223" s="11"/>
      <c r="D223" s="11"/>
      <c r="E223" s="18">
        <f>+'SERVICIO FAENA'!E223</f>
        <v>0</v>
      </c>
      <c r="F223" s="11"/>
      <c r="G223" s="180" t="e">
        <f t="shared" si="19"/>
        <v>#DIV/0!</v>
      </c>
      <c r="H223" s="11"/>
      <c r="I223" s="11"/>
      <c r="J223" s="180" t="e">
        <f t="shared" si="15"/>
        <v>#DIV/0!</v>
      </c>
      <c r="K223" s="100"/>
      <c r="L223" s="100"/>
      <c r="M223" s="100"/>
      <c r="N223" s="100">
        <f t="shared" si="16"/>
        <v>0</v>
      </c>
      <c r="O223" s="100"/>
      <c r="P223" s="41">
        <v>880</v>
      </c>
      <c r="Q223" s="11"/>
      <c r="R223" s="41">
        <v>260</v>
      </c>
      <c r="S223" s="185"/>
      <c r="T223" s="185"/>
      <c r="U223" s="185"/>
      <c r="V223" s="185"/>
      <c r="W223" s="41">
        <f t="shared" si="17"/>
        <v>0</v>
      </c>
      <c r="X223" s="41">
        <f t="shared" si="18"/>
        <v>0</v>
      </c>
      <c r="Y223" s="11"/>
      <c r="Z223" s="11"/>
      <c r="AA223" s="11"/>
      <c r="AB223" s="11"/>
      <c r="AC223" s="24"/>
    </row>
    <row r="224" spans="1:29" x14ac:dyDescent="0.2">
      <c r="A224" s="11">
        <f>+'SERVICIO FAENA'!A224</f>
        <v>0</v>
      </c>
      <c r="B224" s="11">
        <f>+'SERVICIO FAENA'!B224</f>
        <v>0</v>
      </c>
      <c r="C224" s="11"/>
      <c r="D224" s="11"/>
      <c r="E224" s="18">
        <f>+'SERVICIO FAENA'!E224</f>
        <v>0</v>
      </c>
      <c r="F224" s="11"/>
      <c r="G224" s="180" t="e">
        <f t="shared" si="19"/>
        <v>#DIV/0!</v>
      </c>
      <c r="H224" s="11"/>
      <c r="I224" s="11"/>
      <c r="J224" s="180" t="e">
        <f t="shared" si="15"/>
        <v>#DIV/0!</v>
      </c>
      <c r="K224" s="100"/>
      <c r="L224" s="100"/>
      <c r="M224" s="100"/>
      <c r="N224" s="100">
        <f t="shared" si="16"/>
        <v>0</v>
      </c>
      <c r="O224" s="100"/>
      <c r="P224" s="41">
        <v>880</v>
      </c>
      <c r="Q224" s="11"/>
      <c r="R224" s="41">
        <v>260</v>
      </c>
      <c r="S224" s="185"/>
      <c r="T224" s="185"/>
      <c r="U224" s="185"/>
      <c r="V224" s="185"/>
      <c r="W224" s="41">
        <f t="shared" si="17"/>
        <v>0</v>
      </c>
      <c r="X224" s="41">
        <f t="shared" si="18"/>
        <v>0</v>
      </c>
      <c r="Y224" s="11"/>
      <c r="Z224" s="11"/>
      <c r="AA224" s="11"/>
      <c r="AB224" s="11"/>
      <c r="AC224" s="24"/>
    </row>
    <row r="225" spans="1:29" x14ac:dyDescent="0.2">
      <c r="A225" s="11">
        <f>+'SERVICIO FAENA'!A225</f>
        <v>0</v>
      </c>
      <c r="B225" s="11">
        <f>+'SERVICIO FAENA'!B225</f>
        <v>0</v>
      </c>
      <c r="C225" s="11"/>
      <c r="D225" s="11"/>
      <c r="E225" s="18">
        <f>+'SERVICIO FAENA'!E225</f>
        <v>0</v>
      </c>
      <c r="F225" s="11"/>
      <c r="G225" s="180" t="e">
        <f t="shared" si="19"/>
        <v>#DIV/0!</v>
      </c>
      <c r="H225" s="11"/>
      <c r="I225" s="11"/>
      <c r="J225" s="180" t="e">
        <f t="shared" si="15"/>
        <v>#DIV/0!</v>
      </c>
      <c r="K225" s="100"/>
      <c r="L225" s="100"/>
      <c r="M225" s="100"/>
      <c r="N225" s="100">
        <f t="shared" si="16"/>
        <v>0</v>
      </c>
      <c r="O225" s="100"/>
      <c r="P225" s="41">
        <v>880</v>
      </c>
      <c r="Q225" s="11"/>
      <c r="R225" s="41">
        <v>260</v>
      </c>
      <c r="S225" s="185"/>
      <c r="T225" s="185"/>
      <c r="U225" s="185"/>
      <c r="V225" s="185"/>
      <c r="W225" s="41">
        <f t="shared" si="17"/>
        <v>0</v>
      </c>
      <c r="X225" s="41">
        <f t="shared" si="18"/>
        <v>0</v>
      </c>
      <c r="Y225" s="11"/>
      <c r="Z225" s="11"/>
      <c r="AA225" s="11"/>
      <c r="AB225" s="11"/>
      <c r="AC225" s="24"/>
    </row>
    <row r="226" spans="1:29" x14ac:dyDescent="0.2">
      <c r="A226" s="11">
        <f>+'SERVICIO FAENA'!A226</f>
        <v>0</v>
      </c>
      <c r="B226" s="11">
        <f>+'SERVICIO FAENA'!B226</f>
        <v>0</v>
      </c>
      <c r="C226" s="11"/>
      <c r="D226" s="11"/>
      <c r="E226" s="18">
        <f>+'SERVICIO FAENA'!E226</f>
        <v>0</v>
      </c>
      <c r="F226" s="11"/>
      <c r="G226" s="180" t="e">
        <f t="shared" si="19"/>
        <v>#DIV/0!</v>
      </c>
      <c r="H226" s="11"/>
      <c r="I226" s="11"/>
      <c r="J226" s="180" t="e">
        <f t="shared" si="15"/>
        <v>#DIV/0!</v>
      </c>
      <c r="K226" s="100"/>
      <c r="L226" s="100"/>
      <c r="M226" s="100"/>
      <c r="N226" s="100">
        <f t="shared" si="16"/>
        <v>0</v>
      </c>
      <c r="O226" s="100"/>
      <c r="P226" s="41">
        <v>880</v>
      </c>
      <c r="Q226" s="11"/>
      <c r="R226" s="41">
        <v>260</v>
      </c>
      <c r="S226" s="185"/>
      <c r="T226" s="185"/>
      <c r="U226" s="185"/>
      <c r="V226" s="185"/>
      <c r="W226" s="41">
        <f t="shared" si="17"/>
        <v>0</v>
      </c>
      <c r="X226" s="41">
        <f t="shared" si="18"/>
        <v>0</v>
      </c>
      <c r="Y226" s="11"/>
      <c r="Z226" s="11"/>
      <c r="AA226" s="11"/>
      <c r="AB226" s="11"/>
      <c r="AC226" s="24"/>
    </row>
    <row r="227" spans="1:29" x14ac:dyDescent="0.2">
      <c r="A227" s="11">
        <f>+'SERVICIO FAENA'!A227</f>
        <v>0</v>
      </c>
      <c r="B227" s="11">
        <f>+'SERVICIO FAENA'!B227</f>
        <v>0</v>
      </c>
      <c r="C227" s="11"/>
      <c r="D227" s="11"/>
      <c r="E227" s="18">
        <f>+'SERVICIO FAENA'!E227</f>
        <v>0</v>
      </c>
      <c r="F227" s="11"/>
      <c r="G227" s="180" t="e">
        <f t="shared" si="19"/>
        <v>#DIV/0!</v>
      </c>
      <c r="H227" s="11"/>
      <c r="I227" s="11"/>
      <c r="J227" s="180" t="e">
        <f t="shared" si="15"/>
        <v>#DIV/0!</v>
      </c>
      <c r="K227" s="100"/>
      <c r="L227" s="100"/>
      <c r="M227" s="100"/>
      <c r="N227" s="100">
        <f t="shared" si="16"/>
        <v>0</v>
      </c>
      <c r="O227" s="100"/>
      <c r="P227" s="41">
        <v>880</v>
      </c>
      <c r="Q227" s="11"/>
      <c r="R227" s="41">
        <v>260</v>
      </c>
      <c r="S227" s="185"/>
      <c r="T227" s="185"/>
      <c r="U227" s="185"/>
      <c r="V227" s="185"/>
      <c r="W227" s="41">
        <f t="shared" si="17"/>
        <v>0</v>
      </c>
      <c r="X227" s="41">
        <f t="shared" si="18"/>
        <v>0</v>
      </c>
      <c r="Y227" s="11"/>
      <c r="Z227" s="11"/>
      <c r="AA227" s="11"/>
      <c r="AB227" s="11"/>
      <c r="AC227" s="24"/>
    </row>
    <row r="228" spans="1:29" x14ac:dyDescent="0.2">
      <c r="A228" s="11">
        <f>+'SERVICIO FAENA'!A228</f>
        <v>0</v>
      </c>
      <c r="B228" s="11">
        <f>+'SERVICIO FAENA'!B228</f>
        <v>0</v>
      </c>
      <c r="C228" s="11"/>
      <c r="D228" s="11"/>
      <c r="E228" s="18">
        <f>+'SERVICIO FAENA'!E228</f>
        <v>0</v>
      </c>
      <c r="F228" s="11"/>
      <c r="G228" s="180" t="e">
        <f t="shared" si="19"/>
        <v>#DIV/0!</v>
      </c>
      <c r="H228" s="11"/>
      <c r="I228" s="11"/>
      <c r="J228" s="180" t="e">
        <f t="shared" si="15"/>
        <v>#DIV/0!</v>
      </c>
      <c r="K228" s="100"/>
      <c r="L228" s="100"/>
      <c r="M228" s="100"/>
      <c r="N228" s="100">
        <f t="shared" si="16"/>
        <v>0</v>
      </c>
      <c r="O228" s="100"/>
      <c r="P228" s="41">
        <v>880</v>
      </c>
      <c r="Q228" s="11"/>
      <c r="R228" s="41">
        <v>260</v>
      </c>
      <c r="S228" s="185"/>
      <c r="T228" s="185"/>
      <c r="U228" s="185"/>
      <c r="V228" s="185"/>
      <c r="W228" s="41">
        <f t="shared" si="17"/>
        <v>0</v>
      </c>
      <c r="X228" s="41">
        <f t="shared" si="18"/>
        <v>0</v>
      </c>
      <c r="Y228" s="11"/>
      <c r="Z228" s="11"/>
      <c r="AA228" s="11"/>
      <c r="AB228" s="11"/>
      <c r="AC228" s="24"/>
    </row>
    <row r="229" spans="1:29" x14ac:dyDescent="0.2">
      <c r="A229" s="11">
        <f>+'SERVICIO FAENA'!A229</f>
        <v>0</v>
      </c>
      <c r="B229" s="11">
        <f>+'SERVICIO FAENA'!B229</f>
        <v>0</v>
      </c>
      <c r="C229" s="11"/>
      <c r="D229" s="11"/>
      <c r="E229" s="18">
        <f>+'SERVICIO FAENA'!E229</f>
        <v>0</v>
      </c>
      <c r="F229" s="11"/>
      <c r="G229" s="180" t="e">
        <f t="shared" si="19"/>
        <v>#DIV/0!</v>
      </c>
      <c r="H229" s="11"/>
      <c r="I229" s="11"/>
      <c r="J229" s="180" t="e">
        <f t="shared" si="15"/>
        <v>#DIV/0!</v>
      </c>
      <c r="K229" s="100"/>
      <c r="L229" s="100"/>
      <c r="M229" s="100"/>
      <c r="N229" s="100">
        <f t="shared" si="16"/>
        <v>0</v>
      </c>
      <c r="O229" s="100"/>
      <c r="P229" s="41">
        <v>880</v>
      </c>
      <c r="Q229" s="11"/>
      <c r="R229" s="41">
        <v>260</v>
      </c>
      <c r="S229" s="185"/>
      <c r="T229" s="185"/>
      <c r="U229" s="185"/>
      <c r="V229" s="185"/>
      <c r="W229" s="41">
        <f t="shared" si="17"/>
        <v>0</v>
      </c>
      <c r="X229" s="41">
        <f t="shared" si="18"/>
        <v>0</v>
      </c>
      <c r="Y229" s="11"/>
      <c r="Z229" s="11"/>
      <c r="AA229" s="11"/>
      <c r="AB229" s="11"/>
      <c r="AC229" s="24"/>
    </row>
    <row r="230" spans="1:29" x14ac:dyDescent="0.2">
      <c r="A230" s="11">
        <f>+'SERVICIO FAENA'!A230</f>
        <v>0</v>
      </c>
      <c r="B230" s="11">
        <f>+'SERVICIO FAENA'!B230</f>
        <v>0</v>
      </c>
      <c r="C230" s="11"/>
      <c r="D230" s="11"/>
      <c r="E230" s="18">
        <f>+'SERVICIO FAENA'!E230</f>
        <v>0</v>
      </c>
      <c r="F230" s="11"/>
      <c r="G230" s="180" t="e">
        <f t="shared" si="19"/>
        <v>#DIV/0!</v>
      </c>
      <c r="H230" s="11"/>
      <c r="I230" s="11"/>
      <c r="J230" s="180" t="e">
        <f t="shared" si="15"/>
        <v>#DIV/0!</v>
      </c>
      <c r="K230" s="100"/>
      <c r="L230" s="100"/>
      <c r="M230" s="100"/>
      <c r="N230" s="100">
        <f t="shared" si="16"/>
        <v>0</v>
      </c>
      <c r="O230" s="100"/>
      <c r="P230" s="41">
        <v>880</v>
      </c>
      <c r="Q230" s="11"/>
      <c r="R230" s="41">
        <v>260</v>
      </c>
      <c r="S230" s="185"/>
      <c r="T230" s="185"/>
      <c r="U230" s="185"/>
      <c r="V230" s="185"/>
      <c r="W230" s="41">
        <f t="shared" si="17"/>
        <v>0</v>
      </c>
      <c r="X230" s="41">
        <f t="shared" si="18"/>
        <v>0</v>
      </c>
      <c r="Y230" s="11"/>
      <c r="Z230" s="11"/>
      <c r="AA230" s="11"/>
      <c r="AB230" s="11"/>
      <c r="AC230" s="24"/>
    </row>
    <row r="231" spans="1:29" x14ac:dyDescent="0.2">
      <c r="A231" s="11">
        <f>+'SERVICIO FAENA'!A231</f>
        <v>0</v>
      </c>
      <c r="B231" s="11">
        <f>+'SERVICIO FAENA'!B231</f>
        <v>0</v>
      </c>
      <c r="C231" s="11"/>
      <c r="D231" s="11"/>
      <c r="E231" s="18">
        <f>+'SERVICIO FAENA'!E231</f>
        <v>0</v>
      </c>
      <c r="F231" s="11"/>
      <c r="G231" s="180" t="e">
        <f t="shared" si="19"/>
        <v>#DIV/0!</v>
      </c>
      <c r="H231" s="11"/>
      <c r="I231" s="11"/>
      <c r="J231" s="180" t="e">
        <f t="shared" si="15"/>
        <v>#DIV/0!</v>
      </c>
      <c r="K231" s="100"/>
      <c r="L231" s="100"/>
      <c r="M231" s="100"/>
      <c r="N231" s="100">
        <f t="shared" si="16"/>
        <v>0</v>
      </c>
      <c r="O231" s="100"/>
      <c r="P231" s="41">
        <v>880</v>
      </c>
      <c r="Q231" s="11"/>
      <c r="R231" s="41">
        <v>260</v>
      </c>
      <c r="S231" s="185"/>
      <c r="T231" s="185"/>
      <c r="U231" s="185"/>
      <c r="V231" s="185"/>
      <c r="W231" s="41">
        <f t="shared" si="17"/>
        <v>0</v>
      </c>
      <c r="X231" s="41">
        <f t="shared" si="18"/>
        <v>0</v>
      </c>
      <c r="Y231" s="11"/>
      <c r="Z231" s="11"/>
      <c r="AA231" s="11"/>
      <c r="AB231" s="11"/>
      <c r="AC231" s="24"/>
    </row>
    <row r="232" spans="1:29" x14ac:dyDescent="0.2">
      <c r="A232" s="11">
        <f>+'SERVICIO FAENA'!A232</f>
        <v>0</v>
      </c>
      <c r="B232" s="11">
        <f>+'SERVICIO FAENA'!B232</f>
        <v>0</v>
      </c>
      <c r="C232" s="11"/>
      <c r="D232" s="11"/>
      <c r="E232" s="18">
        <f>+'SERVICIO FAENA'!E232</f>
        <v>0</v>
      </c>
      <c r="F232" s="11"/>
      <c r="G232" s="180" t="e">
        <f t="shared" si="19"/>
        <v>#DIV/0!</v>
      </c>
      <c r="H232" s="11"/>
      <c r="I232" s="11"/>
      <c r="J232" s="180" t="e">
        <f t="shared" si="15"/>
        <v>#DIV/0!</v>
      </c>
      <c r="K232" s="100"/>
      <c r="L232" s="100"/>
      <c r="M232" s="100"/>
      <c r="N232" s="100">
        <f t="shared" si="16"/>
        <v>0</v>
      </c>
      <c r="O232" s="100"/>
      <c r="P232" s="41">
        <v>880</v>
      </c>
      <c r="Q232" s="11"/>
      <c r="R232" s="41">
        <v>260</v>
      </c>
      <c r="S232" s="185"/>
      <c r="T232" s="185"/>
      <c r="U232" s="185"/>
      <c r="V232" s="185"/>
      <c r="W232" s="41">
        <f t="shared" si="17"/>
        <v>0</v>
      </c>
      <c r="X232" s="41">
        <f t="shared" si="18"/>
        <v>0</v>
      </c>
      <c r="Y232" s="11"/>
      <c r="Z232" s="11"/>
      <c r="AA232" s="11"/>
      <c r="AB232" s="11"/>
      <c r="AC232" s="24"/>
    </row>
    <row r="233" spans="1:29" x14ac:dyDescent="0.2">
      <c r="A233" s="11">
        <f>+'SERVICIO FAENA'!A233</f>
        <v>0</v>
      </c>
      <c r="B233" s="11">
        <f>+'SERVICIO FAENA'!B233</f>
        <v>0</v>
      </c>
      <c r="C233" s="11"/>
      <c r="D233" s="11"/>
      <c r="E233" s="18">
        <f>+'SERVICIO FAENA'!E233</f>
        <v>0</v>
      </c>
      <c r="F233" s="11"/>
      <c r="G233" s="180" t="e">
        <f t="shared" si="19"/>
        <v>#DIV/0!</v>
      </c>
      <c r="H233" s="11"/>
      <c r="I233" s="11"/>
      <c r="J233" s="180" t="e">
        <f t="shared" si="15"/>
        <v>#DIV/0!</v>
      </c>
      <c r="K233" s="100"/>
      <c r="L233" s="100"/>
      <c r="M233" s="100"/>
      <c r="N233" s="100">
        <f t="shared" si="16"/>
        <v>0</v>
      </c>
      <c r="O233" s="100"/>
      <c r="P233" s="41">
        <v>880</v>
      </c>
      <c r="Q233" s="11"/>
      <c r="R233" s="41">
        <v>260</v>
      </c>
      <c r="S233" s="185"/>
      <c r="T233" s="185"/>
      <c r="U233" s="185"/>
      <c r="V233" s="185"/>
      <c r="W233" s="41">
        <f t="shared" si="17"/>
        <v>0</v>
      </c>
      <c r="X233" s="41">
        <f t="shared" si="18"/>
        <v>0</v>
      </c>
      <c r="Y233" s="11"/>
      <c r="Z233" s="11"/>
      <c r="AA233" s="11"/>
      <c r="AB233" s="11"/>
      <c r="AC233" s="24"/>
    </row>
    <row r="234" spans="1:29" x14ac:dyDescent="0.2">
      <c r="A234" s="11">
        <f>+'SERVICIO FAENA'!A234</f>
        <v>0</v>
      </c>
      <c r="B234" s="11">
        <f>+'SERVICIO FAENA'!B234</f>
        <v>0</v>
      </c>
      <c r="C234" s="11"/>
      <c r="D234" s="11"/>
      <c r="E234" s="18">
        <f>+'SERVICIO FAENA'!E234</f>
        <v>0</v>
      </c>
      <c r="F234" s="11"/>
      <c r="G234" s="180" t="e">
        <f t="shared" si="19"/>
        <v>#DIV/0!</v>
      </c>
      <c r="H234" s="11"/>
      <c r="I234" s="11"/>
      <c r="J234" s="180" t="e">
        <f t="shared" ref="J234:J297" si="20">+((F234-(H234+I234))/F234)</f>
        <v>#DIV/0!</v>
      </c>
      <c r="K234" s="100"/>
      <c r="L234" s="100"/>
      <c r="M234" s="100"/>
      <c r="N234" s="100">
        <f t="shared" ref="N234:N297" si="21">SUM(K234:M234)</f>
        <v>0</v>
      </c>
      <c r="O234" s="100"/>
      <c r="P234" s="41">
        <v>880</v>
      </c>
      <c r="Q234" s="11"/>
      <c r="R234" s="41">
        <v>260</v>
      </c>
      <c r="S234" s="185"/>
      <c r="T234" s="185"/>
      <c r="U234" s="185"/>
      <c r="V234" s="185"/>
      <c r="W234" s="41">
        <f t="shared" ref="W234:W297" si="22">+(P234*O234)+(R234*Q234)</f>
        <v>0</v>
      </c>
      <c r="X234" s="41">
        <f t="shared" si="18"/>
        <v>0</v>
      </c>
      <c r="Y234" s="11"/>
      <c r="Z234" s="11"/>
      <c r="AA234" s="11"/>
      <c r="AB234" s="11"/>
      <c r="AC234" s="24"/>
    </row>
    <row r="235" spans="1:29" x14ac:dyDescent="0.2">
      <c r="A235" s="11">
        <f>+'SERVICIO FAENA'!A235</f>
        <v>0</v>
      </c>
      <c r="B235" s="11">
        <f>+'SERVICIO FAENA'!B235</f>
        <v>0</v>
      </c>
      <c r="C235" s="11"/>
      <c r="D235" s="11"/>
      <c r="E235" s="18">
        <f>+'SERVICIO FAENA'!E235</f>
        <v>0</v>
      </c>
      <c r="F235" s="11"/>
      <c r="G235" s="180" t="e">
        <f t="shared" si="19"/>
        <v>#DIV/0!</v>
      </c>
      <c r="H235" s="11"/>
      <c r="I235" s="11"/>
      <c r="J235" s="180" t="e">
        <f t="shared" si="20"/>
        <v>#DIV/0!</v>
      </c>
      <c r="K235" s="100"/>
      <c r="L235" s="100"/>
      <c r="M235" s="100"/>
      <c r="N235" s="100">
        <f t="shared" si="21"/>
        <v>0</v>
      </c>
      <c r="O235" s="100"/>
      <c r="P235" s="41">
        <v>880</v>
      </c>
      <c r="Q235" s="11"/>
      <c r="R235" s="41">
        <v>260</v>
      </c>
      <c r="S235" s="185"/>
      <c r="T235" s="185"/>
      <c r="U235" s="185"/>
      <c r="V235" s="185"/>
      <c r="W235" s="41">
        <f t="shared" si="22"/>
        <v>0</v>
      </c>
      <c r="X235" s="41">
        <f t="shared" si="18"/>
        <v>0</v>
      </c>
      <c r="Y235" s="11"/>
      <c r="Z235" s="11"/>
      <c r="AA235" s="11"/>
      <c r="AB235" s="11"/>
      <c r="AC235" s="24"/>
    </row>
    <row r="236" spans="1:29" x14ac:dyDescent="0.2">
      <c r="A236" s="11">
        <f>+'SERVICIO FAENA'!A236</f>
        <v>0</v>
      </c>
      <c r="B236" s="11">
        <f>+'SERVICIO FAENA'!B236</f>
        <v>0</v>
      </c>
      <c r="C236" s="11"/>
      <c r="D236" s="11"/>
      <c r="E236" s="18">
        <f>+'SERVICIO FAENA'!E236</f>
        <v>0</v>
      </c>
      <c r="F236" s="11"/>
      <c r="G236" s="180" t="e">
        <f t="shared" si="19"/>
        <v>#DIV/0!</v>
      </c>
      <c r="H236" s="11"/>
      <c r="I236" s="11"/>
      <c r="J236" s="180" t="e">
        <f t="shared" si="20"/>
        <v>#DIV/0!</v>
      </c>
      <c r="K236" s="100"/>
      <c r="L236" s="100"/>
      <c r="M236" s="100"/>
      <c r="N236" s="100">
        <f t="shared" si="21"/>
        <v>0</v>
      </c>
      <c r="O236" s="100"/>
      <c r="P236" s="41">
        <v>880</v>
      </c>
      <c r="Q236" s="11"/>
      <c r="R236" s="41">
        <v>260</v>
      </c>
      <c r="S236" s="185"/>
      <c r="T236" s="185"/>
      <c r="U236" s="185"/>
      <c r="V236" s="185"/>
      <c r="W236" s="41">
        <f t="shared" si="22"/>
        <v>0</v>
      </c>
      <c r="X236" s="41">
        <f t="shared" si="18"/>
        <v>0</v>
      </c>
      <c r="Y236" s="11"/>
      <c r="Z236" s="11"/>
      <c r="AA236" s="11"/>
      <c r="AB236" s="11"/>
      <c r="AC236" s="24"/>
    </row>
    <row r="237" spans="1:29" x14ac:dyDescent="0.2">
      <c r="A237" s="11">
        <f>+'SERVICIO FAENA'!A237</f>
        <v>0</v>
      </c>
      <c r="B237" s="11">
        <f>+'SERVICIO FAENA'!B237</f>
        <v>0</v>
      </c>
      <c r="C237" s="11"/>
      <c r="D237" s="11"/>
      <c r="E237" s="18">
        <f>+'SERVICIO FAENA'!E237</f>
        <v>0</v>
      </c>
      <c r="F237" s="11"/>
      <c r="G237" s="180" t="e">
        <f t="shared" si="19"/>
        <v>#DIV/0!</v>
      </c>
      <c r="H237" s="11"/>
      <c r="I237" s="11"/>
      <c r="J237" s="180" t="e">
        <f t="shared" si="20"/>
        <v>#DIV/0!</v>
      </c>
      <c r="K237" s="100"/>
      <c r="L237" s="100"/>
      <c r="M237" s="100"/>
      <c r="N237" s="100">
        <f t="shared" si="21"/>
        <v>0</v>
      </c>
      <c r="O237" s="100"/>
      <c r="P237" s="41">
        <v>880</v>
      </c>
      <c r="Q237" s="11"/>
      <c r="R237" s="41">
        <v>260</v>
      </c>
      <c r="S237" s="185"/>
      <c r="T237" s="185"/>
      <c r="U237" s="185"/>
      <c r="V237" s="185"/>
      <c r="W237" s="41">
        <f t="shared" si="22"/>
        <v>0</v>
      </c>
      <c r="X237" s="41">
        <f t="shared" si="18"/>
        <v>0</v>
      </c>
      <c r="Y237" s="11"/>
      <c r="Z237" s="11"/>
      <c r="AA237" s="11"/>
      <c r="AB237" s="11"/>
      <c r="AC237" s="24"/>
    </row>
    <row r="238" spans="1:29" x14ac:dyDescent="0.2">
      <c r="A238" s="11">
        <f>+'SERVICIO FAENA'!A238</f>
        <v>0</v>
      </c>
      <c r="B238" s="11">
        <f>+'SERVICIO FAENA'!B238</f>
        <v>0</v>
      </c>
      <c r="C238" s="11"/>
      <c r="D238" s="11"/>
      <c r="E238" s="18">
        <f>+'SERVICIO FAENA'!E238</f>
        <v>0</v>
      </c>
      <c r="F238" s="11"/>
      <c r="G238" s="180" t="e">
        <f t="shared" si="19"/>
        <v>#DIV/0!</v>
      </c>
      <c r="H238" s="11"/>
      <c r="I238" s="11"/>
      <c r="J238" s="180" t="e">
        <f t="shared" si="20"/>
        <v>#DIV/0!</v>
      </c>
      <c r="K238" s="100"/>
      <c r="L238" s="100"/>
      <c r="M238" s="100"/>
      <c r="N238" s="100">
        <f t="shared" si="21"/>
        <v>0</v>
      </c>
      <c r="O238" s="100"/>
      <c r="P238" s="41">
        <v>880</v>
      </c>
      <c r="Q238" s="11"/>
      <c r="R238" s="41">
        <v>260</v>
      </c>
      <c r="S238" s="185"/>
      <c r="T238" s="185"/>
      <c r="U238" s="185"/>
      <c r="V238" s="185"/>
      <c r="W238" s="41">
        <f t="shared" si="22"/>
        <v>0</v>
      </c>
      <c r="X238" s="41">
        <f t="shared" si="18"/>
        <v>0</v>
      </c>
      <c r="Y238" s="11"/>
      <c r="Z238" s="11"/>
      <c r="AA238" s="11"/>
      <c r="AB238" s="11"/>
      <c r="AC238" s="24"/>
    </row>
    <row r="239" spans="1:29" x14ac:dyDescent="0.2">
      <c r="A239" s="11">
        <f>+'SERVICIO FAENA'!A239</f>
        <v>0</v>
      </c>
      <c r="B239" s="11">
        <f>+'SERVICIO FAENA'!B239</f>
        <v>0</v>
      </c>
      <c r="C239" s="11"/>
      <c r="D239" s="11"/>
      <c r="E239" s="18">
        <f>+'SERVICIO FAENA'!E239</f>
        <v>0</v>
      </c>
      <c r="F239" s="11"/>
      <c r="G239" s="180" t="e">
        <f t="shared" si="19"/>
        <v>#DIV/0!</v>
      </c>
      <c r="H239" s="11"/>
      <c r="I239" s="11"/>
      <c r="J239" s="180" t="e">
        <f t="shared" si="20"/>
        <v>#DIV/0!</v>
      </c>
      <c r="K239" s="100"/>
      <c r="L239" s="100"/>
      <c r="M239" s="100"/>
      <c r="N239" s="100">
        <f t="shared" si="21"/>
        <v>0</v>
      </c>
      <c r="O239" s="100"/>
      <c r="P239" s="41">
        <v>880</v>
      </c>
      <c r="Q239" s="11"/>
      <c r="R239" s="41">
        <v>260</v>
      </c>
      <c r="S239" s="185"/>
      <c r="T239" s="185"/>
      <c r="U239" s="185"/>
      <c r="V239" s="185"/>
      <c r="W239" s="41">
        <f t="shared" si="22"/>
        <v>0</v>
      </c>
      <c r="X239" s="41">
        <f t="shared" si="18"/>
        <v>0</v>
      </c>
      <c r="Y239" s="11"/>
      <c r="Z239" s="11"/>
      <c r="AA239" s="11"/>
      <c r="AB239" s="11"/>
      <c r="AC239" s="24"/>
    </row>
    <row r="240" spans="1:29" x14ac:dyDescent="0.2">
      <c r="A240" s="11">
        <f>+'SERVICIO FAENA'!A240</f>
        <v>0</v>
      </c>
      <c r="B240" s="11">
        <f>+'SERVICIO FAENA'!B240</f>
        <v>0</v>
      </c>
      <c r="C240" s="11"/>
      <c r="D240" s="11"/>
      <c r="E240" s="18">
        <f>+'SERVICIO FAENA'!E240</f>
        <v>0</v>
      </c>
      <c r="F240" s="11"/>
      <c r="G240" s="180" t="e">
        <f t="shared" si="19"/>
        <v>#DIV/0!</v>
      </c>
      <c r="H240" s="11"/>
      <c r="I240" s="11"/>
      <c r="J240" s="180" t="e">
        <f t="shared" si="20"/>
        <v>#DIV/0!</v>
      </c>
      <c r="K240" s="100"/>
      <c r="L240" s="100"/>
      <c r="M240" s="100"/>
      <c r="N240" s="100">
        <f t="shared" si="21"/>
        <v>0</v>
      </c>
      <c r="O240" s="100"/>
      <c r="P240" s="41">
        <v>880</v>
      </c>
      <c r="Q240" s="11"/>
      <c r="R240" s="41">
        <v>260</v>
      </c>
      <c r="S240" s="185"/>
      <c r="T240" s="185"/>
      <c r="U240" s="185"/>
      <c r="V240" s="185"/>
      <c r="W240" s="41">
        <f t="shared" si="22"/>
        <v>0</v>
      </c>
      <c r="X240" s="41">
        <f t="shared" si="18"/>
        <v>0</v>
      </c>
      <c r="Y240" s="11"/>
      <c r="Z240" s="11"/>
      <c r="AA240" s="11"/>
      <c r="AB240" s="11"/>
      <c r="AC240" s="24"/>
    </row>
    <row r="241" spans="1:29" x14ac:dyDescent="0.2">
      <c r="A241" s="11">
        <f>+'SERVICIO FAENA'!A241</f>
        <v>0</v>
      </c>
      <c r="B241" s="11">
        <f>+'SERVICIO FAENA'!B241</f>
        <v>0</v>
      </c>
      <c r="C241" s="11"/>
      <c r="D241" s="11"/>
      <c r="E241" s="18">
        <f>+'SERVICIO FAENA'!E241</f>
        <v>0</v>
      </c>
      <c r="F241" s="11"/>
      <c r="G241" s="180" t="e">
        <f t="shared" si="19"/>
        <v>#DIV/0!</v>
      </c>
      <c r="H241" s="11"/>
      <c r="I241" s="11"/>
      <c r="J241" s="180" t="e">
        <f t="shared" si="20"/>
        <v>#DIV/0!</v>
      </c>
      <c r="K241" s="100"/>
      <c r="L241" s="100"/>
      <c r="M241" s="100"/>
      <c r="N241" s="100">
        <f t="shared" si="21"/>
        <v>0</v>
      </c>
      <c r="O241" s="100"/>
      <c r="P241" s="41">
        <v>880</v>
      </c>
      <c r="Q241" s="11"/>
      <c r="R241" s="41">
        <v>260</v>
      </c>
      <c r="S241" s="185"/>
      <c r="T241" s="185"/>
      <c r="U241" s="185"/>
      <c r="V241" s="185"/>
      <c r="W241" s="41">
        <f t="shared" si="22"/>
        <v>0</v>
      </c>
      <c r="X241" s="41">
        <f t="shared" si="18"/>
        <v>0</v>
      </c>
      <c r="Y241" s="11"/>
      <c r="Z241" s="11"/>
      <c r="AA241" s="11"/>
      <c r="AB241" s="11"/>
      <c r="AC241" s="24"/>
    </row>
    <row r="242" spans="1:29" x14ac:dyDescent="0.2">
      <c r="A242" s="11">
        <f>+'SERVICIO FAENA'!A242</f>
        <v>0</v>
      </c>
      <c r="B242" s="11">
        <f>+'SERVICIO FAENA'!B242</f>
        <v>0</v>
      </c>
      <c r="C242" s="11"/>
      <c r="D242" s="11"/>
      <c r="E242" s="18">
        <f>+'SERVICIO FAENA'!E242</f>
        <v>0</v>
      </c>
      <c r="F242" s="11"/>
      <c r="G242" s="180" t="e">
        <f t="shared" si="19"/>
        <v>#DIV/0!</v>
      </c>
      <c r="H242" s="11"/>
      <c r="I242" s="11"/>
      <c r="J242" s="180" t="e">
        <f t="shared" si="20"/>
        <v>#DIV/0!</v>
      </c>
      <c r="K242" s="100"/>
      <c r="L242" s="100"/>
      <c r="M242" s="100"/>
      <c r="N242" s="100">
        <f t="shared" si="21"/>
        <v>0</v>
      </c>
      <c r="O242" s="100"/>
      <c r="P242" s="41">
        <v>880</v>
      </c>
      <c r="Q242" s="11"/>
      <c r="R242" s="41">
        <v>260</v>
      </c>
      <c r="S242" s="185"/>
      <c r="T242" s="185"/>
      <c r="U242" s="185"/>
      <c r="V242" s="185"/>
      <c r="W242" s="41">
        <f t="shared" si="22"/>
        <v>0</v>
      </c>
      <c r="X242" s="41">
        <f t="shared" si="18"/>
        <v>0</v>
      </c>
      <c r="Y242" s="11"/>
      <c r="Z242" s="11"/>
      <c r="AA242" s="11"/>
      <c r="AB242" s="11"/>
      <c r="AC242" s="24"/>
    </row>
    <row r="243" spans="1:29" x14ac:dyDescent="0.2">
      <c r="A243" s="11">
        <f>+'SERVICIO FAENA'!A243</f>
        <v>0</v>
      </c>
      <c r="B243" s="11">
        <f>+'SERVICIO FAENA'!B243</f>
        <v>0</v>
      </c>
      <c r="C243" s="11"/>
      <c r="D243" s="11"/>
      <c r="E243" s="18">
        <f>+'SERVICIO FAENA'!E243</f>
        <v>0</v>
      </c>
      <c r="F243" s="11"/>
      <c r="G243" s="180" t="e">
        <f t="shared" si="19"/>
        <v>#DIV/0!</v>
      </c>
      <c r="H243" s="11"/>
      <c r="I243" s="11"/>
      <c r="J243" s="180" t="e">
        <f t="shared" si="20"/>
        <v>#DIV/0!</v>
      </c>
      <c r="K243" s="100"/>
      <c r="L243" s="100"/>
      <c r="M243" s="100"/>
      <c r="N243" s="100">
        <f t="shared" si="21"/>
        <v>0</v>
      </c>
      <c r="O243" s="100"/>
      <c r="P243" s="41">
        <v>880</v>
      </c>
      <c r="Q243" s="11"/>
      <c r="R243" s="41">
        <v>260</v>
      </c>
      <c r="S243" s="185"/>
      <c r="T243" s="185"/>
      <c r="U243" s="185"/>
      <c r="V243" s="185"/>
      <c r="W243" s="41">
        <f t="shared" si="22"/>
        <v>0</v>
      </c>
      <c r="X243" s="41">
        <f t="shared" si="18"/>
        <v>0</v>
      </c>
      <c r="Y243" s="11"/>
      <c r="Z243" s="11"/>
      <c r="AA243" s="11"/>
      <c r="AB243" s="11"/>
      <c r="AC243" s="24"/>
    </row>
    <row r="244" spans="1:29" x14ac:dyDescent="0.2">
      <c r="A244" s="11">
        <f>+'SERVICIO FAENA'!A244</f>
        <v>0</v>
      </c>
      <c r="B244" s="11">
        <f>+'SERVICIO FAENA'!B244</f>
        <v>0</v>
      </c>
      <c r="C244" s="11"/>
      <c r="D244" s="11"/>
      <c r="E244" s="18">
        <f>+'SERVICIO FAENA'!E244</f>
        <v>0</v>
      </c>
      <c r="F244" s="11"/>
      <c r="G244" s="180" t="e">
        <f t="shared" si="19"/>
        <v>#DIV/0!</v>
      </c>
      <c r="H244" s="11"/>
      <c r="I244" s="11"/>
      <c r="J244" s="180" t="e">
        <f t="shared" si="20"/>
        <v>#DIV/0!</v>
      </c>
      <c r="K244" s="100"/>
      <c r="L244" s="100"/>
      <c r="M244" s="100"/>
      <c r="N244" s="100">
        <f t="shared" si="21"/>
        <v>0</v>
      </c>
      <c r="O244" s="100"/>
      <c r="P244" s="41">
        <v>880</v>
      </c>
      <c r="Q244" s="11"/>
      <c r="R244" s="41">
        <v>260</v>
      </c>
      <c r="S244" s="185"/>
      <c r="T244" s="185"/>
      <c r="U244" s="185"/>
      <c r="V244" s="185"/>
      <c r="W244" s="41">
        <f t="shared" si="22"/>
        <v>0</v>
      </c>
      <c r="X244" s="41">
        <f t="shared" si="18"/>
        <v>0</v>
      </c>
      <c r="Y244" s="11"/>
      <c r="Z244" s="11"/>
      <c r="AA244" s="11"/>
      <c r="AB244" s="11"/>
      <c r="AC244" s="24"/>
    </row>
    <row r="245" spans="1:29" x14ac:dyDescent="0.2">
      <c r="A245" s="11">
        <f>+'SERVICIO FAENA'!A245</f>
        <v>0</v>
      </c>
      <c r="B245" s="11">
        <f>+'SERVICIO FAENA'!B245</f>
        <v>0</v>
      </c>
      <c r="C245" s="11"/>
      <c r="D245" s="11"/>
      <c r="E245" s="18">
        <f>+'SERVICIO FAENA'!E245</f>
        <v>0</v>
      </c>
      <c r="F245" s="11"/>
      <c r="G245" s="180" t="e">
        <f t="shared" si="19"/>
        <v>#DIV/0!</v>
      </c>
      <c r="H245" s="11"/>
      <c r="I245" s="11"/>
      <c r="J245" s="180" t="e">
        <f t="shared" si="20"/>
        <v>#DIV/0!</v>
      </c>
      <c r="K245" s="100"/>
      <c r="L245" s="100"/>
      <c r="M245" s="100"/>
      <c r="N245" s="100">
        <f t="shared" si="21"/>
        <v>0</v>
      </c>
      <c r="O245" s="100"/>
      <c r="P245" s="41">
        <v>880</v>
      </c>
      <c r="Q245" s="11"/>
      <c r="R245" s="41">
        <v>260</v>
      </c>
      <c r="S245" s="185"/>
      <c r="T245" s="185"/>
      <c r="U245" s="185"/>
      <c r="V245" s="185"/>
      <c r="W245" s="41">
        <f t="shared" si="22"/>
        <v>0</v>
      </c>
      <c r="X245" s="41">
        <f t="shared" si="18"/>
        <v>0</v>
      </c>
      <c r="Y245" s="11"/>
      <c r="Z245" s="11"/>
      <c r="AA245" s="11"/>
      <c r="AB245" s="11"/>
      <c r="AC245" s="24"/>
    </row>
    <row r="246" spans="1:29" x14ac:dyDescent="0.2">
      <c r="A246" s="11">
        <f>+'SERVICIO FAENA'!A246</f>
        <v>0</v>
      </c>
      <c r="B246" s="11">
        <f>+'SERVICIO FAENA'!B246</f>
        <v>0</v>
      </c>
      <c r="C246" s="11"/>
      <c r="D246" s="11"/>
      <c r="E246" s="18">
        <f>+'SERVICIO FAENA'!E246</f>
        <v>0</v>
      </c>
      <c r="F246" s="11"/>
      <c r="G246" s="180" t="e">
        <f t="shared" si="19"/>
        <v>#DIV/0!</v>
      </c>
      <c r="H246" s="11"/>
      <c r="I246" s="11"/>
      <c r="J246" s="180" t="e">
        <f t="shared" si="20"/>
        <v>#DIV/0!</v>
      </c>
      <c r="K246" s="100"/>
      <c r="L246" s="100"/>
      <c r="M246" s="100"/>
      <c r="N246" s="100">
        <f t="shared" si="21"/>
        <v>0</v>
      </c>
      <c r="O246" s="100"/>
      <c r="P246" s="41">
        <v>880</v>
      </c>
      <c r="Q246" s="11"/>
      <c r="R246" s="41">
        <v>260</v>
      </c>
      <c r="S246" s="185"/>
      <c r="T246" s="185"/>
      <c r="U246" s="185"/>
      <c r="V246" s="185"/>
      <c r="W246" s="41">
        <f t="shared" si="22"/>
        <v>0</v>
      </c>
      <c r="X246" s="41">
        <f t="shared" si="18"/>
        <v>0</v>
      </c>
      <c r="Y246" s="11"/>
      <c r="Z246" s="11"/>
      <c r="AA246" s="11"/>
      <c r="AB246" s="11"/>
      <c r="AC246" s="24"/>
    </row>
    <row r="247" spans="1:29" x14ac:dyDescent="0.2">
      <c r="A247" s="11">
        <f>+'SERVICIO FAENA'!A247</f>
        <v>0</v>
      </c>
      <c r="B247" s="11">
        <f>+'SERVICIO FAENA'!B247</f>
        <v>0</v>
      </c>
      <c r="C247" s="11"/>
      <c r="D247" s="11"/>
      <c r="E247" s="18">
        <f>+'SERVICIO FAENA'!E247</f>
        <v>0</v>
      </c>
      <c r="F247" s="11"/>
      <c r="G247" s="180" t="e">
        <f t="shared" si="19"/>
        <v>#DIV/0!</v>
      </c>
      <c r="H247" s="11"/>
      <c r="I247" s="11"/>
      <c r="J247" s="180" t="e">
        <f t="shared" si="20"/>
        <v>#DIV/0!</v>
      </c>
      <c r="K247" s="100"/>
      <c r="L247" s="100"/>
      <c r="M247" s="100"/>
      <c r="N247" s="100">
        <f t="shared" si="21"/>
        <v>0</v>
      </c>
      <c r="O247" s="100"/>
      <c r="P247" s="41">
        <v>880</v>
      </c>
      <c r="Q247" s="11"/>
      <c r="R247" s="41">
        <v>260</v>
      </c>
      <c r="S247" s="185"/>
      <c r="T247" s="185"/>
      <c r="U247" s="185"/>
      <c r="V247" s="185"/>
      <c r="W247" s="41">
        <f t="shared" si="22"/>
        <v>0</v>
      </c>
      <c r="X247" s="41">
        <f t="shared" si="18"/>
        <v>0</v>
      </c>
      <c r="Y247" s="11"/>
      <c r="Z247" s="11"/>
      <c r="AA247" s="11"/>
      <c r="AB247" s="11"/>
      <c r="AC247" s="24"/>
    </row>
    <row r="248" spans="1:29" x14ac:dyDescent="0.2">
      <c r="A248" s="11">
        <f>+'SERVICIO FAENA'!A248</f>
        <v>0</v>
      </c>
      <c r="B248" s="11">
        <f>+'SERVICIO FAENA'!B248</f>
        <v>0</v>
      </c>
      <c r="C248" s="11"/>
      <c r="D248" s="11"/>
      <c r="E248" s="18">
        <f>+'SERVICIO FAENA'!E248</f>
        <v>0</v>
      </c>
      <c r="F248" s="11"/>
      <c r="G248" s="180" t="e">
        <f t="shared" si="19"/>
        <v>#DIV/0!</v>
      </c>
      <c r="H248" s="11"/>
      <c r="I248" s="11"/>
      <c r="J248" s="180" t="e">
        <f t="shared" si="20"/>
        <v>#DIV/0!</v>
      </c>
      <c r="K248" s="100"/>
      <c r="L248" s="100"/>
      <c r="M248" s="100"/>
      <c r="N248" s="100">
        <f t="shared" si="21"/>
        <v>0</v>
      </c>
      <c r="O248" s="100"/>
      <c r="P248" s="41">
        <v>880</v>
      </c>
      <c r="Q248" s="11"/>
      <c r="R248" s="41">
        <v>260</v>
      </c>
      <c r="S248" s="185"/>
      <c r="T248" s="185"/>
      <c r="U248" s="185"/>
      <c r="V248" s="185"/>
      <c r="W248" s="41">
        <f t="shared" si="22"/>
        <v>0</v>
      </c>
      <c r="X248" s="41">
        <f t="shared" si="18"/>
        <v>0</v>
      </c>
      <c r="Y248" s="11"/>
      <c r="Z248" s="11"/>
      <c r="AA248" s="11"/>
      <c r="AB248" s="11"/>
      <c r="AC248" s="24"/>
    </row>
    <row r="249" spans="1:29" x14ac:dyDescent="0.2">
      <c r="A249" s="11">
        <f>+'SERVICIO FAENA'!A249</f>
        <v>0</v>
      </c>
      <c r="B249" s="11">
        <f>+'SERVICIO FAENA'!B249</f>
        <v>0</v>
      </c>
      <c r="C249" s="11"/>
      <c r="D249" s="11"/>
      <c r="E249" s="18">
        <f>+'SERVICIO FAENA'!E249</f>
        <v>0</v>
      </c>
      <c r="F249" s="11"/>
      <c r="G249" s="180" t="e">
        <f t="shared" si="19"/>
        <v>#DIV/0!</v>
      </c>
      <c r="H249" s="11"/>
      <c r="I249" s="11"/>
      <c r="J249" s="180" t="e">
        <f t="shared" si="20"/>
        <v>#DIV/0!</v>
      </c>
      <c r="K249" s="100"/>
      <c r="L249" s="100"/>
      <c r="M249" s="100"/>
      <c r="N249" s="100">
        <f t="shared" si="21"/>
        <v>0</v>
      </c>
      <c r="O249" s="100"/>
      <c r="P249" s="41">
        <v>880</v>
      </c>
      <c r="Q249" s="11"/>
      <c r="R249" s="41">
        <v>260</v>
      </c>
      <c r="S249" s="185"/>
      <c r="T249" s="185"/>
      <c r="U249" s="185"/>
      <c r="V249" s="185"/>
      <c r="W249" s="41">
        <f t="shared" si="22"/>
        <v>0</v>
      </c>
      <c r="X249" s="41">
        <f t="shared" si="18"/>
        <v>0</v>
      </c>
      <c r="Y249" s="11"/>
      <c r="Z249" s="11"/>
      <c r="AA249" s="11"/>
      <c r="AB249" s="11"/>
      <c r="AC249" s="24"/>
    </row>
    <row r="250" spans="1:29" x14ac:dyDescent="0.2">
      <c r="A250" s="11">
        <f>+'SERVICIO FAENA'!A250</f>
        <v>0</v>
      </c>
      <c r="B250" s="11">
        <f>+'SERVICIO FAENA'!B250</f>
        <v>0</v>
      </c>
      <c r="C250" s="11"/>
      <c r="D250" s="11"/>
      <c r="E250" s="18">
        <f>+'SERVICIO FAENA'!E250</f>
        <v>0</v>
      </c>
      <c r="F250" s="11"/>
      <c r="G250" s="180" t="e">
        <f t="shared" si="19"/>
        <v>#DIV/0!</v>
      </c>
      <c r="H250" s="11"/>
      <c r="I250" s="11"/>
      <c r="J250" s="180" t="e">
        <f t="shared" si="20"/>
        <v>#DIV/0!</v>
      </c>
      <c r="K250" s="100"/>
      <c r="L250" s="100"/>
      <c r="M250" s="100"/>
      <c r="N250" s="100">
        <f t="shared" si="21"/>
        <v>0</v>
      </c>
      <c r="O250" s="100"/>
      <c r="P250" s="41">
        <v>880</v>
      </c>
      <c r="Q250" s="11"/>
      <c r="R250" s="41">
        <v>260</v>
      </c>
      <c r="S250" s="185"/>
      <c r="T250" s="185"/>
      <c r="U250" s="185"/>
      <c r="V250" s="185"/>
      <c r="W250" s="41">
        <f t="shared" si="22"/>
        <v>0</v>
      </c>
      <c r="X250" s="41">
        <f t="shared" si="18"/>
        <v>0</v>
      </c>
      <c r="Y250" s="11"/>
      <c r="Z250" s="11"/>
      <c r="AA250" s="11"/>
      <c r="AB250" s="11"/>
      <c r="AC250" s="24"/>
    </row>
    <row r="251" spans="1:29" x14ac:dyDescent="0.2">
      <c r="A251" s="11">
        <f>+'SERVICIO FAENA'!A251</f>
        <v>0</v>
      </c>
      <c r="B251" s="11">
        <f>+'SERVICIO FAENA'!B251</f>
        <v>0</v>
      </c>
      <c r="C251" s="11"/>
      <c r="D251" s="11"/>
      <c r="E251" s="18">
        <f>+'SERVICIO FAENA'!E251</f>
        <v>0</v>
      </c>
      <c r="F251" s="11"/>
      <c r="G251" s="180" t="e">
        <f t="shared" si="19"/>
        <v>#DIV/0!</v>
      </c>
      <c r="H251" s="11"/>
      <c r="I251" s="11"/>
      <c r="J251" s="180" t="e">
        <f t="shared" si="20"/>
        <v>#DIV/0!</v>
      </c>
      <c r="K251" s="100"/>
      <c r="L251" s="100"/>
      <c r="M251" s="100"/>
      <c r="N251" s="100">
        <f t="shared" si="21"/>
        <v>0</v>
      </c>
      <c r="O251" s="100"/>
      <c r="P251" s="41">
        <v>880</v>
      </c>
      <c r="Q251" s="11"/>
      <c r="R251" s="41">
        <v>260</v>
      </c>
      <c r="S251" s="185"/>
      <c r="T251" s="185"/>
      <c r="U251" s="185"/>
      <c r="V251" s="185"/>
      <c r="W251" s="41">
        <f t="shared" si="22"/>
        <v>0</v>
      </c>
      <c r="X251" s="41">
        <f t="shared" si="18"/>
        <v>0</v>
      </c>
      <c r="Y251" s="11"/>
      <c r="Z251" s="11"/>
      <c r="AA251" s="11"/>
      <c r="AB251" s="11"/>
      <c r="AC251" s="24"/>
    </row>
    <row r="252" spans="1:29" x14ac:dyDescent="0.2">
      <c r="A252" s="11">
        <f>+'SERVICIO FAENA'!A252</f>
        <v>0</v>
      </c>
      <c r="B252" s="11">
        <f>+'SERVICIO FAENA'!B252</f>
        <v>0</v>
      </c>
      <c r="C252" s="11"/>
      <c r="D252" s="11"/>
      <c r="E252" s="18">
        <f>+'SERVICIO FAENA'!E252</f>
        <v>0</v>
      </c>
      <c r="F252" s="11"/>
      <c r="G252" s="180" t="e">
        <f t="shared" si="19"/>
        <v>#DIV/0!</v>
      </c>
      <c r="H252" s="11"/>
      <c r="I252" s="11"/>
      <c r="J252" s="180" t="e">
        <f t="shared" si="20"/>
        <v>#DIV/0!</v>
      </c>
      <c r="K252" s="100"/>
      <c r="L252" s="100"/>
      <c r="M252" s="100"/>
      <c r="N252" s="100">
        <f t="shared" si="21"/>
        <v>0</v>
      </c>
      <c r="O252" s="100"/>
      <c r="P252" s="41">
        <v>880</v>
      </c>
      <c r="Q252" s="11"/>
      <c r="R252" s="41">
        <v>260</v>
      </c>
      <c r="S252" s="185"/>
      <c r="T252" s="185"/>
      <c r="U252" s="185"/>
      <c r="V252" s="185"/>
      <c r="W252" s="41">
        <f t="shared" si="22"/>
        <v>0</v>
      </c>
      <c r="X252" s="41">
        <f t="shared" si="18"/>
        <v>0</v>
      </c>
      <c r="Y252" s="11"/>
      <c r="Z252" s="11"/>
      <c r="AA252" s="11"/>
      <c r="AB252" s="11"/>
      <c r="AC252" s="24"/>
    </row>
    <row r="253" spans="1:29" x14ac:dyDescent="0.2">
      <c r="A253" s="11">
        <f>+'SERVICIO FAENA'!A253</f>
        <v>0</v>
      </c>
      <c r="B253" s="11">
        <f>+'SERVICIO FAENA'!B253</f>
        <v>0</v>
      </c>
      <c r="C253" s="11"/>
      <c r="D253" s="11"/>
      <c r="E253" s="18">
        <f>+'SERVICIO FAENA'!E253</f>
        <v>0</v>
      </c>
      <c r="F253" s="11"/>
      <c r="G253" s="180" t="e">
        <f t="shared" si="19"/>
        <v>#DIV/0!</v>
      </c>
      <c r="H253" s="11"/>
      <c r="I253" s="11"/>
      <c r="J253" s="180" t="e">
        <f t="shared" si="20"/>
        <v>#DIV/0!</v>
      </c>
      <c r="K253" s="100"/>
      <c r="L253" s="100"/>
      <c r="M253" s="100"/>
      <c r="N253" s="100">
        <f t="shared" si="21"/>
        <v>0</v>
      </c>
      <c r="O253" s="100"/>
      <c r="P253" s="41">
        <v>880</v>
      </c>
      <c r="Q253" s="11"/>
      <c r="R253" s="41">
        <v>260</v>
      </c>
      <c r="S253" s="185"/>
      <c r="T253" s="185"/>
      <c r="U253" s="185"/>
      <c r="V253" s="185"/>
      <c r="W253" s="41">
        <f t="shared" si="22"/>
        <v>0</v>
      </c>
      <c r="X253" s="41">
        <f t="shared" si="18"/>
        <v>0</v>
      </c>
      <c r="Y253" s="11"/>
      <c r="Z253" s="11"/>
      <c r="AA253" s="11"/>
      <c r="AB253" s="11"/>
      <c r="AC253" s="24"/>
    </row>
    <row r="254" spans="1:29" x14ac:dyDescent="0.2">
      <c r="A254" s="11">
        <f>+'SERVICIO FAENA'!A254</f>
        <v>0</v>
      </c>
      <c r="B254" s="11">
        <f>+'SERVICIO FAENA'!B254</f>
        <v>0</v>
      </c>
      <c r="C254" s="11"/>
      <c r="D254" s="11"/>
      <c r="E254" s="18">
        <f>+'SERVICIO FAENA'!E254</f>
        <v>0</v>
      </c>
      <c r="F254" s="11"/>
      <c r="G254" s="180" t="e">
        <f t="shared" si="19"/>
        <v>#DIV/0!</v>
      </c>
      <c r="H254" s="11"/>
      <c r="I254" s="11"/>
      <c r="J254" s="180" t="e">
        <f t="shared" si="20"/>
        <v>#DIV/0!</v>
      </c>
      <c r="K254" s="100"/>
      <c r="L254" s="100"/>
      <c r="M254" s="100"/>
      <c r="N254" s="100">
        <f t="shared" si="21"/>
        <v>0</v>
      </c>
      <c r="O254" s="100"/>
      <c r="P254" s="41">
        <v>880</v>
      </c>
      <c r="Q254" s="11"/>
      <c r="R254" s="41">
        <v>260</v>
      </c>
      <c r="S254" s="185"/>
      <c r="T254" s="185"/>
      <c r="U254" s="185"/>
      <c r="V254" s="185"/>
      <c r="W254" s="41">
        <f t="shared" si="22"/>
        <v>0</v>
      </c>
      <c r="X254" s="41">
        <f t="shared" si="18"/>
        <v>0</v>
      </c>
      <c r="Y254" s="11"/>
      <c r="Z254" s="11"/>
      <c r="AA254" s="11"/>
      <c r="AB254" s="11"/>
      <c r="AC254" s="24"/>
    </row>
    <row r="255" spans="1:29" x14ac:dyDescent="0.2">
      <c r="A255" s="11">
        <f>+'SERVICIO FAENA'!A255</f>
        <v>0</v>
      </c>
      <c r="B255" s="11">
        <f>+'SERVICIO FAENA'!B255</f>
        <v>0</v>
      </c>
      <c r="C255" s="11"/>
      <c r="D255" s="11"/>
      <c r="E255" s="18">
        <f>+'SERVICIO FAENA'!E255</f>
        <v>0</v>
      </c>
      <c r="F255" s="11"/>
      <c r="G255" s="180" t="e">
        <f t="shared" si="19"/>
        <v>#DIV/0!</v>
      </c>
      <c r="H255" s="11"/>
      <c r="I255" s="11"/>
      <c r="J255" s="180" t="e">
        <f t="shared" si="20"/>
        <v>#DIV/0!</v>
      </c>
      <c r="K255" s="100"/>
      <c r="L255" s="100"/>
      <c r="M255" s="100"/>
      <c r="N255" s="100">
        <f t="shared" si="21"/>
        <v>0</v>
      </c>
      <c r="O255" s="100"/>
      <c r="P255" s="41">
        <v>880</v>
      </c>
      <c r="Q255" s="11"/>
      <c r="R255" s="41">
        <v>260</v>
      </c>
      <c r="S255" s="185"/>
      <c r="T255" s="185"/>
      <c r="U255" s="185"/>
      <c r="V255" s="185"/>
      <c r="W255" s="41">
        <f t="shared" si="22"/>
        <v>0</v>
      </c>
      <c r="X255" s="41">
        <f t="shared" si="18"/>
        <v>0</v>
      </c>
      <c r="Y255" s="11"/>
      <c r="Z255" s="11"/>
      <c r="AA255" s="11"/>
      <c r="AB255" s="11"/>
      <c r="AC255" s="24"/>
    </row>
    <row r="256" spans="1:29" x14ac:dyDescent="0.2">
      <c r="A256" s="11">
        <f>+'SERVICIO FAENA'!A256</f>
        <v>0</v>
      </c>
      <c r="B256" s="11">
        <f>+'SERVICIO FAENA'!B256</f>
        <v>0</v>
      </c>
      <c r="C256" s="11"/>
      <c r="D256" s="11"/>
      <c r="E256" s="18">
        <f>+'SERVICIO FAENA'!E256</f>
        <v>0</v>
      </c>
      <c r="F256" s="11"/>
      <c r="G256" s="180" t="e">
        <f t="shared" si="19"/>
        <v>#DIV/0!</v>
      </c>
      <c r="H256" s="11"/>
      <c r="I256" s="11"/>
      <c r="J256" s="180" t="e">
        <f t="shared" si="20"/>
        <v>#DIV/0!</v>
      </c>
      <c r="K256" s="100"/>
      <c r="L256" s="100"/>
      <c r="M256" s="100"/>
      <c r="N256" s="100">
        <f t="shared" si="21"/>
        <v>0</v>
      </c>
      <c r="O256" s="100"/>
      <c r="P256" s="41">
        <v>880</v>
      </c>
      <c r="Q256" s="11"/>
      <c r="R256" s="41">
        <v>260</v>
      </c>
      <c r="S256" s="185"/>
      <c r="T256" s="185"/>
      <c r="U256" s="185"/>
      <c r="V256" s="185"/>
      <c r="W256" s="41">
        <f t="shared" si="22"/>
        <v>0</v>
      </c>
      <c r="X256" s="41">
        <f t="shared" si="18"/>
        <v>0</v>
      </c>
      <c r="Y256" s="11"/>
      <c r="Z256" s="11"/>
      <c r="AA256" s="11"/>
      <c r="AB256" s="11"/>
      <c r="AC256" s="24"/>
    </row>
    <row r="257" spans="1:29" x14ac:dyDescent="0.2">
      <c r="A257" s="11">
        <f>+'SERVICIO FAENA'!A257</f>
        <v>0</v>
      </c>
      <c r="B257" s="11">
        <f>+'SERVICIO FAENA'!B257</f>
        <v>0</v>
      </c>
      <c r="C257" s="11"/>
      <c r="D257" s="11"/>
      <c r="E257" s="18">
        <f>+'SERVICIO FAENA'!E257</f>
        <v>0</v>
      </c>
      <c r="F257" s="11"/>
      <c r="G257" s="180" t="e">
        <f t="shared" si="19"/>
        <v>#DIV/0!</v>
      </c>
      <c r="H257" s="11"/>
      <c r="I257" s="11"/>
      <c r="J257" s="180" t="e">
        <f t="shared" si="20"/>
        <v>#DIV/0!</v>
      </c>
      <c r="K257" s="100"/>
      <c r="L257" s="100"/>
      <c r="M257" s="100"/>
      <c r="N257" s="100">
        <f t="shared" si="21"/>
        <v>0</v>
      </c>
      <c r="O257" s="100"/>
      <c r="P257" s="41">
        <v>880</v>
      </c>
      <c r="Q257" s="11"/>
      <c r="R257" s="41">
        <v>260</v>
      </c>
      <c r="S257" s="185"/>
      <c r="T257" s="185"/>
      <c r="U257" s="185"/>
      <c r="V257" s="185"/>
      <c r="W257" s="41">
        <f t="shared" si="22"/>
        <v>0</v>
      </c>
      <c r="X257" s="41">
        <f t="shared" si="18"/>
        <v>0</v>
      </c>
      <c r="Y257" s="11"/>
      <c r="Z257" s="11"/>
      <c r="AA257" s="11"/>
      <c r="AB257" s="11"/>
      <c r="AC257" s="24"/>
    </row>
    <row r="258" spans="1:29" x14ac:dyDescent="0.2">
      <c r="A258" s="11">
        <f>+'SERVICIO FAENA'!A258</f>
        <v>0</v>
      </c>
      <c r="B258" s="11">
        <f>+'SERVICIO FAENA'!B258</f>
        <v>0</v>
      </c>
      <c r="C258" s="11"/>
      <c r="D258" s="11"/>
      <c r="E258" s="18">
        <f>+'SERVICIO FAENA'!E258</f>
        <v>0</v>
      </c>
      <c r="F258" s="11"/>
      <c r="G258" s="180" t="e">
        <f t="shared" si="19"/>
        <v>#DIV/0!</v>
      </c>
      <c r="H258" s="11"/>
      <c r="I258" s="11"/>
      <c r="J258" s="180" t="e">
        <f t="shared" si="20"/>
        <v>#DIV/0!</v>
      </c>
      <c r="K258" s="100"/>
      <c r="L258" s="100"/>
      <c r="M258" s="100"/>
      <c r="N258" s="100">
        <f t="shared" si="21"/>
        <v>0</v>
      </c>
      <c r="O258" s="100"/>
      <c r="P258" s="41">
        <v>880</v>
      </c>
      <c r="Q258" s="11"/>
      <c r="R258" s="41">
        <v>260</v>
      </c>
      <c r="S258" s="185"/>
      <c r="T258" s="185"/>
      <c r="U258" s="185"/>
      <c r="V258" s="185"/>
      <c r="W258" s="41">
        <f t="shared" si="22"/>
        <v>0</v>
      </c>
      <c r="X258" s="41">
        <f t="shared" si="18"/>
        <v>0</v>
      </c>
      <c r="Y258" s="11"/>
      <c r="Z258" s="11"/>
      <c r="AA258" s="11"/>
      <c r="AB258" s="11"/>
      <c r="AC258" s="24"/>
    </row>
    <row r="259" spans="1:29" x14ac:dyDescent="0.2">
      <c r="A259" s="11">
        <f>+'SERVICIO FAENA'!A259</f>
        <v>0</v>
      </c>
      <c r="B259" s="11">
        <f>+'SERVICIO FAENA'!B259</f>
        <v>0</v>
      </c>
      <c r="C259" s="11"/>
      <c r="D259" s="11"/>
      <c r="E259" s="18">
        <f>+'SERVICIO FAENA'!E259</f>
        <v>0</v>
      </c>
      <c r="F259" s="11"/>
      <c r="G259" s="180" t="e">
        <f t="shared" si="19"/>
        <v>#DIV/0!</v>
      </c>
      <c r="H259" s="11"/>
      <c r="I259" s="11"/>
      <c r="J259" s="180" t="e">
        <f t="shared" si="20"/>
        <v>#DIV/0!</v>
      </c>
      <c r="K259" s="100"/>
      <c r="L259" s="100"/>
      <c r="M259" s="100"/>
      <c r="N259" s="100">
        <f t="shared" si="21"/>
        <v>0</v>
      </c>
      <c r="O259" s="100"/>
      <c r="P259" s="41">
        <v>880</v>
      </c>
      <c r="Q259" s="11"/>
      <c r="R259" s="41">
        <v>260</v>
      </c>
      <c r="S259" s="185"/>
      <c r="T259" s="185"/>
      <c r="U259" s="185"/>
      <c r="V259" s="185"/>
      <c r="W259" s="41">
        <f t="shared" si="22"/>
        <v>0</v>
      </c>
      <c r="X259" s="41">
        <f t="shared" ref="X259:X322" si="23">+((O259*P259)+(Q259*R259))*1.21</f>
        <v>0</v>
      </c>
      <c r="Y259" s="11"/>
      <c r="Z259" s="11"/>
      <c r="AA259" s="11"/>
      <c r="AB259" s="11"/>
      <c r="AC259" s="24"/>
    </row>
    <row r="260" spans="1:29" x14ac:dyDescent="0.2">
      <c r="A260" s="11">
        <f>+'SERVICIO FAENA'!A260</f>
        <v>0</v>
      </c>
      <c r="B260" s="11">
        <f>+'SERVICIO FAENA'!B260</f>
        <v>0</v>
      </c>
      <c r="C260" s="11"/>
      <c r="D260" s="11"/>
      <c r="E260" s="18">
        <f>+'SERVICIO FAENA'!E260</f>
        <v>0</v>
      </c>
      <c r="F260" s="11"/>
      <c r="G260" s="180" t="e">
        <f t="shared" ref="G260:G323" si="24">+F260/D260</f>
        <v>#DIV/0!</v>
      </c>
      <c r="H260" s="11"/>
      <c r="I260" s="11"/>
      <c r="J260" s="180" t="e">
        <f t="shared" si="20"/>
        <v>#DIV/0!</v>
      </c>
      <c r="K260" s="100"/>
      <c r="L260" s="100"/>
      <c r="M260" s="100"/>
      <c r="N260" s="100">
        <f t="shared" si="21"/>
        <v>0</v>
      </c>
      <c r="O260" s="100"/>
      <c r="P260" s="41">
        <v>880</v>
      </c>
      <c r="Q260" s="11"/>
      <c r="R260" s="41">
        <v>260</v>
      </c>
      <c r="S260" s="185"/>
      <c r="T260" s="185"/>
      <c r="U260" s="185"/>
      <c r="V260" s="185"/>
      <c r="W260" s="41">
        <f t="shared" si="22"/>
        <v>0</v>
      </c>
      <c r="X260" s="41">
        <f t="shared" si="23"/>
        <v>0</v>
      </c>
      <c r="Y260" s="11"/>
      <c r="Z260" s="11"/>
      <c r="AA260" s="11"/>
      <c r="AB260" s="11"/>
      <c r="AC260" s="24"/>
    </row>
    <row r="261" spans="1:29" x14ac:dyDescent="0.2">
      <c r="A261" s="11">
        <f>+'SERVICIO FAENA'!A261</f>
        <v>0</v>
      </c>
      <c r="B261" s="11">
        <f>+'SERVICIO FAENA'!B261</f>
        <v>0</v>
      </c>
      <c r="C261" s="11"/>
      <c r="D261" s="11"/>
      <c r="E261" s="18">
        <f>+'SERVICIO FAENA'!E261</f>
        <v>0</v>
      </c>
      <c r="F261" s="11"/>
      <c r="G261" s="180" t="e">
        <f t="shared" si="24"/>
        <v>#DIV/0!</v>
      </c>
      <c r="H261" s="11"/>
      <c r="I261" s="11"/>
      <c r="J261" s="180" t="e">
        <f t="shared" si="20"/>
        <v>#DIV/0!</v>
      </c>
      <c r="K261" s="100"/>
      <c r="L261" s="100"/>
      <c r="M261" s="100"/>
      <c r="N261" s="100">
        <f t="shared" si="21"/>
        <v>0</v>
      </c>
      <c r="O261" s="100"/>
      <c r="P261" s="41">
        <v>880</v>
      </c>
      <c r="Q261" s="11"/>
      <c r="R261" s="41">
        <v>260</v>
      </c>
      <c r="S261" s="185"/>
      <c r="T261" s="185"/>
      <c r="U261" s="185"/>
      <c r="V261" s="185"/>
      <c r="W261" s="41">
        <f t="shared" si="22"/>
        <v>0</v>
      </c>
      <c r="X261" s="41">
        <f t="shared" si="23"/>
        <v>0</v>
      </c>
      <c r="Y261" s="11"/>
      <c r="Z261" s="11"/>
      <c r="AA261" s="11"/>
      <c r="AB261" s="11"/>
      <c r="AC261" s="24"/>
    </row>
    <row r="262" spans="1:29" x14ac:dyDescent="0.2">
      <c r="A262" s="11">
        <f>+'SERVICIO FAENA'!A262</f>
        <v>0</v>
      </c>
      <c r="B262" s="11">
        <f>+'SERVICIO FAENA'!B262</f>
        <v>0</v>
      </c>
      <c r="C262" s="11"/>
      <c r="D262" s="11"/>
      <c r="E262" s="18">
        <f>+'SERVICIO FAENA'!E262</f>
        <v>0</v>
      </c>
      <c r="F262" s="11"/>
      <c r="G262" s="180" t="e">
        <f t="shared" si="24"/>
        <v>#DIV/0!</v>
      </c>
      <c r="H262" s="11"/>
      <c r="I262" s="11"/>
      <c r="J262" s="180" t="e">
        <f t="shared" si="20"/>
        <v>#DIV/0!</v>
      </c>
      <c r="K262" s="100"/>
      <c r="L262" s="100"/>
      <c r="M262" s="100"/>
      <c r="N262" s="100">
        <f t="shared" si="21"/>
        <v>0</v>
      </c>
      <c r="O262" s="100"/>
      <c r="P262" s="41">
        <v>880</v>
      </c>
      <c r="Q262" s="11"/>
      <c r="R262" s="41">
        <v>260</v>
      </c>
      <c r="S262" s="185"/>
      <c r="T262" s="185"/>
      <c r="U262" s="185"/>
      <c r="V262" s="185"/>
      <c r="W262" s="41">
        <f t="shared" si="22"/>
        <v>0</v>
      </c>
      <c r="X262" s="41">
        <f t="shared" si="23"/>
        <v>0</v>
      </c>
      <c r="Y262" s="11"/>
      <c r="Z262" s="11"/>
      <c r="AA262" s="11"/>
      <c r="AB262" s="11"/>
      <c r="AC262" s="24"/>
    </row>
    <row r="263" spans="1:29" x14ac:dyDescent="0.2">
      <c r="A263" s="11">
        <f>+'SERVICIO FAENA'!A263</f>
        <v>0</v>
      </c>
      <c r="B263" s="11">
        <f>+'SERVICIO FAENA'!B263</f>
        <v>0</v>
      </c>
      <c r="C263" s="11"/>
      <c r="D263" s="11"/>
      <c r="E263" s="18">
        <f>+'SERVICIO FAENA'!E263</f>
        <v>0</v>
      </c>
      <c r="F263" s="11"/>
      <c r="G263" s="180" t="e">
        <f t="shared" si="24"/>
        <v>#DIV/0!</v>
      </c>
      <c r="H263" s="11"/>
      <c r="I263" s="11"/>
      <c r="J263" s="180" t="e">
        <f t="shared" si="20"/>
        <v>#DIV/0!</v>
      </c>
      <c r="K263" s="100"/>
      <c r="L263" s="100"/>
      <c r="M263" s="100"/>
      <c r="N263" s="100">
        <f t="shared" si="21"/>
        <v>0</v>
      </c>
      <c r="O263" s="100"/>
      <c r="P263" s="41">
        <v>880</v>
      </c>
      <c r="Q263" s="11"/>
      <c r="R263" s="41">
        <v>260</v>
      </c>
      <c r="S263" s="185"/>
      <c r="T263" s="185"/>
      <c r="U263" s="185"/>
      <c r="V263" s="185"/>
      <c r="W263" s="41">
        <f t="shared" si="22"/>
        <v>0</v>
      </c>
      <c r="X263" s="41">
        <f t="shared" si="23"/>
        <v>0</v>
      </c>
      <c r="Y263" s="11"/>
      <c r="Z263" s="11"/>
      <c r="AA263" s="11"/>
      <c r="AB263" s="11"/>
      <c r="AC263" s="24"/>
    </row>
    <row r="264" spans="1:29" x14ac:dyDescent="0.2">
      <c r="A264" s="11">
        <f>+'SERVICIO FAENA'!A264</f>
        <v>0</v>
      </c>
      <c r="B264" s="11">
        <f>+'SERVICIO FAENA'!B264</f>
        <v>0</v>
      </c>
      <c r="C264" s="11"/>
      <c r="D264" s="11"/>
      <c r="E264" s="18">
        <f>+'SERVICIO FAENA'!E264</f>
        <v>0</v>
      </c>
      <c r="F264" s="11"/>
      <c r="G264" s="180" t="e">
        <f t="shared" si="24"/>
        <v>#DIV/0!</v>
      </c>
      <c r="H264" s="11"/>
      <c r="I264" s="11"/>
      <c r="J264" s="180" t="e">
        <f t="shared" si="20"/>
        <v>#DIV/0!</v>
      </c>
      <c r="K264" s="100"/>
      <c r="L264" s="100"/>
      <c r="M264" s="100"/>
      <c r="N264" s="100">
        <f t="shared" si="21"/>
        <v>0</v>
      </c>
      <c r="O264" s="100"/>
      <c r="P264" s="41">
        <v>880</v>
      </c>
      <c r="Q264" s="11"/>
      <c r="R264" s="41">
        <v>260</v>
      </c>
      <c r="S264" s="185"/>
      <c r="T264" s="185"/>
      <c r="U264" s="185"/>
      <c r="V264" s="185"/>
      <c r="W264" s="41">
        <f t="shared" si="22"/>
        <v>0</v>
      </c>
      <c r="X264" s="41">
        <f t="shared" si="23"/>
        <v>0</v>
      </c>
      <c r="Y264" s="11"/>
      <c r="Z264" s="11"/>
      <c r="AA264" s="11"/>
      <c r="AB264" s="11"/>
      <c r="AC264" s="24"/>
    </row>
    <row r="265" spans="1:29" x14ac:dyDescent="0.2">
      <c r="A265" s="11">
        <f>+'SERVICIO FAENA'!A265</f>
        <v>0</v>
      </c>
      <c r="B265" s="11">
        <f>+'SERVICIO FAENA'!B265</f>
        <v>0</v>
      </c>
      <c r="C265" s="11"/>
      <c r="D265" s="11"/>
      <c r="E265" s="18">
        <f>+'SERVICIO FAENA'!E265</f>
        <v>0</v>
      </c>
      <c r="F265" s="11"/>
      <c r="G265" s="180" t="e">
        <f t="shared" si="24"/>
        <v>#DIV/0!</v>
      </c>
      <c r="H265" s="11"/>
      <c r="I265" s="11"/>
      <c r="J265" s="180" t="e">
        <f t="shared" si="20"/>
        <v>#DIV/0!</v>
      </c>
      <c r="K265" s="100"/>
      <c r="L265" s="100"/>
      <c r="M265" s="100"/>
      <c r="N265" s="100">
        <f t="shared" si="21"/>
        <v>0</v>
      </c>
      <c r="O265" s="100"/>
      <c r="P265" s="41">
        <v>880</v>
      </c>
      <c r="Q265" s="11"/>
      <c r="R265" s="41">
        <v>260</v>
      </c>
      <c r="S265" s="185"/>
      <c r="T265" s="185"/>
      <c r="U265" s="185"/>
      <c r="V265" s="185"/>
      <c r="W265" s="41">
        <f t="shared" si="22"/>
        <v>0</v>
      </c>
      <c r="X265" s="41">
        <f t="shared" si="23"/>
        <v>0</v>
      </c>
      <c r="Y265" s="11"/>
      <c r="Z265" s="11"/>
      <c r="AA265" s="11"/>
      <c r="AB265" s="11"/>
      <c r="AC265" s="24"/>
    </row>
    <row r="266" spans="1:29" x14ac:dyDescent="0.2">
      <c r="A266" s="11">
        <f>+'SERVICIO FAENA'!A266</f>
        <v>0</v>
      </c>
      <c r="B266" s="11">
        <f>+'SERVICIO FAENA'!B266</f>
        <v>0</v>
      </c>
      <c r="C266" s="11"/>
      <c r="D266" s="11"/>
      <c r="E266" s="18">
        <f>+'SERVICIO FAENA'!E266</f>
        <v>0</v>
      </c>
      <c r="F266" s="11"/>
      <c r="G266" s="180" t="e">
        <f t="shared" si="24"/>
        <v>#DIV/0!</v>
      </c>
      <c r="H266" s="11"/>
      <c r="I266" s="11"/>
      <c r="J266" s="180" t="e">
        <f t="shared" si="20"/>
        <v>#DIV/0!</v>
      </c>
      <c r="K266" s="100"/>
      <c r="L266" s="100"/>
      <c r="M266" s="100"/>
      <c r="N266" s="100">
        <f t="shared" si="21"/>
        <v>0</v>
      </c>
      <c r="O266" s="100"/>
      <c r="P266" s="41">
        <v>880</v>
      </c>
      <c r="Q266" s="11"/>
      <c r="R266" s="41">
        <v>260</v>
      </c>
      <c r="S266" s="185"/>
      <c r="T266" s="185"/>
      <c r="U266" s="185"/>
      <c r="V266" s="185"/>
      <c r="W266" s="41">
        <f t="shared" si="22"/>
        <v>0</v>
      </c>
      <c r="X266" s="41">
        <f t="shared" si="23"/>
        <v>0</v>
      </c>
      <c r="Y266" s="11"/>
      <c r="Z266" s="11"/>
      <c r="AA266" s="11"/>
      <c r="AB266" s="11"/>
      <c r="AC266" s="24"/>
    </row>
    <row r="267" spans="1:29" x14ac:dyDescent="0.2">
      <c r="A267" s="11">
        <f>+'SERVICIO FAENA'!A267</f>
        <v>0</v>
      </c>
      <c r="B267" s="11">
        <f>+'SERVICIO FAENA'!B267</f>
        <v>0</v>
      </c>
      <c r="C267" s="11"/>
      <c r="D267" s="11"/>
      <c r="E267" s="18">
        <f>+'SERVICIO FAENA'!E267</f>
        <v>0</v>
      </c>
      <c r="F267" s="11"/>
      <c r="G267" s="180" t="e">
        <f t="shared" si="24"/>
        <v>#DIV/0!</v>
      </c>
      <c r="H267" s="11"/>
      <c r="I267" s="11"/>
      <c r="J267" s="180" t="e">
        <f t="shared" si="20"/>
        <v>#DIV/0!</v>
      </c>
      <c r="K267" s="100"/>
      <c r="L267" s="100"/>
      <c r="M267" s="100"/>
      <c r="N267" s="100">
        <f t="shared" si="21"/>
        <v>0</v>
      </c>
      <c r="O267" s="100"/>
      <c r="P267" s="41">
        <v>880</v>
      </c>
      <c r="Q267" s="11"/>
      <c r="R267" s="41">
        <v>260</v>
      </c>
      <c r="S267" s="185"/>
      <c r="T267" s="185"/>
      <c r="U267" s="185"/>
      <c r="V267" s="185"/>
      <c r="W267" s="41">
        <f t="shared" si="22"/>
        <v>0</v>
      </c>
      <c r="X267" s="41">
        <f t="shared" si="23"/>
        <v>0</v>
      </c>
      <c r="Y267" s="11"/>
      <c r="Z267" s="11"/>
      <c r="AA267" s="11"/>
      <c r="AB267" s="11"/>
      <c r="AC267" s="24"/>
    </row>
    <row r="268" spans="1:29" x14ac:dyDescent="0.2">
      <c r="A268" s="11">
        <f>+'SERVICIO FAENA'!A268</f>
        <v>0</v>
      </c>
      <c r="B268" s="11">
        <f>+'SERVICIO FAENA'!B268</f>
        <v>0</v>
      </c>
      <c r="C268" s="11"/>
      <c r="D268" s="11"/>
      <c r="E268" s="18">
        <f>+'SERVICIO FAENA'!E268</f>
        <v>0</v>
      </c>
      <c r="F268" s="11"/>
      <c r="G268" s="180" t="e">
        <f t="shared" si="24"/>
        <v>#DIV/0!</v>
      </c>
      <c r="H268" s="11"/>
      <c r="I268" s="11"/>
      <c r="J268" s="180" t="e">
        <f t="shared" si="20"/>
        <v>#DIV/0!</v>
      </c>
      <c r="K268" s="100"/>
      <c r="L268" s="100"/>
      <c r="M268" s="100"/>
      <c r="N268" s="100">
        <f t="shared" si="21"/>
        <v>0</v>
      </c>
      <c r="O268" s="100"/>
      <c r="P268" s="41">
        <v>880</v>
      </c>
      <c r="Q268" s="11"/>
      <c r="R268" s="41">
        <v>260</v>
      </c>
      <c r="S268" s="185"/>
      <c r="T268" s="185"/>
      <c r="U268" s="185"/>
      <c r="V268" s="185"/>
      <c r="W268" s="41">
        <f t="shared" si="22"/>
        <v>0</v>
      </c>
      <c r="X268" s="41">
        <f t="shared" si="23"/>
        <v>0</v>
      </c>
      <c r="Y268" s="11"/>
      <c r="Z268" s="11"/>
      <c r="AA268" s="11"/>
      <c r="AB268" s="11"/>
      <c r="AC268" s="24"/>
    </row>
    <row r="269" spans="1:29" x14ac:dyDescent="0.2">
      <c r="A269" s="11">
        <f>+'SERVICIO FAENA'!A269</f>
        <v>0</v>
      </c>
      <c r="B269" s="11">
        <f>+'SERVICIO FAENA'!B269</f>
        <v>0</v>
      </c>
      <c r="C269" s="11"/>
      <c r="D269" s="11"/>
      <c r="E269" s="18">
        <f>+'SERVICIO FAENA'!E269</f>
        <v>0</v>
      </c>
      <c r="F269" s="11"/>
      <c r="G269" s="180" t="e">
        <f t="shared" si="24"/>
        <v>#DIV/0!</v>
      </c>
      <c r="H269" s="11"/>
      <c r="I269" s="11"/>
      <c r="J269" s="180" t="e">
        <f t="shared" si="20"/>
        <v>#DIV/0!</v>
      </c>
      <c r="K269" s="100"/>
      <c r="L269" s="100"/>
      <c r="M269" s="100"/>
      <c r="N269" s="100">
        <f t="shared" si="21"/>
        <v>0</v>
      </c>
      <c r="O269" s="100"/>
      <c r="P269" s="41">
        <v>880</v>
      </c>
      <c r="Q269" s="11"/>
      <c r="R269" s="41">
        <v>260</v>
      </c>
      <c r="S269" s="185"/>
      <c r="T269" s="185"/>
      <c r="U269" s="185"/>
      <c r="V269" s="185"/>
      <c r="W269" s="41">
        <f t="shared" si="22"/>
        <v>0</v>
      </c>
      <c r="X269" s="41">
        <f t="shared" si="23"/>
        <v>0</v>
      </c>
      <c r="Y269" s="11"/>
      <c r="Z269" s="11"/>
      <c r="AA269" s="11"/>
      <c r="AB269" s="11"/>
      <c r="AC269" s="24"/>
    </row>
    <row r="270" spans="1:29" x14ac:dyDescent="0.2">
      <c r="A270" s="11">
        <f>+'SERVICIO FAENA'!A270</f>
        <v>0</v>
      </c>
      <c r="B270" s="11">
        <f>+'SERVICIO FAENA'!B270</f>
        <v>0</v>
      </c>
      <c r="C270" s="11"/>
      <c r="D270" s="11"/>
      <c r="E270" s="18">
        <f>+'SERVICIO FAENA'!E270</f>
        <v>0</v>
      </c>
      <c r="F270" s="11"/>
      <c r="G270" s="180" t="e">
        <f t="shared" si="24"/>
        <v>#DIV/0!</v>
      </c>
      <c r="H270" s="11"/>
      <c r="I270" s="11"/>
      <c r="J270" s="180" t="e">
        <f t="shared" si="20"/>
        <v>#DIV/0!</v>
      </c>
      <c r="K270" s="100"/>
      <c r="L270" s="100"/>
      <c r="M270" s="100"/>
      <c r="N270" s="100">
        <f t="shared" si="21"/>
        <v>0</v>
      </c>
      <c r="O270" s="100"/>
      <c r="P270" s="41">
        <v>880</v>
      </c>
      <c r="Q270" s="11"/>
      <c r="R270" s="41">
        <v>260</v>
      </c>
      <c r="S270" s="185"/>
      <c r="T270" s="185"/>
      <c r="U270" s="185"/>
      <c r="V270" s="185"/>
      <c r="W270" s="41">
        <f t="shared" si="22"/>
        <v>0</v>
      </c>
      <c r="X270" s="41">
        <f t="shared" si="23"/>
        <v>0</v>
      </c>
      <c r="Y270" s="11"/>
      <c r="Z270" s="11"/>
      <c r="AA270" s="11"/>
      <c r="AB270" s="11"/>
      <c r="AC270" s="24"/>
    </row>
    <row r="271" spans="1:29" x14ac:dyDescent="0.2">
      <c r="A271" s="11">
        <f>+'SERVICIO FAENA'!A271</f>
        <v>0</v>
      </c>
      <c r="B271" s="11">
        <f>+'SERVICIO FAENA'!B271</f>
        <v>0</v>
      </c>
      <c r="C271" s="11"/>
      <c r="D271" s="11"/>
      <c r="E271" s="18">
        <f>+'SERVICIO FAENA'!E271</f>
        <v>0</v>
      </c>
      <c r="F271" s="11"/>
      <c r="G271" s="180" t="e">
        <f t="shared" si="24"/>
        <v>#DIV/0!</v>
      </c>
      <c r="H271" s="11"/>
      <c r="I271" s="11"/>
      <c r="J271" s="180" t="e">
        <f t="shared" si="20"/>
        <v>#DIV/0!</v>
      </c>
      <c r="K271" s="100"/>
      <c r="L271" s="100"/>
      <c r="M271" s="100"/>
      <c r="N271" s="100">
        <f t="shared" si="21"/>
        <v>0</v>
      </c>
      <c r="O271" s="100"/>
      <c r="P271" s="41">
        <v>880</v>
      </c>
      <c r="Q271" s="11"/>
      <c r="R271" s="41">
        <v>260</v>
      </c>
      <c r="S271" s="185"/>
      <c r="T271" s="185"/>
      <c r="U271" s="185"/>
      <c r="V271" s="185"/>
      <c r="W271" s="41">
        <f t="shared" si="22"/>
        <v>0</v>
      </c>
      <c r="X271" s="41">
        <f t="shared" si="23"/>
        <v>0</v>
      </c>
      <c r="Y271" s="11"/>
      <c r="Z271" s="11"/>
      <c r="AA271" s="11"/>
      <c r="AB271" s="11"/>
      <c r="AC271" s="24"/>
    </row>
    <row r="272" spans="1:29" x14ac:dyDescent="0.2">
      <c r="A272" s="11">
        <f>+'SERVICIO FAENA'!A272</f>
        <v>0</v>
      </c>
      <c r="B272" s="11">
        <f>+'SERVICIO FAENA'!B272</f>
        <v>0</v>
      </c>
      <c r="C272" s="11"/>
      <c r="D272" s="11"/>
      <c r="E272" s="18">
        <f>+'SERVICIO FAENA'!E272</f>
        <v>0</v>
      </c>
      <c r="F272" s="11"/>
      <c r="G272" s="180" t="e">
        <f t="shared" si="24"/>
        <v>#DIV/0!</v>
      </c>
      <c r="H272" s="11"/>
      <c r="I272" s="11"/>
      <c r="J272" s="180" t="e">
        <f t="shared" si="20"/>
        <v>#DIV/0!</v>
      </c>
      <c r="K272" s="100"/>
      <c r="L272" s="100"/>
      <c r="M272" s="100"/>
      <c r="N272" s="100">
        <f t="shared" si="21"/>
        <v>0</v>
      </c>
      <c r="O272" s="100"/>
      <c r="P272" s="41">
        <v>880</v>
      </c>
      <c r="Q272" s="11"/>
      <c r="R272" s="41">
        <v>260</v>
      </c>
      <c r="S272" s="185"/>
      <c r="T272" s="185"/>
      <c r="U272" s="185"/>
      <c r="V272" s="185"/>
      <c r="W272" s="41">
        <f t="shared" si="22"/>
        <v>0</v>
      </c>
      <c r="X272" s="41">
        <f t="shared" si="23"/>
        <v>0</v>
      </c>
      <c r="Y272" s="11"/>
      <c r="Z272" s="11"/>
      <c r="AA272" s="11"/>
      <c r="AB272" s="11"/>
      <c r="AC272" s="24"/>
    </row>
    <row r="273" spans="1:29" x14ac:dyDescent="0.2">
      <c r="A273" s="11">
        <f>+'SERVICIO FAENA'!A273</f>
        <v>0</v>
      </c>
      <c r="B273" s="11">
        <f>+'SERVICIO FAENA'!B273</f>
        <v>0</v>
      </c>
      <c r="C273" s="11"/>
      <c r="D273" s="11"/>
      <c r="E273" s="18">
        <f>+'SERVICIO FAENA'!E273</f>
        <v>0</v>
      </c>
      <c r="F273" s="11"/>
      <c r="G273" s="180" t="e">
        <f t="shared" si="24"/>
        <v>#DIV/0!</v>
      </c>
      <c r="H273" s="11"/>
      <c r="I273" s="11"/>
      <c r="J273" s="180" t="e">
        <f t="shared" si="20"/>
        <v>#DIV/0!</v>
      </c>
      <c r="K273" s="100"/>
      <c r="L273" s="100"/>
      <c r="M273" s="100"/>
      <c r="N273" s="100">
        <f t="shared" si="21"/>
        <v>0</v>
      </c>
      <c r="O273" s="100"/>
      <c r="P273" s="41">
        <v>880</v>
      </c>
      <c r="Q273" s="11"/>
      <c r="R273" s="41">
        <v>260</v>
      </c>
      <c r="S273" s="185"/>
      <c r="T273" s="185"/>
      <c r="U273" s="185"/>
      <c r="V273" s="185"/>
      <c r="W273" s="41">
        <f t="shared" si="22"/>
        <v>0</v>
      </c>
      <c r="X273" s="41">
        <f t="shared" si="23"/>
        <v>0</v>
      </c>
      <c r="Y273" s="11"/>
      <c r="Z273" s="11"/>
      <c r="AA273" s="11"/>
      <c r="AB273" s="11"/>
      <c r="AC273" s="24"/>
    </row>
    <row r="274" spans="1:29" x14ac:dyDescent="0.2">
      <c r="A274" s="11">
        <f>+'SERVICIO FAENA'!A274</f>
        <v>0</v>
      </c>
      <c r="B274" s="11">
        <f>+'SERVICIO FAENA'!B274</f>
        <v>0</v>
      </c>
      <c r="C274" s="11"/>
      <c r="D274" s="11"/>
      <c r="E274" s="18">
        <f>+'SERVICIO FAENA'!E274</f>
        <v>0</v>
      </c>
      <c r="F274" s="11"/>
      <c r="G274" s="180" t="e">
        <f t="shared" si="24"/>
        <v>#DIV/0!</v>
      </c>
      <c r="H274" s="11"/>
      <c r="I274" s="11"/>
      <c r="J274" s="180" t="e">
        <f t="shared" si="20"/>
        <v>#DIV/0!</v>
      </c>
      <c r="K274" s="100"/>
      <c r="L274" s="100"/>
      <c r="M274" s="100"/>
      <c r="N274" s="100">
        <f t="shared" si="21"/>
        <v>0</v>
      </c>
      <c r="O274" s="100"/>
      <c r="P274" s="41">
        <v>880</v>
      </c>
      <c r="Q274" s="11"/>
      <c r="R274" s="41">
        <v>260</v>
      </c>
      <c r="S274" s="185"/>
      <c r="T274" s="185"/>
      <c r="U274" s="185"/>
      <c r="V274" s="185"/>
      <c r="W274" s="41">
        <f t="shared" si="22"/>
        <v>0</v>
      </c>
      <c r="X274" s="41">
        <f t="shared" si="23"/>
        <v>0</v>
      </c>
      <c r="Y274" s="11"/>
      <c r="Z274" s="11"/>
      <c r="AA274" s="11"/>
      <c r="AB274" s="11"/>
      <c r="AC274" s="24"/>
    </row>
    <row r="275" spans="1:29" x14ac:dyDescent="0.2">
      <c r="A275" s="11">
        <f>+'SERVICIO FAENA'!A275</f>
        <v>0</v>
      </c>
      <c r="B275" s="11">
        <f>+'SERVICIO FAENA'!B275</f>
        <v>0</v>
      </c>
      <c r="C275" s="11"/>
      <c r="D275" s="11"/>
      <c r="E275" s="18">
        <f>+'SERVICIO FAENA'!E275</f>
        <v>0</v>
      </c>
      <c r="F275" s="11"/>
      <c r="G275" s="180" t="e">
        <f t="shared" si="24"/>
        <v>#DIV/0!</v>
      </c>
      <c r="H275" s="11"/>
      <c r="I275" s="11"/>
      <c r="J275" s="180" t="e">
        <f t="shared" si="20"/>
        <v>#DIV/0!</v>
      </c>
      <c r="K275" s="100"/>
      <c r="L275" s="100"/>
      <c r="M275" s="100"/>
      <c r="N275" s="100">
        <f t="shared" si="21"/>
        <v>0</v>
      </c>
      <c r="O275" s="100"/>
      <c r="P275" s="41">
        <v>880</v>
      </c>
      <c r="Q275" s="11"/>
      <c r="R275" s="41">
        <v>260</v>
      </c>
      <c r="S275" s="185"/>
      <c r="T275" s="185"/>
      <c r="U275" s="185"/>
      <c r="V275" s="185"/>
      <c r="W275" s="41">
        <f t="shared" si="22"/>
        <v>0</v>
      </c>
      <c r="X275" s="41">
        <f t="shared" si="23"/>
        <v>0</v>
      </c>
      <c r="Y275" s="11"/>
      <c r="Z275" s="11"/>
      <c r="AA275" s="11"/>
      <c r="AB275" s="11"/>
      <c r="AC275" s="24"/>
    </row>
    <row r="276" spans="1:29" x14ac:dyDescent="0.2">
      <c r="A276" s="11">
        <f>+'SERVICIO FAENA'!A276</f>
        <v>0</v>
      </c>
      <c r="B276" s="11">
        <f>+'SERVICIO FAENA'!B276</f>
        <v>0</v>
      </c>
      <c r="C276" s="11"/>
      <c r="D276" s="11"/>
      <c r="E276" s="18">
        <f>+'SERVICIO FAENA'!E276</f>
        <v>0</v>
      </c>
      <c r="F276" s="11"/>
      <c r="G276" s="180" t="e">
        <f t="shared" si="24"/>
        <v>#DIV/0!</v>
      </c>
      <c r="H276" s="11"/>
      <c r="I276" s="11"/>
      <c r="J276" s="180" t="e">
        <f t="shared" si="20"/>
        <v>#DIV/0!</v>
      </c>
      <c r="K276" s="100"/>
      <c r="L276" s="100"/>
      <c r="M276" s="100"/>
      <c r="N276" s="100">
        <f t="shared" si="21"/>
        <v>0</v>
      </c>
      <c r="O276" s="100"/>
      <c r="P276" s="41">
        <v>880</v>
      </c>
      <c r="Q276" s="11"/>
      <c r="R276" s="41">
        <v>260</v>
      </c>
      <c r="S276" s="185"/>
      <c r="T276" s="185"/>
      <c r="U276" s="185"/>
      <c r="V276" s="185"/>
      <c r="W276" s="41">
        <f t="shared" si="22"/>
        <v>0</v>
      </c>
      <c r="X276" s="41">
        <f t="shared" si="23"/>
        <v>0</v>
      </c>
      <c r="Y276" s="11"/>
      <c r="Z276" s="11"/>
      <c r="AA276" s="11"/>
      <c r="AB276" s="11"/>
      <c r="AC276" s="24"/>
    </row>
    <row r="277" spans="1:29" x14ac:dyDescent="0.2">
      <c r="A277" s="11">
        <f>+'SERVICIO FAENA'!A277</f>
        <v>0</v>
      </c>
      <c r="B277" s="11">
        <f>+'SERVICIO FAENA'!B277</f>
        <v>0</v>
      </c>
      <c r="C277" s="11"/>
      <c r="D277" s="11"/>
      <c r="E277" s="18">
        <f>+'SERVICIO FAENA'!E277</f>
        <v>0</v>
      </c>
      <c r="F277" s="11"/>
      <c r="G277" s="180" t="e">
        <f t="shared" si="24"/>
        <v>#DIV/0!</v>
      </c>
      <c r="H277" s="11"/>
      <c r="I277" s="11"/>
      <c r="J277" s="180" t="e">
        <f t="shared" si="20"/>
        <v>#DIV/0!</v>
      </c>
      <c r="K277" s="100"/>
      <c r="L277" s="100"/>
      <c r="M277" s="100"/>
      <c r="N277" s="100">
        <f t="shared" si="21"/>
        <v>0</v>
      </c>
      <c r="O277" s="100"/>
      <c r="P277" s="41">
        <v>880</v>
      </c>
      <c r="Q277" s="11"/>
      <c r="R277" s="41">
        <v>260</v>
      </c>
      <c r="S277" s="185"/>
      <c r="T277" s="185"/>
      <c r="U277" s="185"/>
      <c r="V277" s="185"/>
      <c r="W277" s="41">
        <f t="shared" si="22"/>
        <v>0</v>
      </c>
      <c r="X277" s="41">
        <f t="shared" si="23"/>
        <v>0</v>
      </c>
      <c r="Y277" s="11"/>
      <c r="Z277" s="11"/>
      <c r="AA277" s="11"/>
      <c r="AB277" s="11"/>
      <c r="AC277" s="24"/>
    </row>
    <row r="278" spans="1:29" x14ac:dyDescent="0.2">
      <c r="A278" s="11">
        <f>+'SERVICIO FAENA'!A278</f>
        <v>0</v>
      </c>
      <c r="B278" s="11">
        <f>+'SERVICIO FAENA'!B278</f>
        <v>0</v>
      </c>
      <c r="C278" s="11"/>
      <c r="D278" s="11"/>
      <c r="E278" s="18">
        <f>+'SERVICIO FAENA'!E278</f>
        <v>0</v>
      </c>
      <c r="F278" s="11"/>
      <c r="G278" s="180" t="e">
        <f t="shared" si="24"/>
        <v>#DIV/0!</v>
      </c>
      <c r="H278" s="11"/>
      <c r="I278" s="11"/>
      <c r="J278" s="180" t="e">
        <f t="shared" si="20"/>
        <v>#DIV/0!</v>
      </c>
      <c r="K278" s="100"/>
      <c r="L278" s="100"/>
      <c r="M278" s="100"/>
      <c r="N278" s="100">
        <f t="shared" si="21"/>
        <v>0</v>
      </c>
      <c r="O278" s="100"/>
      <c r="P278" s="41">
        <v>880</v>
      </c>
      <c r="Q278" s="11"/>
      <c r="R278" s="41">
        <v>260</v>
      </c>
      <c r="S278" s="185"/>
      <c r="T278" s="185"/>
      <c r="U278" s="185"/>
      <c r="V278" s="185"/>
      <c r="W278" s="41">
        <f t="shared" si="22"/>
        <v>0</v>
      </c>
      <c r="X278" s="41">
        <f t="shared" si="23"/>
        <v>0</v>
      </c>
      <c r="Y278" s="11"/>
      <c r="Z278" s="11"/>
      <c r="AA278" s="11"/>
      <c r="AB278" s="11"/>
      <c r="AC278" s="24"/>
    </row>
    <row r="279" spans="1:29" x14ac:dyDescent="0.2">
      <c r="A279" s="11">
        <f>+'SERVICIO FAENA'!A279</f>
        <v>0</v>
      </c>
      <c r="B279" s="11">
        <f>+'SERVICIO FAENA'!B279</f>
        <v>0</v>
      </c>
      <c r="C279" s="11"/>
      <c r="D279" s="11"/>
      <c r="E279" s="18">
        <f>+'SERVICIO FAENA'!E279</f>
        <v>0</v>
      </c>
      <c r="F279" s="11"/>
      <c r="G279" s="180" t="e">
        <f t="shared" si="24"/>
        <v>#DIV/0!</v>
      </c>
      <c r="H279" s="11"/>
      <c r="I279" s="11"/>
      <c r="J279" s="180" t="e">
        <f t="shared" si="20"/>
        <v>#DIV/0!</v>
      </c>
      <c r="K279" s="100"/>
      <c r="L279" s="100"/>
      <c r="M279" s="100"/>
      <c r="N279" s="100">
        <f t="shared" si="21"/>
        <v>0</v>
      </c>
      <c r="O279" s="100"/>
      <c r="P279" s="41">
        <v>880</v>
      </c>
      <c r="Q279" s="11"/>
      <c r="R279" s="41">
        <v>260</v>
      </c>
      <c r="S279" s="185"/>
      <c r="T279" s="185"/>
      <c r="U279" s="185"/>
      <c r="V279" s="185"/>
      <c r="W279" s="41">
        <f t="shared" si="22"/>
        <v>0</v>
      </c>
      <c r="X279" s="41">
        <f t="shared" si="23"/>
        <v>0</v>
      </c>
      <c r="Y279" s="11"/>
      <c r="Z279" s="11"/>
      <c r="AA279" s="11"/>
      <c r="AB279" s="11"/>
      <c r="AC279" s="24"/>
    </row>
    <row r="280" spans="1:29" x14ac:dyDescent="0.2">
      <c r="A280" s="11">
        <f>+'SERVICIO FAENA'!A280</f>
        <v>0</v>
      </c>
      <c r="B280" s="11">
        <f>+'SERVICIO FAENA'!B280</f>
        <v>0</v>
      </c>
      <c r="C280" s="11"/>
      <c r="D280" s="11"/>
      <c r="E280" s="18">
        <f>+'SERVICIO FAENA'!E280</f>
        <v>0</v>
      </c>
      <c r="F280" s="11"/>
      <c r="G280" s="180" t="e">
        <f t="shared" si="24"/>
        <v>#DIV/0!</v>
      </c>
      <c r="H280" s="11"/>
      <c r="I280" s="11"/>
      <c r="J280" s="180" t="e">
        <f t="shared" si="20"/>
        <v>#DIV/0!</v>
      </c>
      <c r="K280" s="100"/>
      <c r="L280" s="100"/>
      <c r="M280" s="100"/>
      <c r="N280" s="100">
        <f t="shared" si="21"/>
        <v>0</v>
      </c>
      <c r="O280" s="100"/>
      <c r="P280" s="41">
        <v>880</v>
      </c>
      <c r="Q280" s="11"/>
      <c r="R280" s="41">
        <v>260</v>
      </c>
      <c r="S280" s="185"/>
      <c r="T280" s="185"/>
      <c r="U280" s="185"/>
      <c r="V280" s="185"/>
      <c r="W280" s="41">
        <f t="shared" si="22"/>
        <v>0</v>
      </c>
      <c r="X280" s="41">
        <f t="shared" si="23"/>
        <v>0</v>
      </c>
      <c r="Y280" s="11"/>
      <c r="Z280" s="11"/>
      <c r="AA280" s="11"/>
      <c r="AB280" s="11"/>
      <c r="AC280" s="24"/>
    </row>
    <row r="281" spans="1:29" x14ac:dyDescent="0.2">
      <c r="A281" s="11">
        <f>+'SERVICIO FAENA'!A281</f>
        <v>0</v>
      </c>
      <c r="B281" s="11">
        <f>+'SERVICIO FAENA'!B281</f>
        <v>0</v>
      </c>
      <c r="C281" s="11"/>
      <c r="D281" s="11"/>
      <c r="E281" s="18">
        <f>+'SERVICIO FAENA'!E281</f>
        <v>0</v>
      </c>
      <c r="F281" s="11"/>
      <c r="G281" s="180" t="e">
        <f t="shared" si="24"/>
        <v>#DIV/0!</v>
      </c>
      <c r="H281" s="11"/>
      <c r="I281" s="11"/>
      <c r="J281" s="180" t="e">
        <f t="shared" si="20"/>
        <v>#DIV/0!</v>
      </c>
      <c r="K281" s="100"/>
      <c r="L281" s="100"/>
      <c r="M281" s="100"/>
      <c r="N281" s="100">
        <f t="shared" si="21"/>
        <v>0</v>
      </c>
      <c r="O281" s="100"/>
      <c r="P281" s="41">
        <v>880</v>
      </c>
      <c r="Q281" s="11"/>
      <c r="R281" s="41">
        <v>260</v>
      </c>
      <c r="S281" s="185"/>
      <c r="T281" s="185"/>
      <c r="U281" s="185"/>
      <c r="V281" s="185"/>
      <c r="W281" s="41">
        <f t="shared" si="22"/>
        <v>0</v>
      </c>
      <c r="X281" s="41">
        <f t="shared" si="23"/>
        <v>0</v>
      </c>
      <c r="Y281" s="11"/>
      <c r="Z281" s="11"/>
      <c r="AA281" s="11"/>
      <c r="AB281" s="11"/>
      <c r="AC281" s="24"/>
    </row>
    <row r="282" spans="1:29" x14ac:dyDescent="0.2">
      <c r="A282" s="11">
        <f>+'SERVICIO FAENA'!A282</f>
        <v>0</v>
      </c>
      <c r="B282" s="11">
        <f>+'SERVICIO FAENA'!B282</f>
        <v>0</v>
      </c>
      <c r="C282" s="11"/>
      <c r="D282" s="11"/>
      <c r="E282" s="18">
        <f>+'SERVICIO FAENA'!E282</f>
        <v>0</v>
      </c>
      <c r="F282" s="11"/>
      <c r="G282" s="180" t="e">
        <f t="shared" si="24"/>
        <v>#DIV/0!</v>
      </c>
      <c r="H282" s="11"/>
      <c r="I282" s="11"/>
      <c r="J282" s="180" t="e">
        <f t="shared" si="20"/>
        <v>#DIV/0!</v>
      </c>
      <c r="K282" s="100"/>
      <c r="L282" s="100"/>
      <c r="M282" s="100"/>
      <c r="N282" s="100">
        <f t="shared" si="21"/>
        <v>0</v>
      </c>
      <c r="O282" s="100"/>
      <c r="P282" s="41">
        <v>880</v>
      </c>
      <c r="Q282" s="11"/>
      <c r="R282" s="41">
        <v>260</v>
      </c>
      <c r="S282" s="185"/>
      <c r="T282" s="185"/>
      <c r="U282" s="185"/>
      <c r="V282" s="185"/>
      <c r="W282" s="41">
        <f t="shared" si="22"/>
        <v>0</v>
      </c>
      <c r="X282" s="41">
        <f t="shared" si="23"/>
        <v>0</v>
      </c>
      <c r="Y282" s="11"/>
      <c r="Z282" s="11"/>
      <c r="AA282" s="11"/>
      <c r="AB282" s="11"/>
      <c r="AC282" s="24"/>
    </row>
    <row r="283" spans="1:29" x14ac:dyDescent="0.2">
      <c r="A283" s="11">
        <f>+'SERVICIO FAENA'!A283</f>
        <v>0</v>
      </c>
      <c r="B283" s="11">
        <f>+'SERVICIO FAENA'!B283</f>
        <v>0</v>
      </c>
      <c r="C283" s="11"/>
      <c r="D283" s="11"/>
      <c r="E283" s="18">
        <f>+'SERVICIO FAENA'!E283</f>
        <v>0</v>
      </c>
      <c r="F283" s="11"/>
      <c r="G283" s="180" t="e">
        <f t="shared" si="24"/>
        <v>#DIV/0!</v>
      </c>
      <c r="H283" s="11"/>
      <c r="I283" s="11"/>
      <c r="J283" s="180" t="e">
        <f t="shared" si="20"/>
        <v>#DIV/0!</v>
      </c>
      <c r="K283" s="100"/>
      <c r="L283" s="100"/>
      <c r="M283" s="100"/>
      <c r="N283" s="100">
        <f t="shared" si="21"/>
        <v>0</v>
      </c>
      <c r="O283" s="100"/>
      <c r="P283" s="41">
        <v>880</v>
      </c>
      <c r="Q283" s="11"/>
      <c r="R283" s="41">
        <v>260</v>
      </c>
      <c r="S283" s="185"/>
      <c r="T283" s="185"/>
      <c r="U283" s="185"/>
      <c r="V283" s="185"/>
      <c r="W283" s="41">
        <f t="shared" si="22"/>
        <v>0</v>
      </c>
      <c r="X283" s="41">
        <f t="shared" si="23"/>
        <v>0</v>
      </c>
      <c r="Y283" s="11"/>
      <c r="Z283" s="11"/>
      <c r="AA283" s="11"/>
      <c r="AB283" s="11"/>
      <c r="AC283" s="24"/>
    </row>
    <row r="284" spans="1:29" x14ac:dyDescent="0.2">
      <c r="A284" s="11">
        <f>+'SERVICIO FAENA'!A284</f>
        <v>0</v>
      </c>
      <c r="B284" s="11">
        <f>+'SERVICIO FAENA'!B284</f>
        <v>0</v>
      </c>
      <c r="C284" s="11"/>
      <c r="D284" s="11"/>
      <c r="E284" s="18">
        <f>+'SERVICIO FAENA'!E284</f>
        <v>0</v>
      </c>
      <c r="F284" s="11"/>
      <c r="G284" s="180" t="e">
        <f t="shared" si="24"/>
        <v>#DIV/0!</v>
      </c>
      <c r="H284" s="11"/>
      <c r="I284" s="11"/>
      <c r="J284" s="180" t="e">
        <f t="shared" si="20"/>
        <v>#DIV/0!</v>
      </c>
      <c r="K284" s="100"/>
      <c r="L284" s="100"/>
      <c r="M284" s="100"/>
      <c r="N284" s="100">
        <f t="shared" si="21"/>
        <v>0</v>
      </c>
      <c r="O284" s="100"/>
      <c r="P284" s="41">
        <v>880</v>
      </c>
      <c r="Q284" s="11"/>
      <c r="R284" s="41">
        <v>260</v>
      </c>
      <c r="S284" s="185"/>
      <c r="T284" s="185"/>
      <c r="U284" s="185"/>
      <c r="V284" s="185"/>
      <c r="W284" s="41">
        <f t="shared" si="22"/>
        <v>0</v>
      </c>
      <c r="X284" s="41">
        <f t="shared" si="23"/>
        <v>0</v>
      </c>
      <c r="Y284" s="11"/>
      <c r="Z284" s="11"/>
      <c r="AA284" s="11"/>
      <c r="AB284" s="11"/>
      <c r="AC284" s="24"/>
    </row>
    <row r="285" spans="1:29" x14ac:dyDescent="0.2">
      <c r="A285" s="11">
        <f>+'SERVICIO FAENA'!A285</f>
        <v>0</v>
      </c>
      <c r="B285" s="11">
        <f>+'SERVICIO FAENA'!B285</f>
        <v>0</v>
      </c>
      <c r="C285" s="11"/>
      <c r="D285" s="11"/>
      <c r="E285" s="18">
        <f>+'SERVICIO FAENA'!E285</f>
        <v>0</v>
      </c>
      <c r="F285" s="11"/>
      <c r="G285" s="180" t="e">
        <f t="shared" si="24"/>
        <v>#DIV/0!</v>
      </c>
      <c r="H285" s="11"/>
      <c r="I285" s="11"/>
      <c r="J285" s="180" t="e">
        <f t="shared" si="20"/>
        <v>#DIV/0!</v>
      </c>
      <c r="K285" s="100"/>
      <c r="L285" s="100"/>
      <c r="M285" s="100"/>
      <c r="N285" s="100">
        <f t="shared" si="21"/>
        <v>0</v>
      </c>
      <c r="O285" s="100"/>
      <c r="P285" s="41">
        <v>880</v>
      </c>
      <c r="Q285" s="11"/>
      <c r="R285" s="41">
        <v>260</v>
      </c>
      <c r="S285" s="185"/>
      <c r="T285" s="185"/>
      <c r="U285" s="185"/>
      <c r="V285" s="185"/>
      <c r="W285" s="41">
        <f t="shared" si="22"/>
        <v>0</v>
      </c>
      <c r="X285" s="41">
        <f t="shared" si="23"/>
        <v>0</v>
      </c>
      <c r="Y285" s="11"/>
      <c r="Z285" s="11"/>
      <c r="AA285" s="11"/>
      <c r="AB285" s="11"/>
      <c r="AC285" s="24"/>
    </row>
    <row r="286" spans="1:29" x14ac:dyDescent="0.2">
      <c r="A286" s="11">
        <f>+'SERVICIO FAENA'!A286</f>
        <v>0</v>
      </c>
      <c r="B286" s="11">
        <f>+'SERVICIO FAENA'!B286</f>
        <v>0</v>
      </c>
      <c r="C286" s="11"/>
      <c r="D286" s="11"/>
      <c r="E286" s="18">
        <f>+'SERVICIO FAENA'!E286</f>
        <v>0</v>
      </c>
      <c r="F286" s="11"/>
      <c r="G286" s="180" t="e">
        <f t="shared" si="24"/>
        <v>#DIV/0!</v>
      </c>
      <c r="H286" s="11"/>
      <c r="I286" s="11"/>
      <c r="J286" s="180" t="e">
        <f t="shared" si="20"/>
        <v>#DIV/0!</v>
      </c>
      <c r="K286" s="100"/>
      <c r="L286" s="100"/>
      <c r="M286" s="100"/>
      <c r="N286" s="100">
        <f t="shared" si="21"/>
        <v>0</v>
      </c>
      <c r="O286" s="100"/>
      <c r="P286" s="41">
        <v>880</v>
      </c>
      <c r="Q286" s="11"/>
      <c r="R286" s="41">
        <v>260</v>
      </c>
      <c r="S286" s="185"/>
      <c r="T286" s="185"/>
      <c r="U286" s="185"/>
      <c r="V286" s="185"/>
      <c r="W286" s="41">
        <f t="shared" si="22"/>
        <v>0</v>
      </c>
      <c r="X286" s="41">
        <f t="shared" si="23"/>
        <v>0</v>
      </c>
      <c r="Y286" s="11"/>
      <c r="Z286" s="11"/>
      <c r="AA286" s="11"/>
      <c r="AB286" s="11"/>
      <c r="AC286" s="24"/>
    </row>
    <row r="287" spans="1:29" x14ac:dyDescent="0.2">
      <c r="A287" s="11">
        <f>+'SERVICIO FAENA'!A287</f>
        <v>0</v>
      </c>
      <c r="B287" s="11">
        <f>+'SERVICIO FAENA'!B287</f>
        <v>0</v>
      </c>
      <c r="C287" s="11"/>
      <c r="D287" s="11"/>
      <c r="E287" s="18">
        <f>+'SERVICIO FAENA'!E287</f>
        <v>0</v>
      </c>
      <c r="F287" s="11"/>
      <c r="G287" s="180" t="e">
        <f t="shared" si="24"/>
        <v>#DIV/0!</v>
      </c>
      <c r="H287" s="11"/>
      <c r="I287" s="11"/>
      <c r="J287" s="180" t="e">
        <f t="shared" si="20"/>
        <v>#DIV/0!</v>
      </c>
      <c r="K287" s="100"/>
      <c r="L287" s="100"/>
      <c r="M287" s="100"/>
      <c r="N287" s="100">
        <f t="shared" si="21"/>
        <v>0</v>
      </c>
      <c r="O287" s="100"/>
      <c r="P287" s="41">
        <v>880</v>
      </c>
      <c r="Q287" s="11"/>
      <c r="R287" s="41">
        <v>260</v>
      </c>
      <c r="S287" s="185"/>
      <c r="T287" s="185"/>
      <c r="U287" s="185"/>
      <c r="V287" s="185"/>
      <c r="W287" s="41">
        <f t="shared" si="22"/>
        <v>0</v>
      </c>
      <c r="X287" s="41">
        <f t="shared" si="23"/>
        <v>0</v>
      </c>
      <c r="Y287" s="11"/>
      <c r="Z287" s="11"/>
      <c r="AA287" s="11"/>
      <c r="AB287" s="11"/>
      <c r="AC287" s="24"/>
    </row>
    <row r="288" spans="1:29" x14ac:dyDescent="0.2">
      <c r="A288" s="11">
        <f>+'SERVICIO FAENA'!A288</f>
        <v>0</v>
      </c>
      <c r="B288" s="11">
        <f>+'SERVICIO FAENA'!B288</f>
        <v>0</v>
      </c>
      <c r="C288" s="11"/>
      <c r="D288" s="11"/>
      <c r="E288" s="18">
        <f>+'SERVICIO FAENA'!E288</f>
        <v>0</v>
      </c>
      <c r="F288" s="11"/>
      <c r="G288" s="180" t="e">
        <f t="shared" si="24"/>
        <v>#DIV/0!</v>
      </c>
      <c r="H288" s="11"/>
      <c r="I288" s="11"/>
      <c r="J288" s="180" t="e">
        <f t="shared" si="20"/>
        <v>#DIV/0!</v>
      </c>
      <c r="K288" s="100"/>
      <c r="L288" s="100"/>
      <c r="M288" s="100"/>
      <c r="N288" s="100">
        <f t="shared" si="21"/>
        <v>0</v>
      </c>
      <c r="O288" s="100"/>
      <c r="P288" s="41">
        <v>880</v>
      </c>
      <c r="Q288" s="11"/>
      <c r="R288" s="41">
        <v>260</v>
      </c>
      <c r="S288" s="185"/>
      <c r="T288" s="185"/>
      <c r="U288" s="185"/>
      <c r="V288" s="185"/>
      <c r="W288" s="41">
        <f t="shared" si="22"/>
        <v>0</v>
      </c>
      <c r="X288" s="41">
        <f t="shared" si="23"/>
        <v>0</v>
      </c>
      <c r="Y288" s="11"/>
      <c r="Z288" s="11"/>
      <c r="AA288" s="11"/>
      <c r="AB288" s="11"/>
      <c r="AC288" s="24"/>
    </row>
    <row r="289" spans="1:29" x14ac:dyDescent="0.2">
      <c r="A289" s="11">
        <f>+'SERVICIO FAENA'!A289</f>
        <v>0</v>
      </c>
      <c r="B289" s="11">
        <f>+'SERVICIO FAENA'!B289</f>
        <v>0</v>
      </c>
      <c r="C289" s="11"/>
      <c r="D289" s="11"/>
      <c r="E289" s="18">
        <f>+'SERVICIO FAENA'!E289</f>
        <v>0</v>
      </c>
      <c r="F289" s="11"/>
      <c r="G289" s="180" t="e">
        <f t="shared" si="24"/>
        <v>#DIV/0!</v>
      </c>
      <c r="H289" s="11"/>
      <c r="I289" s="11"/>
      <c r="J289" s="180" t="e">
        <f t="shared" si="20"/>
        <v>#DIV/0!</v>
      </c>
      <c r="K289" s="100"/>
      <c r="L289" s="100"/>
      <c r="M289" s="100"/>
      <c r="N289" s="100">
        <f t="shared" si="21"/>
        <v>0</v>
      </c>
      <c r="O289" s="100"/>
      <c r="P289" s="41">
        <v>880</v>
      </c>
      <c r="Q289" s="11"/>
      <c r="R289" s="41">
        <v>260</v>
      </c>
      <c r="S289" s="185"/>
      <c r="T289" s="185"/>
      <c r="U289" s="185"/>
      <c r="V289" s="185"/>
      <c r="W289" s="41">
        <f t="shared" si="22"/>
        <v>0</v>
      </c>
      <c r="X289" s="41">
        <f t="shared" si="23"/>
        <v>0</v>
      </c>
      <c r="Y289" s="11"/>
      <c r="Z289" s="11"/>
      <c r="AA289" s="11"/>
      <c r="AB289" s="11"/>
      <c r="AC289" s="24"/>
    </row>
    <row r="290" spans="1:29" x14ac:dyDescent="0.2">
      <c r="A290" s="11">
        <f>+'SERVICIO FAENA'!A290</f>
        <v>0</v>
      </c>
      <c r="B290" s="11">
        <f>+'SERVICIO FAENA'!B290</f>
        <v>0</v>
      </c>
      <c r="C290" s="11"/>
      <c r="D290" s="11"/>
      <c r="E290" s="18">
        <f>+'SERVICIO FAENA'!E290</f>
        <v>0</v>
      </c>
      <c r="F290" s="11"/>
      <c r="G290" s="180" t="e">
        <f t="shared" si="24"/>
        <v>#DIV/0!</v>
      </c>
      <c r="H290" s="11"/>
      <c r="I290" s="11"/>
      <c r="J290" s="180" t="e">
        <f t="shared" si="20"/>
        <v>#DIV/0!</v>
      </c>
      <c r="K290" s="100"/>
      <c r="L290" s="100"/>
      <c r="M290" s="100"/>
      <c r="N290" s="100">
        <f t="shared" si="21"/>
        <v>0</v>
      </c>
      <c r="O290" s="100"/>
      <c r="P290" s="41">
        <v>880</v>
      </c>
      <c r="Q290" s="11"/>
      <c r="R290" s="41">
        <v>260</v>
      </c>
      <c r="S290" s="185"/>
      <c r="T290" s="185"/>
      <c r="U290" s="185"/>
      <c r="V290" s="185"/>
      <c r="W290" s="41">
        <f t="shared" si="22"/>
        <v>0</v>
      </c>
      <c r="X290" s="41">
        <f t="shared" si="23"/>
        <v>0</v>
      </c>
      <c r="Y290" s="11"/>
      <c r="Z290" s="11"/>
      <c r="AA290" s="11"/>
      <c r="AB290" s="11"/>
      <c r="AC290" s="24"/>
    </row>
    <row r="291" spans="1:29" x14ac:dyDescent="0.2">
      <c r="A291" s="11">
        <f>+'SERVICIO FAENA'!A291</f>
        <v>0</v>
      </c>
      <c r="B291" s="11">
        <f>+'SERVICIO FAENA'!B291</f>
        <v>0</v>
      </c>
      <c r="C291" s="11"/>
      <c r="D291" s="11"/>
      <c r="E291" s="18">
        <f>+'SERVICIO FAENA'!E291</f>
        <v>0</v>
      </c>
      <c r="F291" s="11"/>
      <c r="G291" s="180" t="e">
        <f t="shared" si="24"/>
        <v>#DIV/0!</v>
      </c>
      <c r="H291" s="11"/>
      <c r="I291" s="11"/>
      <c r="J291" s="180" t="e">
        <f t="shared" si="20"/>
        <v>#DIV/0!</v>
      </c>
      <c r="K291" s="100"/>
      <c r="L291" s="100"/>
      <c r="M291" s="100"/>
      <c r="N291" s="100">
        <f t="shared" si="21"/>
        <v>0</v>
      </c>
      <c r="O291" s="100"/>
      <c r="P291" s="41">
        <v>880</v>
      </c>
      <c r="Q291" s="11"/>
      <c r="R291" s="41">
        <v>260</v>
      </c>
      <c r="S291" s="185"/>
      <c r="T291" s="185"/>
      <c r="U291" s="185"/>
      <c r="V291" s="185"/>
      <c r="W291" s="41">
        <f t="shared" si="22"/>
        <v>0</v>
      </c>
      <c r="X291" s="41">
        <f t="shared" si="23"/>
        <v>0</v>
      </c>
      <c r="Y291" s="11"/>
      <c r="Z291" s="11"/>
      <c r="AA291" s="11"/>
      <c r="AB291" s="11"/>
      <c r="AC291" s="24"/>
    </row>
    <row r="292" spans="1:29" x14ac:dyDescent="0.2">
      <c r="A292" s="11">
        <f>+'SERVICIO FAENA'!A292</f>
        <v>0</v>
      </c>
      <c r="B292" s="11">
        <f>+'SERVICIO FAENA'!B292</f>
        <v>0</v>
      </c>
      <c r="C292" s="11"/>
      <c r="D292" s="11"/>
      <c r="E292" s="18">
        <f>+'SERVICIO FAENA'!E292</f>
        <v>0</v>
      </c>
      <c r="F292" s="11"/>
      <c r="G292" s="180" t="e">
        <f t="shared" si="24"/>
        <v>#DIV/0!</v>
      </c>
      <c r="H292" s="11"/>
      <c r="I292" s="11"/>
      <c r="J292" s="180" t="e">
        <f t="shared" si="20"/>
        <v>#DIV/0!</v>
      </c>
      <c r="K292" s="100"/>
      <c r="L292" s="100"/>
      <c r="M292" s="100"/>
      <c r="N292" s="100">
        <f t="shared" si="21"/>
        <v>0</v>
      </c>
      <c r="O292" s="100"/>
      <c r="P292" s="41">
        <v>880</v>
      </c>
      <c r="Q292" s="11"/>
      <c r="R292" s="41">
        <v>260</v>
      </c>
      <c r="S292" s="185"/>
      <c r="T292" s="185"/>
      <c r="U292" s="185"/>
      <c r="V292" s="185"/>
      <c r="W292" s="41">
        <f t="shared" si="22"/>
        <v>0</v>
      </c>
      <c r="X292" s="41">
        <f t="shared" si="23"/>
        <v>0</v>
      </c>
      <c r="Y292" s="11"/>
      <c r="Z292" s="11"/>
      <c r="AA292" s="11"/>
      <c r="AB292" s="11"/>
      <c r="AC292" s="24"/>
    </row>
    <row r="293" spans="1:29" x14ac:dyDescent="0.2">
      <c r="A293" s="11">
        <f>+'SERVICIO FAENA'!A293</f>
        <v>0</v>
      </c>
      <c r="B293" s="11">
        <f>+'SERVICIO FAENA'!B293</f>
        <v>0</v>
      </c>
      <c r="C293" s="11"/>
      <c r="D293" s="11"/>
      <c r="E293" s="18">
        <f>+'SERVICIO FAENA'!E293</f>
        <v>0</v>
      </c>
      <c r="F293" s="11"/>
      <c r="G293" s="180" t="e">
        <f t="shared" si="24"/>
        <v>#DIV/0!</v>
      </c>
      <c r="H293" s="11"/>
      <c r="I293" s="11"/>
      <c r="J293" s="180" t="e">
        <f t="shared" si="20"/>
        <v>#DIV/0!</v>
      </c>
      <c r="K293" s="100"/>
      <c r="L293" s="100"/>
      <c r="M293" s="100"/>
      <c r="N293" s="100">
        <f t="shared" si="21"/>
        <v>0</v>
      </c>
      <c r="O293" s="100"/>
      <c r="P293" s="41">
        <v>880</v>
      </c>
      <c r="Q293" s="11"/>
      <c r="R293" s="41">
        <v>260</v>
      </c>
      <c r="S293" s="185"/>
      <c r="T293" s="185"/>
      <c r="U293" s="185"/>
      <c r="V293" s="185"/>
      <c r="W293" s="41">
        <f t="shared" si="22"/>
        <v>0</v>
      </c>
      <c r="X293" s="41">
        <f t="shared" si="23"/>
        <v>0</v>
      </c>
      <c r="Y293" s="11"/>
      <c r="Z293" s="11"/>
      <c r="AA293" s="11"/>
      <c r="AB293" s="11"/>
      <c r="AC293" s="24"/>
    </row>
    <row r="294" spans="1:29" x14ac:dyDescent="0.2">
      <c r="A294" s="11">
        <f>+'SERVICIO FAENA'!A294</f>
        <v>0</v>
      </c>
      <c r="B294" s="11">
        <f>+'SERVICIO FAENA'!B294</f>
        <v>0</v>
      </c>
      <c r="C294" s="11"/>
      <c r="D294" s="11"/>
      <c r="E294" s="18">
        <f>+'SERVICIO FAENA'!E294</f>
        <v>0</v>
      </c>
      <c r="F294" s="11"/>
      <c r="G294" s="180" t="e">
        <f t="shared" si="24"/>
        <v>#DIV/0!</v>
      </c>
      <c r="H294" s="11"/>
      <c r="I294" s="11"/>
      <c r="J294" s="180" t="e">
        <f t="shared" si="20"/>
        <v>#DIV/0!</v>
      </c>
      <c r="K294" s="100"/>
      <c r="L294" s="100"/>
      <c r="M294" s="100"/>
      <c r="N294" s="100">
        <f t="shared" si="21"/>
        <v>0</v>
      </c>
      <c r="O294" s="100"/>
      <c r="P294" s="41">
        <v>880</v>
      </c>
      <c r="Q294" s="11"/>
      <c r="R294" s="41">
        <v>260</v>
      </c>
      <c r="S294" s="185"/>
      <c r="T294" s="185"/>
      <c r="U294" s="185"/>
      <c r="V294" s="185"/>
      <c r="W294" s="41">
        <f t="shared" si="22"/>
        <v>0</v>
      </c>
      <c r="X294" s="41">
        <f t="shared" si="23"/>
        <v>0</v>
      </c>
      <c r="Y294" s="11"/>
      <c r="Z294" s="11"/>
      <c r="AA294" s="11"/>
      <c r="AB294" s="11"/>
      <c r="AC294" s="24"/>
    </row>
    <row r="295" spans="1:29" x14ac:dyDescent="0.2">
      <c r="A295" s="11">
        <f>+'SERVICIO FAENA'!A295</f>
        <v>0</v>
      </c>
      <c r="B295" s="11">
        <f>+'SERVICIO FAENA'!B295</f>
        <v>0</v>
      </c>
      <c r="C295" s="11"/>
      <c r="D295" s="11"/>
      <c r="E295" s="18">
        <f>+'SERVICIO FAENA'!E295</f>
        <v>0</v>
      </c>
      <c r="F295" s="11"/>
      <c r="G295" s="180" t="e">
        <f t="shared" si="24"/>
        <v>#DIV/0!</v>
      </c>
      <c r="H295" s="11"/>
      <c r="I295" s="11"/>
      <c r="J295" s="180" t="e">
        <f t="shared" si="20"/>
        <v>#DIV/0!</v>
      </c>
      <c r="K295" s="100"/>
      <c r="L295" s="100"/>
      <c r="M295" s="100"/>
      <c r="N295" s="100">
        <f t="shared" si="21"/>
        <v>0</v>
      </c>
      <c r="O295" s="100"/>
      <c r="P295" s="41">
        <v>880</v>
      </c>
      <c r="Q295" s="11"/>
      <c r="R295" s="41">
        <v>260</v>
      </c>
      <c r="S295" s="185"/>
      <c r="T295" s="185"/>
      <c r="U295" s="185"/>
      <c r="V295" s="185"/>
      <c r="W295" s="41">
        <f t="shared" si="22"/>
        <v>0</v>
      </c>
      <c r="X295" s="41">
        <f t="shared" si="23"/>
        <v>0</v>
      </c>
      <c r="Y295" s="11"/>
      <c r="Z295" s="11"/>
      <c r="AA295" s="11"/>
      <c r="AB295" s="11"/>
      <c r="AC295" s="24"/>
    </row>
    <row r="296" spans="1:29" x14ac:dyDescent="0.2">
      <c r="A296" s="11">
        <f>+'SERVICIO FAENA'!A296</f>
        <v>0</v>
      </c>
      <c r="B296" s="11">
        <f>+'SERVICIO FAENA'!B296</f>
        <v>0</v>
      </c>
      <c r="C296" s="11"/>
      <c r="D296" s="11"/>
      <c r="E296" s="18">
        <f>+'SERVICIO FAENA'!E296</f>
        <v>0</v>
      </c>
      <c r="F296" s="11"/>
      <c r="G296" s="180" t="e">
        <f t="shared" si="24"/>
        <v>#DIV/0!</v>
      </c>
      <c r="H296" s="11"/>
      <c r="I296" s="11"/>
      <c r="J296" s="180" t="e">
        <f t="shared" si="20"/>
        <v>#DIV/0!</v>
      </c>
      <c r="K296" s="100"/>
      <c r="L296" s="100"/>
      <c r="M296" s="100"/>
      <c r="N296" s="100">
        <f t="shared" si="21"/>
        <v>0</v>
      </c>
      <c r="O296" s="100"/>
      <c r="P296" s="41">
        <v>880</v>
      </c>
      <c r="Q296" s="11"/>
      <c r="R296" s="41">
        <v>260</v>
      </c>
      <c r="S296" s="185"/>
      <c r="T296" s="185"/>
      <c r="U296" s="185"/>
      <c r="V296" s="185"/>
      <c r="W296" s="41">
        <f t="shared" si="22"/>
        <v>0</v>
      </c>
      <c r="X296" s="41">
        <f t="shared" si="23"/>
        <v>0</v>
      </c>
      <c r="Y296" s="11"/>
      <c r="Z296" s="11"/>
      <c r="AA296" s="11"/>
      <c r="AB296" s="11"/>
      <c r="AC296" s="24"/>
    </row>
    <row r="297" spans="1:29" x14ac:dyDescent="0.2">
      <c r="A297" s="11">
        <f>+'SERVICIO FAENA'!A297</f>
        <v>0</v>
      </c>
      <c r="B297" s="11">
        <f>+'SERVICIO FAENA'!B297</f>
        <v>0</v>
      </c>
      <c r="C297" s="11"/>
      <c r="D297" s="11"/>
      <c r="E297" s="18">
        <f>+'SERVICIO FAENA'!E297</f>
        <v>0</v>
      </c>
      <c r="F297" s="11"/>
      <c r="G297" s="180" t="e">
        <f t="shared" si="24"/>
        <v>#DIV/0!</v>
      </c>
      <c r="H297" s="11"/>
      <c r="I297" s="11"/>
      <c r="J297" s="180" t="e">
        <f t="shared" si="20"/>
        <v>#DIV/0!</v>
      </c>
      <c r="K297" s="100"/>
      <c r="L297" s="100"/>
      <c r="M297" s="100"/>
      <c r="N297" s="100">
        <f t="shared" si="21"/>
        <v>0</v>
      </c>
      <c r="O297" s="100"/>
      <c r="P297" s="41">
        <v>880</v>
      </c>
      <c r="Q297" s="11"/>
      <c r="R297" s="41">
        <v>260</v>
      </c>
      <c r="S297" s="185"/>
      <c r="T297" s="185"/>
      <c r="U297" s="185"/>
      <c r="V297" s="185"/>
      <c r="W297" s="41">
        <f t="shared" si="22"/>
        <v>0</v>
      </c>
      <c r="X297" s="41">
        <f t="shared" si="23"/>
        <v>0</v>
      </c>
      <c r="Y297" s="11"/>
      <c r="Z297" s="11"/>
      <c r="AA297" s="11"/>
      <c r="AB297" s="11"/>
      <c r="AC297" s="24"/>
    </row>
    <row r="298" spans="1:29" x14ac:dyDescent="0.2">
      <c r="A298" s="11">
        <f>+'SERVICIO FAENA'!A298</f>
        <v>0</v>
      </c>
      <c r="B298" s="11">
        <f>+'SERVICIO FAENA'!B298</f>
        <v>0</v>
      </c>
      <c r="C298" s="11"/>
      <c r="D298" s="11"/>
      <c r="E298" s="18">
        <f>+'SERVICIO FAENA'!E298</f>
        <v>0</v>
      </c>
      <c r="F298" s="11"/>
      <c r="G298" s="180" t="e">
        <f t="shared" si="24"/>
        <v>#DIV/0!</v>
      </c>
      <c r="H298" s="11"/>
      <c r="I298" s="11"/>
      <c r="J298" s="180" t="e">
        <f t="shared" ref="J298:J361" si="25">+((F298-(H298+I298))/F298)</f>
        <v>#DIV/0!</v>
      </c>
      <c r="K298" s="100"/>
      <c r="L298" s="100"/>
      <c r="M298" s="100"/>
      <c r="N298" s="100">
        <f t="shared" ref="N298:N361" si="26">SUM(K298:M298)</f>
        <v>0</v>
      </c>
      <c r="O298" s="100"/>
      <c r="P298" s="41">
        <v>880</v>
      </c>
      <c r="Q298" s="11"/>
      <c r="R298" s="41">
        <v>260</v>
      </c>
      <c r="S298" s="185"/>
      <c r="T298" s="185"/>
      <c r="U298" s="185"/>
      <c r="V298" s="185"/>
      <c r="W298" s="41">
        <f t="shared" ref="W298:W361" si="27">+(P298*O298)+(R298*Q298)</f>
        <v>0</v>
      </c>
      <c r="X298" s="41">
        <f t="shared" si="23"/>
        <v>0</v>
      </c>
      <c r="Y298" s="11"/>
      <c r="Z298" s="11"/>
      <c r="AA298" s="11"/>
      <c r="AB298" s="11"/>
      <c r="AC298" s="24"/>
    </row>
    <row r="299" spans="1:29" x14ac:dyDescent="0.2">
      <c r="A299" s="11">
        <f>+'SERVICIO FAENA'!A299</f>
        <v>0</v>
      </c>
      <c r="B299" s="11">
        <f>+'SERVICIO FAENA'!B299</f>
        <v>0</v>
      </c>
      <c r="C299" s="11"/>
      <c r="D299" s="11"/>
      <c r="E299" s="18">
        <f>+'SERVICIO FAENA'!E299</f>
        <v>0</v>
      </c>
      <c r="F299" s="11"/>
      <c r="G299" s="180" t="e">
        <f t="shared" si="24"/>
        <v>#DIV/0!</v>
      </c>
      <c r="H299" s="11"/>
      <c r="I299" s="11"/>
      <c r="J299" s="180" t="e">
        <f t="shared" si="25"/>
        <v>#DIV/0!</v>
      </c>
      <c r="K299" s="100"/>
      <c r="L299" s="100"/>
      <c r="M299" s="100"/>
      <c r="N299" s="100">
        <f t="shared" si="26"/>
        <v>0</v>
      </c>
      <c r="O299" s="100"/>
      <c r="P299" s="41">
        <v>880</v>
      </c>
      <c r="Q299" s="11"/>
      <c r="R299" s="41">
        <v>260</v>
      </c>
      <c r="S299" s="185"/>
      <c r="T299" s="185"/>
      <c r="U299" s="185"/>
      <c r="V299" s="185"/>
      <c r="W299" s="41">
        <f t="shared" si="27"/>
        <v>0</v>
      </c>
      <c r="X299" s="41">
        <f t="shared" si="23"/>
        <v>0</v>
      </c>
      <c r="Y299" s="11"/>
      <c r="Z299" s="11"/>
      <c r="AA299" s="11"/>
      <c r="AB299" s="11"/>
      <c r="AC299" s="24"/>
    </row>
    <row r="300" spans="1:29" x14ac:dyDescent="0.2">
      <c r="A300" s="11">
        <f>+'SERVICIO FAENA'!A300</f>
        <v>0</v>
      </c>
      <c r="B300" s="11">
        <f>+'SERVICIO FAENA'!B300</f>
        <v>0</v>
      </c>
      <c r="C300" s="11"/>
      <c r="D300" s="11"/>
      <c r="E300" s="18">
        <f>+'SERVICIO FAENA'!E300</f>
        <v>0</v>
      </c>
      <c r="F300" s="11"/>
      <c r="G300" s="180" t="e">
        <f t="shared" si="24"/>
        <v>#DIV/0!</v>
      </c>
      <c r="H300" s="11"/>
      <c r="I300" s="11"/>
      <c r="J300" s="180" t="e">
        <f t="shared" si="25"/>
        <v>#DIV/0!</v>
      </c>
      <c r="K300" s="100"/>
      <c r="L300" s="100"/>
      <c r="M300" s="100"/>
      <c r="N300" s="100">
        <f t="shared" si="26"/>
        <v>0</v>
      </c>
      <c r="O300" s="100"/>
      <c r="P300" s="41">
        <v>880</v>
      </c>
      <c r="Q300" s="11"/>
      <c r="R300" s="41">
        <v>260</v>
      </c>
      <c r="S300" s="185"/>
      <c r="T300" s="185"/>
      <c r="U300" s="185"/>
      <c r="V300" s="185"/>
      <c r="W300" s="41">
        <f t="shared" si="27"/>
        <v>0</v>
      </c>
      <c r="X300" s="41">
        <f t="shared" si="23"/>
        <v>0</v>
      </c>
      <c r="Y300" s="11"/>
      <c r="Z300" s="11"/>
      <c r="AA300" s="11"/>
      <c r="AB300" s="11"/>
      <c r="AC300" s="24"/>
    </row>
    <row r="301" spans="1:29" x14ac:dyDescent="0.2">
      <c r="A301" s="11">
        <f>+'SERVICIO FAENA'!A301</f>
        <v>0</v>
      </c>
      <c r="B301" s="11">
        <f>+'SERVICIO FAENA'!B301</f>
        <v>0</v>
      </c>
      <c r="C301" s="11"/>
      <c r="D301" s="11"/>
      <c r="E301" s="18">
        <f>+'SERVICIO FAENA'!E301</f>
        <v>0</v>
      </c>
      <c r="F301" s="11"/>
      <c r="G301" s="180" t="e">
        <f t="shared" si="24"/>
        <v>#DIV/0!</v>
      </c>
      <c r="H301" s="11"/>
      <c r="I301" s="11"/>
      <c r="J301" s="180" t="e">
        <f t="shared" si="25"/>
        <v>#DIV/0!</v>
      </c>
      <c r="K301" s="100"/>
      <c r="L301" s="100"/>
      <c r="M301" s="100"/>
      <c r="N301" s="100">
        <f t="shared" si="26"/>
        <v>0</v>
      </c>
      <c r="O301" s="100"/>
      <c r="P301" s="41">
        <v>880</v>
      </c>
      <c r="Q301" s="11"/>
      <c r="R301" s="41">
        <v>260</v>
      </c>
      <c r="S301" s="185"/>
      <c r="T301" s="185"/>
      <c r="U301" s="185"/>
      <c r="V301" s="185"/>
      <c r="W301" s="41">
        <f t="shared" si="27"/>
        <v>0</v>
      </c>
      <c r="X301" s="41">
        <f t="shared" si="23"/>
        <v>0</v>
      </c>
      <c r="Y301" s="11"/>
      <c r="Z301" s="11"/>
      <c r="AA301" s="11"/>
      <c r="AB301" s="11"/>
      <c r="AC301" s="24"/>
    </row>
    <row r="302" spans="1:29" x14ac:dyDescent="0.2">
      <c r="A302" s="11">
        <f>+'SERVICIO FAENA'!A302</f>
        <v>0</v>
      </c>
      <c r="B302" s="11">
        <f>+'SERVICIO FAENA'!B302</f>
        <v>0</v>
      </c>
      <c r="C302" s="11"/>
      <c r="D302" s="11"/>
      <c r="E302" s="18">
        <f>+'SERVICIO FAENA'!E302</f>
        <v>0</v>
      </c>
      <c r="F302" s="11"/>
      <c r="G302" s="180" t="e">
        <f t="shared" si="24"/>
        <v>#DIV/0!</v>
      </c>
      <c r="H302" s="11"/>
      <c r="I302" s="11"/>
      <c r="J302" s="180" t="e">
        <f t="shared" si="25"/>
        <v>#DIV/0!</v>
      </c>
      <c r="K302" s="100"/>
      <c r="L302" s="100"/>
      <c r="M302" s="100"/>
      <c r="N302" s="100">
        <f t="shared" si="26"/>
        <v>0</v>
      </c>
      <c r="O302" s="100"/>
      <c r="P302" s="41">
        <v>880</v>
      </c>
      <c r="Q302" s="11"/>
      <c r="R302" s="41">
        <v>260</v>
      </c>
      <c r="S302" s="185"/>
      <c r="T302" s="185"/>
      <c r="U302" s="185"/>
      <c r="V302" s="185"/>
      <c r="W302" s="41">
        <f t="shared" si="27"/>
        <v>0</v>
      </c>
      <c r="X302" s="41">
        <f t="shared" si="23"/>
        <v>0</v>
      </c>
      <c r="Y302" s="11"/>
      <c r="Z302" s="11"/>
      <c r="AA302" s="11"/>
      <c r="AB302" s="11"/>
      <c r="AC302" s="24"/>
    </row>
    <row r="303" spans="1:29" x14ac:dyDescent="0.2">
      <c r="A303" s="11">
        <f>+'SERVICIO FAENA'!A303</f>
        <v>0</v>
      </c>
      <c r="B303" s="11">
        <f>+'SERVICIO FAENA'!B303</f>
        <v>0</v>
      </c>
      <c r="C303" s="11"/>
      <c r="D303" s="11"/>
      <c r="E303" s="18">
        <f>+'SERVICIO FAENA'!E303</f>
        <v>0</v>
      </c>
      <c r="F303" s="11"/>
      <c r="G303" s="180" t="e">
        <f t="shared" si="24"/>
        <v>#DIV/0!</v>
      </c>
      <c r="H303" s="11"/>
      <c r="I303" s="11"/>
      <c r="J303" s="180" t="e">
        <f t="shared" si="25"/>
        <v>#DIV/0!</v>
      </c>
      <c r="K303" s="100"/>
      <c r="L303" s="100"/>
      <c r="M303" s="100"/>
      <c r="N303" s="100">
        <f t="shared" si="26"/>
        <v>0</v>
      </c>
      <c r="O303" s="100"/>
      <c r="P303" s="41">
        <v>880</v>
      </c>
      <c r="Q303" s="11"/>
      <c r="R303" s="41">
        <v>260</v>
      </c>
      <c r="S303" s="185"/>
      <c r="T303" s="185"/>
      <c r="U303" s="185"/>
      <c r="V303" s="185"/>
      <c r="W303" s="41">
        <f t="shared" si="27"/>
        <v>0</v>
      </c>
      <c r="X303" s="41">
        <f t="shared" si="23"/>
        <v>0</v>
      </c>
      <c r="Y303" s="11"/>
      <c r="Z303" s="11"/>
      <c r="AA303" s="11"/>
      <c r="AB303" s="11"/>
      <c r="AC303" s="24"/>
    </row>
    <row r="304" spans="1:29" x14ac:dyDescent="0.2">
      <c r="A304" s="11">
        <f>+'SERVICIO FAENA'!A304</f>
        <v>0</v>
      </c>
      <c r="B304" s="11">
        <f>+'SERVICIO FAENA'!B304</f>
        <v>0</v>
      </c>
      <c r="C304" s="11"/>
      <c r="D304" s="11"/>
      <c r="E304" s="18">
        <f>+'SERVICIO FAENA'!E304</f>
        <v>0</v>
      </c>
      <c r="F304" s="11"/>
      <c r="G304" s="180" t="e">
        <f t="shared" si="24"/>
        <v>#DIV/0!</v>
      </c>
      <c r="H304" s="11"/>
      <c r="I304" s="11"/>
      <c r="J304" s="180" t="e">
        <f t="shared" si="25"/>
        <v>#DIV/0!</v>
      </c>
      <c r="K304" s="100"/>
      <c r="L304" s="100"/>
      <c r="M304" s="100"/>
      <c r="N304" s="100">
        <f t="shared" si="26"/>
        <v>0</v>
      </c>
      <c r="O304" s="100"/>
      <c r="P304" s="41">
        <v>880</v>
      </c>
      <c r="Q304" s="11"/>
      <c r="R304" s="41">
        <v>260</v>
      </c>
      <c r="S304" s="185"/>
      <c r="T304" s="185"/>
      <c r="U304" s="185"/>
      <c r="V304" s="185"/>
      <c r="W304" s="41">
        <f t="shared" si="27"/>
        <v>0</v>
      </c>
      <c r="X304" s="41">
        <f t="shared" si="23"/>
        <v>0</v>
      </c>
      <c r="Y304" s="11"/>
      <c r="Z304" s="11"/>
      <c r="AA304" s="11"/>
      <c r="AB304" s="11"/>
      <c r="AC304" s="24"/>
    </row>
    <row r="305" spans="1:29" x14ac:dyDescent="0.2">
      <c r="A305" s="11">
        <f>+'SERVICIO FAENA'!A305</f>
        <v>0</v>
      </c>
      <c r="B305" s="11">
        <f>+'SERVICIO FAENA'!B305</f>
        <v>0</v>
      </c>
      <c r="C305" s="11"/>
      <c r="D305" s="11"/>
      <c r="E305" s="18">
        <f>+'SERVICIO FAENA'!E305</f>
        <v>0</v>
      </c>
      <c r="F305" s="11"/>
      <c r="G305" s="180" t="e">
        <f t="shared" si="24"/>
        <v>#DIV/0!</v>
      </c>
      <c r="H305" s="11"/>
      <c r="I305" s="11"/>
      <c r="J305" s="180" t="e">
        <f t="shared" si="25"/>
        <v>#DIV/0!</v>
      </c>
      <c r="K305" s="100"/>
      <c r="L305" s="100"/>
      <c r="M305" s="100"/>
      <c r="N305" s="100">
        <f t="shared" si="26"/>
        <v>0</v>
      </c>
      <c r="O305" s="100"/>
      <c r="P305" s="41">
        <v>880</v>
      </c>
      <c r="Q305" s="11"/>
      <c r="R305" s="41">
        <v>260</v>
      </c>
      <c r="S305" s="185"/>
      <c r="T305" s="185"/>
      <c r="U305" s="185"/>
      <c r="V305" s="185"/>
      <c r="W305" s="41">
        <f t="shared" si="27"/>
        <v>0</v>
      </c>
      <c r="X305" s="41">
        <f t="shared" si="23"/>
        <v>0</v>
      </c>
      <c r="Y305" s="11"/>
      <c r="Z305" s="11"/>
      <c r="AA305" s="11"/>
      <c r="AB305" s="11"/>
      <c r="AC305" s="24"/>
    </row>
    <row r="306" spans="1:29" x14ac:dyDescent="0.2">
      <c r="A306" s="11">
        <f>+'SERVICIO FAENA'!A306</f>
        <v>0</v>
      </c>
      <c r="B306" s="11">
        <f>+'SERVICIO FAENA'!B306</f>
        <v>0</v>
      </c>
      <c r="C306" s="11"/>
      <c r="D306" s="11"/>
      <c r="E306" s="18">
        <f>+'SERVICIO FAENA'!E306</f>
        <v>0</v>
      </c>
      <c r="F306" s="11"/>
      <c r="G306" s="180" t="e">
        <f t="shared" si="24"/>
        <v>#DIV/0!</v>
      </c>
      <c r="H306" s="11"/>
      <c r="I306" s="11"/>
      <c r="J306" s="180" t="e">
        <f t="shared" si="25"/>
        <v>#DIV/0!</v>
      </c>
      <c r="K306" s="100"/>
      <c r="L306" s="100"/>
      <c r="M306" s="100"/>
      <c r="N306" s="100">
        <f t="shared" si="26"/>
        <v>0</v>
      </c>
      <c r="O306" s="100"/>
      <c r="P306" s="41">
        <v>880</v>
      </c>
      <c r="Q306" s="11"/>
      <c r="R306" s="41">
        <v>260</v>
      </c>
      <c r="S306" s="185"/>
      <c r="T306" s="185"/>
      <c r="U306" s="185"/>
      <c r="V306" s="185"/>
      <c r="W306" s="41">
        <f t="shared" si="27"/>
        <v>0</v>
      </c>
      <c r="X306" s="41">
        <f t="shared" si="23"/>
        <v>0</v>
      </c>
      <c r="Y306" s="11"/>
      <c r="Z306" s="11"/>
      <c r="AA306" s="11"/>
      <c r="AB306" s="11"/>
      <c r="AC306" s="24"/>
    </row>
    <row r="307" spans="1:29" x14ac:dyDescent="0.2">
      <c r="A307" s="11">
        <f>+'SERVICIO FAENA'!A307</f>
        <v>0</v>
      </c>
      <c r="B307" s="11">
        <f>+'SERVICIO FAENA'!B307</f>
        <v>0</v>
      </c>
      <c r="C307" s="11"/>
      <c r="D307" s="11"/>
      <c r="E307" s="18">
        <f>+'SERVICIO FAENA'!E307</f>
        <v>0</v>
      </c>
      <c r="F307" s="11"/>
      <c r="G307" s="180" t="e">
        <f t="shared" si="24"/>
        <v>#DIV/0!</v>
      </c>
      <c r="H307" s="11"/>
      <c r="I307" s="11"/>
      <c r="J307" s="180" t="e">
        <f t="shared" si="25"/>
        <v>#DIV/0!</v>
      </c>
      <c r="K307" s="100"/>
      <c r="L307" s="100"/>
      <c r="M307" s="100"/>
      <c r="N307" s="100">
        <f t="shared" si="26"/>
        <v>0</v>
      </c>
      <c r="O307" s="100"/>
      <c r="P307" s="41">
        <v>880</v>
      </c>
      <c r="Q307" s="11"/>
      <c r="R307" s="41">
        <v>260</v>
      </c>
      <c r="S307" s="185"/>
      <c r="T307" s="185"/>
      <c r="U307" s="185"/>
      <c r="V307" s="185"/>
      <c r="W307" s="41">
        <f t="shared" si="27"/>
        <v>0</v>
      </c>
      <c r="X307" s="41">
        <f t="shared" si="23"/>
        <v>0</v>
      </c>
      <c r="Y307" s="11"/>
      <c r="Z307" s="11"/>
      <c r="AA307" s="11"/>
      <c r="AB307" s="11"/>
      <c r="AC307" s="24"/>
    </row>
    <row r="308" spans="1:29" x14ac:dyDescent="0.2">
      <c r="A308" s="11">
        <f>+'SERVICIO FAENA'!A308</f>
        <v>0</v>
      </c>
      <c r="B308" s="11">
        <f>+'SERVICIO FAENA'!B308</f>
        <v>0</v>
      </c>
      <c r="C308" s="11"/>
      <c r="D308" s="11"/>
      <c r="E308" s="18">
        <f>+'SERVICIO FAENA'!E308</f>
        <v>0</v>
      </c>
      <c r="F308" s="11"/>
      <c r="G308" s="180" t="e">
        <f t="shared" si="24"/>
        <v>#DIV/0!</v>
      </c>
      <c r="H308" s="11"/>
      <c r="I308" s="11"/>
      <c r="J308" s="180" t="e">
        <f t="shared" si="25"/>
        <v>#DIV/0!</v>
      </c>
      <c r="K308" s="100"/>
      <c r="L308" s="100"/>
      <c r="M308" s="100"/>
      <c r="N308" s="100">
        <f t="shared" si="26"/>
        <v>0</v>
      </c>
      <c r="O308" s="100"/>
      <c r="P308" s="41">
        <v>880</v>
      </c>
      <c r="Q308" s="11"/>
      <c r="R308" s="41">
        <v>260</v>
      </c>
      <c r="S308" s="185"/>
      <c r="T308" s="185"/>
      <c r="U308" s="185"/>
      <c r="V308" s="185"/>
      <c r="W308" s="41">
        <f t="shared" si="27"/>
        <v>0</v>
      </c>
      <c r="X308" s="41">
        <f t="shared" si="23"/>
        <v>0</v>
      </c>
      <c r="Y308" s="11"/>
      <c r="Z308" s="11"/>
      <c r="AA308" s="11"/>
      <c r="AB308" s="11"/>
      <c r="AC308" s="24"/>
    </row>
    <row r="309" spans="1:29" x14ac:dyDescent="0.2">
      <c r="A309" s="11">
        <f>+'SERVICIO FAENA'!A309</f>
        <v>0</v>
      </c>
      <c r="B309" s="11">
        <f>+'SERVICIO FAENA'!B309</f>
        <v>0</v>
      </c>
      <c r="C309" s="11"/>
      <c r="D309" s="11"/>
      <c r="E309" s="18">
        <f>+'SERVICIO FAENA'!E309</f>
        <v>0</v>
      </c>
      <c r="F309" s="11"/>
      <c r="G309" s="180" t="e">
        <f t="shared" si="24"/>
        <v>#DIV/0!</v>
      </c>
      <c r="H309" s="11"/>
      <c r="I309" s="11"/>
      <c r="J309" s="180" t="e">
        <f t="shared" si="25"/>
        <v>#DIV/0!</v>
      </c>
      <c r="K309" s="100"/>
      <c r="L309" s="100"/>
      <c r="M309" s="100"/>
      <c r="N309" s="100">
        <f t="shared" si="26"/>
        <v>0</v>
      </c>
      <c r="O309" s="100"/>
      <c r="P309" s="41">
        <v>880</v>
      </c>
      <c r="Q309" s="11"/>
      <c r="R309" s="41">
        <v>260</v>
      </c>
      <c r="S309" s="185"/>
      <c r="T309" s="185"/>
      <c r="U309" s="185"/>
      <c r="V309" s="185"/>
      <c r="W309" s="41">
        <f t="shared" si="27"/>
        <v>0</v>
      </c>
      <c r="X309" s="41">
        <f t="shared" si="23"/>
        <v>0</v>
      </c>
      <c r="Y309" s="11"/>
      <c r="Z309" s="11"/>
      <c r="AA309" s="11"/>
      <c r="AB309" s="11"/>
      <c r="AC309" s="24"/>
    </row>
    <row r="310" spans="1:29" x14ac:dyDescent="0.2">
      <c r="A310" s="11">
        <f>+'SERVICIO FAENA'!A310</f>
        <v>0</v>
      </c>
      <c r="B310" s="11">
        <f>+'SERVICIO FAENA'!B310</f>
        <v>0</v>
      </c>
      <c r="C310" s="11"/>
      <c r="D310" s="11"/>
      <c r="E310" s="18">
        <f>+'SERVICIO FAENA'!E310</f>
        <v>0</v>
      </c>
      <c r="F310" s="11"/>
      <c r="G310" s="180" t="e">
        <f t="shared" si="24"/>
        <v>#DIV/0!</v>
      </c>
      <c r="H310" s="11"/>
      <c r="I310" s="11"/>
      <c r="J310" s="180" t="e">
        <f t="shared" si="25"/>
        <v>#DIV/0!</v>
      </c>
      <c r="K310" s="100"/>
      <c r="L310" s="100"/>
      <c r="M310" s="100"/>
      <c r="N310" s="100">
        <f t="shared" si="26"/>
        <v>0</v>
      </c>
      <c r="O310" s="100"/>
      <c r="P310" s="41">
        <v>880</v>
      </c>
      <c r="Q310" s="11"/>
      <c r="R310" s="41">
        <v>260</v>
      </c>
      <c r="S310" s="185"/>
      <c r="T310" s="185"/>
      <c r="U310" s="185"/>
      <c r="V310" s="185"/>
      <c r="W310" s="41">
        <f t="shared" si="27"/>
        <v>0</v>
      </c>
      <c r="X310" s="41">
        <f t="shared" si="23"/>
        <v>0</v>
      </c>
      <c r="Y310" s="11"/>
      <c r="Z310" s="11"/>
      <c r="AA310" s="11"/>
      <c r="AB310" s="11"/>
      <c r="AC310" s="24"/>
    </row>
    <row r="311" spans="1:29" x14ac:dyDescent="0.2">
      <c r="A311" s="11">
        <f>+'SERVICIO FAENA'!A311</f>
        <v>0</v>
      </c>
      <c r="B311" s="11">
        <f>+'SERVICIO FAENA'!B311</f>
        <v>0</v>
      </c>
      <c r="C311" s="11"/>
      <c r="D311" s="11"/>
      <c r="E311" s="18">
        <f>+'SERVICIO FAENA'!E311</f>
        <v>0</v>
      </c>
      <c r="F311" s="11"/>
      <c r="G311" s="180" t="e">
        <f t="shared" si="24"/>
        <v>#DIV/0!</v>
      </c>
      <c r="H311" s="11"/>
      <c r="I311" s="11"/>
      <c r="J311" s="180" t="e">
        <f t="shared" si="25"/>
        <v>#DIV/0!</v>
      </c>
      <c r="K311" s="100"/>
      <c r="L311" s="100"/>
      <c r="M311" s="100"/>
      <c r="N311" s="100">
        <f t="shared" si="26"/>
        <v>0</v>
      </c>
      <c r="O311" s="100"/>
      <c r="P311" s="41">
        <v>880</v>
      </c>
      <c r="Q311" s="11"/>
      <c r="R311" s="41">
        <v>260</v>
      </c>
      <c r="S311" s="185"/>
      <c r="T311" s="185"/>
      <c r="U311" s="185"/>
      <c r="V311" s="185"/>
      <c r="W311" s="41">
        <f t="shared" si="27"/>
        <v>0</v>
      </c>
      <c r="X311" s="41">
        <f t="shared" si="23"/>
        <v>0</v>
      </c>
      <c r="Y311" s="11"/>
      <c r="Z311" s="11"/>
      <c r="AA311" s="11"/>
      <c r="AB311" s="11"/>
      <c r="AC311" s="24"/>
    </row>
    <row r="312" spans="1:29" x14ac:dyDescent="0.2">
      <c r="A312" s="11">
        <f>+'SERVICIO FAENA'!A312</f>
        <v>0</v>
      </c>
      <c r="B312" s="11">
        <f>+'SERVICIO FAENA'!B312</f>
        <v>0</v>
      </c>
      <c r="C312" s="11"/>
      <c r="D312" s="11"/>
      <c r="E312" s="18">
        <f>+'SERVICIO FAENA'!E312</f>
        <v>0</v>
      </c>
      <c r="F312" s="11"/>
      <c r="G312" s="180" t="e">
        <f t="shared" si="24"/>
        <v>#DIV/0!</v>
      </c>
      <c r="H312" s="11"/>
      <c r="I312" s="11"/>
      <c r="J312" s="180" t="e">
        <f t="shared" si="25"/>
        <v>#DIV/0!</v>
      </c>
      <c r="K312" s="100"/>
      <c r="L312" s="100"/>
      <c r="M312" s="100"/>
      <c r="N312" s="100">
        <f t="shared" si="26"/>
        <v>0</v>
      </c>
      <c r="O312" s="100"/>
      <c r="P312" s="41">
        <v>880</v>
      </c>
      <c r="Q312" s="11"/>
      <c r="R312" s="41">
        <v>260</v>
      </c>
      <c r="S312" s="185"/>
      <c r="T312" s="185"/>
      <c r="U312" s="185"/>
      <c r="V312" s="185"/>
      <c r="W312" s="41">
        <f t="shared" si="27"/>
        <v>0</v>
      </c>
      <c r="X312" s="41">
        <f t="shared" si="23"/>
        <v>0</v>
      </c>
      <c r="Y312" s="11"/>
      <c r="Z312" s="11"/>
      <c r="AA312" s="11"/>
      <c r="AB312" s="11"/>
      <c r="AC312" s="24"/>
    </row>
    <row r="313" spans="1:29" x14ac:dyDescent="0.2">
      <c r="A313" s="11">
        <f>+'SERVICIO FAENA'!A313</f>
        <v>0</v>
      </c>
      <c r="B313" s="11">
        <f>+'SERVICIO FAENA'!B313</f>
        <v>0</v>
      </c>
      <c r="C313" s="11"/>
      <c r="D313" s="11"/>
      <c r="E313" s="18">
        <f>+'SERVICIO FAENA'!E313</f>
        <v>0</v>
      </c>
      <c r="F313" s="11"/>
      <c r="G313" s="180" t="e">
        <f t="shared" si="24"/>
        <v>#DIV/0!</v>
      </c>
      <c r="H313" s="11"/>
      <c r="I313" s="11"/>
      <c r="J313" s="180" t="e">
        <f t="shared" si="25"/>
        <v>#DIV/0!</v>
      </c>
      <c r="K313" s="100"/>
      <c r="L313" s="100"/>
      <c r="M313" s="100"/>
      <c r="N313" s="100">
        <f t="shared" si="26"/>
        <v>0</v>
      </c>
      <c r="O313" s="100"/>
      <c r="P313" s="41">
        <v>880</v>
      </c>
      <c r="Q313" s="11"/>
      <c r="R313" s="41">
        <v>260</v>
      </c>
      <c r="S313" s="185"/>
      <c r="T313" s="185"/>
      <c r="U313" s="185"/>
      <c r="V313" s="185"/>
      <c r="W313" s="41">
        <f t="shared" si="27"/>
        <v>0</v>
      </c>
      <c r="X313" s="41">
        <f t="shared" si="23"/>
        <v>0</v>
      </c>
      <c r="Y313" s="11"/>
      <c r="Z313" s="11"/>
      <c r="AA313" s="11"/>
      <c r="AB313" s="11"/>
      <c r="AC313" s="24"/>
    </row>
    <row r="314" spans="1:29" x14ac:dyDescent="0.2">
      <c r="A314" s="11">
        <f>+'SERVICIO FAENA'!A314</f>
        <v>0</v>
      </c>
      <c r="B314" s="11">
        <f>+'SERVICIO FAENA'!B314</f>
        <v>0</v>
      </c>
      <c r="C314" s="11"/>
      <c r="D314" s="11"/>
      <c r="E314" s="18">
        <f>+'SERVICIO FAENA'!E314</f>
        <v>0</v>
      </c>
      <c r="F314" s="11"/>
      <c r="G314" s="180" t="e">
        <f t="shared" si="24"/>
        <v>#DIV/0!</v>
      </c>
      <c r="H314" s="11"/>
      <c r="I314" s="11"/>
      <c r="J314" s="180" t="e">
        <f t="shared" si="25"/>
        <v>#DIV/0!</v>
      </c>
      <c r="K314" s="100"/>
      <c r="L314" s="100"/>
      <c r="M314" s="100"/>
      <c r="N314" s="100">
        <f t="shared" si="26"/>
        <v>0</v>
      </c>
      <c r="O314" s="100"/>
      <c r="P314" s="41">
        <v>880</v>
      </c>
      <c r="Q314" s="11"/>
      <c r="R314" s="41">
        <v>260</v>
      </c>
      <c r="S314" s="185"/>
      <c r="T314" s="185"/>
      <c r="U314" s="185"/>
      <c r="V314" s="185"/>
      <c r="W314" s="41">
        <f t="shared" si="27"/>
        <v>0</v>
      </c>
      <c r="X314" s="41">
        <f t="shared" si="23"/>
        <v>0</v>
      </c>
      <c r="Y314" s="11"/>
      <c r="Z314" s="11"/>
      <c r="AA314" s="11"/>
      <c r="AB314" s="11"/>
      <c r="AC314" s="24"/>
    </row>
    <row r="315" spans="1:29" x14ac:dyDescent="0.2">
      <c r="A315" s="11">
        <f>+'SERVICIO FAENA'!A315</f>
        <v>0</v>
      </c>
      <c r="B315" s="11">
        <f>+'SERVICIO FAENA'!B315</f>
        <v>0</v>
      </c>
      <c r="C315" s="11"/>
      <c r="D315" s="11"/>
      <c r="E315" s="18">
        <f>+'SERVICIO FAENA'!E315</f>
        <v>0</v>
      </c>
      <c r="F315" s="11"/>
      <c r="G315" s="180" t="e">
        <f t="shared" si="24"/>
        <v>#DIV/0!</v>
      </c>
      <c r="H315" s="11"/>
      <c r="I315" s="11"/>
      <c r="J315" s="180" t="e">
        <f t="shared" si="25"/>
        <v>#DIV/0!</v>
      </c>
      <c r="K315" s="100"/>
      <c r="L315" s="100"/>
      <c r="M315" s="100"/>
      <c r="N315" s="100">
        <f t="shared" si="26"/>
        <v>0</v>
      </c>
      <c r="O315" s="100"/>
      <c r="P315" s="41">
        <v>880</v>
      </c>
      <c r="Q315" s="11"/>
      <c r="R315" s="41">
        <v>260</v>
      </c>
      <c r="S315" s="185"/>
      <c r="T315" s="185"/>
      <c r="U315" s="185"/>
      <c r="V315" s="185"/>
      <c r="W315" s="41">
        <f t="shared" si="27"/>
        <v>0</v>
      </c>
      <c r="X315" s="41">
        <f t="shared" si="23"/>
        <v>0</v>
      </c>
      <c r="Y315" s="11"/>
      <c r="Z315" s="11"/>
      <c r="AA315" s="11"/>
      <c r="AB315" s="11"/>
      <c r="AC315" s="24"/>
    </row>
    <row r="316" spans="1:29" x14ac:dyDescent="0.2">
      <c r="A316" s="11">
        <f>+'SERVICIO FAENA'!A316</f>
        <v>0</v>
      </c>
      <c r="B316" s="11">
        <f>+'SERVICIO FAENA'!B316</f>
        <v>0</v>
      </c>
      <c r="C316" s="11"/>
      <c r="D316" s="11"/>
      <c r="E316" s="18">
        <f>+'SERVICIO FAENA'!E316</f>
        <v>0</v>
      </c>
      <c r="F316" s="11"/>
      <c r="G316" s="180" t="e">
        <f t="shared" si="24"/>
        <v>#DIV/0!</v>
      </c>
      <c r="H316" s="11"/>
      <c r="I316" s="11"/>
      <c r="J316" s="180" t="e">
        <f t="shared" si="25"/>
        <v>#DIV/0!</v>
      </c>
      <c r="K316" s="100"/>
      <c r="L316" s="100"/>
      <c r="M316" s="100"/>
      <c r="N316" s="100">
        <f t="shared" si="26"/>
        <v>0</v>
      </c>
      <c r="O316" s="100"/>
      <c r="P316" s="41">
        <v>880</v>
      </c>
      <c r="Q316" s="11"/>
      <c r="R316" s="41">
        <v>260</v>
      </c>
      <c r="S316" s="185"/>
      <c r="T316" s="185"/>
      <c r="U316" s="185"/>
      <c r="V316" s="185"/>
      <c r="W316" s="41">
        <f t="shared" si="27"/>
        <v>0</v>
      </c>
      <c r="X316" s="41">
        <f t="shared" si="23"/>
        <v>0</v>
      </c>
      <c r="Y316" s="11"/>
      <c r="Z316" s="11"/>
      <c r="AA316" s="11"/>
      <c r="AB316" s="11"/>
      <c r="AC316" s="24"/>
    </row>
    <row r="317" spans="1:29" x14ac:dyDescent="0.2">
      <c r="A317" s="11">
        <f>+'SERVICIO FAENA'!A317</f>
        <v>0</v>
      </c>
      <c r="B317" s="11">
        <f>+'SERVICIO FAENA'!B317</f>
        <v>0</v>
      </c>
      <c r="C317" s="11"/>
      <c r="D317" s="11"/>
      <c r="E317" s="18">
        <f>+'SERVICIO FAENA'!E317</f>
        <v>0</v>
      </c>
      <c r="F317" s="11"/>
      <c r="G317" s="180" t="e">
        <f t="shared" si="24"/>
        <v>#DIV/0!</v>
      </c>
      <c r="H317" s="11"/>
      <c r="I317" s="11"/>
      <c r="J317" s="180" t="e">
        <f t="shared" si="25"/>
        <v>#DIV/0!</v>
      </c>
      <c r="K317" s="100"/>
      <c r="L317" s="100"/>
      <c r="M317" s="100"/>
      <c r="N317" s="100">
        <f t="shared" si="26"/>
        <v>0</v>
      </c>
      <c r="O317" s="100"/>
      <c r="P317" s="41">
        <v>880</v>
      </c>
      <c r="Q317" s="11"/>
      <c r="R317" s="41">
        <v>260</v>
      </c>
      <c r="S317" s="185"/>
      <c r="T317" s="185"/>
      <c r="U317" s="185"/>
      <c r="V317" s="185"/>
      <c r="W317" s="41">
        <f t="shared" si="27"/>
        <v>0</v>
      </c>
      <c r="X317" s="41">
        <f t="shared" si="23"/>
        <v>0</v>
      </c>
      <c r="Y317" s="11"/>
      <c r="Z317" s="11"/>
      <c r="AA317" s="11"/>
      <c r="AB317" s="11"/>
      <c r="AC317" s="24"/>
    </row>
    <row r="318" spans="1:29" x14ac:dyDescent="0.2">
      <c r="A318" s="11">
        <f>+'SERVICIO FAENA'!A318</f>
        <v>0</v>
      </c>
      <c r="B318" s="11">
        <f>+'SERVICIO FAENA'!B318</f>
        <v>0</v>
      </c>
      <c r="C318" s="11"/>
      <c r="D318" s="11"/>
      <c r="E318" s="18">
        <f>+'SERVICIO FAENA'!E318</f>
        <v>0</v>
      </c>
      <c r="F318" s="11"/>
      <c r="G318" s="180" t="e">
        <f t="shared" si="24"/>
        <v>#DIV/0!</v>
      </c>
      <c r="H318" s="11"/>
      <c r="I318" s="11"/>
      <c r="J318" s="180" t="e">
        <f t="shared" si="25"/>
        <v>#DIV/0!</v>
      </c>
      <c r="K318" s="100"/>
      <c r="L318" s="100"/>
      <c r="M318" s="100"/>
      <c r="N318" s="100">
        <f t="shared" si="26"/>
        <v>0</v>
      </c>
      <c r="O318" s="100"/>
      <c r="P318" s="41">
        <v>880</v>
      </c>
      <c r="Q318" s="11"/>
      <c r="R318" s="41">
        <v>260</v>
      </c>
      <c r="S318" s="185"/>
      <c r="T318" s="185"/>
      <c r="U318" s="185"/>
      <c r="V318" s="185"/>
      <c r="W318" s="41">
        <f t="shared" si="27"/>
        <v>0</v>
      </c>
      <c r="X318" s="41">
        <f t="shared" si="23"/>
        <v>0</v>
      </c>
      <c r="Y318" s="11"/>
      <c r="Z318" s="11"/>
      <c r="AA318" s="11"/>
      <c r="AB318" s="11"/>
      <c r="AC318" s="24"/>
    </row>
    <row r="319" spans="1:29" x14ac:dyDescent="0.2">
      <c r="A319" s="11">
        <f>+'SERVICIO FAENA'!A319</f>
        <v>0</v>
      </c>
      <c r="B319" s="11">
        <f>+'SERVICIO FAENA'!B319</f>
        <v>0</v>
      </c>
      <c r="C319" s="11"/>
      <c r="D319" s="11"/>
      <c r="E319" s="18">
        <f>+'SERVICIO FAENA'!E319</f>
        <v>0</v>
      </c>
      <c r="F319" s="11"/>
      <c r="G319" s="180" t="e">
        <f t="shared" si="24"/>
        <v>#DIV/0!</v>
      </c>
      <c r="H319" s="11"/>
      <c r="I319" s="11"/>
      <c r="J319" s="180" t="e">
        <f t="shared" si="25"/>
        <v>#DIV/0!</v>
      </c>
      <c r="K319" s="100"/>
      <c r="L319" s="100"/>
      <c r="M319" s="100"/>
      <c r="N319" s="100">
        <f t="shared" si="26"/>
        <v>0</v>
      </c>
      <c r="O319" s="100"/>
      <c r="P319" s="41">
        <v>880</v>
      </c>
      <c r="Q319" s="11"/>
      <c r="R319" s="41">
        <v>260</v>
      </c>
      <c r="S319" s="185"/>
      <c r="T319" s="185"/>
      <c r="U319" s="185"/>
      <c r="V319" s="185"/>
      <c r="W319" s="41">
        <f t="shared" si="27"/>
        <v>0</v>
      </c>
      <c r="X319" s="41">
        <f t="shared" si="23"/>
        <v>0</v>
      </c>
      <c r="Y319" s="11"/>
      <c r="Z319" s="11"/>
      <c r="AA319" s="11"/>
      <c r="AB319" s="11"/>
      <c r="AC319" s="24"/>
    </row>
    <row r="320" spans="1:29" x14ac:dyDescent="0.2">
      <c r="A320" s="11">
        <f>+'SERVICIO FAENA'!A320</f>
        <v>0</v>
      </c>
      <c r="B320" s="11">
        <f>+'SERVICIO FAENA'!B320</f>
        <v>0</v>
      </c>
      <c r="C320" s="11"/>
      <c r="D320" s="11"/>
      <c r="E320" s="18">
        <f>+'SERVICIO FAENA'!E320</f>
        <v>0</v>
      </c>
      <c r="F320" s="11"/>
      <c r="G320" s="180" t="e">
        <f t="shared" si="24"/>
        <v>#DIV/0!</v>
      </c>
      <c r="H320" s="11"/>
      <c r="I320" s="11"/>
      <c r="J320" s="180" t="e">
        <f t="shared" si="25"/>
        <v>#DIV/0!</v>
      </c>
      <c r="K320" s="100"/>
      <c r="L320" s="100"/>
      <c r="M320" s="100"/>
      <c r="N320" s="100">
        <f t="shared" si="26"/>
        <v>0</v>
      </c>
      <c r="O320" s="100"/>
      <c r="P320" s="41">
        <v>880</v>
      </c>
      <c r="Q320" s="11"/>
      <c r="R320" s="41">
        <v>260</v>
      </c>
      <c r="S320" s="185"/>
      <c r="T320" s="185"/>
      <c r="U320" s="185"/>
      <c r="V320" s="185"/>
      <c r="W320" s="41">
        <f t="shared" si="27"/>
        <v>0</v>
      </c>
      <c r="X320" s="41">
        <f t="shared" si="23"/>
        <v>0</v>
      </c>
      <c r="Y320" s="11"/>
      <c r="Z320" s="11"/>
      <c r="AA320" s="11"/>
      <c r="AB320" s="11"/>
      <c r="AC320" s="24"/>
    </row>
    <row r="321" spans="1:29" x14ac:dyDescent="0.2">
      <c r="A321" s="11">
        <f>+'SERVICIO FAENA'!A321</f>
        <v>0</v>
      </c>
      <c r="B321" s="11">
        <f>+'SERVICIO FAENA'!B321</f>
        <v>0</v>
      </c>
      <c r="C321" s="11"/>
      <c r="D321" s="11"/>
      <c r="E321" s="18">
        <f>+'SERVICIO FAENA'!E321</f>
        <v>0</v>
      </c>
      <c r="F321" s="11"/>
      <c r="G321" s="180" t="e">
        <f t="shared" si="24"/>
        <v>#DIV/0!</v>
      </c>
      <c r="H321" s="11"/>
      <c r="I321" s="11"/>
      <c r="J321" s="180" t="e">
        <f t="shared" si="25"/>
        <v>#DIV/0!</v>
      </c>
      <c r="K321" s="100"/>
      <c r="L321" s="100"/>
      <c r="M321" s="100"/>
      <c r="N321" s="100">
        <f t="shared" si="26"/>
        <v>0</v>
      </c>
      <c r="O321" s="100"/>
      <c r="P321" s="41">
        <v>880</v>
      </c>
      <c r="Q321" s="11"/>
      <c r="R321" s="41">
        <v>260</v>
      </c>
      <c r="S321" s="185"/>
      <c r="T321" s="185"/>
      <c r="U321" s="185"/>
      <c r="V321" s="185"/>
      <c r="W321" s="41">
        <f t="shared" si="27"/>
        <v>0</v>
      </c>
      <c r="X321" s="41">
        <f t="shared" si="23"/>
        <v>0</v>
      </c>
      <c r="Y321" s="11"/>
      <c r="Z321" s="11"/>
      <c r="AA321" s="11"/>
      <c r="AB321" s="11"/>
      <c r="AC321" s="24"/>
    </row>
    <row r="322" spans="1:29" x14ac:dyDescent="0.2">
      <c r="A322" s="11">
        <f>+'SERVICIO FAENA'!A322</f>
        <v>0</v>
      </c>
      <c r="B322" s="11">
        <f>+'SERVICIO FAENA'!B322</f>
        <v>0</v>
      </c>
      <c r="C322" s="11"/>
      <c r="D322" s="11"/>
      <c r="E322" s="18">
        <f>+'SERVICIO FAENA'!E322</f>
        <v>0</v>
      </c>
      <c r="F322" s="11"/>
      <c r="G322" s="180" t="e">
        <f t="shared" si="24"/>
        <v>#DIV/0!</v>
      </c>
      <c r="H322" s="11"/>
      <c r="I322" s="11"/>
      <c r="J322" s="180" t="e">
        <f t="shared" si="25"/>
        <v>#DIV/0!</v>
      </c>
      <c r="K322" s="100"/>
      <c r="L322" s="100"/>
      <c r="M322" s="100"/>
      <c r="N322" s="100">
        <f t="shared" si="26"/>
        <v>0</v>
      </c>
      <c r="O322" s="100"/>
      <c r="P322" s="41">
        <v>880</v>
      </c>
      <c r="Q322" s="11"/>
      <c r="R322" s="41">
        <v>260</v>
      </c>
      <c r="S322" s="185"/>
      <c r="T322" s="185"/>
      <c r="U322" s="185"/>
      <c r="V322" s="185"/>
      <c r="W322" s="41">
        <f t="shared" si="27"/>
        <v>0</v>
      </c>
      <c r="X322" s="41">
        <f t="shared" si="23"/>
        <v>0</v>
      </c>
      <c r="Y322" s="11"/>
      <c r="Z322" s="11"/>
      <c r="AA322" s="11"/>
      <c r="AB322" s="11"/>
      <c r="AC322" s="24"/>
    </row>
    <row r="323" spans="1:29" x14ac:dyDescent="0.2">
      <c r="A323" s="11">
        <f>+'SERVICIO FAENA'!A323</f>
        <v>0</v>
      </c>
      <c r="B323" s="11">
        <f>+'SERVICIO FAENA'!B323</f>
        <v>0</v>
      </c>
      <c r="C323" s="11"/>
      <c r="D323" s="11"/>
      <c r="E323" s="18">
        <f>+'SERVICIO FAENA'!E323</f>
        <v>0</v>
      </c>
      <c r="F323" s="11"/>
      <c r="G323" s="180" t="e">
        <f t="shared" si="24"/>
        <v>#DIV/0!</v>
      </c>
      <c r="H323" s="11"/>
      <c r="I323" s="11"/>
      <c r="J323" s="180" t="e">
        <f t="shared" si="25"/>
        <v>#DIV/0!</v>
      </c>
      <c r="K323" s="100"/>
      <c r="L323" s="100"/>
      <c r="M323" s="100"/>
      <c r="N323" s="100">
        <f t="shared" si="26"/>
        <v>0</v>
      </c>
      <c r="O323" s="100"/>
      <c r="P323" s="41">
        <v>880</v>
      </c>
      <c r="Q323" s="11"/>
      <c r="R323" s="41">
        <v>260</v>
      </c>
      <c r="S323" s="185"/>
      <c r="T323" s="185"/>
      <c r="U323" s="185"/>
      <c r="V323" s="185"/>
      <c r="W323" s="41">
        <f t="shared" si="27"/>
        <v>0</v>
      </c>
      <c r="X323" s="41">
        <f t="shared" ref="X323:X386" si="28">+((O323*P323)+(Q323*R323))*1.21</f>
        <v>0</v>
      </c>
      <c r="Y323" s="11"/>
      <c r="Z323" s="11"/>
      <c r="AA323" s="11"/>
      <c r="AB323" s="11"/>
      <c r="AC323" s="24"/>
    </row>
    <row r="324" spans="1:29" x14ac:dyDescent="0.2">
      <c r="A324" s="11">
        <f>+'SERVICIO FAENA'!A324</f>
        <v>0</v>
      </c>
      <c r="B324" s="11">
        <f>+'SERVICIO FAENA'!B324</f>
        <v>0</v>
      </c>
      <c r="C324" s="11"/>
      <c r="D324" s="11"/>
      <c r="E324" s="18">
        <f>+'SERVICIO FAENA'!E324</f>
        <v>0</v>
      </c>
      <c r="F324" s="11"/>
      <c r="G324" s="180" t="e">
        <f t="shared" ref="G324:G387" si="29">+F324/D324</f>
        <v>#DIV/0!</v>
      </c>
      <c r="H324" s="11"/>
      <c r="I324" s="11"/>
      <c r="J324" s="180" t="e">
        <f t="shared" si="25"/>
        <v>#DIV/0!</v>
      </c>
      <c r="K324" s="100"/>
      <c r="L324" s="100"/>
      <c r="M324" s="100"/>
      <c r="N324" s="100">
        <f t="shared" si="26"/>
        <v>0</v>
      </c>
      <c r="O324" s="100"/>
      <c r="P324" s="41">
        <v>880</v>
      </c>
      <c r="Q324" s="11"/>
      <c r="R324" s="41">
        <v>260</v>
      </c>
      <c r="S324" s="185"/>
      <c r="T324" s="185"/>
      <c r="U324" s="185"/>
      <c r="V324" s="185"/>
      <c r="W324" s="41">
        <f t="shared" si="27"/>
        <v>0</v>
      </c>
      <c r="X324" s="41">
        <f t="shared" si="28"/>
        <v>0</v>
      </c>
      <c r="Y324" s="11"/>
      <c r="Z324" s="11"/>
      <c r="AA324" s="11"/>
      <c r="AB324" s="11"/>
      <c r="AC324" s="24"/>
    </row>
    <row r="325" spans="1:29" x14ac:dyDescent="0.2">
      <c r="A325" s="11">
        <f>+'SERVICIO FAENA'!A325</f>
        <v>0</v>
      </c>
      <c r="B325" s="11">
        <f>+'SERVICIO FAENA'!B325</f>
        <v>0</v>
      </c>
      <c r="C325" s="11"/>
      <c r="D325" s="11"/>
      <c r="E325" s="18">
        <f>+'SERVICIO FAENA'!E325</f>
        <v>0</v>
      </c>
      <c r="F325" s="11"/>
      <c r="G325" s="180" t="e">
        <f t="shared" si="29"/>
        <v>#DIV/0!</v>
      </c>
      <c r="H325" s="11"/>
      <c r="I325" s="11"/>
      <c r="J325" s="180" t="e">
        <f t="shared" si="25"/>
        <v>#DIV/0!</v>
      </c>
      <c r="K325" s="100"/>
      <c r="L325" s="100"/>
      <c r="M325" s="100"/>
      <c r="N325" s="100">
        <f t="shared" si="26"/>
        <v>0</v>
      </c>
      <c r="O325" s="100"/>
      <c r="P325" s="41">
        <v>880</v>
      </c>
      <c r="Q325" s="11"/>
      <c r="R325" s="41">
        <v>260</v>
      </c>
      <c r="S325" s="185"/>
      <c r="T325" s="185"/>
      <c r="U325" s="185"/>
      <c r="V325" s="185"/>
      <c r="W325" s="41">
        <f t="shared" si="27"/>
        <v>0</v>
      </c>
      <c r="X325" s="41">
        <f t="shared" si="28"/>
        <v>0</v>
      </c>
      <c r="Y325" s="11"/>
      <c r="Z325" s="11"/>
      <c r="AA325" s="11"/>
      <c r="AB325" s="11"/>
      <c r="AC325" s="24"/>
    </row>
    <row r="326" spans="1:29" x14ac:dyDescent="0.2">
      <c r="A326" s="11">
        <f>+'SERVICIO FAENA'!A326</f>
        <v>0</v>
      </c>
      <c r="B326" s="11">
        <f>+'SERVICIO FAENA'!B326</f>
        <v>0</v>
      </c>
      <c r="C326" s="11"/>
      <c r="D326" s="11"/>
      <c r="E326" s="18">
        <f>+'SERVICIO FAENA'!E326</f>
        <v>0</v>
      </c>
      <c r="F326" s="11"/>
      <c r="G326" s="180" t="e">
        <f t="shared" si="29"/>
        <v>#DIV/0!</v>
      </c>
      <c r="H326" s="11"/>
      <c r="I326" s="11"/>
      <c r="J326" s="180" t="e">
        <f t="shared" si="25"/>
        <v>#DIV/0!</v>
      </c>
      <c r="K326" s="100"/>
      <c r="L326" s="100"/>
      <c r="M326" s="100"/>
      <c r="N326" s="100">
        <f t="shared" si="26"/>
        <v>0</v>
      </c>
      <c r="O326" s="100"/>
      <c r="P326" s="41">
        <v>880</v>
      </c>
      <c r="Q326" s="11"/>
      <c r="R326" s="41">
        <v>260</v>
      </c>
      <c r="S326" s="185"/>
      <c r="T326" s="185"/>
      <c r="U326" s="185"/>
      <c r="V326" s="185"/>
      <c r="W326" s="41">
        <f t="shared" si="27"/>
        <v>0</v>
      </c>
      <c r="X326" s="41">
        <f t="shared" si="28"/>
        <v>0</v>
      </c>
      <c r="Y326" s="11"/>
      <c r="Z326" s="11"/>
      <c r="AA326" s="11"/>
      <c r="AB326" s="11"/>
      <c r="AC326" s="24"/>
    </row>
    <row r="327" spans="1:29" x14ac:dyDescent="0.2">
      <c r="A327" s="11">
        <f>+'SERVICIO FAENA'!A327</f>
        <v>0</v>
      </c>
      <c r="B327" s="11">
        <f>+'SERVICIO FAENA'!B327</f>
        <v>0</v>
      </c>
      <c r="C327" s="11"/>
      <c r="D327" s="11"/>
      <c r="E327" s="18">
        <f>+'SERVICIO FAENA'!E327</f>
        <v>0</v>
      </c>
      <c r="F327" s="11"/>
      <c r="G327" s="180" t="e">
        <f t="shared" si="29"/>
        <v>#DIV/0!</v>
      </c>
      <c r="H327" s="11"/>
      <c r="I327" s="11"/>
      <c r="J327" s="180" t="e">
        <f t="shared" si="25"/>
        <v>#DIV/0!</v>
      </c>
      <c r="K327" s="100"/>
      <c r="L327" s="100"/>
      <c r="M327" s="100"/>
      <c r="N327" s="100">
        <f t="shared" si="26"/>
        <v>0</v>
      </c>
      <c r="O327" s="100"/>
      <c r="P327" s="41">
        <v>880</v>
      </c>
      <c r="Q327" s="11"/>
      <c r="R327" s="41">
        <v>260</v>
      </c>
      <c r="S327" s="185"/>
      <c r="T327" s="185"/>
      <c r="U327" s="185"/>
      <c r="V327" s="185"/>
      <c r="W327" s="41">
        <f t="shared" si="27"/>
        <v>0</v>
      </c>
      <c r="X327" s="41">
        <f t="shared" si="28"/>
        <v>0</v>
      </c>
      <c r="Y327" s="11"/>
      <c r="Z327" s="11"/>
      <c r="AA327" s="11"/>
      <c r="AB327" s="11"/>
      <c r="AC327" s="24"/>
    </row>
    <row r="328" spans="1:29" x14ac:dyDescent="0.2">
      <c r="A328" s="11">
        <f>+'SERVICIO FAENA'!A328</f>
        <v>0</v>
      </c>
      <c r="B328" s="11">
        <f>+'SERVICIO FAENA'!B328</f>
        <v>0</v>
      </c>
      <c r="C328" s="11"/>
      <c r="D328" s="11"/>
      <c r="E328" s="18">
        <f>+'SERVICIO FAENA'!E328</f>
        <v>0</v>
      </c>
      <c r="F328" s="11"/>
      <c r="G328" s="180" t="e">
        <f t="shared" si="29"/>
        <v>#DIV/0!</v>
      </c>
      <c r="H328" s="11"/>
      <c r="I328" s="11"/>
      <c r="J328" s="180" t="e">
        <f t="shared" si="25"/>
        <v>#DIV/0!</v>
      </c>
      <c r="K328" s="100"/>
      <c r="L328" s="100"/>
      <c r="M328" s="100"/>
      <c r="N328" s="100">
        <f t="shared" si="26"/>
        <v>0</v>
      </c>
      <c r="O328" s="100"/>
      <c r="P328" s="41">
        <v>880</v>
      </c>
      <c r="Q328" s="11"/>
      <c r="R328" s="41">
        <v>260</v>
      </c>
      <c r="S328" s="185"/>
      <c r="T328" s="185"/>
      <c r="U328" s="185"/>
      <c r="V328" s="185"/>
      <c r="W328" s="41">
        <f t="shared" si="27"/>
        <v>0</v>
      </c>
      <c r="X328" s="41">
        <f t="shared" si="28"/>
        <v>0</v>
      </c>
      <c r="Y328" s="11"/>
      <c r="Z328" s="11"/>
      <c r="AA328" s="11"/>
      <c r="AB328" s="11"/>
      <c r="AC328" s="24"/>
    </row>
    <row r="329" spans="1:29" x14ac:dyDescent="0.2">
      <c r="A329" s="11">
        <f>+'SERVICIO FAENA'!A329</f>
        <v>0</v>
      </c>
      <c r="B329" s="11">
        <f>+'SERVICIO FAENA'!B329</f>
        <v>0</v>
      </c>
      <c r="C329" s="11"/>
      <c r="D329" s="11"/>
      <c r="E329" s="18">
        <f>+'SERVICIO FAENA'!E329</f>
        <v>0</v>
      </c>
      <c r="F329" s="11"/>
      <c r="G329" s="180" t="e">
        <f t="shared" si="29"/>
        <v>#DIV/0!</v>
      </c>
      <c r="H329" s="11"/>
      <c r="I329" s="11"/>
      <c r="J329" s="180" t="e">
        <f t="shared" si="25"/>
        <v>#DIV/0!</v>
      </c>
      <c r="K329" s="100"/>
      <c r="L329" s="100"/>
      <c r="M329" s="100"/>
      <c r="N329" s="100">
        <f t="shared" si="26"/>
        <v>0</v>
      </c>
      <c r="O329" s="100"/>
      <c r="P329" s="41">
        <v>880</v>
      </c>
      <c r="Q329" s="11"/>
      <c r="R329" s="41">
        <v>260</v>
      </c>
      <c r="S329" s="185"/>
      <c r="T329" s="185"/>
      <c r="U329" s="185"/>
      <c r="V329" s="185"/>
      <c r="W329" s="41">
        <f t="shared" si="27"/>
        <v>0</v>
      </c>
      <c r="X329" s="41">
        <f t="shared" si="28"/>
        <v>0</v>
      </c>
      <c r="Y329" s="11"/>
      <c r="Z329" s="11"/>
      <c r="AA329" s="11"/>
      <c r="AB329" s="11"/>
      <c r="AC329" s="24"/>
    </row>
    <row r="330" spans="1:29" x14ac:dyDescent="0.2">
      <c r="A330" s="11">
        <f>+'SERVICIO FAENA'!A330</f>
        <v>0</v>
      </c>
      <c r="B330" s="11">
        <f>+'SERVICIO FAENA'!B330</f>
        <v>0</v>
      </c>
      <c r="C330" s="11"/>
      <c r="D330" s="11"/>
      <c r="E330" s="18">
        <f>+'SERVICIO FAENA'!E330</f>
        <v>0</v>
      </c>
      <c r="F330" s="11"/>
      <c r="G330" s="180" t="e">
        <f t="shared" si="29"/>
        <v>#DIV/0!</v>
      </c>
      <c r="H330" s="11"/>
      <c r="I330" s="11"/>
      <c r="J330" s="180" t="e">
        <f t="shared" si="25"/>
        <v>#DIV/0!</v>
      </c>
      <c r="K330" s="100"/>
      <c r="L330" s="100"/>
      <c r="M330" s="100"/>
      <c r="N330" s="100">
        <f t="shared" si="26"/>
        <v>0</v>
      </c>
      <c r="O330" s="100"/>
      <c r="P330" s="41">
        <v>880</v>
      </c>
      <c r="Q330" s="11"/>
      <c r="R330" s="41">
        <v>260</v>
      </c>
      <c r="S330" s="185"/>
      <c r="T330" s="185"/>
      <c r="U330" s="185"/>
      <c r="V330" s="185"/>
      <c r="W330" s="41">
        <f t="shared" si="27"/>
        <v>0</v>
      </c>
      <c r="X330" s="41">
        <f t="shared" si="28"/>
        <v>0</v>
      </c>
      <c r="Y330" s="11"/>
      <c r="Z330" s="11"/>
      <c r="AA330" s="11"/>
      <c r="AB330" s="11"/>
      <c r="AC330" s="24"/>
    </row>
    <row r="331" spans="1:29" x14ac:dyDescent="0.2">
      <c r="A331" s="11">
        <f>+'SERVICIO FAENA'!A331</f>
        <v>0</v>
      </c>
      <c r="B331" s="11">
        <f>+'SERVICIO FAENA'!B331</f>
        <v>0</v>
      </c>
      <c r="C331" s="11"/>
      <c r="D331" s="11"/>
      <c r="E331" s="18">
        <f>+'SERVICIO FAENA'!E331</f>
        <v>0</v>
      </c>
      <c r="F331" s="11"/>
      <c r="G331" s="180" t="e">
        <f t="shared" si="29"/>
        <v>#DIV/0!</v>
      </c>
      <c r="H331" s="11"/>
      <c r="I331" s="11"/>
      <c r="J331" s="180" t="e">
        <f t="shared" si="25"/>
        <v>#DIV/0!</v>
      </c>
      <c r="K331" s="100"/>
      <c r="L331" s="100"/>
      <c r="M331" s="100"/>
      <c r="N331" s="100">
        <f t="shared" si="26"/>
        <v>0</v>
      </c>
      <c r="O331" s="100"/>
      <c r="P331" s="41">
        <v>880</v>
      </c>
      <c r="Q331" s="11"/>
      <c r="R331" s="41">
        <v>260</v>
      </c>
      <c r="S331" s="185"/>
      <c r="T331" s="185"/>
      <c r="U331" s="185"/>
      <c r="V331" s="185"/>
      <c r="W331" s="41">
        <f t="shared" si="27"/>
        <v>0</v>
      </c>
      <c r="X331" s="41">
        <f t="shared" si="28"/>
        <v>0</v>
      </c>
      <c r="Y331" s="11"/>
      <c r="Z331" s="11"/>
      <c r="AA331" s="11"/>
      <c r="AB331" s="11"/>
      <c r="AC331" s="24"/>
    </row>
    <row r="332" spans="1:29" x14ac:dyDescent="0.2">
      <c r="A332" s="11">
        <f>+'SERVICIO FAENA'!A332</f>
        <v>0</v>
      </c>
      <c r="B332" s="11">
        <f>+'SERVICIO FAENA'!B332</f>
        <v>0</v>
      </c>
      <c r="C332" s="11"/>
      <c r="D332" s="11"/>
      <c r="E332" s="18">
        <f>+'SERVICIO FAENA'!E332</f>
        <v>0</v>
      </c>
      <c r="F332" s="11"/>
      <c r="G332" s="180" t="e">
        <f t="shared" si="29"/>
        <v>#DIV/0!</v>
      </c>
      <c r="H332" s="11"/>
      <c r="I332" s="11"/>
      <c r="J332" s="180" t="e">
        <f t="shared" si="25"/>
        <v>#DIV/0!</v>
      </c>
      <c r="K332" s="100"/>
      <c r="L332" s="100"/>
      <c r="M332" s="100"/>
      <c r="N332" s="100">
        <f t="shared" si="26"/>
        <v>0</v>
      </c>
      <c r="O332" s="100"/>
      <c r="P332" s="41">
        <v>880</v>
      </c>
      <c r="Q332" s="11"/>
      <c r="R332" s="41">
        <v>260</v>
      </c>
      <c r="S332" s="185"/>
      <c r="T332" s="185"/>
      <c r="U332" s="185"/>
      <c r="V332" s="185"/>
      <c r="W332" s="41">
        <f t="shared" si="27"/>
        <v>0</v>
      </c>
      <c r="X332" s="41">
        <f t="shared" si="28"/>
        <v>0</v>
      </c>
      <c r="Y332" s="11"/>
      <c r="Z332" s="11"/>
      <c r="AA332" s="11"/>
      <c r="AB332" s="11"/>
      <c r="AC332" s="24"/>
    </row>
    <row r="333" spans="1:29" x14ac:dyDescent="0.2">
      <c r="A333" s="11">
        <f>+'SERVICIO FAENA'!A333</f>
        <v>0</v>
      </c>
      <c r="B333" s="11">
        <f>+'SERVICIO FAENA'!B333</f>
        <v>0</v>
      </c>
      <c r="C333" s="11"/>
      <c r="D333" s="11"/>
      <c r="E333" s="18">
        <f>+'SERVICIO FAENA'!E333</f>
        <v>0</v>
      </c>
      <c r="F333" s="11"/>
      <c r="G333" s="180" t="e">
        <f t="shared" si="29"/>
        <v>#DIV/0!</v>
      </c>
      <c r="H333" s="11"/>
      <c r="I333" s="11"/>
      <c r="J333" s="180" t="e">
        <f t="shared" si="25"/>
        <v>#DIV/0!</v>
      </c>
      <c r="K333" s="100"/>
      <c r="L333" s="100"/>
      <c r="M333" s="100"/>
      <c r="N333" s="100">
        <f t="shared" si="26"/>
        <v>0</v>
      </c>
      <c r="O333" s="100"/>
      <c r="P333" s="41">
        <v>880</v>
      </c>
      <c r="Q333" s="11"/>
      <c r="R333" s="41">
        <v>260</v>
      </c>
      <c r="S333" s="185"/>
      <c r="T333" s="185"/>
      <c r="U333" s="185"/>
      <c r="V333" s="185"/>
      <c r="W333" s="41">
        <f t="shared" si="27"/>
        <v>0</v>
      </c>
      <c r="X333" s="41">
        <f t="shared" si="28"/>
        <v>0</v>
      </c>
      <c r="Y333" s="11"/>
      <c r="Z333" s="11"/>
      <c r="AA333" s="11"/>
      <c r="AB333" s="11"/>
      <c r="AC333" s="24"/>
    </row>
    <row r="334" spans="1:29" x14ac:dyDescent="0.2">
      <c r="A334" s="11">
        <f>+'SERVICIO FAENA'!A334</f>
        <v>0</v>
      </c>
      <c r="B334" s="11">
        <f>+'SERVICIO FAENA'!B334</f>
        <v>0</v>
      </c>
      <c r="C334" s="11"/>
      <c r="D334" s="11"/>
      <c r="E334" s="18">
        <f>+'SERVICIO FAENA'!E334</f>
        <v>0</v>
      </c>
      <c r="F334" s="11"/>
      <c r="G334" s="180" t="e">
        <f t="shared" si="29"/>
        <v>#DIV/0!</v>
      </c>
      <c r="H334" s="11"/>
      <c r="I334" s="11"/>
      <c r="J334" s="180" t="e">
        <f t="shared" si="25"/>
        <v>#DIV/0!</v>
      </c>
      <c r="K334" s="100"/>
      <c r="L334" s="100"/>
      <c r="M334" s="100"/>
      <c r="N334" s="100">
        <f t="shared" si="26"/>
        <v>0</v>
      </c>
      <c r="O334" s="100"/>
      <c r="P334" s="41">
        <v>880</v>
      </c>
      <c r="Q334" s="11"/>
      <c r="R334" s="41">
        <v>260</v>
      </c>
      <c r="S334" s="185"/>
      <c r="T334" s="185"/>
      <c r="U334" s="185"/>
      <c r="V334" s="185"/>
      <c r="W334" s="41">
        <f t="shared" si="27"/>
        <v>0</v>
      </c>
      <c r="X334" s="41">
        <f t="shared" si="28"/>
        <v>0</v>
      </c>
      <c r="Y334" s="11"/>
      <c r="Z334" s="11"/>
      <c r="AA334" s="11"/>
      <c r="AB334" s="11"/>
      <c r="AC334" s="24"/>
    </row>
    <row r="335" spans="1:29" x14ac:dyDescent="0.2">
      <c r="A335" s="11">
        <f>+'SERVICIO FAENA'!A335</f>
        <v>0</v>
      </c>
      <c r="B335" s="11">
        <f>+'SERVICIO FAENA'!B335</f>
        <v>0</v>
      </c>
      <c r="C335" s="11"/>
      <c r="D335" s="11"/>
      <c r="E335" s="18">
        <f>+'SERVICIO FAENA'!E335</f>
        <v>0</v>
      </c>
      <c r="F335" s="11"/>
      <c r="G335" s="180" t="e">
        <f t="shared" si="29"/>
        <v>#DIV/0!</v>
      </c>
      <c r="H335" s="11"/>
      <c r="I335" s="11"/>
      <c r="J335" s="180" t="e">
        <f t="shared" si="25"/>
        <v>#DIV/0!</v>
      </c>
      <c r="K335" s="100"/>
      <c r="L335" s="100"/>
      <c r="M335" s="100"/>
      <c r="N335" s="100">
        <f t="shared" si="26"/>
        <v>0</v>
      </c>
      <c r="O335" s="100"/>
      <c r="P335" s="41">
        <v>880</v>
      </c>
      <c r="Q335" s="11"/>
      <c r="R335" s="41">
        <v>260</v>
      </c>
      <c r="S335" s="185"/>
      <c r="T335" s="185"/>
      <c r="U335" s="185"/>
      <c r="V335" s="185"/>
      <c r="W335" s="41">
        <f t="shared" si="27"/>
        <v>0</v>
      </c>
      <c r="X335" s="41">
        <f t="shared" si="28"/>
        <v>0</v>
      </c>
      <c r="Y335" s="11"/>
      <c r="Z335" s="11"/>
      <c r="AA335" s="11"/>
      <c r="AB335" s="11"/>
      <c r="AC335" s="24"/>
    </row>
    <row r="336" spans="1:29" x14ac:dyDescent="0.2">
      <c r="A336" s="11">
        <f>+'SERVICIO FAENA'!A336</f>
        <v>0</v>
      </c>
      <c r="B336" s="11">
        <f>+'SERVICIO FAENA'!B336</f>
        <v>0</v>
      </c>
      <c r="C336" s="11"/>
      <c r="D336" s="11"/>
      <c r="E336" s="18">
        <f>+'SERVICIO FAENA'!E336</f>
        <v>0</v>
      </c>
      <c r="F336" s="11"/>
      <c r="G336" s="180" t="e">
        <f t="shared" si="29"/>
        <v>#DIV/0!</v>
      </c>
      <c r="H336" s="11"/>
      <c r="I336" s="11"/>
      <c r="J336" s="180" t="e">
        <f t="shared" si="25"/>
        <v>#DIV/0!</v>
      </c>
      <c r="K336" s="100"/>
      <c r="L336" s="100"/>
      <c r="M336" s="100"/>
      <c r="N336" s="100">
        <f t="shared" si="26"/>
        <v>0</v>
      </c>
      <c r="O336" s="100"/>
      <c r="P336" s="41">
        <v>880</v>
      </c>
      <c r="Q336" s="11"/>
      <c r="R336" s="41">
        <v>260</v>
      </c>
      <c r="S336" s="185"/>
      <c r="T336" s="185"/>
      <c r="U336" s="185"/>
      <c r="V336" s="185"/>
      <c r="W336" s="41">
        <f t="shared" si="27"/>
        <v>0</v>
      </c>
      <c r="X336" s="41">
        <f t="shared" si="28"/>
        <v>0</v>
      </c>
      <c r="Y336" s="11"/>
      <c r="Z336" s="11"/>
      <c r="AA336" s="11"/>
      <c r="AB336" s="11"/>
      <c r="AC336" s="24"/>
    </row>
    <row r="337" spans="1:29" x14ac:dyDescent="0.2">
      <c r="A337" s="11">
        <f>+'SERVICIO FAENA'!A337</f>
        <v>0</v>
      </c>
      <c r="B337" s="11">
        <f>+'SERVICIO FAENA'!B337</f>
        <v>0</v>
      </c>
      <c r="C337" s="11"/>
      <c r="D337" s="11"/>
      <c r="E337" s="18">
        <f>+'SERVICIO FAENA'!E337</f>
        <v>0</v>
      </c>
      <c r="F337" s="11"/>
      <c r="G337" s="180" t="e">
        <f t="shared" si="29"/>
        <v>#DIV/0!</v>
      </c>
      <c r="H337" s="11"/>
      <c r="I337" s="11"/>
      <c r="J337" s="180" t="e">
        <f t="shared" si="25"/>
        <v>#DIV/0!</v>
      </c>
      <c r="K337" s="100"/>
      <c r="L337" s="100"/>
      <c r="M337" s="100"/>
      <c r="N337" s="100">
        <f t="shared" si="26"/>
        <v>0</v>
      </c>
      <c r="O337" s="100"/>
      <c r="P337" s="41">
        <v>880</v>
      </c>
      <c r="Q337" s="11"/>
      <c r="R337" s="41">
        <v>260</v>
      </c>
      <c r="S337" s="185"/>
      <c r="T337" s="185"/>
      <c r="U337" s="185"/>
      <c r="V337" s="185"/>
      <c r="W337" s="41">
        <f t="shared" si="27"/>
        <v>0</v>
      </c>
      <c r="X337" s="41">
        <f t="shared" si="28"/>
        <v>0</v>
      </c>
      <c r="Y337" s="11"/>
      <c r="Z337" s="11"/>
      <c r="AA337" s="11"/>
      <c r="AB337" s="11"/>
      <c r="AC337" s="24"/>
    </row>
    <row r="338" spans="1:29" x14ac:dyDescent="0.2">
      <c r="A338" s="11">
        <f>+'SERVICIO FAENA'!A338</f>
        <v>0</v>
      </c>
      <c r="B338" s="11">
        <f>+'SERVICIO FAENA'!B338</f>
        <v>0</v>
      </c>
      <c r="C338" s="11"/>
      <c r="D338" s="11"/>
      <c r="E338" s="18">
        <f>+'SERVICIO FAENA'!E338</f>
        <v>0</v>
      </c>
      <c r="F338" s="11"/>
      <c r="G338" s="180" t="e">
        <f t="shared" si="29"/>
        <v>#DIV/0!</v>
      </c>
      <c r="H338" s="11"/>
      <c r="I338" s="11"/>
      <c r="J338" s="180" t="e">
        <f t="shared" si="25"/>
        <v>#DIV/0!</v>
      </c>
      <c r="K338" s="100"/>
      <c r="L338" s="100"/>
      <c r="M338" s="100"/>
      <c r="N338" s="100">
        <f t="shared" si="26"/>
        <v>0</v>
      </c>
      <c r="O338" s="100"/>
      <c r="P338" s="41">
        <v>880</v>
      </c>
      <c r="Q338" s="11"/>
      <c r="R338" s="41">
        <v>260</v>
      </c>
      <c r="S338" s="185"/>
      <c r="T338" s="185"/>
      <c r="U338" s="185"/>
      <c r="V338" s="185"/>
      <c r="W338" s="41">
        <f t="shared" si="27"/>
        <v>0</v>
      </c>
      <c r="X338" s="41">
        <f t="shared" si="28"/>
        <v>0</v>
      </c>
      <c r="Y338" s="11"/>
      <c r="Z338" s="11"/>
      <c r="AA338" s="11"/>
      <c r="AB338" s="11"/>
      <c r="AC338" s="24"/>
    </row>
    <row r="339" spans="1:29" x14ac:dyDescent="0.2">
      <c r="A339" s="11">
        <f>+'SERVICIO FAENA'!A339</f>
        <v>0</v>
      </c>
      <c r="B339" s="11">
        <f>+'SERVICIO FAENA'!B339</f>
        <v>0</v>
      </c>
      <c r="C339" s="11"/>
      <c r="D339" s="11"/>
      <c r="E339" s="18">
        <f>+'SERVICIO FAENA'!E339</f>
        <v>0</v>
      </c>
      <c r="F339" s="11"/>
      <c r="G339" s="180" t="e">
        <f t="shared" si="29"/>
        <v>#DIV/0!</v>
      </c>
      <c r="H339" s="11"/>
      <c r="I339" s="11"/>
      <c r="J339" s="180" t="e">
        <f t="shared" si="25"/>
        <v>#DIV/0!</v>
      </c>
      <c r="K339" s="100"/>
      <c r="L339" s="100"/>
      <c r="M339" s="100"/>
      <c r="N339" s="100">
        <f t="shared" si="26"/>
        <v>0</v>
      </c>
      <c r="O339" s="100"/>
      <c r="P339" s="41">
        <v>880</v>
      </c>
      <c r="Q339" s="11"/>
      <c r="R339" s="41">
        <v>260</v>
      </c>
      <c r="S339" s="185"/>
      <c r="T339" s="185"/>
      <c r="U339" s="185"/>
      <c r="V339" s="185"/>
      <c r="W339" s="41">
        <f t="shared" si="27"/>
        <v>0</v>
      </c>
      <c r="X339" s="41">
        <f t="shared" si="28"/>
        <v>0</v>
      </c>
      <c r="Y339" s="11"/>
      <c r="Z339" s="11"/>
      <c r="AA339" s="11"/>
      <c r="AB339" s="11"/>
      <c r="AC339" s="24"/>
    </row>
    <row r="340" spans="1:29" x14ac:dyDescent="0.2">
      <c r="A340" s="11">
        <f>+'SERVICIO FAENA'!A340</f>
        <v>0</v>
      </c>
      <c r="B340" s="11">
        <f>+'SERVICIO FAENA'!B340</f>
        <v>0</v>
      </c>
      <c r="C340" s="11"/>
      <c r="D340" s="11"/>
      <c r="E340" s="18">
        <f>+'SERVICIO FAENA'!E340</f>
        <v>0</v>
      </c>
      <c r="F340" s="11"/>
      <c r="G340" s="180" t="e">
        <f t="shared" si="29"/>
        <v>#DIV/0!</v>
      </c>
      <c r="H340" s="11"/>
      <c r="I340" s="11"/>
      <c r="J340" s="180" t="e">
        <f t="shared" si="25"/>
        <v>#DIV/0!</v>
      </c>
      <c r="K340" s="100"/>
      <c r="L340" s="100"/>
      <c r="M340" s="100"/>
      <c r="N340" s="100">
        <f t="shared" si="26"/>
        <v>0</v>
      </c>
      <c r="O340" s="100"/>
      <c r="P340" s="41">
        <v>880</v>
      </c>
      <c r="Q340" s="11"/>
      <c r="R340" s="41">
        <v>260</v>
      </c>
      <c r="S340" s="185"/>
      <c r="T340" s="185"/>
      <c r="U340" s="185"/>
      <c r="V340" s="185"/>
      <c r="W340" s="41">
        <f t="shared" si="27"/>
        <v>0</v>
      </c>
      <c r="X340" s="41">
        <f t="shared" si="28"/>
        <v>0</v>
      </c>
      <c r="Y340" s="11"/>
      <c r="Z340" s="11"/>
      <c r="AA340" s="11"/>
      <c r="AB340" s="11"/>
      <c r="AC340" s="24"/>
    </row>
    <row r="341" spans="1:29" x14ac:dyDescent="0.2">
      <c r="A341" s="11">
        <f>+'SERVICIO FAENA'!A341</f>
        <v>0</v>
      </c>
      <c r="B341" s="11">
        <f>+'SERVICIO FAENA'!B341</f>
        <v>0</v>
      </c>
      <c r="C341" s="11"/>
      <c r="D341" s="11"/>
      <c r="E341" s="18">
        <f>+'SERVICIO FAENA'!E341</f>
        <v>0</v>
      </c>
      <c r="F341" s="11"/>
      <c r="G341" s="180" t="e">
        <f t="shared" si="29"/>
        <v>#DIV/0!</v>
      </c>
      <c r="H341" s="11"/>
      <c r="I341" s="11"/>
      <c r="J341" s="180" t="e">
        <f t="shared" si="25"/>
        <v>#DIV/0!</v>
      </c>
      <c r="K341" s="100"/>
      <c r="L341" s="100"/>
      <c r="M341" s="100"/>
      <c r="N341" s="100">
        <f t="shared" si="26"/>
        <v>0</v>
      </c>
      <c r="O341" s="100"/>
      <c r="P341" s="41">
        <v>880</v>
      </c>
      <c r="Q341" s="11"/>
      <c r="R341" s="41">
        <v>260</v>
      </c>
      <c r="S341" s="185"/>
      <c r="T341" s="185"/>
      <c r="U341" s="185"/>
      <c r="V341" s="185"/>
      <c r="W341" s="41">
        <f t="shared" si="27"/>
        <v>0</v>
      </c>
      <c r="X341" s="41">
        <f t="shared" si="28"/>
        <v>0</v>
      </c>
      <c r="Y341" s="11"/>
      <c r="Z341" s="11"/>
      <c r="AA341" s="11"/>
      <c r="AB341" s="11"/>
      <c r="AC341" s="24"/>
    </row>
    <row r="342" spans="1:29" x14ac:dyDescent="0.2">
      <c r="A342" s="11">
        <f>+'SERVICIO FAENA'!A342</f>
        <v>0</v>
      </c>
      <c r="B342" s="11">
        <f>+'SERVICIO FAENA'!B342</f>
        <v>0</v>
      </c>
      <c r="C342" s="11"/>
      <c r="D342" s="11"/>
      <c r="E342" s="18">
        <f>+'SERVICIO FAENA'!E342</f>
        <v>0</v>
      </c>
      <c r="F342" s="11"/>
      <c r="G342" s="180" t="e">
        <f t="shared" si="29"/>
        <v>#DIV/0!</v>
      </c>
      <c r="H342" s="11"/>
      <c r="I342" s="11"/>
      <c r="J342" s="180" t="e">
        <f t="shared" si="25"/>
        <v>#DIV/0!</v>
      </c>
      <c r="K342" s="100"/>
      <c r="L342" s="100"/>
      <c r="M342" s="100"/>
      <c r="N342" s="100">
        <f t="shared" si="26"/>
        <v>0</v>
      </c>
      <c r="O342" s="100"/>
      <c r="P342" s="41">
        <v>880</v>
      </c>
      <c r="Q342" s="11"/>
      <c r="R342" s="41">
        <v>260</v>
      </c>
      <c r="S342" s="185"/>
      <c r="T342" s="185"/>
      <c r="U342" s="185"/>
      <c r="V342" s="185"/>
      <c r="W342" s="41">
        <f t="shared" si="27"/>
        <v>0</v>
      </c>
      <c r="X342" s="41">
        <f t="shared" si="28"/>
        <v>0</v>
      </c>
      <c r="Y342" s="11"/>
      <c r="Z342" s="11"/>
      <c r="AA342" s="11"/>
      <c r="AB342" s="11"/>
      <c r="AC342" s="24"/>
    </row>
    <row r="343" spans="1:29" x14ac:dyDescent="0.2">
      <c r="A343" s="11">
        <f>+'SERVICIO FAENA'!A343</f>
        <v>0</v>
      </c>
      <c r="B343" s="11">
        <f>+'SERVICIO FAENA'!B343</f>
        <v>0</v>
      </c>
      <c r="C343" s="11"/>
      <c r="D343" s="11"/>
      <c r="E343" s="18">
        <f>+'SERVICIO FAENA'!E343</f>
        <v>0</v>
      </c>
      <c r="F343" s="11"/>
      <c r="G343" s="180" t="e">
        <f t="shared" si="29"/>
        <v>#DIV/0!</v>
      </c>
      <c r="H343" s="11"/>
      <c r="I343" s="11"/>
      <c r="J343" s="180" t="e">
        <f t="shared" si="25"/>
        <v>#DIV/0!</v>
      </c>
      <c r="K343" s="100"/>
      <c r="L343" s="100"/>
      <c r="M343" s="100"/>
      <c r="N343" s="100">
        <f t="shared" si="26"/>
        <v>0</v>
      </c>
      <c r="O343" s="100"/>
      <c r="P343" s="41">
        <v>880</v>
      </c>
      <c r="Q343" s="11"/>
      <c r="R343" s="41">
        <v>260</v>
      </c>
      <c r="S343" s="185"/>
      <c r="T343" s="185"/>
      <c r="U343" s="185"/>
      <c r="V343" s="185"/>
      <c r="W343" s="41">
        <f t="shared" si="27"/>
        <v>0</v>
      </c>
      <c r="X343" s="41">
        <f t="shared" si="28"/>
        <v>0</v>
      </c>
      <c r="Y343" s="11"/>
      <c r="Z343" s="11"/>
      <c r="AA343" s="11"/>
      <c r="AB343" s="11"/>
      <c r="AC343" s="24"/>
    </row>
    <row r="344" spans="1:29" x14ac:dyDescent="0.2">
      <c r="A344" s="11">
        <f>+'SERVICIO FAENA'!A344</f>
        <v>0</v>
      </c>
      <c r="B344" s="11">
        <f>+'SERVICIO FAENA'!B344</f>
        <v>0</v>
      </c>
      <c r="C344" s="11"/>
      <c r="D344" s="11"/>
      <c r="E344" s="18">
        <f>+'SERVICIO FAENA'!E344</f>
        <v>0</v>
      </c>
      <c r="F344" s="11"/>
      <c r="G344" s="180" t="e">
        <f t="shared" si="29"/>
        <v>#DIV/0!</v>
      </c>
      <c r="H344" s="11"/>
      <c r="I344" s="11"/>
      <c r="J344" s="180" t="e">
        <f t="shared" si="25"/>
        <v>#DIV/0!</v>
      </c>
      <c r="K344" s="100"/>
      <c r="L344" s="100"/>
      <c r="M344" s="100"/>
      <c r="N344" s="100">
        <f t="shared" si="26"/>
        <v>0</v>
      </c>
      <c r="O344" s="100"/>
      <c r="P344" s="41">
        <v>880</v>
      </c>
      <c r="Q344" s="11"/>
      <c r="R344" s="41">
        <v>260</v>
      </c>
      <c r="S344" s="185"/>
      <c r="T344" s="185"/>
      <c r="U344" s="185"/>
      <c r="V344" s="185"/>
      <c r="W344" s="41">
        <f t="shared" si="27"/>
        <v>0</v>
      </c>
      <c r="X344" s="41">
        <f t="shared" si="28"/>
        <v>0</v>
      </c>
      <c r="Y344" s="11"/>
      <c r="Z344" s="11"/>
      <c r="AA344" s="11"/>
      <c r="AB344" s="11"/>
      <c r="AC344" s="24"/>
    </row>
    <row r="345" spans="1:29" x14ac:dyDescent="0.2">
      <c r="A345" s="11">
        <f>+'SERVICIO FAENA'!A345</f>
        <v>0</v>
      </c>
      <c r="B345" s="11">
        <f>+'SERVICIO FAENA'!B345</f>
        <v>0</v>
      </c>
      <c r="C345" s="11"/>
      <c r="D345" s="11"/>
      <c r="E345" s="18">
        <f>+'SERVICIO FAENA'!E345</f>
        <v>0</v>
      </c>
      <c r="F345" s="11"/>
      <c r="G345" s="180" t="e">
        <f t="shared" si="29"/>
        <v>#DIV/0!</v>
      </c>
      <c r="H345" s="11"/>
      <c r="I345" s="11"/>
      <c r="J345" s="180" t="e">
        <f t="shared" si="25"/>
        <v>#DIV/0!</v>
      </c>
      <c r="K345" s="100"/>
      <c r="L345" s="100"/>
      <c r="M345" s="100"/>
      <c r="N345" s="100">
        <f t="shared" si="26"/>
        <v>0</v>
      </c>
      <c r="O345" s="100"/>
      <c r="P345" s="41">
        <v>880</v>
      </c>
      <c r="Q345" s="11"/>
      <c r="R345" s="41">
        <v>260</v>
      </c>
      <c r="S345" s="185"/>
      <c r="T345" s="185"/>
      <c r="U345" s="185"/>
      <c r="V345" s="185"/>
      <c r="W345" s="41">
        <f t="shared" si="27"/>
        <v>0</v>
      </c>
      <c r="X345" s="41">
        <f t="shared" si="28"/>
        <v>0</v>
      </c>
      <c r="Y345" s="11"/>
      <c r="Z345" s="11"/>
      <c r="AA345" s="11"/>
      <c r="AB345" s="11"/>
      <c r="AC345" s="24"/>
    </row>
    <row r="346" spans="1:29" x14ac:dyDescent="0.2">
      <c r="A346" s="11">
        <f>+'SERVICIO FAENA'!A346</f>
        <v>0</v>
      </c>
      <c r="B346" s="11">
        <f>+'SERVICIO FAENA'!B346</f>
        <v>0</v>
      </c>
      <c r="C346" s="11"/>
      <c r="D346" s="11"/>
      <c r="E346" s="18">
        <f>+'SERVICIO FAENA'!E346</f>
        <v>0</v>
      </c>
      <c r="F346" s="11"/>
      <c r="G346" s="180" t="e">
        <f t="shared" si="29"/>
        <v>#DIV/0!</v>
      </c>
      <c r="H346" s="11"/>
      <c r="I346" s="11"/>
      <c r="J346" s="180" t="e">
        <f t="shared" si="25"/>
        <v>#DIV/0!</v>
      </c>
      <c r="K346" s="100"/>
      <c r="L346" s="100"/>
      <c r="M346" s="100"/>
      <c r="N346" s="100">
        <f t="shared" si="26"/>
        <v>0</v>
      </c>
      <c r="O346" s="100"/>
      <c r="P346" s="41">
        <v>880</v>
      </c>
      <c r="Q346" s="11"/>
      <c r="R346" s="41">
        <v>260</v>
      </c>
      <c r="S346" s="185"/>
      <c r="T346" s="185"/>
      <c r="U346" s="185"/>
      <c r="V346" s="185"/>
      <c r="W346" s="41">
        <f t="shared" si="27"/>
        <v>0</v>
      </c>
      <c r="X346" s="41">
        <f t="shared" si="28"/>
        <v>0</v>
      </c>
      <c r="Y346" s="11"/>
      <c r="Z346" s="11"/>
      <c r="AA346" s="11"/>
      <c r="AB346" s="11"/>
      <c r="AC346" s="24"/>
    </row>
    <row r="347" spans="1:29" x14ac:dyDescent="0.2">
      <c r="A347" s="11">
        <f>+'SERVICIO FAENA'!A347</f>
        <v>0</v>
      </c>
      <c r="B347" s="11">
        <f>+'SERVICIO FAENA'!B347</f>
        <v>0</v>
      </c>
      <c r="C347" s="11"/>
      <c r="D347" s="11"/>
      <c r="E347" s="18">
        <f>+'SERVICIO FAENA'!E347</f>
        <v>0</v>
      </c>
      <c r="F347" s="11"/>
      <c r="G347" s="180" t="e">
        <f t="shared" si="29"/>
        <v>#DIV/0!</v>
      </c>
      <c r="H347" s="11"/>
      <c r="I347" s="11"/>
      <c r="J347" s="180" t="e">
        <f t="shared" si="25"/>
        <v>#DIV/0!</v>
      </c>
      <c r="K347" s="100"/>
      <c r="L347" s="100"/>
      <c r="M347" s="100"/>
      <c r="N347" s="100">
        <f t="shared" si="26"/>
        <v>0</v>
      </c>
      <c r="O347" s="100"/>
      <c r="P347" s="41">
        <v>880</v>
      </c>
      <c r="Q347" s="11"/>
      <c r="R347" s="41">
        <v>260</v>
      </c>
      <c r="S347" s="185"/>
      <c r="T347" s="185"/>
      <c r="U347" s="185"/>
      <c r="V347" s="185"/>
      <c r="W347" s="41">
        <f t="shared" si="27"/>
        <v>0</v>
      </c>
      <c r="X347" s="41">
        <f t="shared" si="28"/>
        <v>0</v>
      </c>
      <c r="Y347" s="11"/>
      <c r="Z347" s="11"/>
      <c r="AA347" s="11"/>
      <c r="AB347" s="11"/>
      <c r="AC347" s="24"/>
    </row>
    <row r="348" spans="1:29" x14ac:dyDescent="0.2">
      <c r="A348" s="11">
        <f>+'SERVICIO FAENA'!A348</f>
        <v>0</v>
      </c>
      <c r="B348" s="11">
        <f>+'SERVICIO FAENA'!B348</f>
        <v>0</v>
      </c>
      <c r="C348" s="11"/>
      <c r="D348" s="11"/>
      <c r="E348" s="18">
        <f>+'SERVICIO FAENA'!E348</f>
        <v>0</v>
      </c>
      <c r="F348" s="11"/>
      <c r="G348" s="180" t="e">
        <f t="shared" si="29"/>
        <v>#DIV/0!</v>
      </c>
      <c r="H348" s="11"/>
      <c r="I348" s="11"/>
      <c r="J348" s="180" t="e">
        <f t="shared" si="25"/>
        <v>#DIV/0!</v>
      </c>
      <c r="K348" s="100"/>
      <c r="L348" s="100"/>
      <c r="M348" s="100"/>
      <c r="N348" s="100">
        <f t="shared" si="26"/>
        <v>0</v>
      </c>
      <c r="O348" s="100"/>
      <c r="P348" s="41">
        <v>880</v>
      </c>
      <c r="Q348" s="11"/>
      <c r="R348" s="41">
        <v>260</v>
      </c>
      <c r="S348" s="185"/>
      <c r="T348" s="185"/>
      <c r="U348" s="185"/>
      <c r="V348" s="185"/>
      <c r="W348" s="41">
        <f t="shared" si="27"/>
        <v>0</v>
      </c>
      <c r="X348" s="41">
        <f t="shared" si="28"/>
        <v>0</v>
      </c>
      <c r="Y348" s="11"/>
      <c r="Z348" s="11"/>
      <c r="AA348" s="11"/>
      <c r="AB348" s="11"/>
      <c r="AC348" s="24"/>
    </row>
    <row r="349" spans="1:29" x14ac:dyDescent="0.2">
      <c r="A349" s="11">
        <f>+'SERVICIO FAENA'!A349</f>
        <v>0</v>
      </c>
      <c r="B349" s="11">
        <f>+'SERVICIO FAENA'!B349</f>
        <v>0</v>
      </c>
      <c r="C349" s="11"/>
      <c r="D349" s="11"/>
      <c r="E349" s="18">
        <f>+'SERVICIO FAENA'!E349</f>
        <v>0</v>
      </c>
      <c r="F349" s="11"/>
      <c r="G349" s="180" t="e">
        <f t="shared" si="29"/>
        <v>#DIV/0!</v>
      </c>
      <c r="H349" s="11"/>
      <c r="I349" s="11"/>
      <c r="J349" s="180" t="e">
        <f t="shared" si="25"/>
        <v>#DIV/0!</v>
      </c>
      <c r="K349" s="100"/>
      <c r="L349" s="100"/>
      <c r="M349" s="100"/>
      <c r="N349" s="100">
        <f t="shared" si="26"/>
        <v>0</v>
      </c>
      <c r="O349" s="100"/>
      <c r="P349" s="41">
        <v>880</v>
      </c>
      <c r="Q349" s="11"/>
      <c r="R349" s="41">
        <v>260</v>
      </c>
      <c r="S349" s="185"/>
      <c r="T349" s="185"/>
      <c r="U349" s="185"/>
      <c r="V349" s="185"/>
      <c r="W349" s="41">
        <f t="shared" si="27"/>
        <v>0</v>
      </c>
      <c r="X349" s="41">
        <f t="shared" si="28"/>
        <v>0</v>
      </c>
      <c r="Y349" s="11"/>
      <c r="Z349" s="11"/>
      <c r="AA349" s="11"/>
      <c r="AB349" s="11"/>
      <c r="AC349" s="24"/>
    </row>
    <row r="350" spans="1:29" x14ac:dyDescent="0.2">
      <c r="A350" s="11">
        <f>+'SERVICIO FAENA'!A350</f>
        <v>0</v>
      </c>
      <c r="B350" s="11">
        <f>+'SERVICIO FAENA'!B350</f>
        <v>0</v>
      </c>
      <c r="C350" s="11"/>
      <c r="D350" s="11"/>
      <c r="E350" s="18">
        <f>+'SERVICIO FAENA'!E350</f>
        <v>0</v>
      </c>
      <c r="F350" s="11"/>
      <c r="G350" s="180" t="e">
        <f t="shared" si="29"/>
        <v>#DIV/0!</v>
      </c>
      <c r="H350" s="11"/>
      <c r="I350" s="11"/>
      <c r="J350" s="180" t="e">
        <f t="shared" si="25"/>
        <v>#DIV/0!</v>
      </c>
      <c r="K350" s="100"/>
      <c r="L350" s="100"/>
      <c r="M350" s="100"/>
      <c r="N350" s="100">
        <f t="shared" si="26"/>
        <v>0</v>
      </c>
      <c r="O350" s="100"/>
      <c r="P350" s="41">
        <v>880</v>
      </c>
      <c r="Q350" s="11"/>
      <c r="R350" s="41">
        <v>260</v>
      </c>
      <c r="S350" s="185"/>
      <c r="T350" s="185"/>
      <c r="U350" s="185"/>
      <c r="V350" s="185"/>
      <c r="W350" s="41">
        <f t="shared" si="27"/>
        <v>0</v>
      </c>
      <c r="X350" s="41">
        <f t="shared" si="28"/>
        <v>0</v>
      </c>
      <c r="Y350" s="11"/>
      <c r="Z350" s="11"/>
      <c r="AA350" s="11"/>
      <c r="AB350" s="11"/>
      <c r="AC350" s="24"/>
    </row>
    <row r="351" spans="1:29" x14ac:dyDescent="0.2">
      <c r="A351" s="11">
        <f>+'SERVICIO FAENA'!A351</f>
        <v>0</v>
      </c>
      <c r="B351" s="11">
        <f>+'SERVICIO FAENA'!B351</f>
        <v>0</v>
      </c>
      <c r="C351" s="11"/>
      <c r="D351" s="11"/>
      <c r="E351" s="18">
        <f>+'SERVICIO FAENA'!E351</f>
        <v>0</v>
      </c>
      <c r="F351" s="11"/>
      <c r="G351" s="180" t="e">
        <f t="shared" si="29"/>
        <v>#DIV/0!</v>
      </c>
      <c r="H351" s="11"/>
      <c r="I351" s="11"/>
      <c r="J351" s="180" t="e">
        <f t="shared" si="25"/>
        <v>#DIV/0!</v>
      </c>
      <c r="K351" s="100"/>
      <c r="L351" s="100"/>
      <c r="M351" s="100"/>
      <c r="N351" s="100">
        <f t="shared" si="26"/>
        <v>0</v>
      </c>
      <c r="O351" s="100"/>
      <c r="P351" s="41">
        <v>880</v>
      </c>
      <c r="Q351" s="11"/>
      <c r="R351" s="41">
        <v>260</v>
      </c>
      <c r="S351" s="185"/>
      <c r="T351" s="185"/>
      <c r="U351" s="185"/>
      <c r="V351" s="185"/>
      <c r="W351" s="41">
        <f t="shared" si="27"/>
        <v>0</v>
      </c>
      <c r="X351" s="41">
        <f t="shared" si="28"/>
        <v>0</v>
      </c>
      <c r="Y351" s="11"/>
      <c r="Z351" s="11"/>
      <c r="AA351" s="11"/>
      <c r="AB351" s="11"/>
      <c r="AC351" s="24"/>
    </row>
    <row r="352" spans="1:29" x14ac:dyDescent="0.2">
      <c r="A352" s="11">
        <f>+'SERVICIO FAENA'!A352</f>
        <v>0</v>
      </c>
      <c r="B352" s="11">
        <f>+'SERVICIO FAENA'!B352</f>
        <v>0</v>
      </c>
      <c r="C352" s="11"/>
      <c r="D352" s="11"/>
      <c r="E352" s="18">
        <f>+'SERVICIO FAENA'!E352</f>
        <v>0</v>
      </c>
      <c r="F352" s="11"/>
      <c r="G352" s="180" t="e">
        <f t="shared" si="29"/>
        <v>#DIV/0!</v>
      </c>
      <c r="H352" s="11"/>
      <c r="I352" s="11"/>
      <c r="J352" s="180" t="e">
        <f t="shared" si="25"/>
        <v>#DIV/0!</v>
      </c>
      <c r="K352" s="100"/>
      <c r="L352" s="100"/>
      <c r="M352" s="100"/>
      <c r="N352" s="100">
        <f t="shared" si="26"/>
        <v>0</v>
      </c>
      <c r="O352" s="100"/>
      <c r="P352" s="41">
        <v>880</v>
      </c>
      <c r="Q352" s="11"/>
      <c r="R352" s="41">
        <v>260</v>
      </c>
      <c r="S352" s="185"/>
      <c r="T352" s="185"/>
      <c r="U352" s="185"/>
      <c r="V352" s="185"/>
      <c r="W352" s="41">
        <f t="shared" si="27"/>
        <v>0</v>
      </c>
      <c r="X352" s="41">
        <f t="shared" si="28"/>
        <v>0</v>
      </c>
      <c r="Y352" s="11"/>
      <c r="Z352" s="11"/>
      <c r="AA352" s="11"/>
      <c r="AB352" s="11"/>
      <c r="AC352" s="24"/>
    </row>
    <row r="353" spans="1:29" x14ac:dyDescent="0.2">
      <c r="A353" s="11">
        <f>+'SERVICIO FAENA'!A353</f>
        <v>0</v>
      </c>
      <c r="B353" s="11">
        <f>+'SERVICIO FAENA'!B353</f>
        <v>0</v>
      </c>
      <c r="C353" s="11"/>
      <c r="D353" s="11"/>
      <c r="E353" s="18">
        <f>+'SERVICIO FAENA'!E353</f>
        <v>0</v>
      </c>
      <c r="F353" s="11"/>
      <c r="G353" s="180" t="e">
        <f t="shared" si="29"/>
        <v>#DIV/0!</v>
      </c>
      <c r="H353" s="11"/>
      <c r="I353" s="11"/>
      <c r="J353" s="180" t="e">
        <f t="shared" si="25"/>
        <v>#DIV/0!</v>
      </c>
      <c r="K353" s="100"/>
      <c r="L353" s="100"/>
      <c r="M353" s="100"/>
      <c r="N353" s="100">
        <f t="shared" si="26"/>
        <v>0</v>
      </c>
      <c r="O353" s="100"/>
      <c r="P353" s="41">
        <v>880</v>
      </c>
      <c r="Q353" s="11"/>
      <c r="R353" s="41">
        <v>260</v>
      </c>
      <c r="S353" s="185"/>
      <c r="T353" s="185"/>
      <c r="U353" s="185"/>
      <c r="V353" s="185"/>
      <c r="W353" s="41">
        <f t="shared" si="27"/>
        <v>0</v>
      </c>
      <c r="X353" s="41">
        <f t="shared" si="28"/>
        <v>0</v>
      </c>
      <c r="Y353" s="11"/>
      <c r="Z353" s="11"/>
      <c r="AA353" s="11"/>
      <c r="AB353" s="11"/>
      <c r="AC353" s="24"/>
    </row>
    <row r="354" spans="1:29" x14ac:dyDescent="0.2">
      <c r="A354" s="11">
        <f>+'SERVICIO FAENA'!A354</f>
        <v>0</v>
      </c>
      <c r="B354" s="11">
        <f>+'SERVICIO FAENA'!B354</f>
        <v>0</v>
      </c>
      <c r="C354" s="11"/>
      <c r="D354" s="11"/>
      <c r="E354" s="18">
        <f>+'SERVICIO FAENA'!E354</f>
        <v>0</v>
      </c>
      <c r="F354" s="11"/>
      <c r="G354" s="180" t="e">
        <f t="shared" si="29"/>
        <v>#DIV/0!</v>
      </c>
      <c r="H354" s="11"/>
      <c r="I354" s="11"/>
      <c r="J354" s="180" t="e">
        <f t="shared" si="25"/>
        <v>#DIV/0!</v>
      </c>
      <c r="K354" s="100"/>
      <c r="L354" s="100"/>
      <c r="M354" s="100"/>
      <c r="N354" s="100">
        <f t="shared" si="26"/>
        <v>0</v>
      </c>
      <c r="O354" s="100"/>
      <c r="P354" s="41">
        <v>880</v>
      </c>
      <c r="Q354" s="11"/>
      <c r="R354" s="41">
        <v>260</v>
      </c>
      <c r="S354" s="185"/>
      <c r="T354" s="185"/>
      <c r="U354" s="185"/>
      <c r="V354" s="185"/>
      <c r="W354" s="41">
        <f t="shared" si="27"/>
        <v>0</v>
      </c>
      <c r="X354" s="41">
        <f t="shared" si="28"/>
        <v>0</v>
      </c>
      <c r="Y354" s="11"/>
      <c r="Z354" s="11"/>
      <c r="AA354" s="11"/>
      <c r="AB354" s="11"/>
      <c r="AC354" s="24"/>
    </row>
    <row r="355" spans="1:29" x14ac:dyDescent="0.2">
      <c r="A355" s="11">
        <f>+'SERVICIO FAENA'!A355</f>
        <v>0</v>
      </c>
      <c r="B355" s="11">
        <f>+'SERVICIO FAENA'!B355</f>
        <v>0</v>
      </c>
      <c r="C355" s="11"/>
      <c r="D355" s="11"/>
      <c r="E355" s="18">
        <f>+'SERVICIO FAENA'!E355</f>
        <v>0</v>
      </c>
      <c r="F355" s="11"/>
      <c r="G355" s="180" t="e">
        <f t="shared" si="29"/>
        <v>#DIV/0!</v>
      </c>
      <c r="H355" s="11"/>
      <c r="I355" s="11"/>
      <c r="J355" s="180" t="e">
        <f t="shared" si="25"/>
        <v>#DIV/0!</v>
      </c>
      <c r="K355" s="100"/>
      <c r="L355" s="100"/>
      <c r="M355" s="100"/>
      <c r="N355" s="100">
        <f t="shared" si="26"/>
        <v>0</v>
      </c>
      <c r="O355" s="100"/>
      <c r="P355" s="41">
        <v>880</v>
      </c>
      <c r="Q355" s="11"/>
      <c r="R355" s="41">
        <v>260</v>
      </c>
      <c r="S355" s="185"/>
      <c r="T355" s="185"/>
      <c r="U355" s="185"/>
      <c r="V355" s="185"/>
      <c r="W355" s="41">
        <f t="shared" si="27"/>
        <v>0</v>
      </c>
      <c r="X355" s="41">
        <f t="shared" si="28"/>
        <v>0</v>
      </c>
      <c r="Y355" s="11"/>
      <c r="Z355" s="11"/>
      <c r="AA355" s="11"/>
      <c r="AB355" s="11"/>
      <c r="AC355" s="24"/>
    </row>
    <row r="356" spans="1:29" x14ac:dyDescent="0.2">
      <c r="A356" s="11">
        <f>+'SERVICIO FAENA'!A356</f>
        <v>0</v>
      </c>
      <c r="B356" s="11">
        <f>+'SERVICIO FAENA'!B356</f>
        <v>0</v>
      </c>
      <c r="C356" s="11"/>
      <c r="D356" s="11"/>
      <c r="E356" s="18">
        <f>+'SERVICIO FAENA'!E356</f>
        <v>0</v>
      </c>
      <c r="F356" s="11"/>
      <c r="G356" s="180" t="e">
        <f t="shared" si="29"/>
        <v>#DIV/0!</v>
      </c>
      <c r="H356" s="11"/>
      <c r="I356" s="11"/>
      <c r="J356" s="180" t="e">
        <f t="shared" si="25"/>
        <v>#DIV/0!</v>
      </c>
      <c r="K356" s="100"/>
      <c r="L356" s="100"/>
      <c r="M356" s="100"/>
      <c r="N356" s="100">
        <f t="shared" si="26"/>
        <v>0</v>
      </c>
      <c r="O356" s="100"/>
      <c r="P356" s="41">
        <v>880</v>
      </c>
      <c r="Q356" s="11"/>
      <c r="R356" s="41">
        <v>260</v>
      </c>
      <c r="S356" s="185"/>
      <c r="T356" s="185"/>
      <c r="U356" s="185"/>
      <c r="V356" s="185"/>
      <c r="W356" s="41">
        <f t="shared" si="27"/>
        <v>0</v>
      </c>
      <c r="X356" s="41">
        <f t="shared" si="28"/>
        <v>0</v>
      </c>
      <c r="Y356" s="11"/>
      <c r="Z356" s="11"/>
      <c r="AA356" s="11"/>
      <c r="AB356" s="11"/>
      <c r="AC356" s="24"/>
    </row>
    <row r="357" spans="1:29" x14ac:dyDescent="0.2">
      <c r="A357" s="11">
        <f>+'SERVICIO FAENA'!A357</f>
        <v>0</v>
      </c>
      <c r="B357" s="11">
        <f>+'SERVICIO FAENA'!B357</f>
        <v>0</v>
      </c>
      <c r="C357" s="11"/>
      <c r="D357" s="11"/>
      <c r="E357" s="18">
        <f>+'SERVICIO FAENA'!E357</f>
        <v>0</v>
      </c>
      <c r="F357" s="11"/>
      <c r="G357" s="180" t="e">
        <f t="shared" si="29"/>
        <v>#DIV/0!</v>
      </c>
      <c r="H357" s="11"/>
      <c r="I357" s="11"/>
      <c r="J357" s="180" t="e">
        <f t="shared" si="25"/>
        <v>#DIV/0!</v>
      </c>
      <c r="K357" s="100"/>
      <c r="L357" s="100"/>
      <c r="M357" s="100"/>
      <c r="N357" s="100">
        <f t="shared" si="26"/>
        <v>0</v>
      </c>
      <c r="O357" s="100"/>
      <c r="P357" s="41">
        <v>880</v>
      </c>
      <c r="Q357" s="11"/>
      <c r="R357" s="41">
        <v>260</v>
      </c>
      <c r="S357" s="185"/>
      <c r="T357" s="185"/>
      <c r="U357" s="185"/>
      <c r="V357" s="185"/>
      <c r="W357" s="41">
        <f t="shared" si="27"/>
        <v>0</v>
      </c>
      <c r="X357" s="41">
        <f t="shared" si="28"/>
        <v>0</v>
      </c>
      <c r="Y357" s="11"/>
      <c r="Z357" s="11"/>
      <c r="AA357" s="11"/>
      <c r="AB357" s="11"/>
      <c r="AC357" s="24"/>
    </row>
    <row r="358" spans="1:29" x14ac:dyDescent="0.2">
      <c r="A358" s="11">
        <f>+'SERVICIO FAENA'!A358</f>
        <v>0</v>
      </c>
      <c r="B358" s="11">
        <f>+'SERVICIO FAENA'!B358</f>
        <v>0</v>
      </c>
      <c r="C358" s="11"/>
      <c r="D358" s="11"/>
      <c r="E358" s="18">
        <f>+'SERVICIO FAENA'!E358</f>
        <v>0</v>
      </c>
      <c r="F358" s="11"/>
      <c r="G358" s="180" t="e">
        <f t="shared" si="29"/>
        <v>#DIV/0!</v>
      </c>
      <c r="H358" s="11"/>
      <c r="I358" s="11"/>
      <c r="J358" s="180" t="e">
        <f t="shared" si="25"/>
        <v>#DIV/0!</v>
      </c>
      <c r="K358" s="100"/>
      <c r="L358" s="100"/>
      <c r="M358" s="100"/>
      <c r="N358" s="100">
        <f t="shared" si="26"/>
        <v>0</v>
      </c>
      <c r="O358" s="100"/>
      <c r="P358" s="41">
        <v>880</v>
      </c>
      <c r="Q358" s="11"/>
      <c r="R358" s="41">
        <v>260</v>
      </c>
      <c r="S358" s="185"/>
      <c r="T358" s="185"/>
      <c r="U358" s="185"/>
      <c r="V358" s="185"/>
      <c r="W358" s="41">
        <f t="shared" si="27"/>
        <v>0</v>
      </c>
      <c r="X358" s="41">
        <f t="shared" si="28"/>
        <v>0</v>
      </c>
      <c r="Y358" s="11"/>
      <c r="Z358" s="11"/>
      <c r="AA358" s="11"/>
      <c r="AB358" s="11"/>
      <c r="AC358" s="24"/>
    </row>
    <row r="359" spans="1:29" x14ac:dyDescent="0.2">
      <c r="A359" s="11">
        <f>+'SERVICIO FAENA'!A359</f>
        <v>0</v>
      </c>
      <c r="B359" s="11">
        <f>+'SERVICIO FAENA'!B359</f>
        <v>0</v>
      </c>
      <c r="C359" s="11"/>
      <c r="D359" s="11"/>
      <c r="E359" s="18">
        <f>+'SERVICIO FAENA'!E359</f>
        <v>0</v>
      </c>
      <c r="F359" s="11"/>
      <c r="G359" s="180" t="e">
        <f t="shared" si="29"/>
        <v>#DIV/0!</v>
      </c>
      <c r="H359" s="11"/>
      <c r="I359" s="11"/>
      <c r="J359" s="180" t="e">
        <f t="shared" si="25"/>
        <v>#DIV/0!</v>
      </c>
      <c r="K359" s="100"/>
      <c r="L359" s="100"/>
      <c r="M359" s="100"/>
      <c r="N359" s="100">
        <f t="shared" si="26"/>
        <v>0</v>
      </c>
      <c r="O359" s="100"/>
      <c r="P359" s="41">
        <v>880</v>
      </c>
      <c r="Q359" s="11"/>
      <c r="R359" s="41">
        <v>260</v>
      </c>
      <c r="S359" s="185"/>
      <c r="T359" s="185"/>
      <c r="U359" s="185"/>
      <c r="V359" s="185"/>
      <c r="W359" s="41">
        <f t="shared" si="27"/>
        <v>0</v>
      </c>
      <c r="X359" s="41">
        <f t="shared" si="28"/>
        <v>0</v>
      </c>
      <c r="Y359" s="11"/>
      <c r="Z359" s="11"/>
      <c r="AA359" s="11"/>
      <c r="AB359" s="11"/>
      <c r="AC359" s="24"/>
    </row>
    <row r="360" spans="1:29" x14ac:dyDescent="0.2">
      <c r="A360" s="11">
        <f>+'SERVICIO FAENA'!A360</f>
        <v>0</v>
      </c>
      <c r="B360" s="11">
        <f>+'SERVICIO FAENA'!B360</f>
        <v>0</v>
      </c>
      <c r="C360" s="11"/>
      <c r="D360" s="11"/>
      <c r="E360" s="18">
        <f>+'SERVICIO FAENA'!E360</f>
        <v>0</v>
      </c>
      <c r="F360" s="11"/>
      <c r="G360" s="180" t="e">
        <f t="shared" si="29"/>
        <v>#DIV/0!</v>
      </c>
      <c r="H360" s="11"/>
      <c r="I360" s="11"/>
      <c r="J360" s="180" t="e">
        <f t="shared" si="25"/>
        <v>#DIV/0!</v>
      </c>
      <c r="K360" s="100"/>
      <c r="L360" s="100"/>
      <c r="M360" s="100"/>
      <c r="N360" s="100">
        <f t="shared" si="26"/>
        <v>0</v>
      </c>
      <c r="O360" s="100"/>
      <c r="P360" s="41">
        <v>880</v>
      </c>
      <c r="Q360" s="11"/>
      <c r="R360" s="41">
        <v>260</v>
      </c>
      <c r="S360" s="185"/>
      <c r="T360" s="185"/>
      <c r="U360" s="185"/>
      <c r="V360" s="185"/>
      <c r="W360" s="41">
        <f t="shared" si="27"/>
        <v>0</v>
      </c>
      <c r="X360" s="41">
        <f t="shared" si="28"/>
        <v>0</v>
      </c>
      <c r="Y360" s="11"/>
      <c r="Z360" s="11"/>
      <c r="AA360" s="11"/>
      <c r="AB360" s="11"/>
      <c r="AC360" s="24"/>
    </row>
    <row r="361" spans="1:29" x14ac:dyDescent="0.2">
      <c r="A361" s="11">
        <f>+'SERVICIO FAENA'!A361</f>
        <v>0</v>
      </c>
      <c r="B361" s="11">
        <f>+'SERVICIO FAENA'!B361</f>
        <v>0</v>
      </c>
      <c r="C361" s="11"/>
      <c r="D361" s="11"/>
      <c r="E361" s="18">
        <f>+'SERVICIO FAENA'!E361</f>
        <v>0</v>
      </c>
      <c r="F361" s="11"/>
      <c r="G361" s="180" t="e">
        <f t="shared" si="29"/>
        <v>#DIV/0!</v>
      </c>
      <c r="H361" s="11"/>
      <c r="I361" s="11"/>
      <c r="J361" s="180" t="e">
        <f t="shared" si="25"/>
        <v>#DIV/0!</v>
      </c>
      <c r="K361" s="100"/>
      <c r="L361" s="100"/>
      <c r="M361" s="100"/>
      <c r="N361" s="100">
        <f t="shared" si="26"/>
        <v>0</v>
      </c>
      <c r="O361" s="100"/>
      <c r="P361" s="41">
        <v>880</v>
      </c>
      <c r="Q361" s="11"/>
      <c r="R361" s="41">
        <v>260</v>
      </c>
      <c r="S361" s="185"/>
      <c r="T361" s="185"/>
      <c r="U361" s="185"/>
      <c r="V361" s="185"/>
      <c r="W361" s="41">
        <f t="shared" si="27"/>
        <v>0</v>
      </c>
      <c r="X361" s="41">
        <f t="shared" si="28"/>
        <v>0</v>
      </c>
      <c r="Y361" s="11"/>
      <c r="Z361" s="11"/>
      <c r="AA361" s="11"/>
      <c r="AB361" s="11"/>
      <c r="AC361" s="24"/>
    </row>
    <row r="362" spans="1:29" x14ac:dyDescent="0.2">
      <c r="A362" s="11">
        <f>+'SERVICIO FAENA'!A362</f>
        <v>0</v>
      </c>
      <c r="B362" s="11">
        <f>+'SERVICIO FAENA'!B362</f>
        <v>0</v>
      </c>
      <c r="C362" s="11"/>
      <c r="D362" s="11"/>
      <c r="E362" s="18">
        <f>+'SERVICIO FAENA'!E362</f>
        <v>0</v>
      </c>
      <c r="F362" s="11"/>
      <c r="G362" s="180" t="e">
        <f t="shared" si="29"/>
        <v>#DIV/0!</v>
      </c>
      <c r="H362" s="11"/>
      <c r="I362" s="11"/>
      <c r="J362" s="180" t="e">
        <f t="shared" ref="J362:J425" si="30">+((F362-(H362+I362))/F362)</f>
        <v>#DIV/0!</v>
      </c>
      <c r="K362" s="100"/>
      <c r="L362" s="100"/>
      <c r="M362" s="100"/>
      <c r="N362" s="100">
        <f t="shared" ref="N362:N425" si="31">SUM(K362:M362)</f>
        <v>0</v>
      </c>
      <c r="O362" s="100"/>
      <c r="P362" s="41">
        <v>880</v>
      </c>
      <c r="Q362" s="11"/>
      <c r="R362" s="41">
        <v>260</v>
      </c>
      <c r="S362" s="185"/>
      <c r="T362" s="185"/>
      <c r="U362" s="185"/>
      <c r="V362" s="185"/>
      <c r="W362" s="41">
        <f t="shared" ref="W362:W425" si="32">+(P362*O362)+(R362*Q362)</f>
        <v>0</v>
      </c>
      <c r="X362" s="41">
        <f t="shared" si="28"/>
        <v>0</v>
      </c>
      <c r="Y362" s="11"/>
      <c r="Z362" s="11"/>
      <c r="AA362" s="11"/>
      <c r="AB362" s="11"/>
      <c r="AC362" s="24"/>
    </row>
    <row r="363" spans="1:29" x14ac:dyDescent="0.2">
      <c r="A363" s="11">
        <f>+'SERVICIO FAENA'!A363</f>
        <v>0</v>
      </c>
      <c r="B363" s="11">
        <f>+'SERVICIO FAENA'!B363</f>
        <v>0</v>
      </c>
      <c r="C363" s="11"/>
      <c r="D363" s="11"/>
      <c r="E363" s="18">
        <f>+'SERVICIO FAENA'!E363</f>
        <v>0</v>
      </c>
      <c r="F363" s="11"/>
      <c r="G363" s="180" t="e">
        <f t="shared" si="29"/>
        <v>#DIV/0!</v>
      </c>
      <c r="H363" s="11"/>
      <c r="I363" s="11"/>
      <c r="J363" s="180" t="e">
        <f t="shared" si="30"/>
        <v>#DIV/0!</v>
      </c>
      <c r="K363" s="100"/>
      <c r="L363" s="100"/>
      <c r="M363" s="100"/>
      <c r="N363" s="100">
        <f t="shared" si="31"/>
        <v>0</v>
      </c>
      <c r="O363" s="100"/>
      <c r="P363" s="41">
        <v>880</v>
      </c>
      <c r="Q363" s="11"/>
      <c r="R363" s="41">
        <v>260</v>
      </c>
      <c r="S363" s="185"/>
      <c r="T363" s="185"/>
      <c r="U363" s="185"/>
      <c r="V363" s="185"/>
      <c r="W363" s="41">
        <f t="shared" si="32"/>
        <v>0</v>
      </c>
      <c r="X363" s="41">
        <f t="shared" si="28"/>
        <v>0</v>
      </c>
      <c r="Y363" s="11"/>
      <c r="Z363" s="11"/>
      <c r="AA363" s="11"/>
      <c r="AB363" s="11"/>
      <c r="AC363" s="24"/>
    </row>
    <row r="364" spans="1:29" x14ac:dyDescent="0.2">
      <c r="A364" s="11">
        <f>+'SERVICIO FAENA'!A364</f>
        <v>0</v>
      </c>
      <c r="B364" s="11">
        <f>+'SERVICIO FAENA'!B364</f>
        <v>0</v>
      </c>
      <c r="C364" s="11"/>
      <c r="D364" s="11"/>
      <c r="E364" s="18">
        <f>+'SERVICIO FAENA'!E364</f>
        <v>0</v>
      </c>
      <c r="F364" s="11"/>
      <c r="G364" s="180" t="e">
        <f t="shared" si="29"/>
        <v>#DIV/0!</v>
      </c>
      <c r="H364" s="11"/>
      <c r="I364" s="11"/>
      <c r="J364" s="180" t="e">
        <f t="shared" si="30"/>
        <v>#DIV/0!</v>
      </c>
      <c r="K364" s="100"/>
      <c r="L364" s="100"/>
      <c r="M364" s="100"/>
      <c r="N364" s="100">
        <f t="shared" si="31"/>
        <v>0</v>
      </c>
      <c r="O364" s="100"/>
      <c r="P364" s="41">
        <v>880</v>
      </c>
      <c r="Q364" s="11"/>
      <c r="R364" s="41">
        <v>260</v>
      </c>
      <c r="S364" s="185"/>
      <c r="T364" s="185"/>
      <c r="U364" s="185"/>
      <c r="V364" s="185"/>
      <c r="W364" s="41">
        <f t="shared" si="32"/>
        <v>0</v>
      </c>
      <c r="X364" s="41">
        <f t="shared" si="28"/>
        <v>0</v>
      </c>
      <c r="Y364" s="11"/>
      <c r="Z364" s="11"/>
      <c r="AA364" s="11"/>
      <c r="AB364" s="11"/>
      <c r="AC364" s="24"/>
    </row>
    <row r="365" spans="1:29" x14ac:dyDescent="0.2">
      <c r="A365" s="11">
        <f>+'SERVICIO FAENA'!A365</f>
        <v>0</v>
      </c>
      <c r="B365" s="11">
        <f>+'SERVICIO FAENA'!B365</f>
        <v>0</v>
      </c>
      <c r="C365" s="11"/>
      <c r="D365" s="11"/>
      <c r="E365" s="18">
        <f>+'SERVICIO FAENA'!E365</f>
        <v>0</v>
      </c>
      <c r="F365" s="11"/>
      <c r="G365" s="180" t="e">
        <f t="shared" si="29"/>
        <v>#DIV/0!</v>
      </c>
      <c r="H365" s="11"/>
      <c r="I365" s="11"/>
      <c r="J365" s="180" t="e">
        <f t="shared" si="30"/>
        <v>#DIV/0!</v>
      </c>
      <c r="K365" s="100"/>
      <c r="L365" s="100"/>
      <c r="M365" s="100"/>
      <c r="N365" s="100">
        <f t="shared" si="31"/>
        <v>0</v>
      </c>
      <c r="O365" s="100"/>
      <c r="P365" s="41">
        <v>880</v>
      </c>
      <c r="Q365" s="11"/>
      <c r="R365" s="41">
        <v>260</v>
      </c>
      <c r="S365" s="185"/>
      <c r="T365" s="185"/>
      <c r="U365" s="185"/>
      <c r="V365" s="185"/>
      <c r="W365" s="41">
        <f t="shared" si="32"/>
        <v>0</v>
      </c>
      <c r="X365" s="41">
        <f t="shared" si="28"/>
        <v>0</v>
      </c>
      <c r="Y365" s="11"/>
      <c r="Z365" s="11"/>
      <c r="AA365" s="11"/>
      <c r="AB365" s="11"/>
      <c r="AC365" s="24"/>
    </row>
    <row r="366" spans="1:29" x14ac:dyDescent="0.2">
      <c r="A366" s="11">
        <f>+'SERVICIO FAENA'!A366</f>
        <v>0</v>
      </c>
      <c r="B366" s="11">
        <f>+'SERVICIO FAENA'!B366</f>
        <v>0</v>
      </c>
      <c r="C366" s="11"/>
      <c r="D366" s="11"/>
      <c r="E366" s="18">
        <f>+'SERVICIO FAENA'!E366</f>
        <v>0</v>
      </c>
      <c r="F366" s="11"/>
      <c r="G366" s="180" t="e">
        <f t="shared" si="29"/>
        <v>#DIV/0!</v>
      </c>
      <c r="H366" s="11"/>
      <c r="I366" s="11"/>
      <c r="J366" s="180" t="e">
        <f t="shared" si="30"/>
        <v>#DIV/0!</v>
      </c>
      <c r="K366" s="100"/>
      <c r="L366" s="100"/>
      <c r="M366" s="100"/>
      <c r="N366" s="100">
        <f t="shared" si="31"/>
        <v>0</v>
      </c>
      <c r="O366" s="100"/>
      <c r="P366" s="41">
        <v>880</v>
      </c>
      <c r="Q366" s="11"/>
      <c r="R366" s="41">
        <v>260</v>
      </c>
      <c r="S366" s="185"/>
      <c r="T366" s="185"/>
      <c r="U366" s="185"/>
      <c r="V366" s="185"/>
      <c r="W366" s="41">
        <f t="shared" si="32"/>
        <v>0</v>
      </c>
      <c r="X366" s="41">
        <f t="shared" si="28"/>
        <v>0</v>
      </c>
      <c r="Y366" s="11"/>
      <c r="Z366" s="11"/>
      <c r="AA366" s="11"/>
      <c r="AB366" s="11"/>
      <c r="AC366" s="24"/>
    </row>
    <row r="367" spans="1:29" x14ac:dyDescent="0.2">
      <c r="A367" s="11">
        <f>+'SERVICIO FAENA'!A367</f>
        <v>0</v>
      </c>
      <c r="B367" s="11">
        <f>+'SERVICIO FAENA'!B367</f>
        <v>0</v>
      </c>
      <c r="C367" s="11"/>
      <c r="D367" s="11"/>
      <c r="E367" s="18">
        <f>+'SERVICIO FAENA'!E367</f>
        <v>0</v>
      </c>
      <c r="F367" s="11"/>
      <c r="G367" s="180" t="e">
        <f t="shared" si="29"/>
        <v>#DIV/0!</v>
      </c>
      <c r="H367" s="11"/>
      <c r="I367" s="11"/>
      <c r="J367" s="180" t="e">
        <f t="shared" si="30"/>
        <v>#DIV/0!</v>
      </c>
      <c r="K367" s="100"/>
      <c r="L367" s="100"/>
      <c r="M367" s="100"/>
      <c r="N367" s="100">
        <f t="shared" si="31"/>
        <v>0</v>
      </c>
      <c r="O367" s="100"/>
      <c r="P367" s="41">
        <v>880</v>
      </c>
      <c r="Q367" s="11"/>
      <c r="R367" s="41">
        <v>260</v>
      </c>
      <c r="S367" s="185"/>
      <c r="T367" s="185"/>
      <c r="U367" s="185"/>
      <c r="V367" s="185"/>
      <c r="W367" s="41">
        <f t="shared" si="32"/>
        <v>0</v>
      </c>
      <c r="X367" s="41">
        <f t="shared" si="28"/>
        <v>0</v>
      </c>
      <c r="Y367" s="11"/>
      <c r="Z367" s="11"/>
      <c r="AA367" s="11"/>
      <c r="AB367" s="11"/>
      <c r="AC367" s="24"/>
    </row>
    <row r="368" spans="1:29" x14ac:dyDescent="0.2">
      <c r="A368" s="11">
        <f>+'SERVICIO FAENA'!A368</f>
        <v>0</v>
      </c>
      <c r="B368" s="11">
        <f>+'SERVICIO FAENA'!B368</f>
        <v>0</v>
      </c>
      <c r="C368" s="11"/>
      <c r="D368" s="11"/>
      <c r="E368" s="18">
        <f>+'SERVICIO FAENA'!E368</f>
        <v>0</v>
      </c>
      <c r="F368" s="11"/>
      <c r="G368" s="180" t="e">
        <f t="shared" si="29"/>
        <v>#DIV/0!</v>
      </c>
      <c r="H368" s="11"/>
      <c r="I368" s="11"/>
      <c r="J368" s="180" t="e">
        <f t="shared" si="30"/>
        <v>#DIV/0!</v>
      </c>
      <c r="K368" s="100"/>
      <c r="L368" s="100"/>
      <c r="M368" s="100"/>
      <c r="N368" s="100">
        <f t="shared" si="31"/>
        <v>0</v>
      </c>
      <c r="O368" s="100"/>
      <c r="P368" s="41">
        <v>880</v>
      </c>
      <c r="Q368" s="11"/>
      <c r="R368" s="41">
        <v>260</v>
      </c>
      <c r="S368" s="185"/>
      <c r="T368" s="185"/>
      <c r="U368" s="185"/>
      <c r="V368" s="185"/>
      <c r="W368" s="41">
        <f t="shared" si="32"/>
        <v>0</v>
      </c>
      <c r="X368" s="41">
        <f t="shared" si="28"/>
        <v>0</v>
      </c>
      <c r="Y368" s="11"/>
      <c r="Z368" s="11"/>
      <c r="AA368" s="11"/>
      <c r="AB368" s="11"/>
      <c r="AC368" s="24"/>
    </row>
    <row r="369" spans="1:29" x14ac:dyDescent="0.2">
      <c r="A369" s="11">
        <f>+'SERVICIO FAENA'!A369</f>
        <v>0</v>
      </c>
      <c r="B369" s="11">
        <f>+'SERVICIO FAENA'!B369</f>
        <v>0</v>
      </c>
      <c r="C369" s="11"/>
      <c r="D369" s="11"/>
      <c r="E369" s="18">
        <f>+'SERVICIO FAENA'!E369</f>
        <v>0</v>
      </c>
      <c r="F369" s="11"/>
      <c r="G369" s="180" t="e">
        <f t="shared" si="29"/>
        <v>#DIV/0!</v>
      </c>
      <c r="H369" s="11"/>
      <c r="I369" s="11"/>
      <c r="J369" s="180" t="e">
        <f t="shared" si="30"/>
        <v>#DIV/0!</v>
      </c>
      <c r="K369" s="100"/>
      <c r="L369" s="100"/>
      <c r="M369" s="100"/>
      <c r="N369" s="100">
        <f t="shared" si="31"/>
        <v>0</v>
      </c>
      <c r="O369" s="100"/>
      <c r="P369" s="41">
        <v>880</v>
      </c>
      <c r="Q369" s="11"/>
      <c r="R369" s="41">
        <v>260</v>
      </c>
      <c r="S369" s="185"/>
      <c r="T369" s="185"/>
      <c r="U369" s="185"/>
      <c r="V369" s="185"/>
      <c r="W369" s="41">
        <f t="shared" si="32"/>
        <v>0</v>
      </c>
      <c r="X369" s="41">
        <f t="shared" si="28"/>
        <v>0</v>
      </c>
      <c r="Y369" s="11"/>
      <c r="Z369" s="11"/>
      <c r="AA369" s="11"/>
      <c r="AB369" s="11"/>
      <c r="AC369" s="24"/>
    </row>
    <row r="370" spans="1:29" x14ac:dyDescent="0.2">
      <c r="A370" s="11">
        <f>+'SERVICIO FAENA'!A370</f>
        <v>0</v>
      </c>
      <c r="B370" s="11">
        <f>+'SERVICIO FAENA'!B370</f>
        <v>0</v>
      </c>
      <c r="C370" s="11"/>
      <c r="D370" s="11"/>
      <c r="E370" s="18">
        <f>+'SERVICIO FAENA'!E370</f>
        <v>0</v>
      </c>
      <c r="F370" s="11"/>
      <c r="G370" s="180" t="e">
        <f t="shared" si="29"/>
        <v>#DIV/0!</v>
      </c>
      <c r="H370" s="11"/>
      <c r="I370" s="11"/>
      <c r="J370" s="180" t="e">
        <f t="shared" si="30"/>
        <v>#DIV/0!</v>
      </c>
      <c r="K370" s="100"/>
      <c r="L370" s="100"/>
      <c r="M370" s="100"/>
      <c r="N370" s="100">
        <f t="shared" si="31"/>
        <v>0</v>
      </c>
      <c r="O370" s="100"/>
      <c r="P370" s="41">
        <v>880</v>
      </c>
      <c r="Q370" s="11"/>
      <c r="R370" s="41">
        <v>260</v>
      </c>
      <c r="S370" s="185"/>
      <c r="T370" s="185"/>
      <c r="U370" s="185"/>
      <c r="V370" s="185"/>
      <c r="W370" s="41">
        <f t="shared" si="32"/>
        <v>0</v>
      </c>
      <c r="X370" s="41">
        <f t="shared" si="28"/>
        <v>0</v>
      </c>
      <c r="Y370" s="11"/>
      <c r="Z370" s="11"/>
      <c r="AA370" s="11"/>
      <c r="AB370" s="11"/>
      <c r="AC370" s="24"/>
    </row>
    <row r="371" spans="1:29" x14ac:dyDescent="0.2">
      <c r="A371" s="11">
        <f>+'SERVICIO FAENA'!A371</f>
        <v>0</v>
      </c>
      <c r="B371" s="11">
        <f>+'SERVICIO FAENA'!B371</f>
        <v>0</v>
      </c>
      <c r="C371" s="11"/>
      <c r="D371" s="11"/>
      <c r="E371" s="18">
        <f>+'SERVICIO FAENA'!E371</f>
        <v>0</v>
      </c>
      <c r="F371" s="11"/>
      <c r="G371" s="180" t="e">
        <f t="shared" si="29"/>
        <v>#DIV/0!</v>
      </c>
      <c r="H371" s="11"/>
      <c r="I371" s="11"/>
      <c r="J371" s="180" t="e">
        <f t="shared" si="30"/>
        <v>#DIV/0!</v>
      </c>
      <c r="K371" s="100"/>
      <c r="L371" s="100"/>
      <c r="M371" s="100"/>
      <c r="N371" s="100">
        <f t="shared" si="31"/>
        <v>0</v>
      </c>
      <c r="O371" s="100"/>
      <c r="P371" s="41">
        <v>880</v>
      </c>
      <c r="Q371" s="11"/>
      <c r="R371" s="41">
        <v>260</v>
      </c>
      <c r="S371" s="185"/>
      <c r="T371" s="185"/>
      <c r="U371" s="185"/>
      <c r="V371" s="185"/>
      <c r="W371" s="41">
        <f t="shared" si="32"/>
        <v>0</v>
      </c>
      <c r="X371" s="41">
        <f t="shared" si="28"/>
        <v>0</v>
      </c>
      <c r="Y371" s="11"/>
      <c r="Z371" s="11"/>
      <c r="AA371" s="11"/>
      <c r="AB371" s="11"/>
      <c r="AC371" s="24"/>
    </row>
    <row r="372" spans="1:29" x14ac:dyDescent="0.2">
      <c r="A372" s="11">
        <f>+'SERVICIO FAENA'!A372</f>
        <v>0</v>
      </c>
      <c r="B372" s="11">
        <f>+'SERVICIO FAENA'!B372</f>
        <v>0</v>
      </c>
      <c r="C372" s="11"/>
      <c r="D372" s="11"/>
      <c r="E372" s="18">
        <f>+'SERVICIO FAENA'!E372</f>
        <v>0</v>
      </c>
      <c r="F372" s="11"/>
      <c r="G372" s="180" t="e">
        <f t="shared" si="29"/>
        <v>#DIV/0!</v>
      </c>
      <c r="H372" s="11"/>
      <c r="I372" s="11"/>
      <c r="J372" s="180" t="e">
        <f t="shared" si="30"/>
        <v>#DIV/0!</v>
      </c>
      <c r="K372" s="100"/>
      <c r="L372" s="100"/>
      <c r="M372" s="100"/>
      <c r="N372" s="100">
        <f t="shared" si="31"/>
        <v>0</v>
      </c>
      <c r="O372" s="100"/>
      <c r="P372" s="41">
        <v>880</v>
      </c>
      <c r="Q372" s="11"/>
      <c r="R372" s="41">
        <v>260</v>
      </c>
      <c r="S372" s="185"/>
      <c r="T372" s="185"/>
      <c r="U372" s="185"/>
      <c r="V372" s="185"/>
      <c r="W372" s="41">
        <f t="shared" si="32"/>
        <v>0</v>
      </c>
      <c r="X372" s="41">
        <f t="shared" si="28"/>
        <v>0</v>
      </c>
      <c r="Y372" s="11"/>
      <c r="Z372" s="11"/>
      <c r="AA372" s="11"/>
      <c r="AB372" s="11"/>
      <c r="AC372" s="24"/>
    </row>
    <row r="373" spans="1:29" x14ac:dyDescent="0.2">
      <c r="A373" s="11">
        <f>+'SERVICIO FAENA'!A373</f>
        <v>0</v>
      </c>
      <c r="B373" s="11">
        <f>+'SERVICIO FAENA'!B373</f>
        <v>0</v>
      </c>
      <c r="C373" s="11"/>
      <c r="D373" s="11"/>
      <c r="E373" s="18">
        <f>+'SERVICIO FAENA'!E373</f>
        <v>0</v>
      </c>
      <c r="F373" s="11"/>
      <c r="G373" s="180" t="e">
        <f t="shared" si="29"/>
        <v>#DIV/0!</v>
      </c>
      <c r="H373" s="11"/>
      <c r="I373" s="11"/>
      <c r="J373" s="180" t="e">
        <f t="shared" si="30"/>
        <v>#DIV/0!</v>
      </c>
      <c r="K373" s="100"/>
      <c r="L373" s="100"/>
      <c r="M373" s="100"/>
      <c r="N373" s="100">
        <f t="shared" si="31"/>
        <v>0</v>
      </c>
      <c r="O373" s="100"/>
      <c r="P373" s="41">
        <v>880</v>
      </c>
      <c r="Q373" s="11"/>
      <c r="R373" s="41">
        <v>260</v>
      </c>
      <c r="S373" s="185"/>
      <c r="T373" s="185"/>
      <c r="U373" s="185"/>
      <c r="V373" s="185"/>
      <c r="W373" s="41">
        <f t="shared" si="32"/>
        <v>0</v>
      </c>
      <c r="X373" s="41">
        <f t="shared" si="28"/>
        <v>0</v>
      </c>
      <c r="Y373" s="11"/>
      <c r="Z373" s="11"/>
      <c r="AA373" s="11"/>
      <c r="AB373" s="11"/>
      <c r="AC373" s="24"/>
    </row>
    <row r="374" spans="1:29" x14ac:dyDescent="0.2">
      <c r="A374" s="11">
        <f>+'SERVICIO FAENA'!A374</f>
        <v>0</v>
      </c>
      <c r="B374" s="11">
        <f>+'SERVICIO FAENA'!B374</f>
        <v>0</v>
      </c>
      <c r="C374" s="11"/>
      <c r="D374" s="11"/>
      <c r="E374" s="18">
        <f>+'SERVICIO FAENA'!E374</f>
        <v>0</v>
      </c>
      <c r="F374" s="11"/>
      <c r="G374" s="180" t="e">
        <f t="shared" si="29"/>
        <v>#DIV/0!</v>
      </c>
      <c r="H374" s="11"/>
      <c r="I374" s="11"/>
      <c r="J374" s="180" t="e">
        <f t="shared" si="30"/>
        <v>#DIV/0!</v>
      </c>
      <c r="K374" s="100"/>
      <c r="L374" s="100"/>
      <c r="M374" s="100"/>
      <c r="N374" s="100">
        <f t="shared" si="31"/>
        <v>0</v>
      </c>
      <c r="O374" s="100"/>
      <c r="P374" s="41">
        <v>880</v>
      </c>
      <c r="Q374" s="11"/>
      <c r="R374" s="41">
        <v>260</v>
      </c>
      <c r="S374" s="185"/>
      <c r="T374" s="185"/>
      <c r="U374" s="185"/>
      <c r="V374" s="185"/>
      <c r="W374" s="41">
        <f t="shared" si="32"/>
        <v>0</v>
      </c>
      <c r="X374" s="41">
        <f t="shared" si="28"/>
        <v>0</v>
      </c>
      <c r="Y374" s="11"/>
      <c r="Z374" s="11"/>
      <c r="AA374" s="11"/>
      <c r="AB374" s="11"/>
      <c r="AC374" s="24"/>
    </row>
    <row r="375" spans="1:29" x14ac:dyDescent="0.2">
      <c r="A375" s="11">
        <f>+'SERVICIO FAENA'!A375</f>
        <v>0</v>
      </c>
      <c r="B375" s="11">
        <f>+'SERVICIO FAENA'!B375</f>
        <v>0</v>
      </c>
      <c r="C375" s="11"/>
      <c r="D375" s="11"/>
      <c r="E375" s="18">
        <f>+'SERVICIO FAENA'!E375</f>
        <v>0</v>
      </c>
      <c r="F375" s="11"/>
      <c r="G375" s="180" t="e">
        <f t="shared" si="29"/>
        <v>#DIV/0!</v>
      </c>
      <c r="H375" s="11"/>
      <c r="I375" s="11"/>
      <c r="J375" s="180" t="e">
        <f t="shared" si="30"/>
        <v>#DIV/0!</v>
      </c>
      <c r="K375" s="100"/>
      <c r="L375" s="100"/>
      <c r="M375" s="100"/>
      <c r="N375" s="100">
        <f t="shared" si="31"/>
        <v>0</v>
      </c>
      <c r="O375" s="100"/>
      <c r="P375" s="41">
        <v>880</v>
      </c>
      <c r="Q375" s="11"/>
      <c r="R375" s="41">
        <v>260</v>
      </c>
      <c r="S375" s="185"/>
      <c r="T375" s="185"/>
      <c r="U375" s="185"/>
      <c r="V375" s="185"/>
      <c r="W375" s="41">
        <f t="shared" si="32"/>
        <v>0</v>
      </c>
      <c r="X375" s="41">
        <f t="shared" si="28"/>
        <v>0</v>
      </c>
      <c r="Y375" s="11"/>
      <c r="Z375" s="11"/>
      <c r="AA375" s="11"/>
      <c r="AB375" s="11"/>
      <c r="AC375" s="24"/>
    </row>
    <row r="376" spans="1:29" x14ac:dyDescent="0.2">
      <c r="A376" s="11">
        <f>+'SERVICIO FAENA'!A376</f>
        <v>0</v>
      </c>
      <c r="B376" s="11">
        <f>+'SERVICIO FAENA'!B376</f>
        <v>0</v>
      </c>
      <c r="C376" s="11"/>
      <c r="D376" s="11"/>
      <c r="E376" s="18">
        <f>+'SERVICIO FAENA'!E376</f>
        <v>0</v>
      </c>
      <c r="F376" s="11"/>
      <c r="G376" s="180" t="e">
        <f t="shared" si="29"/>
        <v>#DIV/0!</v>
      </c>
      <c r="H376" s="11"/>
      <c r="I376" s="11"/>
      <c r="J376" s="180" t="e">
        <f t="shared" si="30"/>
        <v>#DIV/0!</v>
      </c>
      <c r="K376" s="100"/>
      <c r="L376" s="100"/>
      <c r="M376" s="100"/>
      <c r="N376" s="100">
        <f t="shared" si="31"/>
        <v>0</v>
      </c>
      <c r="O376" s="100"/>
      <c r="P376" s="41">
        <v>880</v>
      </c>
      <c r="Q376" s="11"/>
      <c r="R376" s="41">
        <v>260</v>
      </c>
      <c r="S376" s="185"/>
      <c r="T376" s="185"/>
      <c r="U376" s="185"/>
      <c r="V376" s="185"/>
      <c r="W376" s="41">
        <f t="shared" si="32"/>
        <v>0</v>
      </c>
      <c r="X376" s="41">
        <f t="shared" si="28"/>
        <v>0</v>
      </c>
      <c r="Y376" s="11"/>
      <c r="Z376" s="11"/>
      <c r="AA376" s="11"/>
      <c r="AB376" s="11"/>
      <c r="AC376" s="24"/>
    </row>
    <row r="377" spans="1:29" x14ac:dyDescent="0.2">
      <c r="A377" s="11">
        <f>+'SERVICIO FAENA'!A377</f>
        <v>0</v>
      </c>
      <c r="B377" s="11">
        <f>+'SERVICIO FAENA'!B377</f>
        <v>0</v>
      </c>
      <c r="C377" s="11"/>
      <c r="D377" s="11"/>
      <c r="E377" s="18">
        <f>+'SERVICIO FAENA'!E377</f>
        <v>0</v>
      </c>
      <c r="F377" s="11"/>
      <c r="G377" s="180" t="e">
        <f t="shared" si="29"/>
        <v>#DIV/0!</v>
      </c>
      <c r="H377" s="11"/>
      <c r="I377" s="11"/>
      <c r="J377" s="180" t="e">
        <f t="shared" si="30"/>
        <v>#DIV/0!</v>
      </c>
      <c r="K377" s="100"/>
      <c r="L377" s="100"/>
      <c r="M377" s="100"/>
      <c r="N377" s="100">
        <f t="shared" si="31"/>
        <v>0</v>
      </c>
      <c r="O377" s="100"/>
      <c r="P377" s="41">
        <v>880</v>
      </c>
      <c r="Q377" s="11"/>
      <c r="R377" s="41">
        <v>260</v>
      </c>
      <c r="S377" s="185"/>
      <c r="T377" s="185"/>
      <c r="U377" s="185"/>
      <c r="V377" s="185"/>
      <c r="W377" s="41">
        <f t="shared" si="32"/>
        <v>0</v>
      </c>
      <c r="X377" s="41">
        <f t="shared" si="28"/>
        <v>0</v>
      </c>
      <c r="Y377" s="11"/>
      <c r="Z377" s="11"/>
      <c r="AA377" s="11"/>
      <c r="AB377" s="11"/>
      <c r="AC377" s="24"/>
    </row>
    <row r="378" spans="1:29" x14ac:dyDescent="0.2">
      <c r="A378" s="11">
        <f>+'SERVICIO FAENA'!A378</f>
        <v>0</v>
      </c>
      <c r="B378" s="11">
        <f>+'SERVICIO FAENA'!B378</f>
        <v>0</v>
      </c>
      <c r="C378" s="11"/>
      <c r="D378" s="11"/>
      <c r="E378" s="18">
        <f>+'SERVICIO FAENA'!E378</f>
        <v>0</v>
      </c>
      <c r="F378" s="11"/>
      <c r="G378" s="180" t="e">
        <f t="shared" si="29"/>
        <v>#DIV/0!</v>
      </c>
      <c r="H378" s="11"/>
      <c r="I378" s="11"/>
      <c r="J378" s="180" t="e">
        <f t="shared" si="30"/>
        <v>#DIV/0!</v>
      </c>
      <c r="K378" s="100"/>
      <c r="L378" s="100"/>
      <c r="M378" s="100"/>
      <c r="N378" s="100">
        <f t="shared" si="31"/>
        <v>0</v>
      </c>
      <c r="O378" s="100"/>
      <c r="P378" s="41">
        <v>880</v>
      </c>
      <c r="Q378" s="11"/>
      <c r="R378" s="41">
        <v>260</v>
      </c>
      <c r="S378" s="185"/>
      <c r="T378" s="185"/>
      <c r="U378" s="185"/>
      <c r="V378" s="185"/>
      <c r="W378" s="41">
        <f t="shared" si="32"/>
        <v>0</v>
      </c>
      <c r="X378" s="41">
        <f t="shared" si="28"/>
        <v>0</v>
      </c>
      <c r="Y378" s="11"/>
      <c r="Z378" s="11"/>
      <c r="AA378" s="11"/>
      <c r="AB378" s="11"/>
      <c r="AC378" s="24"/>
    </row>
    <row r="379" spans="1:29" x14ac:dyDescent="0.2">
      <c r="A379" s="11">
        <f>+'SERVICIO FAENA'!A379</f>
        <v>0</v>
      </c>
      <c r="B379" s="11">
        <f>+'SERVICIO FAENA'!B379</f>
        <v>0</v>
      </c>
      <c r="C379" s="11"/>
      <c r="D379" s="11"/>
      <c r="E379" s="18">
        <f>+'SERVICIO FAENA'!E379</f>
        <v>0</v>
      </c>
      <c r="F379" s="11"/>
      <c r="G379" s="180" t="e">
        <f t="shared" si="29"/>
        <v>#DIV/0!</v>
      </c>
      <c r="H379" s="11"/>
      <c r="I379" s="11"/>
      <c r="J379" s="180" t="e">
        <f t="shared" si="30"/>
        <v>#DIV/0!</v>
      </c>
      <c r="K379" s="100"/>
      <c r="L379" s="100"/>
      <c r="M379" s="100"/>
      <c r="N379" s="100">
        <f t="shared" si="31"/>
        <v>0</v>
      </c>
      <c r="O379" s="100"/>
      <c r="P379" s="41">
        <v>880</v>
      </c>
      <c r="Q379" s="11"/>
      <c r="R379" s="41">
        <v>260</v>
      </c>
      <c r="S379" s="185"/>
      <c r="T379" s="185"/>
      <c r="U379" s="185"/>
      <c r="V379" s="185"/>
      <c r="W379" s="41">
        <f t="shared" si="32"/>
        <v>0</v>
      </c>
      <c r="X379" s="41">
        <f t="shared" si="28"/>
        <v>0</v>
      </c>
      <c r="Y379" s="11"/>
      <c r="Z379" s="11"/>
      <c r="AA379" s="11"/>
      <c r="AB379" s="11"/>
      <c r="AC379" s="24"/>
    </row>
    <row r="380" spans="1:29" x14ac:dyDescent="0.2">
      <c r="A380" s="11">
        <f>+'SERVICIO FAENA'!A380</f>
        <v>0</v>
      </c>
      <c r="B380" s="11">
        <f>+'SERVICIO FAENA'!B380</f>
        <v>0</v>
      </c>
      <c r="C380" s="11"/>
      <c r="D380" s="11"/>
      <c r="E380" s="18">
        <f>+'SERVICIO FAENA'!E380</f>
        <v>0</v>
      </c>
      <c r="F380" s="11"/>
      <c r="G380" s="180" t="e">
        <f t="shared" si="29"/>
        <v>#DIV/0!</v>
      </c>
      <c r="H380" s="11"/>
      <c r="I380" s="11"/>
      <c r="J380" s="180" t="e">
        <f t="shared" si="30"/>
        <v>#DIV/0!</v>
      </c>
      <c r="K380" s="100"/>
      <c r="L380" s="100"/>
      <c r="M380" s="100"/>
      <c r="N380" s="100">
        <f t="shared" si="31"/>
        <v>0</v>
      </c>
      <c r="O380" s="100"/>
      <c r="P380" s="41">
        <v>880</v>
      </c>
      <c r="Q380" s="11"/>
      <c r="R380" s="41">
        <v>260</v>
      </c>
      <c r="S380" s="185"/>
      <c r="T380" s="185"/>
      <c r="U380" s="185"/>
      <c r="V380" s="185"/>
      <c r="W380" s="41">
        <f t="shared" si="32"/>
        <v>0</v>
      </c>
      <c r="X380" s="41">
        <f t="shared" si="28"/>
        <v>0</v>
      </c>
      <c r="Y380" s="11"/>
      <c r="Z380" s="11"/>
      <c r="AA380" s="11"/>
      <c r="AB380" s="11"/>
      <c r="AC380" s="24"/>
    </row>
    <row r="381" spans="1:29" x14ac:dyDescent="0.2">
      <c r="A381" s="11">
        <f>+'SERVICIO FAENA'!A381</f>
        <v>0</v>
      </c>
      <c r="B381" s="11">
        <f>+'SERVICIO FAENA'!B381</f>
        <v>0</v>
      </c>
      <c r="C381" s="11"/>
      <c r="D381" s="11"/>
      <c r="E381" s="18">
        <f>+'SERVICIO FAENA'!E381</f>
        <v>0</v>
      </c>
      <c r="F381" s="11"/>
      <c r="G381" s="180" t="e">
        <f t="shared" si="29"/>
        <v>#DIV/0!</v>
      </c>
      <c r="H381" s="11"/>
      <c r="I381" s="11"/>
      <c r="J381" s="180" t="e">
        <f t="shared" si="30"/>
        <v>#DIV/0!</v>
      </c>
      <c r="K381" s="100"/>
      <c r="L381" s="100"/>
      <c r="M381" s="100"/>
      <c r="N381" s="100">
        <f t="shared" si="31"/>
        <v>0</v>
      </c>
      <c r="O381" s="100"/>
      <c r="P381" s="41">
        <v>880</v>
      </c>
      <c r="Q381" s="11"/>
      <c r="R381" s="41">
        <v>260</v>
      </c>
      <c r="S381" s="185"/>
      <c r="T381" s="185"/>
      <c r="U381" s="185"/>
      <c r="V381" s="185"/>
      <c r="W381" s="41">
        <f t="shared" si="32"/>
        <v>0</v>
      </c>
      <c r="X381" s="41">
        <f t="shared" si="28"/>
        <v>0</v>
      </c>
      <c r="Y381" s="11"/>
      <c r="Z381" s="11"/>
      <c r="AA381" s="11"/>
      <c r="AB381" s="11"/>
      <c r="AC381" s="24"/>
    </row>
    <row r="382" spans="1:29" x14ac:dyDescent="0.2">
      <c r="A382" s="11">
        <f>+'SERVICIO FAENA'!A382</f>
        <v>0</v>
      </c>
      <c r="B382" s="11">
        <f>+'SERVICIO FAENA'!B382</f>
        <v>0</v>
      </c>
      <c r="C382" s="11"/>
      <c r="D382" s="11"/>
      <c r="E382" s="18">
        <f>+'SERVICIO FAENA'!E382</f>
        <v>0</v>
      </c>
      <c r="F382" s="11"/>
      <c r="G382" s="180" t="e">
        <f t="shared" si="29"/>
        <v>#DIV/0!</v>
      </c>
      <c r="H382" s="11"/>
      <c r="I382" s="11"/>
      <c r="J382" s="180" t="e">
        <f t="shared" si="30"/>
        <v>#DIV/0!</v>
      </c>
      <c r="K382" s="100"/>
      <c r="L382" s="100"/>
      <c r="M382" s="100"/>
      <c r="N382" s="100">
        <f t="shared" si="31"/>
        <v>0</v>
      </c>
      <c r="O382" s="100"/>
      <c r="P382" s="41">
        <v>880</v>
      </c>
      <c r="Q382" s="11"/>
      <c r="R382" s="41">
        <v>260</v>
      </c>
      <c r="S382" s="185"/>
      <c r="T382" s="185"/>
      <c r="U382" s="185"/>
      <c r="V382" s="185"/>
      <c r="W382" s="41">
        <f t="shared" si="32"/>
        <v>0</v>
      </c>
      <c r="X382" s="41">
        <f t="shared" si="28"/>
        <v>0</v>
      </c>
      <c r="Y382" s="11"/>
      <c r="Z382" s="11"/>
      <c r="AA382" s="11"/>
      <c r="AB382" s="11"/>
      <c r="AC382" s="24"/>
    </row>
    <row r="383" spans="1:29" x14ac:dyDescent="0.2">
      <c r="A383" s="11">
        <f>+'SERVICIO FAENA'!A383</f>
        <v>0</v>
      </c>
      <c r="B383" s="11">
        <f>+'SERVICIO FAENA'!B383</f>
        <v>0</v>
      </c>
      <c r="C383" s="11"/>
      <c r="D383" s="11"/>
      <c r="E383" s="18">
        <f>+'SERVICIO FAENA'!E383</f>
        <v>0</v>
      </c>
      <c r="F383" s="11"/>
      <c r="G383" s="180" t="e">
        <f t="shared" si="29"/>
        <v>#DIV/0!</v>
      </c>
      <c r="H383" s="11"/>
      <c r="I383" s="11"/>
      <c r="J383" s="180" t="e">
        <f t="shared" si="30"/>
        <v>#DIV/0!</v>
      </c>
      <c r="K383" s="100"/>
      <c r="L383" s="100"/>
      <c r="M383" s="100"/>
      <c r="N383" s="100">
        <f t="shared" si="31"/>
        <v>0</v>
      </c>
      <c r="O383" s="100"/>
      <c r="P383" s="41">
        <v>880</v>
      </c>
      <c r="Q383" s="11"/>
      <c r="R383" s="41">
        <v>260</v>
      </c>
      <c r="S383" s="185"/>
      <c r="T383" s="185"/>
      <c r="U383" s="185"/>
      <c r="V383" s="185"/>
      <c r="W383" s="41">
        <f t="shared" si="32"/>
        <v>0</v>
      </c>
      <c r="X383" s="41">
        <f t="shared" si="28"/>
        <v>0</v>
      </c>
      <c r="Y383" s="11"/>
      <c r="Z383" s="11"/>
      <c r="AA383" s="11"/>
      <c r="AB383" s="11"/>
      <c r="AC383" s="24"/>
    </row>
    <row r="384" spans="1:29" x14ac:dyDescent="0.2">
      <c r="A384" s="11">
        <f>+'SERVICIO FAENA'!A384</f>
        <v>0</v>
      </c>
      <c r="B384" s="11">
        <f>+'SERVICIO FAENA'!B384</f>
        <v>0</v>
      </c>
      <c r="C384" s="11"/>
      <c r="D384" s="11"/>
      <c r="E384" s="18">
        <f>+'SERVICIO FAENA'!E384</f>
        <v>0</v>
      </c>
      <c r="F384" s="11"/>
      <c r="G384" s="180" t="e">
        <f t="shared" si="29"/>
        <v>#DIV/0!</v>
      </c>
      <c r="H384" s="11"/>
      <c r="I384" s="11"/>
      <c r="J384" s="180" t="e">
        <f t="shared" si="30"/>
        <v>#DIV/0!</v>
      </c>
      <c r="K384" s="100"/>
      <c r="L384" s="100"/>
      <c r="M384" s="100"/>
      <c r="N384" s="100">
        <f t="shared" si="31"/>
        <v>0</v>
      </c>
      <c r="O384" s="100"/>
      <c r="P384" s="41">
        <v>880</v>
      </c>
      <c r="Q384" s="11"/>
      <c r="R384" s="41">
        <v>260</v>
      </c>
      <c r="S384" s="185"/>
      <c r="T384" s="185"/>
      <c r="U384" s="185"/>
      <c r="V384" s="185"/>
      <c r="W384" s="41">
        <f t="shared" si="32"/>
        <v>0</v>
      </c>
      <c r="X384" s="41">
        <f t="shared" si="28"/>
        <v>0</v>
      </c>
      <c r="Y384" s="11"/>
      <c r="Z384" s="11"/>
      <c r="AA384" s="11"/>
      <c r="AB384" s="11"/>
      <c r="AC384" s="24"/>
    </row>
    <row r="385" spans="1:29" x14ac:dyDescent="0.2">
      <c r="A385" s="11">
        <f>+'SERVICIO FAENA'!A385</f>
        <v>0</v>
      </c>
      <c r="B385" s="11">
        <f>+'SERVICIO FAENA'!B385</f>
        <v>0</v>
      </c>
      <c r="C385" s="11"/>
      <c r="D385" s="11"/>
      <c r="E385" s="18">
        <f>+'SERVICIO FAENA'!E385</f>
        <v>0</v>
      </c>
      <c r="F385" s="11"/>
      <c r="G385" s="180" t="e">
        <f t="shared" si="29"/>
        <v>#DIV/0!</v>
      </c>
      <c r="H385" s="11"/>
      <c r="I385" s="11"/>
      <c r="J385" s="180" t="e">
        <f t="shared" si="30"/>
        <v>#DIV/0!</v>
      </c>
      <c r="K385" s="100"/>
      <c r="L385" s="100"/>
      <c r="M385" s="100"/>
      <c r="N385" s="100">
        <f t="shared" si="31"/>
        <v>0</v>
      </c>
      <c r="O385" s="100"/>
      <c r="P385" s="41">
        <v>880</v>
      </c>
      <c r="Q385" s="11"/>
      <c r="R385" s="41">
        <v>260</v>
      </c>
      <c r="S385" s="185"/>
      <c r="T385" s="185"/>
      <c r="U385" s="185"/>
      <c r="V385" s="185"/>
      <c r="W385" s="41">
        <f t="shared" si="32"/>
        <v>0</v>
      </c>
      <c r="X385" s="41">
        <f t="shared" si="28"/>
        <v>0</v>
      </c>
      <c r="Y385" s="11"/>
      <c r="Z385" s="11"/>
      <c r="AA385" s="11"/>
      <c r="AB385" s="11"/>
      <c r="AC385" s="24"/>
    </row>
    <row r="386" spans="1:29" x14ac:dyDescent="0.2">
      <c r="A386" s="11">
        <f>+'SERVICIO FAENA'!A386</f>
        <v>0</v>
      </c>
      <c r="B386" s="11">
        <f>+'SERVICIO FAENA'!B386</f>
        <v>0</v>
      </c>
      <c r="C386" s="11"/>
      <c r="D386" s="11"/>
      <c r="E386" s="18">
        <f>+'SERVICIO FAENA'!E386</f>
        <v>0</v>
      </c>
      <c r="F386" s="11"/>
      <c r="G386" s="180" t="e">
        <f t="shared" si="29"/>
        <v>#DIV/0!</v>
      </c>
      <c r="H386" s="11"/>
      <c r="I386" s="11"/>
      <c r="J386" s="180" t="e">
        <f t="shared" si="30"/>
        <v>#DIV/0!</v>
      </c>
      <c r="K386" s="100"/>
      <c r="L386" s="100"/>
      <c r="M386" s="100"/>
      <c r="N386" s="100">
        <f t="shared" si="31"/>
        <v>0</v>
      </c>
      <c r="O386" s="100"/>
      <c r="P386" s="41">
        <v>880</v>
      </c>
      <c r="Q386" s="11"/>
      <c r="R386" s="41">
        <v>260</v>
      </c>
      <c r="S386" s="185"/>
      <c r="T386" s="185"/>
      <c r="U386" s="185"/>
      <c r="V386" s="185"/>
      <c r="W386" s="41">
        <f t="shared" si="32"/>
        <v>0</v>
      </c>
      <c r="X386" s="41">
        <f t="shared" si="28"/>
        <v>0</v>
      </c>
      <c r="Y386" s="11"/>
      <c r="Z386" s="11"/>
      <c r="AA386" s="11"/>
      <c r="AB386" s="11"/>
      <c r="AC386" s="24"/>
    </row>
    <row r="387" spans="1:29" x14ac:dyDescent="0.2">
      <c r="A387" s="11">
        <f>+'SERVICIO FAENA'!A387</f>
        <v>0</v>
      </c>
      <c r="B387" s="11">
        <f>+'SERVICIO FAENA'!B387</f>
        <v>0</v>
      </c>
      <c r="C387" s="11"/>
      <c r="D387" s="11"/>
      <c r="E387" s="18">
        <f>+'SERVICIO FAENA'!E387</f>
        <v>0</v>
      </c>
      <c r="F387" s="11"/>
      <c r="G387" s="180" t="e">
        <f t="shared" si="29"/>
        <v>#DIV/0!</v>
      </c>
      <c r="H387" s="11"/>
      <c r="I387" s="11"/>
      <c r="J387" s="180" t="e">
        <f t="shared" si="30"/>
        <v>#DIV/0!</v>
      </c>
      <c r="K387" s="100"/>
      <c r="L387" s="100"/>
      <c r="M387" s="100"/>
      <c r="N387" s="100">
        <f t="shared" si="31"/>
        <v>0</v>
      </c>
      <c r="O387" s="100"/>
      <c r="P387" s="41">
        <v>880</v>
      </c>
      <c r="Q387" s="11"/>
      <c r="R387" s="41">
        <v>260</v>
      </c>
      <c r="S387" s="185"/>
      <c r="T387" s="185"/>
      <c r="U387" s="185"/>
      <c r="V387" s="185"/>
      <c r="W387" s="41">
        <f t="shared" si="32"/>
        <v>0</v>
      </c>
      <c r="X387" s="41">
        <f t="shared" ref="X387:X450" si="33">+((O387*P387)+(Q387*R387))*1.21</f>
        <v>0</v>
      </c>
      <c r="Y387" s="11"/>
      <c r="Z387" s="11"/>
      <c r="AA387" s="11"/>
      <c r="AB387" s="11"/>
      <c r="AC387" s="24"/>
    </row>
    <row r="388" spans="1:29" x14ac:dyDescent="0.2">
      <c r="A388" s="11">
        <f>+'SERVICIO FAENA'!A388</f>
        <v>0</v>
      </c>
      <c r="B388" s="11">
        <f>+'SERVICIO FAENA'!B388</f>
        <v>0</v>
      </c>
      <c r="C388" s="11"/>
      <c r="D388" s="11"/>
      <c r="E388" s="18">
        <f>+'SERVICIO FAENA'!E388</f>
        <v>0</v>
      </c>
      <c r="F388" s="11"/>
      <c r="G388" s="180" t="e">
        <f t="shared" ref="G388:G451" si="34">+F388/D388</f>
        <v>#DIV/0!</v>
      </c>
      <c r="H388" s="11"/>
      <c r="I388" s="11"/>
      <c r="J388" s="180" t="e">
        <f t="shared" si="30"/>
        <v>#DIV/0!</v>
      </c>
      <c r="K388" s="100"/>
      <c r="L388" s="100"/>
      <c r="M388" s="100"/>
      <c r="N388" s="100">
        <f t="shared" si="31"/>
        <v>0</v>
      </c>
      <c r="O388" s="100"/>
      <c r="P388" s="41">
        <v>880</v>
      </c>
      <c r="Q388" s="11"/>
      <c r="R388" s="41">
        <v>260</v>
      </c>
      <c r="S388" s="185"/>
      <c r="T388" s="185"/>
      <c r="U388" s="185"/>
      <c r="V388" s="185"/>
      <c r="W388" s="41">
        <f t="shared" si="32"/>
        <v>0</v>
      </c>
      <c r="X388" s="41">
        <f t="shared" si="33"/>
        <v>0</v>
      </c>
      <c r="Y388" s="11"/>
      <c r="Z388" s="11"/>
      <c r="AA388" s="11"/>
      <c r="AB388" s="11"/>
      <c r="AC388" s="24"/>
    </row>
    <row r="389" spans="1:29" x14ac:dyDescent="0.2">
      <c r="A389" s="11">
        <f>+'SERVICIO FAENA'!A389</f>
        <v>0</v>
      </c>
      <c r="B389" s="11">
        <f>+'SERVICIO FAENA'!B389</f>
        <v>0</v>
      </c>
      <c r="C389" s="11"/>
      <c r="D389" s="11"/>
      <c r="E389" s="18">
        <f>+'SERVICIO FAENA'!E389</f>
        <v>0</v>
      </c>
      <c r="F389" s="11"/>
      <c r="G389" s="180" t="e">
        <f t="shared" si="34"/>
        <v>#DIV/0!</v>
      </c>
      <c r="H389" s="11"/>
      <c r="I389" s="11"/>
      <c r="J389" s="180" t="e">
        <f t="shared" si="30"/>
        <v>#DIV/0!</v>
      </c>
      <c r="K389" s="100"/>
      <c r="L389" s="100"/>
      <c r="M389" s="100"/>
      <c r="N389" s="100">
        <f t="shared" si="31"/>
        <v>0</v>
      </c>
      <c r="O389" s="100"/>
      <c r="P389" s="41">
        <v>880</v>
      </c>
      <c r="Q389" s="11"/>
      <c r="R389" s="41">
        <v>260</v>
      </c>
      <c r="S389" s="185"/>
      <c r="T389" s="185"/>
      <c r="U389" s="185"/>
      <c r="V389" s="185"/>
      <c r="W389" s="41">
        <f t="shared" si="32"/>
        <v>0</v>
      </c>
      <c r="X389" s="41">
        <f t="shared" si="33"/>
        <v>0</v>
      </c>
      <c r="Y389" s="11"/>
      <c r="Z389" s="11"/>
      <c r="AA389" s="11"/>
      <c r="AB389" s="11"/>
      <c r="AC389" s="24"/>
    </row>
    <row r="390" spans="1:29" x14ac:dyDescent="0.2">
      <c r="A390" s="11">
        <f>+'SERVICIO FAENA'!A390</f>
        <v>0</v>
      </c>
      <c r="B390" s="11">
        <f>+'SERVICIO FAENA'!B390</f>
        <v>0</v>
      </c>
      <c r="C390" s="11"/>
      <c r="D390" s="11"/>
      <c r="E390" s="18">
        <f>+'SERVICIO FAENA'!E390</f>
        <v>0</v>
      </c>
      <c r="F390" s="11"/>
      <c r="G390" s="180" t="e">
        <f t="shared" si="34"/>
        <v>#DIV/0!</v>
      </c>
      <c r="H390" s="11"/>
      <c r="I390" s="11"/>
      <c r="J390" s="180" t="e">
        <f t="shared" si="30"/>
        <v>#DIV/0!</v>
      </c>
      <c r="K390" s="100"/>
      <c r="L390" s="100"/>
      <c r="M390" s="100"/>
      <c r="N390" s="100">
        <f t="shared" si="31"/>
        <v>0</v>
      </c>
      <c r="O390" s="100"/>
      <c r="P390" s="41">
        <v>880</v>
      </c>
      <c r="Q390" s="11"/>
      <c r="R390" s="41">
        <v>260</v>
      </c>
      <c r="S390" s="185"/>
      <c r="T390" s="185"/>
      <c r="U390" s="185"/>
      <c r="V390" s="185"/>
      <c r="W390" s="41">
        <f t="shared" si="32"/>
        <v>0</v>
      </c>
      <c r="X390" s="41">
        <f t="shared" si="33"/>
        <v>0</v>
      </c>
      <c r="Y390" s="11"/>
      <c r="Z390" s="11"/>
      <c r="AA390" s="11"/>
      <c r="AB390" s="11"/>
      <c r="AC390" s="24"/>
    </row>
    <row r="391" spans="1:29" x14ac:dyDescent="0.2">
      <c r="A391" s="11">
        <f>+'SERVICIO FAENA'!A391</f>
        <v>0</v>
      </c>
      <c r="B391" s="11">
        <f>+'SERVICIO FAENA'!B391</f>
        <v>0</v>
      </c>
      <c r="C391" s="11"/>
      <c r="D391" s="11"/>
      <c r="E391" s="18">
        <f>+'SERVICIO FAENA'!E391</f>
        <v>0</v>
      </c>
      <c r="F391" s="11"/>
      <c r="G391" s="180" t="e">
        <f t="shared" si="34"/>
        <v>#DIV/0!</v>
      </c>
      <c r="H391" s="11"/>
      <c r="I391" s="11"/>
      <c r="J391" s="180" t="e">
        <f t="shared" si="30"/>
        <v>#DIV/0!</v>
      </c>
      <c r="K391" s="100"/>
      <c r="L391" s="100"/>
      <c r="M391" s="100"/>
      <c r="N391" s="100">
        <f t="shared" si="31"/>
        <v>0</v>
      </c>
      <c r="O391" s="100"/>
      <c r="P391" s="41">
        <v>880</v>
      </c>
      <c r="Q391" s="11"/>
      <c r="R391" s="41">
        <v>260</v>
      </c>
      <c r="S391" s="185"/>
      <c r="T391" s="185"/>
      <c r="U391" s="185"/>
      <c r="V391" s="185"/>
      <c r="W391" s="41">
        <f t="shared" si="32"/>
        <v>0</v>
      </c>
      <c r="X391" s="41">
        <f t="shared" si="33"/>
        <v>0</v>
      </c>
      <c r="Y391" s="11"/>
      <c r="Z391" s="11"/>
      <c r="AA391" s="11"/>
      <c r="AB391" s="11"/>
      <c r="AC391" s="24"/>
    </row>
    <row r="392" spans="1:29" x14ac:dyDescent="0.2">
      <c r="A392" s="11">
        <f>+'SERVICIO FAENA'!A392</f>
        <v>0</v>
      </c>
      <c r="B392" s="11">
        <f>+'SERVICIO FAENA'!B392</f>
        <v>0</v>
      </c>
      <c r="C392" s="11"/>
      <c r="D392" s="11"/>
      <c r="E392" s="18">
        <f>+'SERVICIO FAENA'!E392</f>
        <v>0</v>
      </c>
      <c r="F392" s="11"/>
      <c r="G392" s="180" t="e">
        <f t="shared" si="34"/>
        <v>#DIV/0!</v>
      </c>
      <c r="H392" s="11"/>
      <c r="I392" s="11"/>
      <c r="J392" s="180" t="e">
        <f t="shared" si="30"/>
        <v>#DIV/0!</v>
      </c>
      <c r="K392" s="100"/>
      <c r="L392" s="100"/>
      <c r="M392" s="100"/>
      <c r="N392" s="100">
        <f t="shared" si="31"/>
        <v>0</v>
      </c>
      <c r="O392" s="100"/>
      <c r="P392" s="41">
        <v>880</v>
      </c>
      <c r="Q392" s="11"/>
      <c r="R392" s="41">
        <v>260</v>
      </c>
      <c r="S392" s="185"/>
      <c r="T392" s="185"/>
      <c r="U392" s="185"/>
      <c r="V392" s="185"/>
      <c r="W392" s="41">
        <f t="shared" si="32"/>
        <v>0</v>
      </c>
      <c r="X392" s="41">
        <f t="shared" si="33"/>
        <v>0</v>
      </c>
      <c r="Y392" s="11"/>
      <c r="Z392" s="11"/>
      <c r="AA392" s="11"/>
      <c r="AB392" s="11"/>
      <c r="AC392" s="24"/>
    </row>
    <row r="393" spans="1:29" x14ac:dyDescent="0.2">
      <c r="A393" s="11">
        <f>+'SERVICIO FAENA'!A393</f>
        <v>0</v>
      </c>
      <c r="B393" s="11">
        <f>+'SERVICIO FAENA'!B393</f>
        <v>0</v>
      </c>
      <c r="C393" s="11"/>
      <c r="D393" s="11"/>
      <c r="E393" s="18">
        <f>+'SERVICIO FAENA'!E393</f>
        <v>0</v>
      </c>
      <c r="F393" s="11"/>
      <c r="G393" s="180" t="e">
        <f t="shared" si="34"/>
        <v>#DIV/0!</v>
      </c>
      <c r="H393" s="11"/>
      <c r="I393" s="11"/>
      <c r="J393" s="180" t="e">
        <f t="shared" si="30"/>
        <v>#DIV/0!</v>
      </c>
      <c r="K393" s="100"/>
      <c r="L393" s="100"/>
      <c r="M393" s="100"/>
      <c r="N393" s="100">
        <f t="shared" si="31"/>
        <v>0</v>
      </c>
      <c r="O393" s="100"/>
      <c r="P393" s="41">
        <v>880</v>
      </c>
      <c r="Q393" s="11"/>
      <c r="R393" s="41">
        <v>260</v>
      </c>
      <c r="S393" s="185"/>
      <c r="T393" s="185"/>
      <c r="U393" s="185"/>
      <c r="V393" s="185"/>
      <c r="W393" s="41">
        <f t="shared" si="32"/>
        <v>0</v>
      </c>
      <c r="X393" s="41">
        <f t="shared" si="33"/>
        <v>0</v>
      </c>
      <c r="Y393" s="11"/>
      <c r="Z393" s="11"/>
      <c r="AA393" s="11"/>
      <c r="AB393" s="11"/>
      <c r="AC393" s="24"/>
    </row>
    <row r="394" spans="1:29" x14ac:dyDescent="0.2">
      <c r="A394" s="11">
        <f>+'SERVICIO FAENA'!A394</f>
        <v>0</v>
      </c>
      <c r="B394" s="11">
        <f>+'SERVICIO FAENA'!B394</f>
        <v>0</v>
      </c>
      <c r="C394" s="11"/>
      <c r="D394" s="11"/>
      <c r="E394" s="18">
        <f>+'SERVICIO FAENA'!E394</f>
        <v>0</v>
      </c>
      <c r="F394" s="11"/>
      <c r="G394" s="180" t="e">
        <f t="shared" si="34"/>
        <v>#DIV/0!</v>
      </c>
      <c r="H394" s="11"/>
      <c r="I394" s="11"/>
      <c r="J394" s="180" t="e">
        <f t="shared" si="30"/>
        <v>#DIV/0!</v>
      </c>
      <c r="K394" s="100"/>
      <c r="L394" s="100"/>
      <c r="M394" s="100"/>
      <c r="N394" s="100">
        <f t="shared" si="31"/>
        <v>0</v>
      </c>
      <c r="O394" s="100"/>
      <c r="P394" s="41">
        <v>880</v>
      </c>
      <c r="Q394" s="11"/>
      <c r="R394" s="41">
        <v>260</v>
      </c>
      <c r="S394" s="185"/>
      <c r="T394" s="185"/>
      <c r="U394" s="185"/>
      <c r="V394" s="185"/>
      <c r="W394" s="41">
        <f t="shared" si="32"/>
        <v>0</v>
      </c>
      <c r="X394" s="41">
        <f t="shared" si="33"/>
        <v>0</v>
      </c>
      <c r="Y394" s="11"/>
      <c r="Z394" s="11"/>
      <c r="AA394" s="11"/>
      <c r="AB394" s="11"/>
      <c r="AC394" s="24"/>
    </row>
    <row r="395" spans="1:29" x14ac:dyDescent="0.2">
      <c r="A395" s="11">
        <f>+'SERVICIO FAENA'!A395</f>
        <v>0</v>
      </c>
      <c r="B395" s="11">
        <f>+'SERVICIO FAENA'!B395</f>
        <v>0</v>
      </c>
      <c r="C395" s="11"/>
      <c r="D395" s="11"/>
      <c r="E395" s="18">
        <f>+'SERVICIO FAENA'!E395</f>
        <v>0</v>
      </c>
      <c r="F395" s="11"/>
      <c r="G395" s="180" t="e">
        <f t="shared" si="34"/>
        <v>#DIV/0!</v>
      </c>
      <c r="H395" s="11"/>
      <c r="I395" s="11"/>
      <c r="J395" s="180" t="e">
        <f t="shared" si="30"/>
        <v>#DIV/0!</v>
      </c>
      <c r="K395" s="100"/>
      <c r="L395" s="100"/>
      <c r="M395" s="100"/>
      <c r="N395" s="100">
        <f t="shared" si="31"/>
        <v>0</v>
      </c>
      <c r="O395" s="100"/>
      <c r="P395" s="41">
        <v>880</v>
      </c>
      <c r="Q395" s="11"/>
      <c r="R395" s="41">
        <v>260</v>
      </c>
      <c r="S395" s="185"/>
      <c r="T395" s="185"/>
      <c r="U395" s="185"/>
      <c r="V395" s="185"/>
      <c r="W395" s="41">
        <f t="shared" si="32"/>
        <v>0</v>
      </c>
      <c r="X395" s="41">
        <f t="shared" si="33"/>
        <v>0</v>
      </c>
      <c r="Y395" s="11"/>
      <c r="Z395" s="11"/>
      <c r="AA395" s="11"/>
      <c r="AB395" s="11"/>
      <c r="AC395" s="24"/>
    </row>
    <row r="396" spans="1:29" x14ac:dyDescent="0.2">
      <c r="A396" s="11">
        <f>+'SERVICIO FAENA'!A396</f>
        <v>0</v>
      </c>
      <c r="B396" s="11">
        <f>+'SERVICIO FAENA'!B396</f>
        <v>0</v>
      </c>
      <c r="C396" s="11"/>
      <c r="D396" s="11"/>
      <c r="E396" s="18">
        <f>+'SERVICIO FAENA'!E396</f>
        <v>0</v>
      </c>
      <c r="F396" s="11"/>
      <c r="G396" s="180" t="e">
        <f t="shared" si="34"/>
        <v>#DIV/0!</v>
      </c>
      <c r="H396" s="11"/>
      <c r="I396" s="11"/>
      <c r="J396" s="180" t="e">
        <f t="shared" si="30"/>
        <v>#DIV/0!</v>
      </c>
      <c r="K396" s="100"/>
      <c r="L396" s="100"/>
      <c r="M396" s="100"/>
      <c r="N396" s="100">
        <f t="shared" si="31"/>
        <v>0</v>
      </c>
      <c r="O396" s="100"/>
      <c r="P396" s="41">
        <v>880</v>
      </c>
      <c r="Q396" s="11"/>
      <c r="R396" s="41">
        <v>260</v>
      </c>
      <c r="S396" s="185"/>
      <c r="T396" s="185"/>
      <c r="U396" s="185"/>
      <c r="V396" s="185"/>
      <c r="W396" s="41">
        <f t="shared" si="32"/>
        <v>0</v>
      </c>
      <c r="X396" s="41">
        <f t="shared" si="33"/>
        <v>0</v>
      </c>
      <c r="Y396" s="11"/>
      <c r="Z396" s="11"/>
      <c r="AA396" s="11"/>
      <c r="AB396" s="11"/>
      <c r="AC396" s="24"/>
    </row>
    <row r="397" spans="1:29" x14ac:dyDescent="0.2">
      <c r="A397" s="11">
        <f>+'SERVICIO FAENA'!A397</f>
        <v>0</v>
      </c>
      <c r="B397" s="11">
        <f>+'SERVICIO FAENA'!B397</f>
        <v>0</v>
      </c>
      <c r="C397" s="11"/>
      <c r="D397" s="11"/>
      <c r="E397" s="18">
        <f>+'SERVICIO FAENA'!E397</f>
        <v>0</v>
      </c>
      <c r="F397" s="11"/>
      <c r="G397" s="180" t="e">
        <f t="shared" si="34"/>
        <v>#DIV/0!</v>
      </c>
      <c r="H397" s="11"/>
      <c r="I397" s="11"/>
      <c r="J397" s="180" t="e">
        <f t="shared" si="30"/>
        <v>#DIV/0!</v>
      </c>
      <c r="K397" s="100"/>
      <c r="L397" s="100"/>
      <c r="M397" s="100"/>
      <c r="N397" s="100">
        <f t="shared" si="31"/>
        <v>0</v>
      </c>
      <c r="O397" s="100"/>
      <c r="P397" s="41">
        <v>880</v>
      </c>
      <c r="Q397" s="11"/>
      <c r="R397" s="41">
        <v>260</v>
      </c>
      <c r="S397" s="185"/>
      <c r="T397" s="185"/>
      <c r="U397" s="185"/>
      <c r="V397" s="185"/>
      <c r="W397" s="41">
        <f t="shared" si="32"/>
        <v>0</v>
      </c>
      <c r="X397" s="41">
        <f t="shared" si="33"/>
        <v>0</v>
      </c>
      <c r="Y397" s="11"/>
      <c r="Z397" s="11"/>
      <c r="AA397" s="11"/>
      <c r="AB397" s="11"/>
      <c r="AC397" s="24"/>
    </row>
    <row r="398" spans="1:29" x14ac:dyDescent="0.2">
      <c r="A398" s="11">
        <f>+'SERVICIO FAENA'!A398</f>
        <v>0</v>
      </c>
      <c r="B398" s="11">
        <f>+'SERVICIO FAENA'!B398</f>
        <v>0</v>
      </c>
      <c r="C398" s="11"/>
      <c r="D398" s="11"/>
      <c r="E398" s="18">
        <f>+'SERVICIO FAENA'!E398</f>
        <v>0</v>
      </c>
      <c r="F398" s="11"/>
      <c r="G398" s="180" t="e">
        <f t="shared" si="34"/>
        <v>#DIV/0!</v>
      </c>
      <c r="H398" s="11"/>
      <c r="I398" s="11"/>
      <c r="J398" s="180" t="e">
        <f t="shared" si="30"/>
        <v>#DIV/0!</v>
      </c>
      <c r="K398" s="100"/>
      <c r="L398" s="100"/>
      <c r="M398" s="100"/>
      <c r="N398" s="100">
        <f t="shared" si="31"/>
        <v>0</v>
      </c>
      <c r="O398" s="100"/>
      <c r="P398" s="41">
        <v>880</v>
      </c>
      <c r="Q398" s="11"/>
      <c r="R398" s="41">
        <v>260</v>
      </c>
      <c r="S398" s="185"/>
      <c r="T398" s="185"/>
      <c r="U398" s="185"/>
      <c r="V398" s="185"/>
      <c r="W398" s="41">
        <f t="shared" si="32"/>
        <v>0</v>
      </c>
      <c r="X398" s="41">
        <f t="shared" si="33"/>
        <v>0</v>
      </c>
      <c r="Y398" s="11"/>
      <c r="Z398" s="11"/>
      <c r="AA398" s="11"/>
      <c r="AB398" s="11"/>
      <c r="AC398" s="24"/>
    </row>
    <row r="399" spans="1:29" x14ac:dyDescent="0.2">
      <c r="A399" s="11">
        <f>+'SERVICIO FAENA'!A399</f>
        <v>0</v>
      </c>
      <c r="B399" s="11">
        <f>+'SERVICIO FAENA'!B399</f>
        <v>0</v>
      </c>
      <c r="C399" s="11"/>
      <c r="D399" s="11"/>
      <c r="E399" s="18">
        <f>+'SERVICIO FAENA'!E399</f>
        <v>0</v>
      </c>
      <c r="F399" s="11"/>
      <c r="G399" s="180" t="e">
        <f t="shared" si="34"/>
        <v>#DIV/0!</v>
      </c>
      <c r="H399" s="11"/>
      <c r="I399" s="11"/>
      <c r="J399" s="180" t="e">
        <f t="shared" si="30"/>
        <v>#DIV/0!</v>
      </c>
      <c r="K399" s="100"/>
      <c r="L399" s="100"/>
      <c r="M399" s="100"/>
      <c r="N399" s="100">
        <f t="shared" si="31"/>
        <v>0</v>
      </c>
      <c r="O399" s="100"/>
      <c r="P399" s="41">
        <v>880</v>
      </c>
      <c r="Q399" s="11"/>
      <c r="R399" s="41">
        <v>260</v>
      </c>
      <c r="S399" s="185"/>
      <c r="T399" s="185"/>
      <c r="U399" s="185"/>
      <c r="V399" s="185"/>
      <c r="W399" s="41">
        <f t="shared" si="32"/>
        <v>0</v>
      </c>
      <c r="X399" s="41">
        <f t="shared" si="33"/>
        <v>0</v>
      </c>
      <c r="Y399" s="11"/>
      <c r="Z399" s="11"/>
      <c r="AA399" s="11"/>
      <c r="AB399" s="11"/>
      <c r="AC399" s="24"/>
    </row>
    <row r="400" spans="1:29" x14ac:dyDescent="0.2">
      <c r="A400" s="11">
        <f>+'SERVICIO FAENA'!A400</f>
        <v>0</v>
      </c>
      <c r="B400" s="11">
        <f>+'SERVICIO FAENA'!B400</f>
        <v>0</v>
      </c>
      <c r="C400" s="11"/>
      <c r="D400" s="11"/>
      <c r="E400" s="18">
        <f>+'SERVICIO FAENA'!E400</f>
        <v>0</v>
      </c>
      <c r="F400" s="11"/>
      <c r="G400" s="180" t="e">
        <f t="shared" si="34"/>
        <v>#DIV/0!</v>
      </c>
      <c r="H400" s="11"/>
      <c r="I400" s="11"/>
      <c r="J400" s="180" t="e">
        <f t="shared" si="30"/>
        <v>#DIV/0!</v>
      </c>
      <c r="K400" s="100"/>
      <c r="L400" s="100"/>
      <c r="M400" s="100"/>
      <c r="N400" s="100">
        <f t="shared" si="31"/>
        <v>0</v>
      </c>
      <c r="O400" s="100"/>
      <c r="P400" s="41">
        <v>880</v>
      </c>
      <c r="Q400" s="11"/>
      <c r="R400" s="41">
        <v>260</v>
      </c>
      <c r="S400" s="185"/>
      <c r="T400" s="185"/>
      <c r="U400" s="185"/>
      <c r="V400" s="185"/>
      <c r="W400" s="41">
        <f t="shared" si="32"/>
        <v>0</v>
      </c>
      <c r="X400" s="41">
        <f t="shared" si="33"/>
        <v>0</v>
      </c>
      <c r="Y400" s="11"/>
      <c r="Z400" s="11"/>
      <c r="AA400" s="11"/>
      <c r="AB400" s="11"/>
      <c r="AC400" s="24"/>
    </row>
    <row r="401" spans="1:29" x14ac:dyDescent="0.2">
      <c r="A401" s="11">
        <f>+'SERVICIO FAENA'!A401</f>
        <v>0</v>
      </c>
      <c r="B401" s="11">
        <f>+'SERVICIO FAENA'!B401</f>
        <v>0</v>
      </c>
      <c r="C401" s="11"/>
      <c r="D401" s="11"/>
      <c r="E401" s="18">
        <f>+'SERVICIO FAENA'!E401</f>
        <v>0</v>
      </c>
      <c r="F401" s="11"/>
      <c r="G401" s="180" t="e">
        <f t="shared" si="34"/>
        <v>#DIV/0!</v>
      </c>
      <c r="H401" s="11"/>
      <c r="I401" s="11"/>
      <c r="J401" s="180" t="e">
        <f t="shared" si="30"/>
        <v>#DIV/0!</v>
      </c>
      <c r="K401" s="100"/>
      <c r="L401" s="100"/>
      <c r="M401" s="100"/>
      <c r="N401" s="100">
        <f t="shared" si="31"/>
        <v>0</v>
      </c>
      <c r="O401" s="100"/>
      <c r="P401" s="41">
        <v>880</v>
      </c>
      <c r="Q401" s="11"/>
      <c r="R401" s="41">
        <v>260</v>
      </c>
      <c r="S401" s="185"/>
      <c r="T401" s="185"/>
      <c r="U401" s="185"/>
      <c r="V401" s="185"/>
      <c r="W401" s="41">
        <f t="shared" si="32"/>
        <v>0</v>
      </c>
      <c r="X401" s="41">
        <f t="shared" si="33"/>
        <v>0</v>
      </c>
      <c r="Y401" s="11"/>
      <c r="Z401" s="11"/>
      <c r="AA401" s="11"/>
      <c r="AB401" s="11"/>
      <c r="AC401" s="24"/>
    </row>
    <row r="402" spans="1:29" x14ac:dyDescent="0.2">
      <c r="A402" s="11">
        <f>+'SERVICIO FAENA'!A402</f>
        <v>0</v>
      </c>
      <c r="B402" s="11">
        <f>+'SERVICIO FAENA'!B402</f>
        <v>0</v>
      </c>
      <c r="C402" s="11"/>
      <c r="D402" s="11"/>
      <c r="E402" s="18">
        <f>+'SERVICIO FAENA'!E402</f>
        <v>0</v>
      </c>
      <c r="F402" s="11"/>
      <c r="G402" s="180" t="e">
        <f t="shared" si="34"/>
        <v>#DIV/0!</v>
      </c>
      <c r="H402" s="11"/>
      <c r="I402" s="11"/>
      <c r="J402" s="180" t="e">
        <f t="shared" si="30"/>
        <v>#DIV/0!</v>
      </c>
      <c r="K402" s="100"/>
      <c r="L402" s="100"/>
      <c r="M402" s="100"/>
      <c r="N402" s="100">
        <f t="shared" si="31"/>
        <v>0</v>
      </c>
      <c r="O402" s="100"/>
      <c r="P402" s="41">
        <v>880</v>
      </c>
      <c r="Q402" s="11"/>
      <c r="R402" s="41">
        <v>260</v>
      </c>
      <c r="S402" s="185"/>
      <c r="T402" s="185"/>
      <c r="U402" s="185"/>
      <c r="V402" s="185"/>
      <c r="W402" s="41">
        <f t="shared" si="32"/>
        <v>0</v>
      </c>
      <c r="X402" s="41">
        <f t="shared" si="33"/>
        <v>0</v>
      </c>
      <c r="Y402" s="11"/>
      <c r="Z402" s="11"/>
      <c r="AA402" s="11"/>
      <c r="AB402" s="11"/>
      <c r="AC402" s="24"/>
    </row>
    <row r="403" spans="1:29" x14ac:dyDescent="0.2">
      <c r="A403" s="11">
        <f>+'SERVICIO FAENA'!A403</f>
        <v>0</v>
      </c>
      <c r="B403" s="11">
        <f>+'SERVICIO FAENA'!B403</f>
        <v>0</v>
      </c>
      <c r="C403" s="11"/>
      <c r="D403" s="11"/>
      <c r="E403" s="18">
        <f>+'SERVICIO FAENA'!E403</f>
        <v>0</v>
      </c>
      <c r="F403" s="11"/>
      <c r="G403" s="180" t="e">
        <f t="shared" si="34"/>
        <v>#DIV/0!</v>
      </c>
      <c r="H403" s="11"/>
      <c r="I403" s="11"/>
      <c r="J403" s="180" t="e">
        <f t="shared" si="30"/>
        <v>#DIV/0!</v>
      </c>
      <c r="K403" s="100"/>
      <c r="L403" s="100"/>
      <c r="M403" s="100"/>
      <c r="N403" s="100">
        <f t="shared" si="31"/>
        <v>0</v>
      </c>
      <c r="O403" s="100"/>
      <c r="P403" s="41">
        <v>880</v>
      </c>
      <c r="Q403" s="11"/>
      <c r="R403" s="41">
        <v>260</v>
      </c>
      <c r="S403" s="185"/>
      <c r="T403" s="185"/>
      <c r="U403" s="185"/>
      <c r="V403" s="185"/>
      <c r="W403" s="41">
        <f t="shared" si="32"/>
        <v>0</v>
      </c>
      <c r="X403" s="41">
        <f t="shared" si="33"/>
        <v>0</v>
      </c>
      <c r="Y403" s="11"/>
      <c r="Z403" s="11"/>
      <c r="AA403" s="11"/>
      <c r="AB403" s="11"/>
      <c r="AC403" s="24"/>
    </row>
    <row r="404" spans="1:29" x14ac:dyDescent="0.2">
      <c r="A404" s="11">
        <f>+'SERVICIO FAENA'!A404</f>
        <v>0</v>
      </c>
      <c r="B404" s="11">
        <f>+'SERVICIO FAENA'!B404</f>
        <v>0</v>
      </c>
      <c r="C404" s="11"/>
      <c r="D404" s="11"/>
      <c r="E404" s="18">
        <f>+'SERVICIO FAENA'!E404</f>
        <v>0</v>
      </c>
      <c r="F404" s="11"/>
      <c r="G404" s="180" t="e">
        <f t="shared" si="34"/>
        <v>#DIV/0!</v>
      </c>
      <c r="H404" s="11"/>
      <c r="I404" s="11"/>
      <c r="J404" s="180" t="e">
        <f t="shared" si="30"/>
        <v>#DIV/0!</v>
      </c>
      <c r="K404" s="100"/>
      <c r="L404" s="100"/>
      <c r="M404" s="100"/>
      <c r="N404" s="100">
        <f t="shared" si="31"/>
        <v>0</v>
      </c>
      <c r="O404" s="100"/>
      <c r="P404" s="41">
        <v>880</v>
      </c>
      <c r="Q404" s="11"/>
      <c r="R404" s="41">
        <v>260</v>
      </c>
      <c r="S404" s="185"/>
      <c r="T404" s="185"/>
      <c r="U404" s="185"/>
      <c r="V404" s="185"/>
      <c r="W404" s="41">
        <f t="shared" si="32"/>
        <v>0</v>
      </c>
      <c r="X404" s="41">
        <f t="shared" si="33"/>
        <v>0</v>
      </c>
      <c r="Y404" s="11"/>
      <c r="Z404" s="11"/>
      <c r="AA404" s="11"/>
      <c r="AB404" s="11"/>
      <c r="AC404" s="24"/>
    </row>
    <row r="405" spans="1:29" x14ac:dyDescent="0.2">
      <c r="A405" s="11">
        <f>+'SERVICIO FAENA'!A405</f>
        <v>0</v>
      </c>
      <c r="B405" s="11">
        <f>+'SERVICIO FAENA'!B405</f>
        <v>0</v>
      </c>
      <c r="C405" s="11"/>
      <c r="D405" s="11"/>
      <c r="E405" s="18">
        <f>+'SERVICIO FAENA'!E405</f>
        <v>0</v>
      </c>
      <c r="F405" s="11"/>
      <c r="G405" s="180" t="e">
        <f t="shared" si="34"/>
        <v>#DIV/0!</v>
      </c>
      <c r="H405" s="11"/>
      <c r="I405" s="11"/>
      <c r="J405" s="180" t="e">
        <f t="shared" si="30"/>
        <v>#DIV/0!</v>
      </c>
      <c r="K405" s="100"/>
      <c r="L405" s="100"/>
      <c r="M405" s="100"/>
      <c r="N405" s="100">
        <f t="shared" si="31"/>
        <v>0</v>
      </c>
      <c r="O405" s="100"/>
      <c r="P405" s="41">
        <v>880</v>
      </c>
      <c r="Q405" s="11"/>
      <c r="R405" s="41">
        <v>260</v>
      </c>
      <c r="S405" s="185"/>
      <c r="T405" s="185"/>
      <c r="U405" s="185"/>
      <c r="V405" s="185"/>
      <c r="W405" s="41">
        <f t="shared" si="32"/>
        <v>0</v>
      </c>
      <c r="X405" s="41">
        <f t="shared" si="33"/>
        <v>0</v>
      </c>
      <c r="Y405" s="11"/>
      <c r="Z405" s="11"/>
      <c r="AA405" s="11"/>
      <c r="AB405" s="11"/>
      <c r="AC405" s="24"/>
    </row>
    <row r="406" spans="1:29" x14ac:dyDescent="0.2">
      <c r="A406" s="11">
        <f>+'SERVICIO FAENA'!A406</f>
        <v>0</v>
      </c>
      <c r="B406" s="11">
        <f>+'SERVICIO FAENA'!B406</f>
        <v>0</v>
      </c>
      <c r="C406" s="11"/>
      <c r="D406" s="11"/>
      <c r="E406" s="18">
        <f>+'SERVICIO FAENA'!E406</f>
        <v>0</v>
      </c>
      <c r="F406" s="11"/>
      <c r="G406" s="180" t="e">
        <f t="shared" si="34"/>
        <v>#DIV/0!</v>
      </c>
      <c r="H406" s="11"/>
      <c r="I406" s="11"/>
      <c r="J406" s="180" t="e">
        <f t="shared" si="30"/>
        <v>#DIV/0!</v>
      </c>
      <c r="K406" s="100"/>
      <c r="L406" s="100"/>
      <c r="M406" s="100"/>
      <c r="N406" s="100">
        <f t="shared" si="31"/>
        <v>0</v>
      </c>
      <c r="O406" s="100"/>
      <c r="P406" s="41">
        <v>880</v>
      </c>
      <c r="Q406" s="11"/>
      <c r="R406" s="41">
        <v>260</v>
      </c>
      <c r="S406" s="185"/>
      <c r="T406" s="185"/>
      <c r="U406" s="185"/>
      <c r="V406" s="185"/>
      <c r="W406" s="41">
        <f t="shared" si="32"/>
        <v>0</v>
      </c>
      <c r="X406" s="41">
        <f t="shared" si="33"/>
        <v>0</v>
      </c>
      <c r="Y406" s="11"/>
      <c r="Z406" s="11"/>
      <c r="AA406" s="11"/>
      <c r="AB406" s="11"/>
      <c r="AC406" s="24"/>
    </row>
    <row r="407" spans="1:29" x14ac:dyDescent="0.2">
      <c r="A407" s="11">
        <f>+'SERVICIO FAENA'!A407</f>
        <v>0</v>
      </c>
      <c r="B407" s="11">
        <f>+'SERVICIO FAENA'!B407</f>
        <v>0</v>
      </c>
      <c r="C407" s="11"/>
      <c r="D407" s="11"/>
      <c r="E407" s="18">
        <f>+'SERVICIO FAENA'!E407</f>
        <v>0</v>
      </c>
      <c r="F407" s="11"/>
      <c r="G407" s="180" t="e">
        <f t="shared" si="34"/>
        <v>#DIV/0!</v>
      </c>
      <c r="H407" s="11"/>
      <c r="I407" s="11"/>
      <c r="J407" s="180" t="e">
        <f t="shared" si="30"/>
        <v>#DIV/0!</v>
      </c>
      <c r="K407" s="100"/>
      <c r="L407" s="100"/>
      <c r="M407" s="100"/>
      <c r="N407" s="100">
        <f t="shared" si="31"/>
        <v>0</v>
      </c>
      <c r="O407" s="100"/>
      <c r="P407" s="41">
        <v>880</v>
      </c>
      <c r="Q407" s="11"/>
      <c r="R407" s="41">
        <v>260</v>
      </c>
      <c r="S407" s="185"/>
      <c r="T407" s="185"/>
      <c r="U407" s="185"/>
      <c r="V407" s="185"/>
      <c r="W407" s="41">
        <f t="shared" si="32"/>
        <v>0</v>
      </c>
      <c r="X407" s="41">
        <f t="shared" si="33"/>
        <v>0</v>
      </c>
      <c r="Y407" s="11"/>
      <c r="Z407" s="11"/>
      <c r="AA407" s="11"/>
      <c r="AB407" s="11"/>
      <c r="AC407" s="24"/>
    </row>
    <row r="408" spans="1:29" x14ac:dyDescent="0.2">
      <c r="A408" s="11">
        <f>+'SERVICIO FAENA'!A408</f>
        <v>0</v>
      </c>
      <c r="B408" s="11">
        <f>+'SERVICIO FAENA'!B408</f>
        <v>0</v>
      </c>
      <c r="C408" s="11"/>
      <c r="D408" s="11"/>
      <c r="E408" s="18">
        <f>+'SERVICIO FAENA'!E408</f>
        <v>0</v>
      </c>
      <c r="F408" s="11"/>
      <c r="G408" s="180" t="e">
        <f t="shared" si="34"/>
        <v>#DIV/0!</v>
      </c>
      <c r="H408" s="11"/>
      <c r="I408" s="11"/>
      <c r="J408" s="180" t="e">
        <f t="shared" si="30"/>
        <v>#DIV/0!</v>
      </c>
      <c r="K408" s="100"/>
      <c r="L408" s="100"/>
      <c r="M408" s="100"/>
      <c r="N408" s="100">
        <f t="shared" si="31"/>
        <v>0</v>
      </c>
      <c r="O408" s="100"/>
      <c r="P408" s="41">
        <v>880</v>
      </c>
      <c r="Q408" s="11"/>
      <c r="R408" s="41">
        <v>260</v>
      </c>
      <c r="S408" s="185"/>
      <c r="T408" s="185"/>
      <c r="U408" s="185"/>
      <c r="V408" s="185"/>
      <c r="W408" s="41">
        <f t="shared" si="32"/>
        <v>0</v>
      </c>
      <c r="X408" s="41">
        <f t="shared" si="33"/>
        <v>0</v>
      </c>
      <c r="Y408" s="11"/>
      <c r="Z408" s="11"/>
      <c r="AA408" s="11"/>
      <c r="AB408" s="11"/>
      <c r="AC408" s="24"/>
    </row>
    <row r="409" spans="1:29" x14ac:dyDescent="0.2">
      <c r="A409" s="11">
        <f>+'SERVICIO FAENA'!A409</f>
        <v>0</v>
      </c>
      <c r="B409" s="11">
        <f>+'SERVICIO FAENA'!B409</f>
        <v>0</v>
      </c>
      <c r="C409" s="11"/>
      <c r="D409" s="11"/>
      <c r="E409" s="18">
        <f>+'SERVICIO FAENA'!E409</f>
        <v>0</v>
      </c>
      <c r="F409" s="11"/>
      <c r="G409" s="180" t="e">
        <f t="shared" si="34"/>
        <v>#DIV/0!</v>
      </c>
      <c r="H409" s="11"/>
      <c r="I409" s="11"/>
      <c r="J409" s="180" t="e">
        <f t="shared" si="30"/>
        <v>#DIV/0!</v>
      </c>
      <c r="K409" s="100"/>
      <c r="L409" s="100"/>
      <c r="M409" s="100"/>
      <c r="N409" s="100">
        <f t="shared" si="31"/>
        <v>0</v>
      </c>
      <c r="O409" s="100"/>
      <c r="P409" s="41">
        <v>880</v>
      </c>
      <c r="Q409" s="11"/>
      <c r="R409" s="41">
        <v>260</v>
      </c>
      <c r="S409" s="185"/>
      <c r="T409" s="185"/>
      <c r="U409" s="185"/>
      <c r="V409" s="185"/>
      <c r="W409" s="41">
        <f t="shared" si="32"/>
        <v>0</v>
      </c>
      <c r="X409" s="41">
        <f t="shared" si="33"/>
        <v>0</v>
      </c>
      <c r="Y409" s="11"/>
      <c r="Z409" s="11"/>
      <c r="AA409" s="11"/>
      <c r="AB409" s="11"/>
      <c r="AC409" s="24"/>
    </row>
    <row r="410" spans="1:29" x14ac:dyDescent="0.2">
      <c r="A410" s="11">
        <f>+'SERVICIO FAENA'!A410</f>
        <v>0</v>
      </c>
      <c r="B410" s="11">
        <f>+'SERVICIO FAENA'!B410</f>
        <v>0</v>
      </c>
      <c r="C410" s="11"/>
      <c r="D410" s="11"/>
      <c r="E410" s="18">
        <f>+'SERVICIO FAENA'!E410</f>
        <v>0</v>
      </c>
      <c r="F410" s="11"/>
      <c r="G410" s="180" t="e">
        <f t="shared" si="34"/>
        <v>#DIV/0!</v>
      </c>
      <c r="H410" s="11"/>
      <c r="I410" s="11"/>
      <c r="J410" s="180" t="e">
        <f t="shared" si="30"/>
        <v>#DIV/0!</v>
      </c>
      <c r="K410" s="100"/>
      <c r="L410" s="100"/>
      <c r="M410" s="100"/>
      <c r="N410" s="100">
        <f t="shared" si="31"/>
        <v>0</v>
      </c>
      <c r="O410" s="100"/>
      <c r="P410" s="41">
        <v>880</v>
      </c>
      <c r="Q410" s="11"/>
      <c r="R410" s="41">
        <v>260</v>
      </c>
      <c r="S410" s="185"/>
      <c r="T410" s="185"/>
      <c r="U410" s="185"/>
      <c r="V410" s="185"/>
      <c r="W410" s="41">
        <f t="shared" si="32"/>
        <v>0</v>
      </c>
      <c r="X410" s="41">
        <f t="shared" si="33"/>
        <v>0</v>
      </c>
      <c r="Y410" s="11"/>
      <c r="Z410" s="11"/>
      <c r="AA410" s="11"/>
      <c r="AB410" s="11"/>
      <c r="AC410" s="24"/>
    </row>
    <row r="411" spans="1:29" x14ac:dyDescent="0.2">
      <c r="A411" s="11">
        <f>+'SERVICIO FAENA'!A411</f>
        <v>0</v>
      </c>
      <c r="B411" s="11">
        <f>+'SERVICIO FAENA'!B411</f>
        <v>0</v>
      </c>
      <c r="C411" s="11"/>
      <c r="D411" s="11"/>
      <c r="E411" s="18">
        <f>+'SERVICIO FAENA'!E411</f>
        <v>0</v>
      </c>
      <c r="F411" s="11"/>
      <c r="G411" s="180" t="e">
        <f t="shared" si="34"/>
        <v>#DIV/0!</v>
      </c>
      <c r="H411" s="11"/>
      <c r="I411" s="11"/>
      <c r="J411" s="180" t="e">
        <f t="shared" si="30"/>
        <v>#DIV/0!</v>
      </c>
      <c r="K411" s="100"/>
      <c r="L411" s="100"/>
      <c r="M411" s="100"/>
      <c r="N411" s="100">
        <f t="shared" si="31"/>
        <v>0</v>
      </c>
      <c r="O411" s="100"/>
      <c r="P411" s="41">
        <v>880</v>
      </c>
      <c r="Q411" s="11"/>
      <c r="R411" s="41">
        <v>260</v>
      </c>
      <c r="S411" s="185"/>
      <c r="T411" s="185"/>
      <c r="U411" s="185"/>
      <c r="V411" s="185"/>
      <c r="W411" s="41">
        <f t="shared" si="32"/>
        <v>0</v>
      </c>
      <c r="X411" s="41">
        <f t="shared" si="33"/>
        <v>0</v>
      </c>
      <c r="Y411" s="11"/>
      <c r="Z411" s="11"/>
      <c r="AA411" s="11"/>
      <c r="AB411" s="11"/>
      <c r="AC411" s="24"/>
    </row>
    <row r="412" spans="1:29" x14ac:dyDescent="0.2">
      <c r="A412" s="11">
        <f>+'SERVICIO FAENA'!A412</f>
        <v>0</v>
      </c>
      <c r="B412" s="11">
        <f>+'SERVICIO FAENA'!B412</f>
        <v>0</v>
      </c>
      <c r="C412" s="11"/>
      <c r="D412" s="11"/>
      <c r="E412" s="18">
        <f>+'SERVICIO FAENA'!E412</f>
        <v>0</v>
      </c>
      <c r="F412" s="11"/>
      <c r="G412" s="180" t="e">
        <f t="shared" si="34"/>
        <v>#DIV/0!</v>
      </c>
      <c r="H412" s="11"/>
      <c r="I412" s="11"/>
      <c r="J412" s="180" t="e">
        <f t="shared" si="30"/>
        <v>#DIV/0!</v>
      </c>
      <c r="K412" s="100"/>
      <c r="L412" s="100"/>
      <c r="M412" s="100"/>
      <c r="N412" s="100">
        <f t="shared" si="31"/>
        <v>0</v>
      </c>
      <c r="O412" s="100"/>
      <c r="P412" s="41">
        <v>880</v>
      </c>
      <c r="Q412" s="11"/>
      <c r="R412" s="41">
        <v>260</v>
      </c>
      <c r="S412" s="185"/>
      <c r="T412" s="185"/>
      <c r="U412" s="185"/>
      <c r="V412" s="185"/>
      <c r="W412" s="41">
        <f t="shared" si="32"/>
        <v>0</v>
      </c>
      <c r="X412" s="41">
        <f t="shared" si="33"/>
        <v>0</v>
      </c>
      <c r="Y412" s="11"/>
      <c r="Z412" s="11"/>
      <c r="AA412" s="11"/>
      <c r="AB412" s="11"/>
      <c r="AC412" s="24"/>
    </row>
    <row r="413" spans="1:29" x14ac:dyDescent="0.2">
      <c r="A413" s="11">
        <f>+'SERVICIO FAENA'!A413</f>
        <v>0</v>
      </c>
      <c r="B413" s="11">
        <f>+'SERVICIO FAENA'!B413</f>
        <v>0</v>
      </c>
      <c r="C413" s="11"/>
      <c r="D413" s="11"/>
      <c r="E413" s="18">
        <f>+'SERVICIO FAENA'!E413</f>
        <v>0</v>
      </c>
      <c r="F413" s="11"/>
      <c r="G413" s="180" t="e">
        <f t="shared" si="34"/>
        <v>#DIV/0!</v>
      </c>
      <c r="H413" s="11"/>
      <c r="I413" s="11"/>
      <c r="J413" s="180" t="e">
        <f t="shared" si="30"/>
        <v>#DIV/0!</v>
      </c>
      <c r="K413" s="100"/>
      <c r="L413" s="100"/>
      <c r="M413" s="100"/>
      <c r="N413" s="100">
        <f t="shared" si="31"/>
        <v>0</v>
      </c>
      <c r="O413" s="100"/>
      <c r="P413" s="41">
        <v>880</v>
      </c>
      <c r="Q413" s="11"/>
      <c r="R413" s="41">
        <v>260</v>
      </c>
      <c r="S413" s="185"/>
      <c r="T413" s="185"/>
      <c r="U413" s="185"/>
      <c r="V413" s="185"/>
      <c r="W413" s="41">
        <f t="shared" si="32"/>
        <v>0</v>
      </c>
      <c r="X413" s="41">
        <f t="shared" si="33"/>
        <v>0</v>
      </c>
      <c r="Y413" s="11"/>
      <c r="Z413" s="11"/>
      <c r="AA413" s="11"/>
      <c r="AB413" s="11"/>
      <c r="AC413" s="24"/>
    </row>
    <row r="414" spans="1:29" x14ac:dyDescent="0.2">
      <c r="A414" s="11">
        <f>+'SERVICIO FAENA'!A414</f>
        <v>0</v>
      </c>
      <c r="B414" s="11">
        <f>+'SERVICIO FAENA'!B414</f>
        <v>0</v>
      </c>
      <c r="C414" s="11"/>
      <c r="D414" s="11"/>
      <c r="E414" s="18">
        <f>+'SERVICIO FAENA'!E414</f>
        <v>0</v>
      </c>
      <c r="F414" s="11"/>
      <c r="G414" s="180" t="e">
        <f t="shared" si="34"/>
        <v>#DIV/0!</v>
      </c>
      <c r="H414" s="11"/>
      <c r="I414" s="11"/>
      <c r="J414" s="180" t="e">
        <f t="shared" si="30"/>
        <v>#DIV/0!</v>
      </c>
      <c r="K414" s="100"/>
      <c r="L414" s="100"/>
      <c r="M414" s="100"/>
      <c r="N414" s="100">
        <f t="shared" si="31"/>
        <v>0</v>
      </c>
      <c r="O414" s="100"/>
      <c r="P414" s="41">
        <v>880</v>
      </c>
      <c r="Q414" s="11"/>
      <c r="R414" s="41">
        <v>260</v>
      </c>
      <c r="S414" s="185"/>
      <c r="T414" s="185"/>
      <c r="U414" s="185"/>
      <c r="V414" s="185"/>
      <c r="W414" s="41">
        <f t="shared" si="32"/>
        <v>0</v>
      </c>
      <c r="X414" s="41">
        <f t="shared" si="33"/>
        <v>0</v>
      </c>
      <c r="Y414" s="11"/>
      <c r="Z414" s="11"/>
      <c r="AA414" s="11"/>
      <c r="AB414" s="11"/>
      <c r="AC414" s="24"/>
    </row>
    <row r="415" spans="1:29" x14ac:dyDescent="0.2">
      <c r="A415" s="11">
        <f>+'SERVICIO FAENA'!A415</f>
        <v>0</v>
      </c>
      <c r="B415" s="11">
        <f>+'SERVICIO FAENA'!B415</f>
        <v>0</v>
      </c>
      <c r="C415" s="11"/>
      <c r="D415" s="11"/>
      <c r="E415" s="18">
        <f>+'SERVICIO FAENA'!E415</f>
        <v>0</v>
      </c>
      <c r="F415" s="11"/>
      <c r="G415" s="180" t="e">
        <f t="shared" si="34"/>
        <v>#DIV/0!</v>
      </c>
      <c r="H415" s="11"/>
      <c r="I415" s="11"/>
      <c r="J415" s="180" t="e">
        <f t="shared" si="30"/>
        <v>#DIV/0!</v>
      </c>
      <c r="K415" s="100"/>
      <c r="L415" s="100"/>
      <c r="M415" s="100"/>
      <c r="N415" s="100">
        <f t="shared" si="31"/>
        <v>0</v>
      </c>
      <c r="O415" s="100"/>
      <c r="P415" s="41">
        <v>880</v>
      </c>
      <c r="Q415" s="11"/>
      <c r="R415" s="41">
        <v>260</v>
      </c>
      <c r="S415" s="185"/>
      <c r="T415" s="185"/>
      <c r="U415" s="185"/>
      <c r="V415" s="185"/>
      <c r="W415" s="41">
        <f t="shared" si="32"/>
        <v>0</v>
      </c>
      <c r="X415" s="41">
        <f t="shared" si="33"/>
        <v>0</v>
      </c>
      <c r="Y415" s="11"/>
      <c r="Z415" s="11"/>
      <c r="AA415" s="11"/>
      <c r="AB415" s="11"/>
      <c r="AC415" s="24"/>
    </row>
    <row r="416" spans="1:29" x14ac:dyDescent="0.2">
      <c r="A416" s="11">
        <f>+'SERVICIO FAENA'!A416</f>
        <v>0</v>
      </c>
      <c r="B416" s="11">
        <f>+'SERVICIO FAENA'!B416</f>
        <v>0</v>
      </c>
      <c r="C416" s="11"/>
      <c r="D416" s="11"/>
      <c r="E416" s="18">
        <f>+'SERVICIO FAENA'!E416</f>
        <v>0</v>
      </c>
      <c r="F416" s="11"/>
      <c r="G416" s="180" t="e">
        <f t="shared" si="34"/>
        <v>#DIV/0!</v>
      </c>
      <c r="H416" s="11"/>
      <c r="I416" s="11"/>
      <c r="J416" s="180" t="e">
        <f t="shared" si="30"/>
        <v>#DIV/0!</v>
      </c>
      <c r="K416" s="100"/>
      <c r="L416" s="100"/>
      <c r="M416" s="100"/>
      <c r="N416" s="100">
        <f t="shared" si="31"/>
        <v>0</v>
      </c>
      <c r="O416" s="100"/>
      <c r="P416" s="41">
        <v>880</v>
      </c>
      <c r="Q416" s="11"/>
      <c r="R416" s="41">
        <v>260</v>
      </c>
      <c r="S416" s="185"/>
      <c r="T416" s="185"/>
      <c r="U416" s="185"/>
      <c r="V416" s="185"/>
      <c r="W416" s="41">
        <f t="shared" si="32"/>
        <v>0</v>
      </c>
      <c r="X416" s="41">
        <f t="shared" si="33"/>
        <v>0</v>
      </c>
      <c r="Y416" s="11"/>
      <c r="Z416" s="11"/>
      <c r="AA416" s="11"/>
      <c r="AB416" s="11"/>
      <c r="AC416" s="24"/>
    </row>
    <row r="417" spans="1:29" x14ac:dyDescent="0.2">
      <c r="A417" s="11">
        <f>+'SERVICIO FAENA'!A417</f>
        <v>0</v>
      </c>
      <c r="B417" s="11">
        <f>+'SERVICIO FAENA'!B417</f>
        <v>0</v>
      </c>
      <c r="C417" s="11"/>
      <c r="D417" s="11"/>
      <c r="E417" s="18">
        <f>+'SERVICIO FAENA'!E417</f>
        <v>0</v>
      </c>
      <c r="F417" s="11"/>
      <c r="G417" s="180" t="e">
        <f t="shared" si="34"/>
        <v>#DIV/0!</v>
      </c>
      <c r="H417" s="11"/>
      <c r="I417" s="11"/>
      <c r="J417" s="180" t="e">
        <f t="shared" si="30"/>
        <v>#DIV/0!</v>
      </c>
      <c r="K417" s="100"/>
      <c r="L417" s="100"/>
      <c r="M417" s="100"/>
      <c r="N417" s="100">
        <f t="shared" si="31"/>
        <v>0</v>
      </c>
      <c r="O417" s="100"/>
      <c r="P417" s="41">
        <v>880</v>
      </c>
      <c r="Q417" s="11"/>
      <c r="R417" s="41">
        <v>260</v>
      </c>
      <c r="S417" s="185"/>
      <c r="T417" s="185"/>
      <c r="U417" s="185"/>
      <c r="V417" s="185"/>
      <c r="W417" s="41">
        <f t="shared" si="32"/>
        <v>0</v>
      </c>
      <c r="X417" s="41">
        <f t="shared" si="33"/>
        <v>0</v>
      </c>
      <c r="Y417" s="11"/>
      <c r="Z417" s="11"/>
      <c r="AA417" s="11"/>
      <c r="AB417" s="11"/>
      <c r="AC417" s="24"/>
    </row>
    <row r="418" spans="1:29" x14ac:dyDescent="0.2">
      <c r="A418" s="11">
        <f>+'SERVICIO FAENA'!A418</f>
        <v>0</v>
      </c>
      <c r="B418" s="11">
        <f>+'SERVICIO FAENA'!B418</f>
        <v>0</v>
      </c>
      <c r="C418" s="11"/>
      <c r="D418" s="11"/>
      <c r="E418" s="18">
        <f>+'SERVICIO FAENA'!E418</f>
        <v>0</v>
      </c>
      <c r="F418" s="11"/>
      <c r="G418" s="180" t="e">
        <f t="shared" si="34"/>
        <v>#DIV/0!</v>
      </c>
      <c r="H418" s="11"/>
      <c r="I418" s="11"/>
      <c r="J418" s="180" t="e">
        <f t="shared" si="30"/>
        <v>#DIV/0!</v>
      </c>
      <c r="K418" s="100"/>
      <c r="L418" s="100"/>
      <c r="M418" s="100"/>
      <c r="N418" s="100">
        <f t="shared" si="31"/>
        <v>0</v>
      </c>
      <c r="O418" s="100"/>
      <c r="P418" s="41">
        <v>880</v>
      </c>
      <c r="Q418" s="11"/>
      <c r="R418" s="41">
        <v>260</v>
      </c>
      <c r="S418" s="185"/>
      <c r="T418" s="185"/>
      <c r="U418" s="185"/>
      <c r="V418" s="185"/>
      <c r="W418" s="41">
        <f t="shared" si="32"/>
        <v>0</v>
      </c>
      <c r="X418" s="41">
        <f t="shared" si="33"/>
        <v>0</v>
      </c>
      <c r="Y418" s="11"/>
      <c r="Z418" s="11"/>
      <c r="AA418" s="11"/>
      <c r="AB418" s="11"/>
      <c r="AC418" s="24"/>
    </row>
    <row r="419" spans="1:29" x14ac:dyDescent="0.2">
      <c r="A419" s="11">
        <f>+'SERVICIO FAENA'!A419</f>
        <v>0</v>
      </c>
      <c r="B419" s="11">
        <f>+'SERVICIO FAENA'!B419</f>
        <v>0</v>
      </c>
      <c r="C419" s="11"/>
      <c r="D419" s="11"/>
      <c r="E419" s="18">
        <f>+'SERVICIO FAENA'!E419</f>
        <v>0</v>
      </c>
      <c r="F419" s="11"/>
      <c r="G419" s="180" t="e">
        <f t="shared" si="34"/>
        <v>#DIV/0!</v>
      </c>
      <c r="H419" s="11"/>
      <c r="I419" s="11"/>
      <c r="J419" s="180" t="e">
        <f t="shared" si="30"/>
        <v>#DIV/0!</v>
      </c>
      <c r="K419" s="100"/>
      <c r="L419" s="100"/>
      <c r="M419" s="100"/>
      <c r="N419" s="100">
        <f t="shared" si="31"/>
        <v>0</v>
      </c>
      <c r="O419" s="100"/>
      <c r="P419" s="41">
        <v>880</v>
      </c>
      <c r="Q419" s="11"/>
      <c r="R419" s="41">
        <v>260</v>
      </c>
      <c r="S419" s="185"/>
      <c r="T419" s="185"/>
      <c r="U419" s="185"/>
      <c r="V419" s="185"/>
      <c r="W419" s="41">
        <f t="shared" si="32"/>
        <v>0</v>
      </c>
      <c r="X419" s="41">
        <f t="shared" si="33"/>
        <v>0</v>
      </c>
      <c r="Y419" s="11"/>
      <c r="Z419" s="11"/>
      <c r="AA419" s="11"/>
      <c r="AB419" s="11"/>
      <c r="AC419" s="24"/>
    </row>
    <row r="420" spans="1:29" x14ac:dyDescent="0.2">
      <c r="A420" s="11">
        <f>+'SERVICIO FAENA'!A420</f>
        <v>0</v>
      </c>
      <c r="B420" s="11">
        <f>+'SERVICIO FAENA'!B420</f>
        <v>0</v>
      </c>
      <c r="C420" s="11"/>
      <c r="D420" s="11"/>
      <c r="E420" s="18">
        <f>+'SERVICIO FAENA'!E420</f>
        <v>0</v>
      </c>
      <c r="F420" s="11"/>
      <c r="G420" s="180" t="e">
        <f t="shared" si="34"/>
        <v>#DIV/0!</v>
      </c>
      <c r="H420" s="11"/>
      <c r="I420" s="11"/>
      <c r="J420" s="180" t="e">
        <f t="shared" si="30"/>
        <v>#DIV/0!</v>
      </c>
      <c r="K420" s="100"/>
      <c r="L420" s="100"/>
      <c r="M420" s="100"/>
      <c r="N420" s="100">
        <f t="shared" si="31"/>
        <v>0</v>
      </c>
      <c r="O420" s="100"/>
      <c r="P420" s="41">
        <v>880</v>
      </c>
      <c r="Q420" s="11"/>
      <c r="R420" s="41">
        <v>260</v>
      </c>
      <c r="S420" s="185"/>
      <c r="T420" s="185"/>
      <c r="U420" s="185"/>
      <c r="V420" s="185"/>
      <c r="W420" s="41">
        <f t="shared" si="32"/>
        <v>0</v>
      </c>
      <c r="X420" s="41">
        <f t="shared" si="33"/>
        <v>0</v>
      </c>
      <c r="Y420" s="11"/>
      <c r="Z420" s="11"/>
      <c r="AA420" s="11"/>
      <c r="AB420" s="11"/>
      <c r="AC420" s="24"/>
    </row>
    <row r="421" spans="1:29" x14ac:dyDescent="0.2">
      <c r="A421" s="11">
        <f>+'SERVICIO FAENA'!A421</f>
        <v>0</v>
      </c>
      <c r="B421" s="11">
        <f>+'SERVICIO FAENA'!B421</f>
        <v>0</v>
      </c>
      <c r="C421" s="11"/>
      <c r="D421" s="11"/>
      <c r="E421" s="18">
        <f>+'SERVICIO FAENA'!E421</f>
        <v>0</v>
      </c>
      <c r="F421" s="11"/>
      <c r="G421" s="180" t="e">
        <f t="shared" si="34"/>
        <v>#DIV/0!</v>
      </c>
      <c r="H421" s="11"/>
      <c r="I421" s="11"/>
      <c r="J421" s="180" t="e">
        <f t="shared" si="30"/>
        <v>#DIV/0!</v>
      </c>
      <c r="K421" s="100"/>
      <c r="L421" s="100"/>
      <c r="M421" s="100"/>
      <c r="N421" s="100">
        <f t="shared" si="31"/>
        <v>0</v>
      </c>
      <c r="O421" s="100"/>
      <c r="P421" s="41">
        <v>880</v>
      </c>
      <c r="Q421" s="11"/>
      <c r="R421" s="41">
        <v>260</v>
      </c>
      <c r="S421" s="185"/>
      <c r="T421" s="185"/>
      <c r="U421" s="185"/>
      <c r="V421" s="185"/>
      <c r="W421" s="41">
        <f t="shared" si="32"/>
        <v>0</v>
      </c>
      <c r="X421" s="41">
        <f t="shared" si="33"/>
        <v>0</v>
      </c>
      <c r="Y421" s="11"/>
      <c r="Z421" s="11"/>
      <c r="AA421" s="11"/>
      <c r="AB421" s="11"/>
      <c r="AC421" s="24"/>
    </row>
    <row r="422" spans="1:29" x14ac:dyDescent="0.2">
      <c r="A422" s="11">
        <f>+'SERVICIO FAENA'!A422</f>
        <v>0</v>
      </c>
      <c r="B422" s="11">
        <f>+'SERVICIO FAENA'!B422</f>
        <v>0</v>
      </c>
      <c r="C422" s="11"/>
      <c r="D422" s="11"/>
      <c r="E422" s="18">
        <f>+'SERVICIO FAENA'!E422</f>
        <v>0</v>
      </c>
      <c r="F422" s="11"/>
      <c r="G422" s="180" t="e">
        <f t="shared" si="34"/>
        <v>#DIV/0!</v>
      </c>
      <c r="H422" s="11"/>
      <c r="I422" s="11"/>
      <c r="J422" s="180" t="e">
        <f t="shared" si="30"/>
        <v>#DIV/0!</v>
      </c>
      <c r="K422" s="100"/>
      <c r="L422" s="100"/>
      <c r="M422" s="100"/>
      <c r="N422" s="100">
        <f t="shared" si="31"/>
        <v>0</v>
      </c>
      <c r="O422" s="100"/>
      <c r="P422" s="41">
        <v>880</v>
      </c>
      <c r="Q422" s="11"/>
      <c r="R422" s="41">
        <v>260</v>
      </c>
      <c r="S422" s="185"/>
      <c r="T422" s="185"/>
      <c r="U422" s="185"/>
      <c r="V422" s="185"/>
      <c r="W422" s="41">
        <f t="shared" si="32"/>
        <v>0</v>
      </c>
      <c r="X422" s="41">
        <f t="shared" si="33"/>
        <v>0</v>
      </c>
      <c r="Y422" s="11"/>
      <c r="Z422" s="11"/>
      <c r="AA422" s="11"/>
      <c r="AB422" s="11"/>
      <c r="AC422" s="24"/>
    </row>
    <row r="423" spans="1:29" x14ac:dyDescent="0.2">
      <c r="A423" s="11">
        <f>+'SERVICIO FAENA'!A423</f>
        <v>0</v>
      </c>
      <c r="B423" s="11">
        <f>+'SERVICIO FAENA'!B423</f>
        <v>0</v>
      </c>
      <c r="C423" s="11"/>
      <c r="D423" s="11"/>
      <c r="E423" s="18">
        <f>+'SERVICIO FAENA'!E423</f>
        <v>0</v>
      </c>
      <c r="F423" s="11"/>
      <c r="G423" s="180" t="e">
        <f t="shared" si="34"/>
        <v>#DIV/0!</v>
      </c>
      <c r="H423" s="11"/>
      <c r="I423" s="11"/>
      <c r="J423" s="180" t="e">
        <f t="shared" si="30"/>
        <v>#DIV/0!</v>
      </c>
      <c r="K423" s="100"/>
      <c r="L423" s="100"/>
      <c r="M423" s="100"/>
      <c r="N423" s="100">
        <f t="shared" si="31"/>
        <v>0</v>
      </c>
      <c r="O423" s="100"/>
      <c r="P423" s="41">
        <v>880</v>
      </c>
      <c r="Q423" s="11"/>
      <c r="R423" s="41">
        <v>260</v>
      </c>
      <c r="S423" s="185"/>
      <c r="T423" s="185"/>
      <c r="U423" s="185"/>
      <c r="V423" s="185"/>
      <c r="W423" s="41">
        <f t="shared" si="32"/>
        <v>0</v>
      </c>
      <c r="X423" s="41">
        <f t="shared" si="33"/>
        <v>0</v>
      </c>
      <c r="Y423" s="11"/>
      <c r="Z423" s="11"/>
      <c r="AA423" s="11"/>
      <c r="AB423" s="11"/>
      <c r="AC423" s="24"/>
    </row>
    <row r="424" spans="1:29" x14ac:dyDescent="0.2">
      <c r="A424" s="11">
        <f>+'SERVICIO FAENA'!A424</f>
        <v>0</v>
      </c>
      <c r="B424" s="11">
        <f>+'SERVICIO FAENA'!B424</f>
        <v>0</v>
      </c>
      <c r="C424" s="11"/>
      <c r="D424" s="11"/>
      <c r="E424" s="18">
        <f>+'SERVICIO FAENA'!E424</f>
        <v>0</v>
      </c>
      <c r="F424" s="11"/>
      <c r="G424" s="180" t="e">
        <f t="shared" si="34"/>
        <v>#DIV/0!</v>
      </c>
      <c r="H424" s="11"/>
      <c r="I424" s="11"/>
      <c r="J424" s="180" t="e">
        <f t="shared" si="30"/>
        <v>#DIV/0!</v>
      </c>
      <c r="K424" s="100"/>
      <c r="L424" s="100"/>
      <c r="M424" s="100"/>
      <c r="N424" s="100">
        <f t="shared" si="31"/>
        <v>0</v>
      </c>
      <c r="O424" s="100"/>
      <c r="P424" s="41">
        <v>880</v>
      </c>
      <c r="Q424" s="11"/>
      <c r="R424" s="41">
        <v>260</v>
      </c>
      <c r="S424" s="185"/>
      <c r="T424" s="185"/>
      <c r="U424" s="185"/>
      <c r="V424" s="185"/>
      <c r="W424" s="41">
        <f t="shared" si="32"/>
        <v>0</v>
      </c>
      <c r="X424" s="41">
        <f t="shared" si="33"/>
        <v>0</v>
      </c>
      <c r="Y424" s="11"/>
      <c r="Z424" s="11"/>
      <c r="AA424" s="11"/>
      <c r="AB424" s="11"/>
      <c r="AC424" s="24"/>
    </row>
    <row r="425" spans="1:29" x14ac:dyDescent="0.2">
      <c r="A425" s="11">
        <f>+'SERVICIO FAENA'!A425</f>
        <v>0</v>
      </c>
      <c r="B425" s="11">
        <f>+'SERVICIO FAENA'!B425</f>
        <v>0</v>
      </c>
      <c r="C425" s="11"/>
      <c r="D425" s="11"/>
      <c r="E425" s="18">
        <f>+'SERVICIO FAENA'!E425</f>
        <v>0</v>
      </c>
      <c r="F425" s="11"/>
      <c r="G425" s="180" t="e">
        <f t="shared" si="34"/>
        <v>#DIV/0!</v>
      </c>
      <c r="H425" s="11"/>
      <c r="I425" s="11"/>
      <c r="J425" s="180" t="e">
        <f t="shared" si="30"/>
        <v>#DIV/0!</v>
      </c>
      <c r="K425" s="100"/>
      <c r="L425" s="100"/>
      <c r="M425" s="100"/>
      <c r="N425" s="100">
        <f t="shared" si="31"/>
        <v>0</v>
      </c>
      <c r="O425" s="100"/>
      <c r="P425" s="41">
        <v>880</v>
      </c>
      <c r="Q425" s="11"/>
      <c r="R425" s="41">
        <v>260</v>
      </c>
      <c r="S425" s="185"/>
      <c r="T425" s="185"/>
      <c r="U425" s="185"/>
      <c r="V425" s="185"/>
      <c r="W425" s="41">
        <f t="shared" si="32"/>
        <v>0</v>
      </c>
      <c r="X425" s="41">
        <f t="shared" si="33"/>
        <v>0</v>
      </c>
      <c r="Y425" s="11"/>
      <c r="Z425" s="11"/>
      <c r="AA425" s="11"/>
      <c r="AB425" s="11"/>
      <c r="AC425" s="24"/>
    </row>
    <row r="426" spans="1:29" x14ac:dyDescent="0.2">
      <c r="A426" s="11">
        <f>+'SERVICIO FAENA'!A426</f>
        <v>0</v>
      </c>
      <c r="B426" s="11">
        <f>+'SERVICIO FAENA'!B426</f>
        <v>0</v>
      </c>
      <c r="C426" s="11"/>
      <c r="D426" s="11"/>
      <c r="E426" s="18">
        <f>+'SERVICIO FAENA'!E426</f>
        <v>0</v>
      </c>
      <c r="F426" s="11"/>
      <c r="G426" s="180" t="e">
        <f t="shared" si="34"/>
        <v>#DIV/0!</v>
      </c>
      <c r="H426" s="11"/>
      <c r="I426" s="11"/>
      <c r="J426" s="180" t="e">
        <f t="shared" ref="J426:J489" si="35">+((F426-(H426+I426))/F426)</f>
        <v>#DIV/0!</v>
      </c>
      <c r="K426" s="100"/>
      <c r="L426" s="100"/>
      <c r="M426" s="100"/>
      <c r="N426" s="100">
        <f t="shared" ref="N426:N489" si="36">SUM(K426:M426)</f>
        <v>0</v>
      </c>
      <c r="O426" s="100"/>
      <c r="P426" s="41">
        <v>880</v>
      </c>
      <c r="Q426" s="11"/>
      <c r="R426" s="41">
        <v>260</v>
      </c>
      <c r="S426" s="185"/>
      <c r="T426" s="185"/>
      <c r="U426" s="185"/>
      <c r="V426" s="185"/>
      <c r="W426" s="41">
        <f t="shared" ref="W426:W489" si="37">+(P426*O426)+(R426*Q426)</f>
        <v>0</v>
      </c>
      <c r="X426" s="41">
        <f t="shared" si="33"/>
        <v>0</v>
      </c>
      <c r="Y426" s="11"/>
      <c r="Z426" s="11"/>
      <c r="AA426" s="11"/>
      <c r="AB426" s="11"/>
      <c r="AC426" s="24"/>
    </row>
    <row r="427" spans="1:29" x14ac:dyDescent="0.2">
      <c r="A427" s="11">
        <f>+'SERVICIO FAENA'!A427</f>
        <v>0</v>
      </c>
      <c r="B427" s="11">
        <f>+'SERVICIO FAENA'!B427</f>
        <v>0</v>
      </c>
      <c r="C427" s="11"/>
      <c r="D427" s="11"/>
      <c r="E427" s="18">
        <f>+'SERVICIO FAENA'!E427</f>
        <v>0</v>
      </c>
      <c r="F427" s="11"/>
      <c r="G427" s="180" t="e">
        <f t="shared" si="34"/>
        <v>#DIV/0!</v>
      </c>
      <c r="H427" s="11"/>
      <c r="I427" s="11"/>
      <c r="J427" s="180" t="e">
        <f t="shared" si="35"/>
        <v>#DIV/0!</v>
      </c>
      <c r="K427" s="100"/>
      <c r="L427" s="100"/>
      <c r="M427" s="100"/>
      <c r="N427" s="100">
        <f t="shared" si="36"/>
        <v>0</v>
      </c>
      <c r="O427" s="100"/>
      <c r="P427" s="41">
        <v>880</v>
      </c>
      <c r="Q427" s="11"/>
      <c r="R427" s="41">
        <v>260</v>
      </c>
      <c r="S427" s="185"/>
      <c r="T427" s="185"/>
      <c r="U427" s="185"/>
      <c r="V427" s="185"/>
      <c r="W427" s="41">
        <f t="shared" si="37"/>
        <v>0</v>
      </c>
      <c r="X427" s="41">
        <f t="shared" si="33"/>
        <v>0</v>
      </c>
      <c r="Y427" s="11"/>
      <c r="Z427" s="11"/>
      <c r="AA427" s="11"/>
      <c r="AB427" s="11"/>
      <c r="AC427" s="24"/>
    </row>
    <row r="428" spans="1:29" x14ac:dyDescent="0.2">
      <c r="A428" s="11">
        <f>+'SERVICIO FAENA'!A428</f>
        <v>0</v>
      </c>
      <c r="B428" s="11">
        <f>+'SERVICIO FAENA'!B428</f>
        <v>0</v>
      </c>
      <c r="C428" s="11"/>
      <c r="D428" s="11"/>
      <c r="E428" s="18">
        <f>+'SERVICIO FAENA'!E428</f>
        <v>0</v>
      </c>
      <c r="F428" s="11"/>
      <c r="G428" s="180" t="e">
        <f t="shared" si="34"/>
        <v>#DIV/0!</v>
      </c>
      <c r="H428" s="11"/>
      <c r="I428" s="11"/>
      <c r="J428" s="180" t="e">
        <f t="shared" si="35"/>
        <v>#DIV/0!</v>
      </c>
      <c r="K428" s="100"/>
      <c r="L428" s="100"/>
      <c r="M428" s="100"/>
      <c r="N428" s="100">
        <f t="shared" si="36"/>
        <v>0</v>
      </c>
      <c r="O428" s="100"/>
      <c r="P428" s="41">
        <v>880</v>
      </c>
      <c r="Q428" s="11"/>
      <c r="R428" s="41">
        <v>260</v>
      </c>
      <c r="S428" s="185"/>
      <c r="T428" s="185"/>
      <c r="U428" s="185"/>
      <c r="V428" s="185"/>
      <c r="W428" s="41">
        <f t="shared" si="37"/>
        <v>0</v>
      </c>
      <c r="X428" s="41">
        <f t="shared" si="33"/>
        <v>0</v>
      </c>
      <c r="Y428" s="11"/>
      <c r="Z428" s="11"/>
      <c r="AA428" s="11"/>
      <c r="AB428" s="11"/>
      <c r="AC428" s="24"/>
    </row>
    <row r="429" spans="1:29" x14ac:dyDescent="0.2">
      <c r="A429" s="11">
        <f>+'SERVICIO FAENA'!A429</f>
        <v>0</v>
      </c>
      <c r="B429" s="11">
        <f>+'SERVICIO FAENA'!B429</f>
        <v>0</v>
      </c>
      <c r="C429" s="11"/>
      <c r="D429" s="11"/>
      <c r="E429" s="18">
        <f>+'SERVICIO FAENA'!E429</f>
        <v>0</v>
      </c>
      <c r="F429" s="11"/>
      <c r="G429" s="180" t="e">
        <f t="shared" si="34"/>
        <v>#DIV/0!</v>
      </c>
      <c r="H429" s="11"/>
      <c r="I429" s="11"/>
      <c r="J429" s="180" t="e">
        <f t="shared" si="35"/>
        <v>#DIV/0!</v>
      </c>
      <c r="K429" s="100"/>
      <c r="L429" s="100"/>
      <c r="M429" s="100"/>
      <c r="N429" s="100">
        <f t="shared" si="36"/>
        <v>0</v>
      </c>
      <c r="O429" s="100"/>
      <c r="P429" s="41">
        <v>880</v>
      </c>
      <c r="Q429" s="11"/>
      <c r="R429" s="41">
        <v>260</v>
      </c>
      <c r="S429" s="185"/>
      <c r="T429" s="185"/>
      <c r="U429" s="185"/>
      <c r="V429" s="185"/>
      <c r="W429" s="41">
        <f t="shared" si="37"/>
        <v>0</v>
      </c>
      <c r="X429" s="41">
        <f t="shared" si="33"/>
        <v>0</v>
      </c>
      <c r="Y429" s="11"/>
      <c r="Z429" s="11"/>
      <c r="AA429" s="11"/>
      <c r="AB429" s="11"/>
      <c r="AC429" s="24"/>
    </row>
    <row r="430" spans="1:29" x14ac:dyDescent="0.2">
      <c r="A430" s="11">
        <f>+'SERVICIO FAENA'!A430</f>
        <v>0</v>
      </c>
      <c r="B430" s="11">
        <f>+'SERVICIO FAENA'!B430</f>
        <v>0</v>
      </c>
      <c r="C430" s="11"/>
      <c r="D430" s="11"/>
      <c r="E430" s="18">
        <f>+'SERVICIO FAENA'!E430</f>
        <v>0</v>
      </c>
      <c r="F430" s="11"/>
      <c r="G430" s="180" t="e">
        <f t="shared" si="34"/>
        <v>#DIV/0!</v>
      </c>
      <c r="H430" s="11"/>
      <c r="I430" s="11"/>
      <c r="J430" s="180" t="e">
        <f t="shared" si="35"/>
        <v>#DIV/0!</v>
      </c>
      <c r="K430" s="100"/>
      <c r="L430" s="100"/>
      <c r="M430" s="100"/>
      <c r="N430" s="100">
        <f t="shared" si="36"/>
        <v>0</v>
      </c>
      <c r="O430" s="100"/>
      <c r="P430" s="41">
        <v>880</v>
      </c>
      <c r="Q430" s="11"/>
      <c r="R430" s="41">
        <v>260</v>
      </c>
      <c r="S430" s="185"/>
      <c r="T430" s="185"/>
      <c r="U430" s="185"/>
      <c r="V430" s="185"/>
      <c r="W430" s="41">
        <f t="shared" si="37"/>
        <v>0</v>
      </c>
      <c r="X430" s="41">
        <f t="shared" si="33"/>
        <v>0</v>
      </c>
      <c r="Y430" s="11"/>
      <c r="Z430" s="11"/>
      <c r="AA430" s="11"/>
      <c r="AB430" s="11"/>
      <c r="AC430" s="24"/>
    </row>
    <row r="431" spans="1:29" x14ac:dyDescent="0.2">
      <c r="A431" s="11">
        <f>+'SERVICIO FAENA'!A431</f>
        <v>0</v>
      </c>
      <c r="B431" s="11">
        <f>+'SERVICIO FAENA'!B431</f>
        <v>0</v>
      </c>
      <c r="C431" s="11"/>
      <c r="D431" s="11"/>
      <c r="E431" s="18">
        <f>+'SERVICIO FAENA'!E431</f>
        <v>0</v>
      </c>
      <c r="F431" s="11"/>
      <c r="G431" s="180" t="e">
        <f t="shared" si="34"/>
        <v>#DIV/0!</v>
      </c>
      <c r="H431" s="11"/>
      <c r="I431" s="11"/>
      <c r="J431" s="180" t="e">
        <f t="shared" si="35"/>
        <v>#DIV/0!</v>
      </c>
      <c r="K431" s="100"/>
      <c r="L431" s="100"/>
      <c r="M431" s="100"/>
      <c r="N431" s="100">
        <f t="shared" si="36"/>
        <v>0</v>
      </c>
      <c r="O431" s="100"/>
      <c r="P431" s="41">
        <v>880</v>
      </c>
      <c r="Q431" s="11"/>
      <c r="R431" s="41">
        <v>260</v>
      </c>
      <c r="S431" s="185"/>
      <c r="T431" s="185"/>
      <c r="U431" s="185"/>
      <c r="V431" s="185"/>
      <c r="W431" s="41">
        <f t="shared" si="37"/>
        <v>0</v>
      </c>
      <c r="X431" s="41">
        <f t="shared" si="33"/>
        <v>0</v>
      </c>
      <c r="Y431" s="11"/>
      <c r="Z431" s="11"/>
      <c r="AA431" s="11"/>
      <c r="AB431" s="11"/>
      <c r="AC431" s="24"/>
    </row>
    <row r="432" spans="1:29" x14ac:dyDescent="0.2">
      <c r="A432" s="11">
        <f>+'SERVICIO FAENA'!A432</f>
        <v>0</v>
      </c>
      <c r="B432" s="11">
        <f>+'SERVICIO FAENA'!B432</f>
        <v>0</v>
      </c>
      <c r="C432" s="11"/>
      <c r="D432" s="11"/>
      <c r="E432" s="18">
        <f>+'SERVICIO FAENA'!E432</f>
        <v>0</v>
      </c>
      <c r="F432" s="11"/>
      <c r="G432" s="180" t="e">
        <f t="shared" si="34"/>
        <v>#DIV/0!</v>
      </c>
      <c r="H432" s="11"/>
      <c r="I432" s="11"/>
      <c r="J432" s="180" t="e">
        <f t="shared" si="35"/>
        <v>#DIV/0!</v>
      </c>
      <c r="K432" s="100"/>
      <c r="L432" s="100"/>
      <c r="M432" s="100"/>
      <c r="N432" s="100">
        <f t="shared" si="36"/>
        <v>0</v>
      </c>
      <c r="O432" s="100"/>
      <c r="P432" s="41">
        <v>880</v>
      </c>
      <c r="Q432" s="11"/>
      <c r="R432" s="41">
        <v>260</v>
      </c>
      <c r="S432" s="185"/>
      <c r="T432" s="185"/>
      <c r="U432" s="185"/>
      <c r="V432" s="185"/>
      <c r="W432" s="41">
        <f t="shared" si="37"/>
        <v>0</v>
      </c>
      <c r="X432" s="41">
        <f t="shared" si="33"/>
        <v>0</v>
      </c>
      <c r="Y432" s="11"/>
      <c r="Z432" s="11"/>
      <c r="AA432" s="11"/>
      <c r="AB432" s="11"/>
      <c r="AC432" s="24"/>
    </row>
    <row r="433" spans="1:29" x14ac:dyDescent="0.2">
      <c r="A433" s="11">
        <f>+'SERVICIO FAENA'!A433</f>
        <v>0</v>
      </c>
      <c r="B433" s="11">
        <f>+'SERVICIO FAENA'!B433</f>
        <v>0</v>
      </c>
      <c r="C433" s="11"/>
      <c r="D433" s="11"/>
      <c r="E433" s="18">
        <f>+'SERVICIO FAENA'!E433</f>
        <v>0</v>
      </c>
      <c r="F433" s="11"/>
      <c r="G433" s="180" t="e">
        <f t="shared" si="34"/>
        <v>#DIV/0!</v>
      </c>
      <c r="H433" s="11"/>
      <c r="I433" s="11"/>
      <c r="J433" s="180" t="e">
        <f t="shared" si="35"/>
        <v>#DIV/0!</v>
      </c>
      <c r="K433" s="100"/>
      <c r="L433" s="100"/>
      <c r="M433" s="100"/>
      <c r="N433" s="100">
        <f t="shared" si="36"/>
        <v>0</v>
      </c>
      <c r="O433" s="100"/>
      <c r="P433" s="41">
        <v>880</v>
      </c>
      <c r="Q433" s="11"/>
      <c r="R433" s="41">
        <v>260</v>
      </c>
      <c r="S433" s="185"/>
      <c r="T433" s="185"/>
      <c r="U433" s="185"/>
      <c r="V433" s="185"/>
      <c r="W433" s="41">
        <f t="shared" si="37"/>
        <v>0</v>
      </c>
      <c r="X433" s="41">
        <f t="shared" si="33"/>
        <v>0</v>
      </c>
      <c r="Y433" s="11"/>
      <c r="Z433" s="11"/>
      <c r="AA433" s="11"/>
      <c r="AB433" s="11"/>
      <c r="AC433" s="24"/>
    </row>
    <row r="434" spans="1:29" x14ac:dyDescent="0.2">
      <c r="A434" s="11">
        <f>+'SERVICIO FAENA'!A434</f>
        <v>0</v>
      </c>
      <c r="B434" s="11">
        <f>+'SERVICIO FAENA'!B434</f>
        <v>0</v>
      </c>
      <c r="C434" s="11"/>
      <c r="D434" s="11"/>
      <c r="E434" s="18">
        <f>+'SERVICIO FAENA'!E434</f>
        <v>0</v>
      </c>
      <c r="F434" s="11"/>
      <c r="G434" s="180" t="e">
        <f t="shared" si="34"/>
        <v>#DIV/0!</v>
      </c>
      <c r="H434" s="11"/>
      <c r="I434" s="11"/>
      <c r="J434" s="180" t="e">
        <f t="shared" si="35"/>
        <v>#DIV/0!</v>
      </c>
      <c r="K434" s="100"/>
      <c r="L434" s="100"/>
      <c r="M434" s="100"/>
      <c r="N434" s="100">
        <f t="shared" si="36"/>
        <v>0</v>
      </c>
      <c r="O434" s="100"/>
      <c r="P434" s="41">
        <v>880</v>
      </c>
      <c r="Q434" s="11"/>
      <c r="R434" s="41">
        <v>260</v>
      </c>
      <c r="S434" s="185"/>
      <c r="T434" s="185"/>
      <c r="U434" s="185"/>
      <c r="V434" s="185"/>
      <c r="W434" s="41">
        <f t="shared" si="37"/>
        <v>0</v>
      </c>
      <c r="X434" s="41">
        <f t="shared" si="33"/>
        <v>0</v>
      </c>
      <c r="Y434" s="11"/>
      <c r="Z434" s="11"/>
      <c r="AA434" s="11"/>
      <c r="AB434" s="11"/>
      <c r="AC434" s="24"/>
    </row>
    <row r="435" spans="1:29" x14ac:dyDescent="0.2">
      <c r="A435" s="11">
        <f>+'SERVICIO FAENA'!A435</f>
        <v>0</v>
      </c>
      <c r="B435" s="11">
        <f>+'SERVICIO FAENA'!B435</f>
        <v>0</v>
      </c>
      <c r="C435" s="11"/>
      <c r="D435" s="11"/>
      <c r="E435" s="18">
        <f>+'SERVICIO FAENA'!E435</f>
        <v>0</v>
      </c>
      <c r="F435" s="11"/>
      <c r="G435" s="180" t="e">
        <f t="shared" si="34"/>
        <v>#DIV/0!</v>
      </c>
      <c r="H435" s="11"/>
      <c r="I435" s="11"/>
      <c r="J435" s="180" t="e">
        <f t="shared" si="35"/>
        <v>#DIV/0!</v>
      </c>
      <c r="K435" s="100"/>
      <c r="L435" s="100"/>
      <c r="M435" s="100"/>
      <c r="N435" s="100">
        <f t="shared" si="36"/>
        <v>0</v>
      </c>
      <c r="O435" s="100"/>
      <c r="P435" s="41">
        <v>880</v>
      </c>
      <c r="Q435" s="11"/>
      <c r="R435" s="41">
        <v>260</v>
      </c>
      <c r="S435" s="185"/>
      <c r="T435" s="185"/>
      <c r="U435" s="185"/>
      <c r="V435" s="185"/>
      <c r="W435" s="41">
        <f t="shared" si="37"/>
        <v>0</v>
      </c>
      <c r="X435" s="41">
        <f t="shared" si="33"/>
        <v>0</v>
      </c>
      <c r="Y435" s="11"/>
      <c r="Z435" s="11"/>
      <c r="AA435" s="11"/>
      <c r="AB435" s="11"/>
      <c r="AC435" s="24"/>
    </row>
    <row r="436" spans="1:29" x14ac:dyDescent="0.2">
      <c r="A436" s="11">
        <f>+'SERVICIO FAENA'!A436</f>
        <v>0</v>
      </c>
      <c r="B436" s="11">
        <f>+'SERVICIO FAENA'!B436</f>
        <v>0</v>
      </c>
      <c r="C436" s="11"/>
      <c r="D436" s="11"/>
      <c r="E436" s="18">
        <f>+'SERVICIO FAENA'!E436</f>
        <v>0</v>
      </c>
      <c r="F436" s="11"/>
      <c r="G436" s="180" t="e">
        <f t="shared" si="34"/>
        <v>#DIV/0!</v>
      </c>
      <c r="H436" s="11"/>
      <c r="I436" s="11"/>
      <c r="J436" s="180" t="e">
        <f t="shared" si="35"/>
        <v>#DIV/0!</v>
      </c>
      <c r="K436" s="100"/>
      <c r="L436" s="100"/>
      <c r="M436" s="100"/>
      <c r="N436" s="100">
        <f t="shared" si="36"/>
        <v>0</v>
      </c>
      <c r="O436" s="100"/>
      <c r="P436" s="41">
        <v>880</v>
      </c>
      <c r="Q436" s="11"/>
      <c r="R436" s="41">
        <v>260</v>
      </c>
      <c r="S436" s="185"/>
      <c r="T436" s="185"/>
      <c r="U436" s="185"/>
      <c r="V436" s="185"/>
      <c r="W436" s="41">
        <f t="shared" si="37"/>
        <v>0</v>
      </c>
      <c r="X436" s="41">
        <f t="shared" si="33"/>
        <v>0</v>
      </c>
      <c r="Y436" s="11"/>
      <c r="Z436" s="11"/>
      <c r="AA436" s="11"/>
      <c r="AB436" s="11"/>
      <c r="AC436" s="24"/>
    </row>
    <row r="437" spans="1:29" x14ac:dyDescent="0.2">
      <c r="A437" s="11">
        <f>+'SERVICIO FAENA'!A437</f>
        <v>0</v>
      </c>
      <c r="B437" s="11">
        <f>+'SERVICIO FAENA'!B437</f>
        <v>0</v>
      </c>
      <c r="C437" s="11"/>
      <c r="D437" s="11"/>
      <c r="E437" s="18">
        <f>+'SERVICIO FAENA'!E437</f>
        <v>0</v>
      </c>
      <c r="F437" s="11"/>
      <c r="G437" s="180" t="e">
        <f t="shared" si="34"/>
        <v>#DIV/0!</v>
      </c>
      <c r="H437" s="11"/>
      <c r="I437" s="11"/>
      <c r="J437" s="180" t="e">
        <f t="shared" si="35"/>
        <v>#DIV/0!</v>
      </c>
      <c r="K437" s="100"/>
      <c r="L437" s="100"/>
      <c r="M437" s="100"/>
      <c r="N437" s="100">
        <f t="shared" si="36"/>
        <v>0</v>
      </c>
      <c r="O437" s="100"/>
      <c r="P437" s="41">
        <v>880</v>
      </c>
      <c r="Q437" s="11"/>
      <c r="R437" s="41">
        <v>260</v>
      </c>
      <c r="S437" s="185"/>
      <c r="T437" s="185"/>
      <c r="U437" s="185"/>
      <c r="V437" s="185"/>
      <c r="W437" s="41">
        <f t="shared" si="37"/>
        <v>0</v>
      </c>
      <c r="X437" s="41">
        <f t="shared" si="33"/>
        <v>0</v>
      </c>
      <c r="Y437" s="11"/>
      <c r="Z437" s="11"/>
      <c r="AA437" s="11"/>
      <c r="AB437" s="11"/>
      <c r="AC437" s="24"/>
    </row>
    <row r="438" spans="1:29" x14ac:dyDescent="0.2">
      <c r="A438" s="11">
        <f>+'SERVICIO FAENA'!A438</f>
        <v>0</v>
      </c>
      <c r="B438" s="11">
        <f>+'SERVICIO FAENA'!B438</f>
        <v>0</v>
      </c>
      <c r="C438" s="11"/>
      <c r="D438" s="11"/>
      <c r="E438" s="18">
        <f>+'SERVICIO FAENA'!E438</f>
        <v>0</v>
      </c>
      <c r="F438" s="11"/>
      <c r="G438" s="180" t="e">
        <f t="shared" si="34"/>
        <v>#DIV/0!</v>
      </c>
      <c r="H438" s="11"/>
      <c r="I438" s="11"/>
      <c r="J438" s="180" t="e">
        <f t="shared" si="35"/>
        <v>#DIV/0!</v>
      </c>
      <c r="K438" s="100"/>
      <c r="L438" s="100"/>
      <c r="M438" s="100"/>
      <c r="N438" s="100">
        <f t="shared" si="36"/>
        <v>0</v>
      </c>
      <c r="O438" s="100"/>
      <c r="P438" s="41">
        <v>880</v>
      </c>
      <c r="Q438" s="11"/>
      <c r="R438" s="41">
        <v>260</v>
      </c>
      <c r="S438" s="185"/>
      <c r="T438" s="185"/>
      <c r="U438" s="185"/>
      <c r="V438" s="185"/>
      <c r="W438" s="41">
        <f t="shared" si="37"/>
        <v>0</v>
      </c>
      <c r="X438" s="41">
        <f t="shared" si="33"/>
        <v>0</v>
      </c>
      <c r="Y438" s="11"/>
      <c r="Z438" s="11"/>
      <c r="AA438" s="11"/>
      <c r="AB438" s="11"/>
      <c r="AC438" s="24"/>
    </row>
    <row r="439" spans="1:29" x14ac:dyDescent="0.2">
      <c r="A439" s="11">
        <f>+'SERVICIO FAENA'!A439</f>
        <v>0</v>
      </c>
      <c r="B439" s="11">
        <f>+'SERVICIO FAENA'!B439</f>
        <v>0</v>
      </c>
      <c r="C439" s="11"/>
      <c r="D439" s="11"/>
      <c r="E439" s="18">
        <f>+'SERVICIO FAENA'!E439</f>
        <v>0</v>
      </c>
      <c r="F439" s="11"/>
      <c r="G439" s="180" t="e">
        <f t="shared" si="34"/>
        <v>#DIV/0!</v>
      </c>
      <c r="H439" s="11"/>
      <c r="I439" s="11"/>
      <c r="J439" s="180" t="e">
        <f t="shared" si="35"/>
        <v>#DIV/0!</v>
      </c>
      <c r="K439" s="100"/>
      <c r="L439" s="100"/>
      <c r="M439" s="100"/>
      <c r="N439" s="100">
        <f t="shared" si="36"/>
        <v>0</v>
      </c>
      <c r="O439" s="100"/>
      <c r="P439" s="41">
        <v>880</v>
      </c>
      <c r="Q439" s="11"/>
      <c r="R439" s="41">
        <v>260</v>
      </c>
      <c r="S439" s="185"/>
      <c r="T439" s="185"/>
      <c r="U439" s="185"/>
      <c r="V439" s="185"/>
      <c r="W439" s="41">
        <f t="shared" si="37"/>
        <v>0</v>
      </c>
      <c r="X439" s="41">
        <f t="shared" si="33"/>
        <v>0</v>
      </c>
      <c r="Y439" s="11"/>
      <c r="Z439" s="11"/>
      <c r="AA439" s="11"/>
      <c r="AB439" s="11"/>
      <c r="AC439" s="24"/>
    </row>
    <row r="440" spans="1:29" x14ac:dyDescent="0.2">
      <c r="A440" s="11">
        <f>+'SERVICIO FAENA'!A440</f>
        <v>0</v>
      </c>
      <c r="B440" s="11">
        <f>+'SERVICIO FAENA'!B440</f>
        <v>0</v>
      </c>
      <c r="C440" s="11"/>
      <c r="D440" s="11"/>
      <c r="E440" s="18">
        <f>+'SERVICIO FAENA'!E440</f>
        <v>0</v>
      </c>
      <c r="F440" s="11"/>
      <c r="G440" s="180" t="e">
        <f t="shared" si="34"/>
        <v>#DIV/0!</v>
      </c>
      <c r="H440" s="11"/>
      <c r="I440" s="11"/>
      <c r="J440" s="180" t="e">
        <f t="shared" si="35"/>
        <v>#DIV/0!</v>
      </c>
      <c r="K440" s="100"/>
      <c r="L440" s="100"/>
      <c r="M440" s="100"/>
      <c r="N440" s="100">
        <f t="shared" si="36"/>
        <v>0</v>
      </c>
      <c r="O440" s="100"/>
      <c r="P440" s="41">
        <v>880</v>
      </c>
      <c r="Q440" s="11"/>
      <c r="R440" s="41">
        <v>260</v>
      </c>
      <c r="S440" s="185"/>
      <c r="T440" s="185"/>
      <c r="U440" s="185"/>
      <c r="V440" s="185"/>
      <c r="W440" s="41">
        <f t="shared" si="37"/>
        <v>0</v>
      </c>
      <c r="X440" s="41">
        <f t="shared" si="33"/>
        <v>0</v>
      </c>
      <c r="Y440" s="11"/>
      <c r="Z440" s="11"/>
      <c r="AA440" s="11"/>
      <c r="AB440" s="11"/>
      <c r="AC440" s="24"/>
    </row>
    <row r="441" spans="1:29" x14ac:dyDescent="0.2">
      <c r="A441" s="11">
        <f>+'SERVICIO FAENA'!A441</f>
        <v>0</v>
      </c>
      <c r="B441" s="11">
        <f>+'SERVICIO FAENA'!B441</f>
        <v>0</v>
      </c>
      <c r="C441" s="11"/>
      <c r="D441" s="11"/>
      <c r="E441" s="18">
        <f>+'SERVICIO FAENA'!E441</f>
        <v>0</v>
      </c>
      <c r="F441" s="11"/>
      <c r="G441" s="180" t="e">
        <f t="shared" si="34"/>
        <v>#DIV/0!</v>
      </c>
      <c r="H441" s="11"/>
      <c r="I441" s="11"/>
      <c r="J441" s="180" t="e">
        <f t="shared" si="35"/>
        <v>#DIV/0!</v>
      </c>
      <c r="K441" s="100"/>
      <c r="L441" s="100"/>
      <c r="M441" s="100"/>
      <c r="N441" s="100">
        <f t="shared" si="36"/>
        <v>0</v>
      </c>
      <c r="O441" s="100"/>
      <c r="P441" s="41">
        <v>880</v>
      </c>
      <c r="Q441" s="11"/>
      <c r="R441" s="41">
        <v>260</v>
      </c>
      <c r="S441" s="185"/>
      <c r="T441" s="185"/>
      <c r="U441" s="185"/>
      <c r="V441" s="185"/>
      <c r="W441" s="41">
        <f t="shared" si="37"/>
        <v>0</v>
      </c>
      <c r="X441" s="41">
        <f t="shared" si="33"/>
        <v>0</v>
      </c>
      <c r="Y441" s="11"/>
      <c r="Z441" s="11"/>
      <c r="AA441" s="11"/>
      <c r="AB441" s="11"/>
      <c r="AC441" s="24"/>
    </row>
    <row r="442" spans="1:29" x14ac:dyDescent="0.2">
      <c r="A442" s="11">
        <f>+'SERVICIO FAENA'!A442</f>
        <v>0</v>
      </c>
      <c r="B442" s="11">
        <f>+'SERVICIO FAENA'!B442</f>
        <v>0</v>
      </c>
      <c r="C442" s="11"/>
      <c r="D442" s="11"/>
      <c r="E442" s="18">
        <f>+'SERVICIO FAENA'!E442</f>
        <v>0</v>
      </c>
      <c r="F442" s="11"/>
      <c r="G442" s="180" t="e">
        <f t="shared" si="34"/>
        <v>#DIV/0!</v>
      </c>
      <c r="H442" s="11"/>
      <c r="I442" s="11"/>
      <c r="J442" s="180" t="e">
        <f t="shared" si="35"/>
        <v>#DIV/0!</v>
      </c>
      <c r="K442" s="100"/>
      <c r="L442" s="100"/>
      <c r="M442" s="100"/>
      <c r="N442" s="100">
        <f t="shared" si="36"/>
        <v>0</v>
      </c>
      <c r="O442" s="100"/>
      <c r="P442" s="41">
        <v>880</v>
      </c>
      <c r="Q442" s="11"/>
      <c r="R442" s="41">
        <v>260</v>
      </c>
      <c r="S442" s="185"/>
      <c r="T442" s="185"/>
      <c r="U442" s="185"/>
      <c r="V442" s="185"/>
      <c r="W442" s="41">
        <f t="shared" si="37"/>
        <v>0</v>
      </c>
      <c r="X442" s="41">
        <f t="shared" si="33"/>
        <v>0</v>
      </c>
      <c r="Y442" s="11"/>
      <c r="Z442" s="11"/>
      <c r="AA442" s="11"/>
      <c r="AB442" s="11"/>
      <c r="AC442" s="24"/>
    </row>
    <row r="443" spans="1:29" x14ac:dyDescent="0.2">
      <c r="A443" s="11">
        <f>+'SERVICIO FAENA'!A443</f>
        <v>0</v>
      </c>
      <c r="B443" s="11">
        <f>+'SERVICIO FAENA'!B443</f>
        <v>0</v>
      </c>
      <c r="C443" s="11"/>
      <c r="D443" s="11"/>
      <c r="E443" s="18">
        <f>+'SERVICIO FAENA'!E443</f>
        <v>0</v>
      </c>
      <c r="F443" s="11"/>
      <c r="G443" s="180" t="e">
        <f t="shared" si="34"/>
        <v>#DIV/0!</v>
      </c>
      <c r="H443" s="11"/>
      <c r="I443" s="11"/>
      <c r="J443" s="180" t="e">
        <f t="shared" si="35"/>
        <v>#DIV/0!</v>
      </c>
      <c r="K443" s="100"/>
      <c r="L443" s="100"/>
      <c r="M443" s="100"/>
      <c r="N443" s="100">
        <f t="shared" si="36"/>
        <v>0</v>
      </c>
      <c r="O443" s="100"/>
      <c r="P443" s="41">
        <v>880</v>
      </c>
      <c r="Q443" s="11"/>
      <c r="R443" s="41">
        <v>260</v>
      </c>
      <c r="S443" s="185"/>
      <c r="T443" s="185"/>
      <c r="U443" s="185"/>
      <c r="V443" s="185"/>
      <c r="W443" s="41">
        <f t="shared" si="37"/>
        <v>0</v>
      </c>
      <c r="X443" s="41">
        <f t="shared" si="33"/>
        <v>0</v>
      </c>
      <c r="Y443" s="11"/>
      <c r="Z443" s="11"/>
      <c r="AA443" s="11"/>
      <c r="AB443" s="11"/>
      <c r="AC443" s="24"/>
    </row>
    <row r="444" spans="1:29" x14ac:dyDescent="0.2">
      <c r="A444" s="11">
        <f>+'SERVICIO FAENA'!A444</f>
        <v>0</v>
      </c>
      <c r="B444" s="11">
        <f>+'SERVICIO FAENA'!B444</f>
        <v>0</v>
      </c>
      <c r="C444" s="11"/>
      <c r="D444" s="11"/>
      <c r="E444" s="18">
        <f>+'SERVICIO FAENA'!E444</f>
        <v>0</v>
      </c>
      <c r="F444" s="11"/>
      <c r="G444" s="180" t="e">
        <f t="shared" si="34"/>
        <v>#DIV/0!</v>
      </c>
      <c r="H444" s="11"/>
      <c r="I444" s="11"/>
      <c r="J444" s="180" t="e">
        <f t="shared" si="35"/>
        <v>#DIV/0!</v>
      </c>
      <c r="K444" s="100"/>
      <c r="L444" s="100"/>
      <c r="M444" s="100"/>
      <c r="N444" s="100">
        <f t="shared" si="36"/>
        <v>0</v>
      </c>
      <c r="O444" s="100"/>
      <c r="P444" s="41">
        <v>880</v>
      </c>
      <c r="Q444" s="11"/>
      <c r="R444" s="41">
        <v>260</v>
      </c>
      <c r="S444" s="185"/>
      <c r="T444" s="185"/>
      <c r="U444" s="185"/>
      <c r="V444" s="185"/>
      <c r="W444" s="41">
        <f t="shared" si="37"/>
        <v>0</v>
      </c>
      <c r="X444" s="41">
        <f t="shared" si="33"/>
        <v>0</v>
      </c>
      <c r="Y444" s="11"/>
      <c r="Z444" s="11"/>
      <c r="AA444" s="11"/>
      <c r="AB444" s="11"/>
      <c r="AC444" s="24"/>
    </row>
    <row r="445" spans="1:29" x14ac:dyDescent="0.2">
      <c r="A445" s="11">
        <f>+'SERVICIO FAENA'!A445</f>
        <v>0</v>
      </c>
      <c r="B445" s="11">
        <f>+'SERVICIO FAENA'!B445</f>
        <v>0</v>
      </c>
      <c r="C445" s="11"/>
      <c r="D445" s="11"/>
      <c r="E445" s="18">
        <f>+'SERVICIO FAENA'!E445</f>
        <v>0</v>
      </c>
      <c r="F445" s="11"/>
      <c r="G445" s="180" t="e">
        <f t="shared" si="34"/>
        <v>#DIV/0!</v>
      </c>
      <c r="H445" s="11"/>
      <c r="I445" s="11"/>
      <c r="J445" s="180" t="e">
        <f t="shared" si="35"/>
        <v>#DIV/0!</v>
      </c>
      <c r="K445" s="100"/>
      <c r="L445" s="100"/>
      <c r="M445" s="100"/>
      <c r="N445" s="100">
        <f t="shared" si="36"/>
        <v>0</v>
      </c>
      <c r="O445" s="100"/>
      <c r="P445" s="41">
        <v>880</v>
      </c>
      <c r="Q445" s="11"/>
      <c r="R445" s="41">
        <v>260</v>
      </c>
      <c r="S445" s="185"/>
      <c r="T445" s="185"/>
      <c r="U445" s="185"/>
      <c r="V445" s="185"/>
      <c r="W445" s="41">
        <f t="shared" si="37"/>
        <v>0</v>
      </c>
      <c r="X445" s="41">
        <f t="shared" si="33"/>
        <v>0</v>
      </c>
      <c r="Y445" s="11"/>
      <c r="Z445" s="11"/>
      <c r="AA445" s="11"/>
      <c r="AB445" s="11"/>
      <c r="AC445" s="24"/>
    </row>
    <row r="446" spans="1:29" x14ac:dyDescent="0.2">
      <c r="A446" s="11">
        <f>+'SERVICIO FAENA'!A446</f>
        <v>0</v>
      </c>
      <c r="B446" s="11">
        <f>+'SERVICIO FAENA'!B446</f>
        <v>0</v>
      </c>
      <c r="C446" s="11"/>
      <c r="D446" s="11"/>
      <c r="E446" s="18">
        <f>+'SERVICIO FAENA'!E446</f>
        <v>0</v>
      </c>
      <c r="F446" s="11"/>
      <c r="G446" s="180" t="e">
        <f t="shared" si="34"/>
        <v>#DIV/0!</v>
      </c>
      <c r="H446" s="11"/>
      <c r="I446" s="11"/>
      <c r="J446" s="180" t="e">
        <f t="shared" si="35"/>
        <v>#DIV/0!</v>
      </c>
      <c r="K446" s="100"/>
      <c r="L446" s="100"/>
      <c r="M446" s="100"/>
      <c r="N446" s="100">
        <f t="shared" si="36"/>
        <v>0</v>
      </c>
      <c r="O446" s="100"/>
      <c r="P446" s="41">
        <v>880</v>
      </c>
      <c r="Q446" s="11"/>
      <c r="R446" s="41">
        <v>260</v>
      </c>
      <c r="S446" s="185"/>
      <c r="T446" s="185"/>
      <c r="U446" s="185"/>
      <c r="V446" s="185"/>
      <c r="W446" s="41">
        <f t="shared" si="37"/>
        <v>0</v>
      </c>
      <c r="X446" s="41">
        <f t="shared" si="33"/>
        <v>0</v>
      </c>
      <c r="Y446" s="11"/>
      <c r="Z446" s="11"/>
      <c r="AA446" s="11"/>
      <c r="AB446" s="11"/>
      <c r="AC446" s="24"/>
    </row>
    <row r="447" spans="1:29" x14ac:dyDescent="0.2">
      <c r="A447" s="11">
        <f>+'SERVICIO FAENA'!A447</f>
        <v>0</v>
      </c>
      <c r="B447" s="11">
        <f>+'SERVICIO FAENA'!B447</f>
        <v>0</v>
      </c>
      <c r="C447" s="11"/>
      <c r="D447" s="11"/>
      <c r="E447" s="18">
        <f>+'SERVICIO FAENA'!E447</f>
        <v>0</v>
      </c>
      <c r="F447" s="11"/>
      <c r="G447" s="180" t="e">
        <f t="shared" si="34"/>
        <v>#DIV/0!</v>
      </c>
      <c r="H447" s="11"/>
      <c r="I447" s="11"/>
      <c r="J447" s="180" t="e">
        <f t="shared" si="35"/>
        <v>#DIV/0!</v>
      </c>
      <c r="K447" s="100"/>
      <c r="L447" s="100"/>
      <c r="M447" s="100"/>
      <c r="N447" s="100">
        <f t="shared" si="36"/>
        <v>0</v>
      </c>
      <c r="O447" s="100"/>
      <c r="P447" s="41">
        <v>880</v>
      </c>
      <c r="Q447" s="11"/>
      <c r="R447" s="41">
        <v>260</v>
      </c>
      <c r="S447" s="185"/>
      <c r="T447" s="185"/>
      <c r="U447" s="185"/>
      <c r="V447" s="185"/>
      <c r="W447" s="41">
        <f t="shared" si="37"/>
        <v>0</v>
      </c>
      <c r="X447" s="41">
        <f t="shared" si="33"/>
        <v>0</v>
      </c>
      <c r="Y447" s="11"/>
      <c r="Z447" s="11"/>
      <c r="AA447" s="11"/>
      <c r="AB447" s="11"/>
      <c r="AC447" s="24"/>
    </row>
    <row r="448" spans="1:29" x14ac:dyDescent="0.2">
      <c r="A448" s="11">
        <f>+'SERVICIO FAENA'!A448</f>
        <v>0</v>
      </c>
      <c r="B448" s="11">
        <f>+'SERVICIO FAENA'!B448</f>
        <v>0</v>
      </c>
      <c r="C448" s="11"/>
      <c r="D448" s="11"/>
      <c r="E448" s="18">
        <f>+'SERVICIO FAENA'!E448</f>
        <v>0</v>
      </c>
      <c r="F448" s="11"/>
      <c r="G448" s="180" t="e">
        <f t="shared" si="34"/>
        <v>#DIV/0!</v>
      </c>
      <c r="H448" s="11"/>
      <c r="I448" s="11"/>
      <c r="J448" s="180" t="e">
        <f t="shared" si="35"/>
        <v>#DIV/0!</v>
      </c>
      <c r="K448" s="100"/>
      <c r="L448" s="100"/>
      <c r="M448" s="100"/>
      <c r="N448" s="100">
        <f t="shared" si="36"/>
        <v>0</v>
      </c>
      <c r="O448" s="100"/>
      <c r="P448" s="41">
        <v>880</v>
      </c>
      <c r="Q448" s="11"/>
      <c r="R448" s="41">
        <v>260</v>
      </c>
      <c r="S448" s="185"/>
      <c r="T448" s="185"/>
      <c r="U448" s="185"/>
      <c r="V448" s="185"/>
      <c r="W448" s="41">
        <f t="shared" si="37"/>
        <v>0</v>
      </c>
      <c r="X448" s="41">
        <f t="shared" si="33"/>
        <v>0</v>
      </c>
      <c r="Y448" s="11"/>
      <c r="Z448" s="11"/>
      <c r="AA448" s="11"/>
      <c r="AB448" s="11"/>
      <c r="AC448" s="24"/>
    </row>
    <row r="449" spans="1:29" x14ac:dyDescent="0.2">
      <c r="A449" s="11">
        <f>+'SERVICIO FAENA'!A449</f>
        <v>0</v>
      </c>
      <c r="B449" s="11">
        <f>+'SERVICIO FAENA'!B449</f>
        <v>0</v>
      </c>
      <c r="C449" s="11"/>
      <c r="D449" s="11"/>
      <c r="E449" s="18">
        <f>+'SERVICIO FAENA'!E449</f>
        <v>0</v>
      </c>
      <c r="F449" s="11"/>
      <c r="G449" s="180" t="e">
        <f t="shared" si="34"/>
        <v>#DIV/0!</v>
      </c>
      <c r="H449" s="11"/>
      <c r="I449" s="11"/>
      <c r="J449" s="180" t="e">
        <f t="shared" si="35"/>
        <v>#DIV/0!</v>
      </c>
      <c r="K449" s="100"/>
      <c r="L449" s="100"/>
      <c r="M449" s="100"/>
      <c r="N449" s="100">
        <f t="shared" si="36"/>
        <v>0</v>
      </c>
      <c r="O449" s="100"/>
      <c r="P449" s="41">
        <v>880</v>
      </c>
      <c r="Q449" s="11"/>
      <c r="R449" s="41">
        <v>260</v>
      </c>
      <c r="S449" s="185"/>
      <c r="T449" s="185"/>
      <c r="U449" s="185"/>
      <c r="V449" s="185"/>
      <c r="W449" s="41">
        <f t="shared" si="37"/>
        <v>0</v>
      </c>
      <c r="X449" s="41">
        <f t="shared" si="33"/>
        <v>0</v>
      </c>
      <c r="Y449" s="11"/>
      <c r="Z449" s="11"/>
      <c r="AA449" s="11"/>
      <c r="AB449" s="11"/>
      <c r="AC449" s="24"/>
    </row>
    <row r="450" spans="1:29" x14ac:dyDescent="0.2">
      <c r="A450" s="11">
        <f>+'SERVICIO FAENA'!A450</f>
        <v>0</v>
      </c>
      <c r="B450" s="11">
        <f>+'SERVICIO FAENA'!B450</f>
        <v>0</v>
      </c>
      <c r="C450" s="11"/>
      <c r="D450" s="11"/>
      <c r="E450" s="18">
        <f>+'SERVICIO FAENA'!E450</f>
        <v>0</v>
      </c>
      <c r="F450" s="11"/>
      <c r="G450" s="180" t="e">
        <f t="shared" si="34"/>
        <v>#DIV/0!</v>
      </c>
      <c r="H450" s="11"/>
      <c r="I450" s="11"/>
      <c r="J450" s="180" t="e">
        <f t="shared" si="35"/>
        <v>#DIV/0!</v>
      </c>
      <c r="K450" s="100"/>
      <c r="L450" s="100"/>
      <c r="M450" s="100"/>
      <c r="N450" s="100">
        <f t="shared" si="36"/>
        <v>0</v>
      </c>
      <c r="O450" s="100"/>
      <c r="P450" s="41">
        <v>880</v>
      </c>
      <c r="Q450" s="11"/>
      <c r="R450" s="41">
        <v>260</v>
      </c>
      <c r="S450" s="185"/>
      <c r="T450" s="185"/>
      <c r="U450" s="185"/>
      <c r="V450" s="185"/>
      <c r="W450" s="41">
        <f t="shared" si="37"/>
        <v>0</v>
      </c>
      <c r="X450" s="41">
        <f t="shared" si="33"/>
        <v>0</v>
      </c>
      <c r="Y450" s="11"/>
      <c r="Z450" s="11"/>
      <c r="AA450" s="11"/>
      <c r="AB450" s="11"/>
      <c r="AC450" s="24"/>
    </row>
    <row r="451" spans="1:29" x14ac:dyDescent="0.2">
      <c r="A451" s="11">
        <f>+'SERVICIO FAENA'!A451</f>
        <v>0</v>
      </c>
      <c r="B451" s="11">
        <f>+'SERVICIO FAENA'!B451</f>
        <v>0</v>
      </c>
      <c r="C451" s="11"/>
      <c r="D451" s="11"/>
      <c r="E451" s="18">
        <f>+'SERVICIO FAENA'!E451</f>
        <v>0</v>
      </c>
      <c r="F451" s="11"/>
      <c r="G451" s="180" t="e">
        <f t="shared" si="34"/>
        <v>#DIV/0!</v>
      </c>
      <c r="H451" s="11"/>
      <c r="I451" s="11"/>
      <c r="J451" s="180" t="e">
        <f t="shared" si="35"/>
        <v>#DIV/0!</v>
      </c>
      <c r="K451" s="100"/>
      <c r="L451" s="100"/>
      <c r="M451" s="100"/>
      <c r="N451" s="100">
        <f t="shared" si="36"/>
        <v>0</v>
      </c>
      <c r="O451" s="100"/>
      <c r="P451" s="41">
        <v>880</v>
      </c>
      <c r="Q451" s="11"/>
      <c r="R451" s="41">
        <v>260</v>
      </c>
      <c r="S451" s="185"/>
      <c r="T451" s="185"/>
      <c r="U451" s="185"/>
      <c r="V451" s="185"/>
      <c r="W451" s="41">
        <f t="shared" si="37"/>
        <v>0</v>
      </c>
      <c r="X451" s="41">
        <f t="shared" ref="X451:X514" si="38">+((O451*P451)+(Q451*R451))*1.21</f>
        <v>0</v>
      </c>
      <c r="Y451" s="11"/>
      <c r="Z451" s="11"/>
      <c r="AA451" s="11"/>
      <c r="AB451" s="11"/>
      <c r="AC451" s="24"/>
    </row>
    <row r="452" spans="1:29" x14ac:dyDescent="0.2">
      <c r="A452" s="11">
        <f>+'SERVICIO FAENA'!A452</f>
        <v>0</v>
      </c>
      <c r="B452" s="11">
        <f>+'SERVICIO FAENA'!B452</f>
        <v>0</v>
      </c>
      <c r="C452" s="11"/>
      <c r="D452" s="11"/>
      <c r="E452" s="18">
        <f>+'SERVICIO FAENA'!E452</f>
        <v>0</v>
      </c>
      <c r="F452" s="11"/>
      <c r="G452" s="180" t="e">
        <f t="shared" ref="G452:G515" si="39">+F452/D452</f>
        <v>#DIV/0!</v>
      </c>
      <c r="H452" s="11"/>
      <c r="I452" s="11"/>
      <c r="J452" s="180" t="e">
        <f t="shared" si="35"/>
        <v>#DIV/0!</v>
      </c>
      <c r="K452" s="100"/>
      <c r="L452" s="100"/>
      <c r="M452" s="100"/>
      <c r="N452" s="100">
        <f t="shared" si="36"/>
        <v>0</v>
      </c>
      <c r="O452" s="100"/>
      <c r="P452" s="41">
        <v>880</v>
      </c>
      <c r="Q452" s="11"/>
      <c r="R452" s="41">
        <v>260</v>
      </c>
      <c r="S452" s="185"/>
      <c r="T452" s="185"/>
      <c r="U452" s="185"/>
      <c r="V452" s="185"/>
      <c r="W452" s="41">
        <f t="shared" si="37"/>
        <v>0</v>
      </c>
      <c r="X452" s="41">
        <f t="shared" si="38"/>
        <v>0</v>
      </c>
      <c r="Y452" s="11"/>
      <c r="Z452" s="11"/>
      <c r="AA452" s="11"/>
      <c r="AB452" s="11"/>
      <c r="AC452" s="24"/>
    </row>
    <row r="453" spans="1:29" x14ac:dyDescent="0.2">
      <c r="A453" s="11">
        <f>+'SERVICIO FAENA'!A453</f>
        <v>0</v>
      </c>
      <c r="B453" s="11">
        <f>+'SERVICIO FAENA'!B453</f>
        <v>0</v>
      </c>
      <c r="C453" s="11"/>
      <c r="D453" s="11"/>
      <c r="E453" s="18">
        <f>+'SERVICIO FAENA'!E453</f>
        <v>0</v>
      </c>
      <c r="F453" s="11"/>
      <c r="G453" s="180" t="e">
        <f t="shared" si="39"/>
        <v>#DIV/0!</v>
      </c>
      <c r="H453" s="11"/>
      <c r="I453" s="11"/>
      <c r="J453" s="180" t="e">
        <f t="shared" si="35"/>
        <v>#DIV/0!</v>
      </c>
      <c r="K453" s="100"/>
      <c r="L453" s="100"/>
      <c r="M453" s="100"/>
      <c r="N453" s="100">
        <f t="shared" si="36"/>
        <v>0</v>
      </c>
      <c r="O453" s="100"/>
      <c r="P453" s="41">
        <v>880</v>
      </c>
      <c r="Q453" s="11"/>
      <c r="R453" s="41">
        <v>260</v>
      </c>
      <c r="S453" s="185"/>
      <c r="T453" s="185"/>
      <c r="U453" s="185"/>
      <c r="V453" s="185"/>
      <c r="W453" s="41">
        <f t="shared" si="37"/>
        <v>0</v>
      </c>
      <c r="X453" s="41">
        <f t="shared" si="38"/>
        <v>0</v>
      </c>
      <c r="Y453" s="11"/>
      <c r="Z453" s="11"/>
      <c r="AA453" s="11"/>
      <c r="AB453" s="11"/>
      <c r="AC453" s="24"/>
    </row>
    <row r="454" spans="1:29" x14ac:dyDescent="0.2">
      <c r="A454" s="11">
        <f>+'SERVICIO FAENA'!A454</f>
        <v>0</v>
      </c>
      <c r="B454" s="11">
        <f>+'SERVICIO FAENA'!B454</f>
        <v>0</v>
      </c>
      <c r="C454" s="11"/>
      <c r="D454" s="11"/>
      <c r="E454" s="18">
        <f>+'SERVICIO FAENA'!E454</f>
        <v>0</v>
      </c>
      <c r="F454" s="11"/>
      <c r="G454" s="180" t="e">
        <f t="shared" si="39"/>
        <v>#DIV/0!</v>
      </c>
      <c r="H454" s="11"/>
      <c r="I454" s="11"/>
      <c r="J454" s="180" t="e">
        <f t="shared" si="35"/>
        <v>#DIV/0!</v>
      </c>
      <c r="K454" s="100"/>
      <c r="L454" s="100"/>
      <c r="M454" s="100"/>
      <c r="N454" s="100">
        <f t="shared" si="36"/>
        <v>0</v>
      </c>
      <c r="O454" s="100"/>
      <c r="P454" s="41">
        <v>880</v>
      </c>
      <c r="Q454" s="11"/>
      <c r="R454" s="41">
        <v>260</v>
      </c>
      <c r="S454" s="185"/>
      <c r="T454" s="185"/>
      <c r="U454" s="185"/>
      <c r="V454" s="185"/>
      <c r="W454" s="41">
        <f t="shared" si="37"/>
        <v>0</v>
      </c>
      <c r="X454" s="41">
        <f t="shared" si="38"/>
        <v>0</v>
      </c>
      <c r="Y454" s="11"/>
      <c r="Z454" s="11"/>
      <c r="AA454" s="11"/>
      <c r="AB454" s="11"/>
      <c r="AC454" s="24"/>
    </row>
    <row r="455" spans="1:29" x14ac:dyDescent="0.2">
      <c r="A455" s="11">
        <f>+'SERVICIO FAENA'!A455</f>
        <v>0</v>
      </c>
      <c r="B455" s="11">
        <f>+'SERVICIO FAENA'!B455</f>
        <v>0</v>
      </c>
      <c r="C455" s="11"/>
      <c r="D455" s="11"/>
      <c r="E455" s="18">
        <f>+'SERVICIO FAENA'!E455</f>
        <v>0</v>
      </c>
      <c r="F455" s="11"/>
      <c r="G455" s="180" t="e">
        <f t="shared" si="39"/>
        <v>#DIV/0!</v>
      </c>
      <c r="H455" s="11"/>
      <c r="I455" s="11"/>
      <c r="J455" s="180" t="e">
        <f t="shared" si="35"/>
        <v>#DIV/0!</v>
      </c>
      <c r="K455" s="100"/>
      <c r="L455" s="100"/>
      <c r="M455" s="100"/>
      <c r="N455" s="100">
        <f t="shared" si="36"/>
        <v>0</v>
      </c>
      <c r="O455" s="100"/>
      <c r="P455" s="41">
        <v>880</v>
      </c>
      <c r="Q455" s="11"/>
      <c r="R455" s="41">
        <v>260</v>
      </c>
      <c r="S455" s="185"/>
      <c r="T455" s="185"/>
      <c r="U455" s="185"/>
      <c r="V455" s="185"/>
      <c r="W455" s="41">
        <f t="shared" si="37"/>
        <v>0</v>
      </c>
      <c r="X455" s="41">
        <f t="shared" si="38"/>
        <v>0</v>
      </c>
      <c r="Y455" s="11"/>
      <c r="Z455" s="11"/>
      <c r="AA455" s="11"/>
      <c r="AB455" s="11"/>
      <c r="AC455" s="24"/>
    </row>
    <row r="456" spans="1:29" x14ac:dyDescent="0.2">
      <c r="A456" s="11">
        <f>+'SERVICIO FAENA'!A456</f>
        <v>0</v>
      </c>
      <c r="B456" s="11">
        <f>+'SERVICIO FAENA'!B456</f>
        <v>0</v>
      </c>
      <c r="C456" s="11"/>
      <c r="D456" s="11"/>
      <c r="E456" s="18">
        <f>+'SERVICIO FAENA'!E456</f>
        <v>0</v>
      </c>
      <c r="F456" s="11"/>
      <c r="G456" s="180" t="e">
        <f t="shared" si="39"/>
        <v>#DIV/0!</v>
      </c>
      <c r="H456" s="11"/>
      <c r="I456" s="11"/>
      <c r="J456" s="180" t="e">
        <f t="shared" si="35"/>
        <v>#DIV/0!</v>
      </c>
      <c r="K456" s="100"/>
      <c r="L456" s="100"/>
      <c r="M456" s="100"/>
      <c r="N456" s="100">
        <f t="shared" si="36"/>
        <v>0</v>
      </c>
      <c r="O456" s="100"/>
      <c r="P456" s="41">
        <v>880</v>
      </c>
      <c r="Q456" s="11"/>
      <c r="R456" s="41">
        <v>260</v>
      </c>
      <c r="S456" s="185"/>
      <c r="T456" s="185"/>
      <c r="U456" s="185"/>
      <c r="V456" s="185"/>
      <c r="W456" s="41">
        <f t="shared" si="37"/>
        <v>0</v>
      </c>
      <c r="X456" s="41">
        <f t="shared" si="38"/>
        <v>0</v>
      </c>
      <c r="Y456" s="11"/>
      <c r="Z456" s="11"/>
      <c r="AA456" s="11"/>
      <c r="AB456" s="11"/>
      <c r="AC456" s="24"/>
    </row>
    <row r="457" spans="1:29" x14ac:dyDescent="0.2">
      <c r="A457" s="11">
        <f>+'SERVICIO FAENA'!A457</f>
        <v>0</v>
      </c>
      <c r="B457" s="11">
        <f>+'SERVICIO FAENA'!B457</f>
        <v>0</v>
      </c>
      <c r="C457" s="11"/>
      <c r="D457" s="11"/>
      <c r="E457" s="18">
        <f>+'SERVICIO FAENA'!E457</f>
        <v>0</v>
      </c>
      <c r="F457" s="11"/>
      <c r="G457" s="180" t="e">
        <f t="shared" si="39"/>
        <v>#DIV/0!</v>
      </c>
      <c r="H457" s="11"/>
      <c r="I457" s="11"/>
      <c r="J457" s="180" t="e">
        <f t="shared" si="35"/>
        <v>#DIV/0!</v>
      </c>
      <c r="K457" s="100"/>
      <c r="L457" s="100"/>
      <c r="M457" s="100"/>
      <c r="N457" s="100">
        <f t="shared" si="36"/>
        <v>0</v>
      </c>
      <c r="O457" s="100"/>
      <c r="P457" s="41">
        <v>880</v>
      </c>
      <c r="Q457" s="11"/>
      <c r="R457" s="41">
        <v>260</v>
      </c>
      <c r="S457" s="185"/>
      <c r="T457" s="185"/>
      <c r="U457" s="185"/>
      <c r="V457" s="185"/>
      <c r="W457" s="41">
        <f t="shared" si="37"/>
        <v>0</v>
      </c>
      <c r="X457" s="41">
        <f t="shared" si="38"/>
        <v>0</v>
      </c>
      <c r="Y457" s="11"/>
      <c r="Z457" s="11"/>
      <c r="AA457" s="11"/>
      <c r="AB457" s="11"/>
      <c r="AC457" s="24"/>
    </row>
    <row r="458" spans="1:29" x14ac:dyDescent="0.2">
      <c r="A458" s="11">
        <f>+'SERVICIO FAENA'!A458</f>
        <v>0</v>
      </c>
      <c r="B458" s="11">
        <f>+'SERVICIO FAENA'!B458</f>
        <v>0</v>
      </c>
      <c r="C458" s="11"/>
      <c r="D458" s="11"/>
      <c r="E458" s="18">
        <f>+'SERVICIO FAENA'!E458</f>
        <v>0</v>
      </c>
      <c r="F458" s="11"/>
      <c r="G458" s="180" t="e">
        <f t="shared" si="39"/>
        <v>#DIV/0!</v>
      </c>
      <c r="H458" s="11"/>
      <c r="I458" s="11"/>
      <c r="J458" s="180" t="e">
        <f t="shared" si="35"/>
        <v>#DIV/0!</v>
      </c>
      <c r="K458" s="100"/>
      <c r="L458" s="100"/>
      <c r="M458" s="100"/>
      <c r="N458" s="100">
        <f t="shared" si="36"/>
        <v>0</v>
      </c>
      <c r="O458" s="100"/>
      <c r="P458" s="41">
        <v>880</v>
      </c>
      <c r="Q458" s="11"/>
      <c r="R458" s="41">
        <v>260</v>
      </c>
      <c r="S458" s="185"/>
      <c r="T458" s="185"/>
      <c r="U458" s="185"/>
      <c r="V458" s="185"/>
      <c r="W458" s="41">
        <f t="shared" si="37"/>
        <v>0</v>
      </c>
      <c r="X458" s="41">
        <f t="shared" si="38"/>
        <v>0</v>
      </c>
      <c r="Y458" s="11"/>
      <c r="Z458" s="11"/>
      <c r="AA458" s="11"/>
      <c r="AB458" s="11"/>
      <c r="AC458" s="24"/>
    </row>
    <row r="459" spans="1:29" x14ac:dyDescent="0.2">
      <c r="A459" s="11">
        <f>+'SERVICIO FAENA'!A459</f>
        <v>0</v>
      </c>
      <c r="B459" s="11">
        <f>+'SERVICIO FAENA'!B459</f>
        <v>0</v>
      </c>
      <c r="C459" s="11"/>
      <c r="D459" s="11"/>
      <c r="E459" s="18">
        <f>+'SERVICIO FAENA'!E459</f>
        <v>0</v>
      </c>
      <c r="F459" s="11"/>
      <c r="G459" s="180" t="e">
        <f t="shared" si="39"/>
        <v>#DIV/0!</v>
      </c>
      <c r="H459" s="11"/>
      <c r="I459" s="11"/>
      <c r="J459" s="180" t="e">
        <f t="shared" si="35"/>
        <v>#DIV/0!</v>
      </c>
      <c r="K459" s="100"/>
      <c r="L459" s="100"/>
      <c r="M459" s="100"/>
      <c r="N459" s="100">
        <f t="shared" si="36"/>
        <v>0</v>
      </c>
      <c r="O459" s="100"/>
      <c r="P459" s="41">
        <v>880</v>
      </c>
      <c r="Q459" s="11"/>
      <c r="R459" s="41">
        <v>260</v>
      </c>
      <c r="S459" s="185"/>
      <c r="T459" s="185"/>
      <c r="U459" s="185"/>
      <c r="V459" s="185"/>
      <c r="W459" s="41">
        <f t="shared" si="37"/>
        <v>0</v>
      </c>
      <c r="X459" s="41">
        <f t="shared" si="38"/>
        <v>0</v>
      </c>
      <c r="Y459" s="11"/>
      <c r="Z459" s="11"/>
      <c r="AA459" s="11"/>
      <c r="AB459" s="11"/>
      <c r="AC459" s="24"/>
    </row>
    <row r="460" spans="1:29" x14ac:dyDescent="0.2">
      <c r="A460" s="11">
        <f>+'SERVICIO FAENA'!A460</f>
        <v>0</v>
      </c>
      <c r="B460" s="11">
        <f>+'SERVICIO FAENA'!B460</f>
        <v>0</v>
      </c>
      <c r="C460" s="11"/>
      <c r="D460" s="11"/>
      <c r="E460" s="18">
        <f>+'SERVICIO FAENA'!E460</f>
        <v>0</v>
      </c>
      <c r="F460" s="11"/>
      <c r="G460" s="180" t="e">
        <f t="shared" si="39"/>
        <v>#DIV/0!</v>
      </c>
      <c r="H460" s="11"/>
      <c r="I460" s="11"/>
      <c r="J460" s="180" t="e">
        <f t="shared" si="35"/>
        <v>#DIV/0!</v>
      </c>
      <c r="K460" s="100"/>
      <c r="L460" s="100"/>
      <c r="M460" s="100"/>
      <c r="N460" s="100">
        <f t="shared" si="36"/>
        <v>0</v>
      </c>
      <c r="O460" s="100"/>
      <c r="P460" s="41">
        <v>880</v>
      </c>
      <c r="Q460" s="11"/>
      <c r="R460" s="41">
        <v>260</v>
      </c>
      <c r="S460" s="185"/>
      <c r="T460" s="185"/>
      <c r="U460" s="185"/>
      <c r="V460" s="185"/>
      <c r="W460" s="41">
        <f t="shared" si="37"/>
        <v>0</v>
      </c>
      <c r="X460" s="41">
        <f t="shared" si="38"/>
        <v>0</v>
      </c>
      <c r="Y460" s="11"/>
      <c r="Z460" s="11"/>
      <c r="AA460" s="11"/>
      <c r="AB460" s="11"/>
      <c r="AC460" s="24"/>
    </row>
    <row r="461" spans="1:29" x14ac:dyDescent="0.2">
      <c r="A461" s="11">
        <f>+'SERVICIO FAENA'!A461</f>
        <v>0</v>
      </c>
      <c r="B461" s="11">
        <f>+'SERVICIO FAENA'!B461</f>
        <v>0</v>
      </c>
      <c r="C461" s="11"/>
      <c r="D461" s="11"/>
      <c r="E461" s="18">
        <f>+'SERVICIO FAENA'!E461</f>
        <v>0</v>
      </c>
      <c r="F461" s="11"/>
      <c r="G461" s="180" t="e">
        <f t="shared" si="39"/>
        <v>#DIV/0!</v>
      </c>
      <c r="H461" s="11"/>
      <c r="I461" s="11"/>
      <c r="J461" s="180" t="e">
        <f t="shared" si="35"/>
        <v>#DIV/0!</v>
      </c>
      <c r="K461" s="100"/>
      <c r="L461" s="100"/>
      <c r="M461" s="100"/>
      <c r="N461" s="100">
        <f t="shared" si="36"/>
        <v>0</v>
      </c>
      <c r="O461" s="100"/>
      <c r="P461" s="41">
        <v>880</v>
      </c>
      <c r="Q461" s="11"/>
      <c r="R461" s="41">
        <v>260</v>
      </c>
      <c r="S461" s="185"/>
      <c r="T461" s="185"/>
      <c r="U461" s="185"/>
      <c r="V461" s="185"/>
      <c r="W461" s="41">
        <f t="shared" si="37"/>
        <v>0</v>
      </c>
      <c r="X461" s="41">
        <f t="shared" si="38"/>
        <v>0</v>
      </c>
      <c r="Y461" s="11"/>
      <c r="Z461" s="11"/>
      <c r="AA461" s="11"/>
      <c r="AB461" s="11"/>
      <c r="AC461" s="24"/>
    </row>
    <row r="462" spans="1:29" x14ac:dyDescent="0.2">
      <c r="A462" s="11">
        <f>+'SERVICIO FAENA'!A462</f>
        <v>0</v>
      </c>
      <c r="B462" s="11">
        <f>+'SERVICIO FAENA'!B462</f>
        <v>0</v>
      </c>
      <c r="C462" s="11"/>
      <c r="D462" s="11"/>
      <c r="E462" s="18">
        <f>+'SERVICIO FAENA'!E462</f>
        <v>0</v>
      </c>
      <c r="F462" s="11"/>
      <c r="G462" s="180" t="e">
        <f t="shared" si="39"/>
        <v>#DIV/0!</v>
      </c>
      <c r="H462" s="11"/>
      <c r="I462" s="11"/>
      <c r="J462" s="180" t="e">
        <f t="shared" si="35"/>
        <v>#DIV/0!</v>
      </c>
      <c r="K462" s="100"/>
      <c r="L462" s="100"/>
      <c r="M462" s="100"/>
      <c r="N462" s="100">
        <f t="shared" si="36"/>
        <v>0</v>
      </c>
      <c r="O462" s="100"/>
      <c r="P462" s="41">
        <v>880</v>
      </c>
      <c r="Q462" s="11"/>
      <c r="R462" s="41">
        <v>260</v>
      </c>
      <c r="S462" s="185"/>
      <c r="T462" s="185"/>
      <c r="U462" s="185"/>
      <c r="V462" s="185"/>
      <c r="W462" s="41">
        <f t="shared" si="37"/>
        <v>0</v>
      </c>
      <c r="X462" s="41">
        <f t="shared" si="38"/>
        <v>0</v>
      </c>
      <c r="Y462" s="11"/>
      <c r="Z462" s="11"/>
      <c r="AA462" s="11"/>
      <c r="AB462" s="11"/>
      <c r="AC462" s="24"/>
    </row>
    <row r="463" spans="1:29" x14ac:dyDescent="0.2">
      <c r="A463" s="11">
        <f>+'SERVICIO FAENA'!A463</f>
        <v>0</v>
      </c>
      <c r="B463" s="11">
        <f>+'SERVICIO FAENA'!B463</f>
        <v>0</v>
      </c>
      <c r="C463" s="11"/>
      <c r="D463" s="11"/>
      <c r="E463" s="18">
        <f>+'SERVICIO FAENA'!E463</f>
        <v>0</v>
      </c>
      <c r="F463" s="11"/>
      <c r="G463" s="180" t="e">
        <f t="shared" si="39"/>
        <v>#DIV/0!</v>
      </c>
      <c r="H463" s="11"/>
      <c r="I463" s="11"/>
      <c r="J463" s="180" t="e">
        <f t="shared" si="35"/>
        <v>#DIV/0!</v>
      </c>
      <c r="K463" s="100"/>
      <c r="L463" s="100"/>
      <c r="M463" s="100"/>
      <c r="N463" s="100">
        <f t="shared" si="36"/>
        <v>0</v>
      </c>
      <c r="O463" s="100"/>
      <c r="P463" s="41">
        <v>880</v>
      </c>
      <c r="Q463" s="11"/>
      <c r="R463" s="41">
        <v>260</v>
      </c>
      <c r="S463" s="185"/>
      <c r="T463" s="185"/>
      <c r="U463" s="185"/>
      <c r="V463" s="185"/>
      <c r="W463" s="41">
        <f t="shared" si="37"/>
        <v>0</v>
      </c>
      <c r="X463" s="41">
        <f t="shared" si="38"/>
        <v>0</v>
      </c>
      <c r="Y463" s="11"/>
      <c r="Z463" s="11"/>
      <c r="AA463" s="11"/>
      <c r="AB463" s="11"/>
      <c r="AC463" s="24"/>
    </row>
    <row r="464" spans="1:29" x14ac:dyDescent="0.2">
      <c r="A464" s="11">
        <f>+'SERVICIO FAENA'!A464</f>
        <v>0</v>
      </c>
      <c r="B464" s="11">
        <f>+'SERVICIO FAENA'!B464</f>
        <v>0</v>
      </c>
      <c r="C464" s="11"/>
      <c r="D464" s="11"/>
      <c r="E464" s="18">
        <f>+'SERVICIO FAENA'!E464</f>
        <v>0</v>
      </c>
      <c r="F464" s="11"/>
      <c r="G464" s="180" t="e">
        <f t="shared" si="39"/>
        <v>#DIV/0!</v>
      </c>
      <c r="H464" s="11"/>
      <c r="I464" s="11"/>
      <c r="J464" s="180" t="e">
        <f t="shared" si="35"/>
        <v>#DIV/0!</v>
      </c>
      <c r="K464" s="100"/>
      <c r="L464" s="100"/>
      <c r="M464" s="100"/>
      <c r="N464" s="100">
        <f t="shared" si="36"/>
        <v>0</v>
      </c>
      <c r="O464" s="100"/>
      <c r="P464" s="41">
        <v>880</v>
      </c>
      <c r="Q464" s="11"/>
      <c r="R464" s="41">
        <v>260</v>
      </c>
      <c r="S464" s="185"/>
      <c r="T464" s="185"/>
      <c r="U464" s="185"/>
      <c r="V464" s="185"/>
      <c r="W464" s="41">
        <f t="shared" si="37"/>
        <v>0</v>
      </c>
      <c r="X464" s="41">
        <f t="shared" si="38"/>
        <v>0</v>
      </c>
      <c r="Y464" s="11"/>
      <c r="Z464" s="11"/>
      <c r="AA464" s="11"/>
      <c r="AB464" s="11"/>
      <c r="AC464" s="24"/>
    </row>
    <row r="465" spans="1:29" x14ac:dyDescent="0.2">
      <c r="A465" s="11">
        <f>+'SERVICIO FAENA'!A465</f>
        <v>0</v>
      </c>
      <c r="B465" s="11">
        <f>+'SERVICIO FAENA'!B465</f>
        <v>0</v>
      </c>
      <c r="C465" s="11"/>
      <c r="D465" s="11"/>
      <c r="E465" s="18">
        <f>+'SERVICIO FAENA'!E465</f>
        <v>0</v>
      </c>
      <c r="F465" s="11"/>
      <c r="G465" s="180" t="e">
        <f t="shared" si="39"/>
        <v>#DIV/0!</v>
      </c>
      <c r="H465" s="11"/>
      <c r="I465" s="11"/>
      <c r="J465" s="180" t="e">
        <f t="shared" si="35"/>
        <v>#DIV/0!</v>
      </c>
      <c r="K465" s="100"/>
      <c r="L465" s="100"/>
      <c r="M465" s="100"/>
      <c r="N465" s="100">
        <f t="shared" si="36"/>
        <v>0</v>
      </c>
      <c r="O465" s="100"/>
      <c r="P465" s="41">
        <v>880</v>
      </c>
      <c r="Q465" s="11"/>
      <c r="R465" s="41">
        <v>260</v>
      </c>
      <c r="S465" s="185"/>
      <c r="T465" s="185"/>
      <c r="U465" s="185"/>
      <c r="V465" s="185"/>
      <c r="W465" s="41">
        <f t="shared" si="37"/>
        <v>0</v>
      </c>
      <c r="X465" s="41">
        <f t="shared" si="38"/>
        <v>0</v>
      </c>
      <c r="Y465" s="11"/>
      <c r="Z465" s="11"/>
      <c r="AA465" s="11"/>
      <c r="AB465" s="11"/>
      <c r="AC465" s="24"/>
    </row>
    <row r="466" spans="1:29" x14ac:dyDescent="0.2">
      <c r="A466" s="11">
        <f>+'SERVICIO FAENA'!A466</f>
        <v>0</v>
      </c>
      <c r="B466" s="11">
        <f>+'SERVICIO FAENA'!B466</f>
        <v>0</v>
      </c>
      <c r="C466" s="11"/>
      <c r="D466" s="11"/>
      <c r="E466" s="18">
        <f>+'SERVICIO FAENA'!E466</f>
        <v>0</v>
      </c>
      <c r="F466" s="11"/>
      <c r="G466" s="180" t="e">
        <f t="shared" si="39"/>
        <v>#DIV/0!</v>
      </c>
      <c r="H466" s="11"/>
      <c r="I466" s="11"/>
      <c r="J466" s="180" t="e">
        <f t="shared" si="35"/>
        <v>#DIV/0!</v>
      </c>
      <c r="K466" s="100"/>
      <c r="L466" s="100"/>
      <c r="M466" s="100"/>
      <c r="N466" s="100">
        <f t="shared" si="36"/>
        <v>0</v>
      </c>
      <c r="O466" s="100"/>
      <c r="P466" s="41">
        <v>880</v>
      </c>
      <c r="Q466" s="11"/>
      <c r="R466" s="41">
        <v>260</v>
      </c>
      <c r="S466" s="185"/>
      <c r="T466" s="185"/>
      <c r="U466" s="185"/>
      <c r="V466" s="185"/>
      <c r="W466" s="41">
        <f t="shared" si="37"/>
        <v>0</v>
      </c>
      <c r="X466" s="41">
        <f t="shared" si="38"/>
        <v>0</v>
      </c>
      <c r="Y466" s="11"/>
      <c r="Z466" s="11"/>
      <c r="AA466" s="11"/>
      <c r="AB466" s="11"/>
      <c r="AC466" s="24"/>
    </row>
    <row r="467" spans="1:29" x14ac:dyDescent="0.2">
      <c r="A467" s="11">
        <f>+'SERVICIO FAENA'!A467</f>
        <v>0</v>
      </c>
      <c r="B467" s="11">
        <f>+'SERVICIO FAENA'!B467</f>
        <v>0</v>
      </c>
      <c r="C467" s="11"/>
      <c r="D467" s="11"/>
      <c r="E467" s="18">
        <f>+'SERVICIO FAENA'!E467</f>
        <v>0</v>
      </c>
      <c r="F467" s="11"/>
      <c r="G467" s="180" t="e">
        <f t="shared" si="39"/>
        <v>#DIV/0!</v>
      </c>
      <c r="H467" s="11"/>
      <c r="I467" s="11"/>
      <c r="J467" s="180" t="e">
        <f t="shared" si="35"/>
        <v>#DIV/0!</v>
      </c>
      <c r="K467" s="100"/>
      <c r="L467" s="100"/>
      <c r="M467" s="100"/>
      <c r="N467" s="100">
        <f t="shared" si="36"/>
        <v>0</v>
      </c>
      <c r="O467" s="100"/>
      <c r="P467" s="41">
        <v>880</v>
      </c>
      <c r="Q467" s="11"/>
      <c r="R467" s="41">
        <v>260</v>
      </c>
      <c r="S467" s="185"/>
      <c r="T467" s="185"/>
      <c r="U467" s="185"/>
      <c r="V467" s="185"/>
      <c r="W467" s="41">
        <f t="shared" si="37"/>
        <v>0</v>
      </c>
      <c r="X467" s="41">
        <f t="shared" si="38"/>
        <v>0</v>
      </c>
      <c r="Y467" s="11"/>
      <c r="Z467" s="11"/>
      <c r="AA467" s="11"/>
      <c r="AB467" s="11"/>
      <c r="AC467" s="24"/>
    </row>
    <row r="468" spans="1:29" x14ac:dyDescent="0.2">
      <c r="A468" s="11">
        <f>+'SERVICIO FAENA'!A468</f>
        <v>0</v>
      </c>
      <c r="B468" s="11">
        <f>+'SERVICIO FAENA'!B468</f>
        <v>0</v>
      </c>
      <c r="C468" s="11"/>
      <c r="D468" s="11"/>
      <c r="E468" s="18">
        <f>+'SERVICIO FAENA'!E468</f>
        <v>0</v>
      </c>
      <c r="F468" s="11"/>
      <c r="G468" s="180" t="e">
        <f t="shared" si="39"/>
        <v>#DIV/0!</v>
      </c>
      <c r="H468" s="11"/>
      <c r="I468" s="11"/>
      <c r="J468" s="180" t="e">
        <f t="shared" si="35"/>
        <v>#DIV/0!</v>
      </c>
      <c r="K468" s="100"/>
      <c r="L468" s="100"/>
      <c r="M468" s="100"/>
      <c r="N468" s="100">
        <f t="shared" si="36"/>
        <v>0</v>
      </c>
      <c r="O468" s="100"/>
      <c r="P468" s="41">
        <v>880</v>
      </c>
      <c r="Q468" s="11"/>
      <c r="R468" s="41">
        <v>260</v>
      </c>
      <c r="S468" s="185"/>
      <c r="T468" s="185"/>
      <c r="U468" s="185"/>
      <c r="V468" s="185"/>
      <c r="W468" s="41">
        <f t="shared" si="37"/>
        <v>0</v>
      </c>
      <c r="X468" s="41">
        <f t="shared" si="38"/>
        <v>0</v>
      </c>
      <c r="Y468" s="11"/>
      <c r="Z468" s="11"/>
      <c r="AA468" s="11"/>
      <c r="AB468" s="11"/>
      <c r="AC468" s="24"/>
    </row>
    <row r="469" spans="1:29" x14ac:dyDescent="0.2">
      <c r="A469" s="11">
        <f>+'SERVICIO FAENA'!A469</f>
        <v>0</v>
      </c>
      <c r="B469" s="11">
        <f>+'SERVICIO FAENA'!B469</f>
        <v>0</v>
      </c>
      <c r="C469" s="11"/>
      <c r="D469" s="11"/>
      <c r="E469" s="18">
        <f>+'SERVICIO FAENA'!E469</f>
        <v>0</v>
      </c>
      <c r="F469" s="11"/>
      <c r="G469" s="180" t="e">
        <f t="shared" si="39"/>
        <v>#DIV/0!</v>
      </c>
      <c r="H469" s="11"/>
      <c r="I469" s="11"/>
      <c r="J469" s="180" t="e">
        <f t="shared" si="35"/>
        <v>#DIV/0!</v>
      </c>
      <c r="K469" s="100"/>
      <c r="L469" s="100"/>
      <c r="M469" s="100"/>
      <c r="N469" s="100">
        <f t="shared" si="36"/>
        <v>0</v>
      </c>
      <c r="O469" s="100"/>
      <c r="P469" s="41">
        <v>880</v>
      </c>
      <c r="Q469" s="11"/>
      <c r="R469" s="41">
        <v>260</v>
      </c>
      <c r="S469" s="185"/>
      <c r="T469" s="185"/>
      <c r="U469" s="185"/>
      <c r="V469" s="185"/>
      <c r="W469" s="41">
        <f t="shared" si="37"/>
        <v>0</v>
      </c>
      <c r="X469" s="41">
        <f t="shared" si="38"/>
        <v>0</v>
      </c>
      <c r="Y469" s="11"/>
      <c r="Z469" s="11"/>
      <c r="AA469" s="11"/>
      <c r="AB469" s="11"/>
      <c r="AC469" s="24"/>
    </row>
    <row r="470" spans="1:29" x14ac:dyDescent="0.2">
      <c r="A470" s="11">
        <f>+'SERVICIO FAENA'!A470</f>
        <v>0</v>
      </c>
      <c r="B470" s="11">
        <f>+'SERVICIO FAENA'!B470</f>
        <v>0</v>
      </c>
      <c r="C470" s="11"/>
      <c r="D470" s="11"/>
      <c r="E470" s="18">
        <f>+'SERVICIO FAENA'!E470</f>
        <v>0</v>
      </c>
      <c r="F470" s="11"/>
      <c r="G470" s="180" t="e">
        <f t="shared" si="39"/>
        <v>#DIV/0!</v>
      </c>
      <c r="H470" s="11"/>
      <c r="I470" s="11"/>
      <c r="J470" s="180" t="e">
        <f t="shared" si="35"/>
        <v>#DIV/0!</v>
      </c>
      <c r="K470" s="100"/>
      <c r="L470" s="100"/>
      <c r="M470" s="100"/>
      <c r="N470" s="100">
        <f t="shared" si="36"/>
        <v>0</v>
      </c>
      <c r="O470" s="100"/>
      <c r="P470" s="41">
        <v>880</v>
      </c>
      <c r="Q470" s="11"/>
      <c r="R470" s="41">
        <v>260</v>
      </c>
      <c r="S470" s="185"/>
      <c r="T470" s="185"/>
      <c r="U470" s="185"/>
      <c r="V470" s="185"/>
      <c r="W470" s="41">
        <f t="shared" si="37"/>
        <v>0</v>
      </c>
      <c r="X470" s="41">
        <f t="shared" si="38"/>
        <v>0</v>
      </c>
      <c r="Y470" s="11"/>
      <c r="Z470" s="11"/>
      <c r="AA470" s="11"/>
      <c r="AB470" s="11"/>
      <c r="AC470" s="24"/>
    </row>
    <row r="471" spans="1:29" x14ac:dyDescent="0.2">
      <c r="A471" s="11">
        <f>+'SERVICIO FAENA'!A471</f>
        <v>0</v>
      </c>
      <c r="B471" s="11">
        <f>+'SERVICIO FAENA'!B471</f>
        <v>0</v>
      </c>
      <c r="C471" s="11"/>
      <c r="D471" s="11"/>
      <c r="E471" s="18">
        <f>+'SERVICIO FAENA'!E471</f>
        <v>0</v>
      </c>
      <c r="F471" s="11"/>
      <c r="G471" s="180" t="e">
        <f t="shared" si="39"/>
        <v>#DIV/0!</v>
      </c>
      <c r="H471" s="11"/>
      <c r="I471" s="11"/>
      <c r="J471" s="180" t="e">
        <f t="shared" si="35"/>
        <v>#DIV/0!</v>
      </c>
      <c r="K471" s="100"/>
      <c r="L471" s="100"/>
      <c r="M471" s="100"/>
      <c r="N471" s="100">
        <f t="shared" si="36"/>
        <v>0</v>
      </c>
      <c r="O471" s="100"/>
      <c r="P471" s="41">
        <v>880</v>
      </c>
      <c r="Q471" s="11"/>
      <c r="R471" s="41">
        <v>260</v>
      </c>
      <c r="S471" s="185"/>
      <c r="T471" s="185"/>
      <c r="U471" s="185"/>
      <c r="V471" s="185"/>
      <c r="W471" s="41">
        <f t="shared" si="37"/>
        <v>0</v>
      </c>
      <c r="X471" s="41">
        <f t="shared" si="38"/>
        <v>0</v>
      </c>
      <c r="Y471" s="11"/>
      <c r="Z471" s="11"/>
      <c r="AA471" s="11"/>
      <c r="AB471" s="11"/>
      <c r="AC471" s="24"/>
    </row>
    <row r="472" spans="1:29" x14ac:dyDescent="0.2">
      <c r="A472" s="11">
        <f>+'SERVICIO FAENA'!A472</f>
        <v>0</v>
      </c>
      <c r="B472" s="11">
        <f>+'SERVICIO FAENA'!B472</f>
        <v>0</v>
      </c>
      <c r="C472" s="11"/>
      <c r="D472" s="11"/>
      <c r="E472" s="18">
        <f>+'SERVICIO FAENA'!E472</f>
        <v>0</v>
      </c>
      <c r="F472" s="11"/>
      <c r="G472" s="180" t="e">
        <f t="shared" si="39"/>
        <v>#DIV/0!</v>
      </c>
      <c r="H472" s="11"/>
      <c r="I472" s="11"/>
      <c r="J472" s="180" t="e">
        <f t="shared" si="35"/>
        <v>#DIV/0!</v>
      </c>
      <c r="K472" s="100"/>
      <c r="L472" s="100"/>
      <c r="M472" s="100"/>
      <c r="N472" s="100">
        <f t="shared" si="36"/>
        <v>0</v>
      </c>
      <c r="O472" s="100"/>
      <c r="P472" s="41">
        <v>880</v>
      </c>
      <c r="Q472" s="11"/>
      <c r="R472" s="41">
        <v>260</v>
      </c>
      <c r="S472" s="185"/>
      <c r="T472" s="185"/>
      <c r="U472" s="185"/>
      <c r="V472" s="185"/>
      <c r="W472" s="41">
        <f t="shared" si="37"/>
        <v>0</v>
      </c>
      <c r="X472" s="41">
        <f t="shared" si="38"/>
        <v>0</v>
      </c>
      <c r="Y472" s="11"/>
      <c r="Z472" s="11"/>
      <c r="AA472" s="11"/>
      <c r="AB472" s="11"/>
      <c r="AC472" s="24"/>
    </row>
    <row r="473" spans="1:29" x14ac:dyDescent="0.2">
      <c r="A473" s="11">
        <f>+'SERVICIO FAENA'!A473</f>
        <v>0</v>
      </c>
      <c r="B473" s="11">
        <f>+'SERVICIO FAENA'!B473</f>
        <v>0</v>
      </c>
      <c r="C473" s="11"/>
      <c r="D473" s="11"/>
      <c r="E473" s="18">
        <f>+'SERVICIO FAENA'!E473</f>
        <v>0</v>
      </c>
      <c r="F473" s="11"/>
      <c r="G473" s="180" t="e">
        <f t="shared" si="39"/>
        <v>#DIV/0!</v>
      </c>
      <c r="H473" s="11"/>
      <c r="I473" s="11"/>
      <c r="J473" s="180" t="e">
        <f t="shared" si="35"/>
        <v>#DIV/0!</v>
      </c>
      <c r="K473" s="100"/>
      <c r="L473" s="100"/>
      <c r="M473" s="100"/>
      <c r="N473" s="100">
        <f t="shared" si="36"/>
        <v>0</v>
      </c>
      <c r="O473" s="100"/>
      <c r="P473" s="41">
        <v>880</v>
      </c>
      <c r="Q473" s="11"/>
      <c r="R473" s="41">
        <v>260</v>
      </c>
      <c r="S473" s="185"/>
      <c r="T473" s="185"/>
      <c r="U473" s="185"/>
      <c r="V473" s="185"/>
      <c r="W473" s="41">
        <f t="shared" si="37"/>
        <v>0</v>
      </c>
      <c r="X473" s="41">
        <f t="shared" si="38"/>
        <v>0</v>
      </c>
      <c r="Y473" s="11"/>
      <c r="Z473" s="11"/>
      <c r="AA473" s="11"/>
      <c r="AB473" s="11"/>
      <c r="AC473" s="24"/>
    </row>
    <row r="474" spans="1:29" x14ac:dyDescent="0.2">
      <c r="A474" s="11">
        <f>+'SERVICIO FAENA'!A474</f>
        <v>0</v>
      </c>
      <c r="B474" s="11">
        <f>+'SERVICIO FAENA'!B474</f>
        <v>0</v>
      </c>
      <c r="C474" s="11"/>
      <c r="D474" s="11"/>
      <c r="E474" s="18">
        <f>+'SERVICIO FAENA'!E474</f>
        <v>0</v>
      </c>
      <c r="F474" s="11"/>
      <c r="G474" s="180" t="e">
        <f t="shared" si="39"/>
        <v>#DIV/0!</v>
      </c>
      <c r="H474" s="11"/>
      <c r="I474" s="11"/>
      <c r="J474" s="180" t="e">
        <f t="shared" si="35"/>
        <v>#DIV/0!</v>
      </c>
      <c r="K474" s="100"/>
      <c r="L474" s="100"/>
      <c r="M474" s="100"/>
      <c r="N474" s="100">
        <f t="shared" si="36"/>
        <v>0</v>
      </c>
      <c r="O474" s="100"/>
      <c r="P474" s="41">
        <v>880</v>
      </c>
      <c r="Q474" s="11"/>
      <c r="R474" s="41">
        <v>260</v>
      </c>
      <c r="S474" s="185"/>
      <c r="T474" s="185"/>
      <c r="U474" s="185"/>
      <c r="V474" s="185"/>
      <c r="W474" s="41">
        <f t="shared" si="37"/>
        <v>0</v>
      </c>
      <c r="X474" s="41">
        <f t="shared" si="38"/>
        <v>0</v>
      </c>
      <c r="Y474" s="11"/>
      <c r="Z474" s="11"/>
      <c r="AA474" s="11"/>
      <c r="AB474" s="11"/>
      <c r="AC474" s="24"/>
    </row>
    <row r="475" spans="1:29" x14ac:dyDescent="0.2">
      <c r="A475" s="11">
        <f>+'SERVICIO FAENA'!A475</f>
        <v>0</v>
      </c>
      <c r="B475" s="11">
        <f>+'SERVICIO FAENA'!B475</f>
        <v>0</v>
      </c>
      <c r="C475" s="11"/>
      <c r="D475" s="11"/>
      <c r="E475" s="18">
        <f>+'SERVICIO FAENA'!E475</f>
        <v>0</v>
      </c>
      <c r="F475" s="11"/>
      <c r="G475" s="180" t="e">
        <f t="shared" si="39"/>
        <v>#DIV/0!</v>
      </c>
      <c r="H475" s="11"/>
      <c r="I475" s="11"/>
      <c r="J475" s="180" t="e">
        <f t="shared" si="35"/>
        <v>#DIV/0!</v>
      </c>
      <c r="K475" s="100"/>
      <c r="L475" s="100"/>
      <c r="M475" s="100"/>
      <c r="N475" s="100">
        <f t="shared" si="36"/>
        <v>0</v>
      </c>
      <c r="O475" s="100"/>
      <c r="P475" s="41">
        <v>880</v>
      </c>
      <c r="Q475" s="11"/>
      <c r="R475" s="41">
        <v>260</v>
      </c>
      <c r="S475" s="185"/>
      <c r="T475" s="185"/>
      <c r="U475" s="185"/>
      <c r="V475" s="185"/>
      <c r="W475" s="41">
        <f t="shared" si="37"/>
        <v>0</v>
      </c>
      <c r="X475" s="41">
        <f t="shared" si="38"/>
        <v>0</v>
      </c>
      <c r="Y475" s="11"/>
      <c r="Z475" s="11"/>
      <c r="AA475" s="11"/>
      <c r="AB475" s="11"/>
      <c r="AC475" s="24"/>
    </row>
    <row r="476" spans="1:29" x14ac:dyDescent="0.2">
      <c r="A476" s="11">
        <f>+'SERVICIO FAENA'!A476</f>
        <v>0</v>
      </c>
      <c r="B476" s="11">
        <f>+'SERVICIO FAENA'!B476</f>
        <v>0</v>
      </c>
      <c r="C476" s="11"/>
      <c r="D476" s="11"/>
      <c r="E476" s="18">
        <f>+'SERVICIO FAENA'!E476</f>
        <v>0</v>
      </c>
      <c r="F476" s="11"/>
      <c r="G476" s="180" t="e">
        <f t="shared" si="39"/>
        <v>#DIV/0!</v>
      </c>
      <c r="H476" s="11"/>
      <c r="I476" s="11"/>
      <c r="J476" s="180" t="e">
        <f t="shared" si="35"/>
        <v>#DIV/0!</v>
      </c>
      <c r="K476" s="100"/>
      <c r="L476" s="100"/>
      <c r="M476" s="100"/>
      <c r="N476" s="100">
        <f t="shared" si="36"/>
        <v>0</v>
      </c>
      <c r="O476" s="100"/>
      <c r="P476" s="41">
        <v>880</v>
      </c>
      <c r="Q476" s="11"/>
      <c r="R476" s="41">
        <v>260</v>
      </c>
      <c r="S476" s="185"/>
      <c r="T476" s="185"/>
      <c r="U476" s="185"/>
      <c r="V476" s="185"/>
      <c r="W476" s="41">
        <f t="shared" si="37"/>
        <v>0</v>
      </c>
      <c r="X476" s="41">
        <f t="shared" si="38"/>
        <v>0</v>
      </c>
      <c r="Y476" s="11"/>
      <c r="Z476" s="11"/>
      <c r="AA476" s="11"/>
      <c r="AB476" s="11"/>
      <c r="AC476" s="24"/>
    </row>
    <row r="477" spans="1:29" x14ac:dyDescent="0.2">
      <c r="A477" s="11">
        <f>+'SERVICIO FAENA'!A477</f>
        <v>0</v>
      </c>
      <c r="B477" s="11">
        <f>+'SERVICIO FAENA'!B477</f>
        <v>0</v>
      </c>
      <c r="C477" s="11"/>
      <c r="D477" s="11"/>
      <c r="E477" s="18">
        <f>+'SERVICIO FAENA'!E477</f>
        <v>0</v>
      </c>
      <c r="F477" s="11"/>
      <c r="G477" s="180" t="e">
        <f t="shared" si="39"/>
        <v>#DIV/0!</v>
      </c>
      <c r="H477" s="11"/>
      <c r="I477" s="11"/>
      <c r="J477" s="180" t="e">
        <f t="shared" si="35"/>
        <v>#DIV/0!</v>
      </c>
      <c r="K477" s="100"/>
      <c r="L477" s="100"/>
      <c r="M477" s="100"/>
      <c r="N477" s="100">
        <f t="shared" si="36"/>
        <v>0</v>
      </c>
      <c r="O477" s="100"/>
      <c r="P477" s="41">
        <v>880</v>
      </c>
      <c r="Q477" s="11"/>
      <c r="R477" s="41">
        <v>260</v>
      </c>
      <c r="S477" s="185"/>
      <c r="T477" s="185"/>
      <c r="U477" s="185"/>
      <c r="V477" s="185"/>
      <c r="W477" s="41">
        <f t="shared" si="37"/>
        <v>0</v>
      </c>
      <c r="X477" s="41">
        <f t="shared" si="38"/>
        <v>0</v>
      </c>
      <c r="Y477" s="11"/>
      <c r="Z477" s="11"/>
      <c r="AA477" s="11"/>
      <c r="AB477" s="11"/>
      <c r="AC477" s="24"/>
    </row>
    <row r="478" spans="1:29" x14ac:dyDescent="0.2">
      <c r="A478" s="11">
        <f>+'SERVICIO FAENA'!A478</f>
        <v>0</v>
      </c>
      <c r="B478" s="11">
        <f>+'SERVICIO FAENA'!B478</f>
        <v>0</v>
      </c>
      <c r="C478" s="11"/>
      <c r="D478" s="11"/>
      <c r="E478" s="18">
        <f>+'SERVICIO FAENA'!E478</f>
        <v>0</v>
      </c>
      <c r="F478" s="11"/>
      <c r="G478" s="180" t="e">
        <f t="shared" si="39"/>
        <v>#DIV/0!</v>
      </c>
      <c r="H478" s="11"/>
      <c r="I478" s="11"/>
      <c r="J478" s="180" t="e">
        <f t="shared" si="35"/>
        <v>#DIV/0!</v>
      </c>
      <c r="K478" s="100"/>
      <c r="L478" s="100"/>
      <c r="M478" s="100"/>
      <c r="N478" s="100">
        <f t="shared" si="36"/>
        <v>0</v>
      </c>
      <c r="O478" s="100"/>
      <c r="P478" s="41">
        <v>880</v>
      </c>
      <c r="Q478" s="11"/>
      <c r="R478" s="41">
        <v>260</v>
      </c>
      <c r="S478" s="185"/>
      <c r="T478" s="185"/>
      <c r="U478" s="185"/>
      <c r="V478" s="185"/>
      <c r="W478" s="41">
        <f t="shared" si="37"/>
        <v>0</v>
      </c>
      <c r="X478" s="41">
        <f t="shared" si="38"/>
        <v>0</v>
      </c>
      <c r="Y478" s="11"/>
      <c r="Z478" s="11"/>
      <c r="AA478" s="11"/>
      <c r="AB478" s="11"/>
      <c r="AC478" s="24"/>
    </row>
    <row r="479" spans="1:29" x14ac:dyDescent="0.2">
      <c r="A479" s="11">
        <f>+'SERVICIO FAENA'!A479</f>
        <v>0</v>
      </c>
      <c r="B479" s="11">
        <f>+'SERVICIO FAENA'!B479</f>
        <v>0</v>
      </c>
      <c r="C479" s="11"/>
      <c r="D479" s="11"/>
      <c r="E479" s="18">
        <f>+'SERVICIO FAENA'!E479</f>
        <v>0</v>
      </c>
      <c r="F479" s="11"/>
      <c r="G479" s="180" t="e">
        <f t="shared" si="39"/>
        <v>#DIV/0!</v>
      </c>
      <c r="H479" s="11"/>
      <c r="I479" s="11"/>
      <c r="J479" s="180" t="e">
        <f t="shared" si="35"/>
        <v>#DIV/0!</v>
      </c>
      <c r="K479" s="100"/>
      <c r="L479" s="100"/>
      <c r="M479" s="100"/>
      <c r="N479" s="100">
        <f t="shared" si="36"/>
        <v>0</v>
      </c>
      <c r="O479" s="100"/>
      <c r="P479" s="41">
        <v>880</v>
      </c>
      <c r="Q479" s="11"/>
      <c r="R479" s="41">
        <v>260</v>
      </c>
      <c r="S479" s="185"/>
      <c r="T479" s="185"/>
      <c r="U479" s="185"/>
      <c r="V479" s="185"/>
      <c r="W479" s="41">
        <f t="shared" si="37"/>
        <v>0</v>
      </c>
      <c r="X479" s="41">
        <f t="shared" si="38"/>
        <v>0</v>
      </c>
      <c r="Y479" s="11"/>
      <c r="Z479" s="11"/>
      <c r="AA479" s="11"/>
      <c r="AB479" s="11"/>
      <c r="AC479" s="24"/>
    </row>
    <row r="480" spans="1:29" x14ac:dyDescent="0.2">
      <c r="A480" s="11">
        <f>+'SERVICIO FAENA'!A480</f>
        <v>0</v>
      </c>
      <c r="B480" s="11">
        <f>+'SERVICIO FAENA'!B480</f>
        <v>0</v>
      </c>
      <c r="C480" s="11"/>
      <c r="D480" s="11"/>
      <c r="E480" s="18">
        <f>+'SERVICIO FAENA'!E480</f>
        <v>0</v>
      </c>
      <c r="F480" s="11"/>
      <c r="G480" s="180" t="e">
        <f t="shared" si="39"/>
        <v>#DIV/0!</v>
      </c>
      <c r="H480" s="11"/>
      <c r="I480" s="11"/>
      <c r="J480" s="180" t="e">
        <f t="shared" si="35"/>
        <v>#DIV/0!</v>
      </c>
      <c r="K480" s="100"/>
      <c r="L480" s="100"/>
      <c r="M480" s="100"/>
      <c r="N480" s="100">
        <f t="shared" si="36"/>
        <v>0</v>
      </c>
      <c r="O480" s="100"/>
      <c r="P480" s="41">
        <v>880</v>
      </c>
      <c r="Q480" s="11"/>
      <c r="R480" s="41">
        <v>260</v>
      </c>
      <c r="S480" s="185"/>
      <c r="T480" s="185"/>
      <c r="U480" s="185"/>
      <c r="V480" s="185"/>
      <c r="W480" s="41">
        <f t="shared" si="37"/>
        <v>0</v>
      </c>
      <c r="X480" s="41">
        <f t="shared" si="38"/>
        <v>0</v>
      </c>
      <c r="Y480" s="11"/>
      <c r="Z480" s="11"/>
      <c r="AA480" s="11"/>
      <c r="AB480" s="11"/>
      <c r="AC480" s="24"/>
    </row>
    <row r="481" spans="1:29" x14ac:dyDescent="0.2">
      <c r="A481" s="11">
        <f>+'SERVICIO FAENA'!A481</f>
        <v>0</v>
      </c>
      <c r="B481" s="11">
        <f>+'SERVICIO FAENA'!B481</f>
        <v>0</v>
      </c>
      <c r="C481" s="11"/>
      <c r="D481" s="11"/>
      <c r="E481" s="18">
        <f>+'SERVICIO FAENA'!E481</f>
        <v>0</v>
      </c>
      <c r="F481" s="11"/>
      <c r="G481" s="180" t="e">
        <f t="shared" si="39"/>
        <v>#DIV/0!</v>
      </c>
      <c r="H481" s="11"/>
      <c r="I481" s="11"/>
      <c r="J481" s="180" t="e">
        <f t="shared" si="35"/>
        <v>#DIV/0!</v>
      </c>
      <c r="K481" s="100"/>
      <c r="L481" s="100"/>
      <c r="M481" s="100"/>
      <c r="N481" s="100">
        <f t="shared" si="36"/>
        <v>0</v>
      </c>
      <c r="O481" s="100"/>
      <c r="P481" s="41">
        <v>880</v>
      </c>
      <c r="Q481" s="11"/>
      <c r="R481" s="41">
        <v>260</v>
      </c>
      <c r="S481" s="185"/>
      <c r="T481" s="185"/>
      <c r="U481" s="185"/>
      <c r="V481" s="185"/>
      <c r="W481" s="41">
        <f t="shared" si="37"/>
        <v>0</v>
      </c>
      <c r="X481" s="41">
        <f t="shared" si="38"/>
        <v>0</v>
      </c>
      <c r="Y481" s="11"/>
      <c r="Z481" s="11"/>
      <c r="AA481" s="11"/>
      <c r="AB481" s="11"/>
      <c r="AC481" s="24"/>
    </row>
    <row r="482" spans="1:29" x14ac:dyDescent="0.2">
      <c r="A482" s="11">
        <f>+'SERVICIO FAENA'!A482</f>
        <v>0</v>
      </c>
      <c r="B482" s="11">
        <f>+'SERVICIO FAENA'!B482</f>
        <v>0</v>
      </c>
      <c r="C482" s="11"/>
      <c r="D482" s="11"/>
      <c r="E482" s="18">
        <f>+'SERVICIO FAENA'!E482</f>
        <v>0</v>
      </c>
      <c r="F482" s="11"/>
      <c r="G482" s="180" t="e">
        <f t="shared" si="39"/>
        <v>#DIV/0!</v>
      </c>
      <c r="H482" s="11"/>
      <c r="I482" s="11"/>
      <c r="J482" s="180" t="e">
        <f t="shared" si="35"/>
        <v>#DIV/0!</v>
      </c>
      <c r="K482" s="100"/>
      <c r="L482" s="100"/>
      <c r="M482" s="100"/>
      <c r="N482" s="100">
        <f t="shared" si="36"/>
        <v>0</v>
      </c>
      <c r="O482" s="100"/>
      <c r="P482" s="41">
        <v>880</v>
      </c>
      <c r="Q482" s="11"/>
      <c r="R482" s="41">
        <v>260</v>
      </c>
      <c r="S482" s="185"/>
      <c r="T482" s="185"/>
      <c r="U482" s="185"/>
      <c r="V482" s="185"/>
      <c r="W482" s="41">
        <f t="shared" si="37"/>
        <v>0</v>
      </c>
      <c r="X482" s="41">
        <f t="shared" si="38"/>
        <v>0</v>
      </c>
      <c r="Y482" s="11"/>
      <c r="Z482" s="11"/>
      <c r="AA482" s="11"/>
      <c r="AB482" s="11"/>
      <c r="AC482" s="24"/>
    </row>
    <row r="483" spans="1:29" x14ac:dyDescent="0.2">
      <c r="A483" s="11">
        <f>+'SERVICIO FAENA'!A483</f>
        <v>0</v>
      </c>
      <c r="B483" s="11">
        <f>+'SERVICIO FAENA'!B483</f>
        <v>0</v>
      </c>
      <c r="C483" s="11"/>
      <c r="D483" s="11"/>
      <c r="E483" s="18">
        <f>+'SERVICIO FAENA'!E483</f>
        <v>0</v>
      </c>
      <c r="F483" s="11"/>
      <c r="G483" s="180" t="e">
        <f t="shared" si="39"/>
        <v>#DIV/0!</v>
      </c>
      <c r="H483" s="11"/>
      <c r="I483" s="11"/>
      <c r="J483" s="180" t="e">
        <f t="shared" si="35"/>
        <v>#DIV/0!</v>
      </c>
      <c r="K483" s="100"/>
      <c r="L483" s="100"/>
      <c r="M483" s="100"/>
      <c r="N483" s="100">
        <f t="shared" si="36"/>
        <v>0</v>
      </c>
      <c r="O483" s="100"/>
      <c r="P483" s="41">
        <v>880</v>
      </c>
      <c r="Q483" s="11"/>
      <c r="R483" s="41">
        <v>260</v>
      </c>
      <c r="S483" s="185"/>
      <c r="T483" s="185"/>
      <c r="U483" s="185"/>
      <c r="V483" s="185"/>
      <c r="W483" s="41">
        <f t="shared" si="37"/>
        <v>0</v>
      </c>
      <c r="X483" s="41">
        <f t="shared" si="38"/>
        <v>0</v>
      </c>
      <c r="Y483" s="11"/>
      <c r="Z483" s="11"/>
      <c r="AA483" s="11"/>
      <c r="AB483" s="11"/>
      <c r="AC483" s="24"/>
    </row>
    <row r="484" spans="1:29" x14ac:dyDescent="0.2">
      <c r="A484" s="11">
        <f>+'SERVICIO FAENA'!A484</f>
        <v>0</v>
      </c>
      <c r="B484" s="11">
        <f>+'SERVICIO FAENA'!B484</f>
        <v>0</v>
      </c>
      <c r="C484" s="11"/>
      <c r="D484" s="11"/>
      <c r="E484" s="18">
        <f>+'SERVICIO FAENA'!E484</f>
        <v>0</v>
      </c>
      <c r="F484" s="11"/>
      <c r="G484" s="180" t="e">
        <f t="shared" si="39"/>
        <v>#DIV/0!</v>
      </c>
      <c r="H484" s="11"/>
      <c r="I484" s="11"/>
      <c r="J484" s="180" t="e">
        <f t="shared" si="35"/>
        <v>#DIV/0!</v>
      </c>
      <c r="K484" s="100"/>
      <c r="L484" s="100"/>
      <c r="M484" s="100"/>
      <c r="N484" s="100">
        <f t="shared" si="36"/>
        <v>0</v>
      </c>
      <c r="O484" s="100"/>
      <c r="P484" s="41">
        <v>880</v>
      </c>
      <c r="Q484" s="11"/>
      <c r="R484" s="41">
        <v>260</v>
      </c>
      <c r="S484" s="185"/>
      <c r="T484" s="185"/>
      <c r="U484" s="185"/>
      <c r="V484" s="185"/>
      <c r="W484" s="41">
        <f t="shared" si="37"/>
        <v>0</v>
      </c>
      <c r="X484" s="41">
        <f t="shared" si="38"/>
        <v>0</v>
      </c>
      <c r="Y484" s="11"/>
      <c r="Z484" s="11"/>
      <c r="AA484" s="11"/>
      <c r="AB484" s="11"/>
      <c r="AC484" s="24"/>
    </row>
    <row r="485" spans="1:29" x14ac:dyDescent="0.2">
      <c r="A485" s="11">
        <f>+'SERVICIO FAENA'!A485</f>
        <v>0</v>
      </c>
      <c r="B485" s="11">
        <f>+'SERVICIO FAENA'!B485</f>
        <v>0</v>
      </c>
      <c r="C485" s="11"/>
      <c r="D485" s="11"/>
      <c r="E485" s="18">
        <f>+'SERVICIO FAENA'!E485</f>
        <v>0</v>
      </c>
      <c r="F485" s="11"/>
      <c r="G485" s="180" t="e">
        <f t="shared" si="39"/>
        <v>#DIV/0!</v>
      </c>
      <c r="H485" s="11"/>
      <c r="I485" s="11"/>
      <c r="J485" s="180" t="e">
        <f t="shared" si="35"/>
        <v>#DIV/0!</v>
      </c>
      <c r="K485" s="100"/>
      <c r="L485" s="100"/>
      <c r="M485" s="100"/>
      <c r="N485" s="100">
        <f t="shared" si="36"/>
        <v>0</v>
      </c>
      <c r="O485" s="100"/>
      <c r="P485" s="41">
        <v>880</v>
      </c>
      <c r="Q485" s="11"/>
      <c r="R485" s="41">
        <v>260</v>
      </c>
      <c r="S485" s="185"/>
      <c r="T485" s="185"/>
      <c r="U485" s="185"/>
      <c r="V485" s="185"/>
      <c r="W485" s="41">
        <f t="shared" si="37"/>
        <v>0</v>
      </c>
      <c r="X485" s="41">
        <f t="shared" si="38"/>
        <v>0</v>
      </c>
      <c r="Y485" s="11"/>
      <c r="Z485" s="11"/>
      <c r="AA485" s="11"/>
      <c r="AB485" s="11"/>
      <c r="AC485" s="24"/>
    </row>
    <row r="486" spans="1:29" x14ac:dyDescent="0.2">
      <c r="A486" s="11">
        <f>+'SERVICIO FAENA'!A486</f>
        <v>0</v>
      </c>
      <c r="B486" s="11">
        <f>+'SERVICIO FAENA'!B486</f>
        <v>0</v>
      </c>
      <c r="C486" s="11"/>
      <c r="D486" s="11"/>
      <c r="E486" s="18">
        <f>+'SERVICIO FAENA'!E486</f>
        <v>0</v>
      </c>
      <c r="F486" s="11"/>
      <c r="G486" s="180" t="e">
        <f t="shared" si="39"/>
        <v>#DIV/0!</v>
      </c>
      <c r="H486" s="11"/>
      <c r="I486" s="11"/>
      <c r="J486" s="180" t="e">
        <f t="shared" si="35"/>
        <v>#DIV/0!</v>
      </c>
      <c r="K486" s="100"/>
      <c r="L486" s="100"/>
      <c r="M486" s="100"/>
      <c r="N486" s="100">
        <f t="shared" si="36"/>
        <v>0</v>
      </c>
      <c r="O486" s="100"/>
      <c r="P486" s="41">
        <v>880</v>
      </c>
      <c r="Q486" s="11"/>
      <c r="R486" s="41">
        <v>260</v>
      </c>
      <c r="S486" s="185"/>
      <c r="T486" s="185"/>
      <c r="U486" s="185"/>
      <c r="V486" s="185"/>
      <c r="W486" s="41">
        <f t="shared" si="37"/>
        <v>0</v>
      </c>
      <c r="X486" s="41">
        <f t="shared" si="38"/>
        <v>0</v>
      </c>
      <c r="Y486" s="11"/>
      <c r="Z486" s="11"/>
      <c r="AA486" s="11"/>
      <c r="AB486" s="11"/>
      <c r="AC486" s="24"/>
    </row>
    <row r="487" spans="1:29" x14ac:dyDescent="0.2">
      <c r="A487" s="11">
        <f>+'SERVICIO FAENA'!A487</f>
        <v>0</v>
      </c>
      <c r="B487" s="11">
        <f>+'SERVICIO FAENA'!B487</f>
        <v>0</v>
      </c>
      <c r="C487" s="11"/>
      <c r="D487" s="11"/>
      <c r="E487" s="18">
        <f>+'SERVICIO FAENA'!E487</f>
        <v>0</v>
      </c>
      <c r="F487" s="11"/>
      <c r="G487" s="180" t="e">
        <f t="shared" si="39"/>
        <v>#DIV/0!</v>
      </c>
      <c r="H487" s="11"/>
      <c r="I487" s="11"/>
      <c r="J487" s="180" t="e">
        <f t="shared" si="35"/>
        <v>#DIV/0!</v>
      </c>
      <c r="K487" s="100"/>
      <c r="L487" s="100"/>
      <c r="M487" s="100"/>
      <c r="N487" s="100">
        <f t="shared" si="36"/>
        <v>0</v>
      </c>
      <c r="O487" s="100"/>
      <c r="P487" s="41">
        <v>880</v>
      </c>
      <c r="Q487" s="11"/>
      <c r="R487" s="41">
        <v>260</v>
      </c>
      <c r="S487" s="185"/>
      <c r="T487" s="185"/>
      <c r="U487" s="185"/>
      <c r="V487" s="185"/>
      <c r="W487" s="41">
        <f t="shared" si="37"/>
        <v>0</v>
      </c>
      <c r="X487" s="41">
        <f t="shared" si="38"/>
        <v>0</v>
      </c>
      <c r="Y487" s="11"/>
      <c r="Z487" s="11"/>
      <c r="AA487" s="11"/>
      <c r="AB487" s="11"/>
      <c r="AC487" s="24"/>
    </row>
    <row r="488" spans="1:29" x14ac:dyDescent="0.2">
      <c r="A488" s="11">
        <f>+'SERVICIO FAENA'!A488</f>
        <v>0</v>
      </c>
      <c r="B488" s="11">
        <f>+'SERVICIO FAENA'!B488</f>
        <v>0</v>
      </c>
      <c r="C488" s="11"/>
      <c r="D488" s="11"/>
      <c r="E488" s="18">
        <f>+'SERVICIO FAENA'!E488</f>
        <v>0</v>
      </c>
      <c r="F488" s="11"/>
      <c r="G488" s="180" t="e">
        <f t="shared" si="39"/>
        <v>#DIV/0!</v>
      </c>
      <c r="H488" s="11"/>
      <c r="I488" s="11"/>
      <c r="J488" s="180" t="e">
        <f t="shared" si="35"/>
        <v>#DIV/0!</v>
      </c>
      <c r="K488" s="100"/>
      <c r="L488" s="100"/>
      <c r="M488" s="100"/>
      <c r="N488" s="100">
        <f t="shared" si="36"/>
        <v>0</v>
      </c>
      <c r="O488" s="100"/>
      <c r="P488" s="41">
        <v>880</v>
      </c>
      <c r="Q488" s="11"/>
      <c r="R488" s="41">
        <v>260</v>
      </c>
      <c r="S488" s="185"/>
      <c r="T488" s="185"/>
      <c r="U488" s="185"/>
      <c r="V488" s="185"/>
      <c r="W488" s="41">
        <f t="shared" si="37"/>
        <v>0</v>
      </c>
      <c r="X488" s="41">
        <f t="shared" si="38"/>
        <v>0</v>
      </c>
      <c r="Y488" s="11"/>
      <c r="Z488" s="11"/>
      <c r="AA488" s="11"/>
      <c r="AB488" s="11"/>
      <c r="AC488" s="24"/>
    </row>
    <row r="489" spans="1:29" x14ac:dyDescent="0.2">
      <c r="A489" s="11">
        <f>+'SERVICIO FAENA'!A489</f>
        <v>0</v>
      </c>
      <c r="B489" s="11">
        <f>+'SERVICIO FAENA'!B489</f>
        <v>0</v>
      </c>
      <c r="C489" s="11"/>
      <c r="D489" s="11"/>
      <c r="E489" s="18">
        <f>+'SERVICIO FAENA'!E489</f>
        <v>0</v>
      </c>
      <c r="F489" s="11"/>
      <c r="G489" s="180" t="e">
        <f t="shared" si="39"/>
        <v>#DIV/0!</v>
      </c>
      <c r="H489" s="11"/>
      <c r="I489" s="11"/>
      <c r="J489" s="180" t="e">
        <f t="shared" si="35"/>
        <v>#DIV/0!</v>
      </c>
      <c r="K489" s="100"/>
      <c r="L489" s="100"/>
      <c r="M489" s="100"/>
      <c r="N489" s="100">
        <f t="shared" si="36"/>
        <v>0</v>
      </c>
      <c r="O489" s="100"/>
      <c r="P489" s="41">
        <v>880</v>
      </c>
      <c r="Q489" s="11"/>
      <c r="R489" s="41">
        <v>260</v>
      </c>
      <c r="S489" s="185"/>
      <c r="T489" s="185"/>
      <c r="U489" s="185"/>
      <c r="V489" s="185"/>
      <c r="W489" s="41">
        <f t="shared" si="37"/>
        <v>0</v>
      </c>
      <c r="X489" s="41">
        <f t="shared" si="38"/>
        <v>0</v>
      </c>
      <c r="Y489" s="11"/>
      <c r="Z489" s="11"/>
      <c r="AA489" s="11"/>
      <c r="AB489" s="11"/>
      <c r="AC489" s="24"/>
    </row>
    <row r="490" spans="1:29" x14ac:dyDescent="0.2">
      <c r="A490" s="11">
        <f>+'SERVICIO FAENA'!A490</f>
        <v>0</v>
      </c>
      <c r="B490" s="11">
        <f>+'SERVICIO FAENA'!B490</f>
        <v>0</v>
      </c>
      <c r="C490" s="11"/>
      <c r="D490" s="11"/>
      <c r="E490" s="18">
        <f>+'SERVICIO FAENA'!E490</f>
        <v>0</v>
      </c>
      <c r="F490" s="11"/>
      <c r="G490" s="180" t="e">
        <f t="shared" si="39"/>
        <v>#DIV/0!</v>
      </c>
      <c r="H490" s="11"/>
      <c r="I490" s="11"/>
      <c r="J490" s="180" t="e">
        <f t="shared" ref="J490:J553" si="40">+((F490-(H490+I490))/F490)</f>
        <v>#DIV/0!</v>
      </c>
      <c r="K490" s="100"/>
      <c r="L490" s="100"/>
      <c r="M490" s="100"/>
      <c r="N490" s="100">
        <f t="shared" ref="N490:N553" si="41">SUM(K490:M490)</f>
        <v>0</v>
      </c>
      <c r="O490" s="100"/>
      <c r="P490" s="41">
        <v>880</v>
      </c>
      <c r="Q490" s="11"/>
      <c r="R490" s="41">
        <v>260</v>
      </c>
      <c r="S490" s="185"/>
      <c r="T490" s="185"/>
      <c r="U490" s="185"/>
      <c r="V490" s="185"/>
      <c r="W490" s="41">
        <f t="shared" ref="W490:W553" si="42">+(P490*O490)+(R490*Q490)</f>
        <v>0</v>
      </c>
      <c r="X490" s="41">
        <f t="shared" si="38"/>
        <v>0</v>
      </c>
      <c r="Y490" s="11"/>
      <c r="Z490" s="11"/>
      <c r="AA490" s="11"/>
      <c r="AB490" s="11"/>
      <c r="AC490" s="24"/>
    </row>
    <row r="491" spans="1:29" x14ac:dyDescent="0.2">
      <c r="A491" s="11">
        <f>+'SERVICIO FAENA'!A491</f>
        <v>0</v>
      </c>
      <c r="B491" s="11">
        <f>+'SERVICIO FAENA'!B491</f>
        <v>0</v>
      </c>
      <c r="C491" s="11"/>
      <c r="D491" s="11"/>
      <c r="E491" s="18">
        <f>+'SERVICIO FAENA'!E491</f>
        <v>0</v>
      </c>
      <c r="F491" s="11"/>
      <c r="G491" s="180" t="e">
        <f t="shared" si="39"/>
        <v>#DIV/0!</v>
      </c>
      <c r="H491" s="11"/>
      <c r="I491" s="11"/>
      <c r="J491" s="180" t="e">
        <f t="shared" si="40"/>
        <v>#DIV/0!</v>
      </c>
      <c r="K491" s="100"/>
      <c r="L491" s="100"/>
      <c r="M491" s="100"/>
      <c r="N491" s="100">
        <f t="shared" si="41"/>
        <v>0</v>
      </c>
      <c r="O491" s="100"/>
      <c r="P491" s="41">
        <v>880</v>
      </c>
      <c r="Q491" s="11"/>
      <c r="R491" s="41">
        <v>260</v>
      </c>
      <c r="S491" s="185"/>
      <c r="T491" s="185"/>
      <c r="U491" s="185"/>
      <c r="V491" s="185"/>
      <c r="W491" s="41">
        <f t="shared" si="42"/>
        <v>0</v>
      </c>
      <c r="X491" s="41">
        <f t="shared" si="38"/>
        <v>0</v>
      </c>
      <c r="Y491" s="11"/>
      <c r="Z491" s="11"/>
      <c r="AA491" s="11"/>
      <c r="AB491" s="11"/>
      <c r="AC491" s="24"/>
    </row>
    <row r="492" spans="1:29" x14ac:dyDescent="0.2">
      <c r="A492" s="11">
        <f>+'SERVICIO FAENA'!A492</f>
        <v>0</v>
      </c>
      <c r="B492" s="11">
        <f>+'SERVICIO FAENA'!B492</f>
        <v>0</v>
      </c>
      <c r="C492" s="11"/>
      <c r="D492" s="11"/>
      <c r="E492" s="18">
        <f>+'SERVICIO FAENA'!E492</f>
        <v>0</v>
      </c>
      <c r="F492" s="11"/>
      <c r="G492" s="180" t="e">
        <f t="shared" si="39"/>
        <v>#DIV/0!</v>
      </c>
      <c r="H492" s="11"/>
      <c r="I492" s="11"/>
      <c r="J492" s="180" t="e">
        <f t="shared" si="40"/>
        <v>#DIV/0!</v>
      </c>
      <c r="K492" s="100"/>
      <c r="L492" s="100"/>
      <c r="M492" s="100"/>
      <c r="N492" s="100">
        <f t="shared" si="41"/>
        <v>0</v>
      </c>
      <c r="O492" s="100"/>
      <c r="P492" s="41">
        <v>880</v>
      </c>
      <c r="Q492" s="11"/>
      <c r="R492" s="41">
        <v>260</v>
      </c>
      <c r="S492" s="185"/>
      <c r="T492" s="185"/>
      <c r="U492" s="185"/>
      <c r="V492" s="185"/>
      <c r="W492" s="41">
        <f t="shared" si="42"/>
        <v>0</v>
      </c>
      <c r="X492" s="41">
        <f t="shared" si="38"/>
        <v>0</v>
      </c>
      <c r="Y492" s="11"/>
      <c r="Z492" s="11"/>
      <c r="AA492" s="11"/>
      <c r="AB492" s="11"/>
      <c r="AC492" s="24"/>
    </row>
    <row r="493" spans="1:29" x14ac:dyDescent="0.2">
      <c r="A493" s="11">
        <f>+'SERVICIO FAENA'!A493</f>
        <v>0</v>
      </c>
      <c r="B493" s="11">
        <f>+'SERVICIO FAENA'!B493</f>
        <v>0</v>
      </c>
      <c r="C493" s="11"/>
      <c r="D493" s="11"/>
      <c r="E493" s="18">
        <f>+'SERVICIO FAENA'!E493</f>
        <v>0</v>
      </c>
      <c r="F493" s="11"/>
      <c r="G493" s="180" t="e">
        <f t="shared" si="39"/>
        <v>#DIV/0!</v>
      </c>
      <c r="H493" s="11"/>
      <c r="I493" s="11"/>
      <c r="J493" s="180" t="e">
        <f t="shared" si="40"/>
        <v>#DIV/0!</v>
      </c>
      <c r="K493" s="100"/>
      <c r="L493" s="100"/>
      <c r="M493" s="100"/>
      <c r="N493" s="100">
        <f t="shared" si="41"/>
        <v>0</v>
      </c>
      <c r="O493" s="100"/>
      <c r="P493" s="41">
        <v>880</v>
      </c>
      <c r="Q493" s="11"/>
      <c r="R493" s="41">
        <v>260</v>
      </c>
      <c r="S493" s="185"/>
      <c r="T493" s="185"/>
      <c r="U493" s="185"/>
      <c r="V493" s="185"/>
      <c r="W493" s="41">
        <f t="shared" si="42"/>
        <v>0</v>
      </c>
      <c r="X493" s="41">
        <f t="shared" si="38"/>
        <v>0</v>
      </c>
      <c r="Y493" s="11"/>
      <c r="Z493" s="11"/>
      <c r="AA493" s="11"/>
      <c r="AB493" s="11"/>
      <c r="AC493" s="24"/>
    </row>
    <row r="494" spans="1:29" x14ac:dyDescent="0.2">
      <c r="A494" s="11">
        <f>+'SERVICIO FAENA'!A494</f>
        <v>0</v>
      </c>
      <c r="B494" s="11">
        <f>+'SERVICIO FAENA'!B494</f>
        <v>0</v>
      </c>
      <c r="C494" s="11"/>
      <c r="D494" s="11"/>
      <c r="E494" s="18">
        <f>+'SERVICIO FAENA'!E494</f>
        <v>0</v>
      </c>
      <c r="F494" s="11"/>
      <c r="G494" s="180" t="e">
        <f t="shared" si="39"/>
        <v>#DIV/0!</v>
      </c>
      <c r="H494" s="11"/>
      <c r="I494" s="11"/>
      <c r="J494" s="180" t="e">
        <f t="shared" si="40"/>
        <v>#DIV/0!</v>
      </c>
      <c r="K494" s="100"/>
      <c r="L494" s="100"/>
      <c r="M494" s="100"/>
      <c r="N494" s="100">
        <f t="shared" si="41"/>
        <v>0</v>
      </c>
      <c r="O494" s="100"/>
      <c r="P494" s="41">
        <v>880</v>
      </c>
      <c r="Q494" s="11"/>
      <c r="R494" s="41">
        <v>260</v>
      </c>
      <c r="S494" s="185"/>
      <c r="T494" s="185"/>
      <c r="U494" s="185"/>
      <c r="V494" s="185"/>
      <c r="W494" s="41">
        <f t="shared" si="42"/>
        <v>0</v>
      </c>
      <c r="X494" s="41">
        <f t="shared" si="38"/>
        <v>0</v>
      </c>
      <c r="Y494" s="11"/>
      <c r="Z494" s="11"/>
      <c r="AA494" s="11"/>
      <c r="AB494" s="11"/>
      <c r="AC494" s="24"/>
    </row>
    <row r="495" spans="1:29" x14ac:dyDescent="0.2">
      <c r="A495" s="11">
        <f>+'SERVICIO FAENA'!A495</f>
        <v>0</v>
      </c>
      <c r="B495" s="11">
        <f>+'SERVICIO FAENA'!B495</f>
        <v>0</v>
      </c>
      <c r="C495" s="11"/>
      <c r="D495" s="11"/>
      <c r="E495" s="18">
        <f>+'SERVICIO FAENA'!E495</f>
        <v>0</v>
      </c>
      <c r="F495" s="11"/>
      <c r="G495" s="180" t="e">
        <f t="shared" si="39"/>
        <v>#DIV/0!</v>
      </c>
      <c r="H495" s="11"/>
      <c r="I495" s="11"/>
      <c r="J495" s="180" t="e">
        <f t="shared" si="40"/>
        <v>#DIV/0!</v>
      </c>
      <c r="K495" s="100"/>
      <c r="L495" s="100"/>
      <c r="M495" s="100"/>
      <c r="N495" s="100">
        <f t="shared" si="41"/>
        <v>0</v>
      </c>
      <c r="O495" s="100"/>
      <c r="P495" s="41">
        <v>880</v>
      </c>
      <c r="Q495" s="11"/>
      <c r="R495" s="41">
        <v>260</v>
      </c>
      <c r="S495" s="185"/>
      <c r="T495" s="185"/>
      <c r="U495" s="185"/>
      <c r="V495" s="185"/>
      <c r="W495" s="41">
        <f t="shared" si="42"/>
        <v>0</v>
      </c>
      <c r="X495" s="41">
        <f t="shared" si="38"/>
        <v>0</v>
      </c>
      <c r="Y495" s="11"/>
      <c r="Z495" s="11"/>
      <c r="AA495" s="11"/>
      <c r="AB495" s="11"/>
      <c r="AC495" s="24"/>
    </row>
    <row r="496" spans="1:29" x14ac:dyDescent="0.2">
      <c r="A496" s="11">
        <f>+'SERVICIO FAENA'!A496</f>
        <v>0</v>
      </c>
      <c r="B496" s="11">
        <f>+'SERVICIO FAENA'!B496</f>
        <v>0</v>
      </c>
      <c r="C496" s="11"/>
      <c r="D496" s="11"/>
      <c r="E496" s="18">
        <f>+'SERVICIO FAENA'!E496</f>
        <v>0</v>
      </c>
      <c r="F496" s="11"/>
      <c r="G496" s="180" t="e">
        <f t="shared" si="39"/>
        <v>#DIV/0!</v>
      </c>
      <c r="H496" s="11"/>
      <c r="I496" s="11"/>
      <c r="J496" s="180" t="e">
        <f t="shared" si="40"/>
        <v>#DIV/0!</v>
      </c>
      <c r="K496" s="100"/>
      <c r="L496" s="100"/>
      <c r="M496" s="100"/>
      <c r="N496" s="100">
        <f t="shared" si="41"/>
        <v>0</v>
      </c>
      <c r="O496" s="100"/>
      <c r="P496" s="41">
        <v>880</v>
      </c>
      <c r="Q496" s="11"/>
      <c r="R496" s="41">
        <v>260</v>
      </c>
      <c r="S496" s="185"/>
      <c r="T496" s="185"/>
      <c r="U496" s="185"/>
      <c r="V496" s="185"/>
      <c r="W496" s="41">
        <f t="shared" si="42"/>
        <v>0</v>
      </c>
      <c r="X496" s="41">
        <f t="shared" si="38"/>
        <v>0</v>
      </c>
      <c r="Y496" s="11"/>
      <c r="Z496" s="11"/>
      <c r="AA496" s="11"/>
      <c r="AB496" s="11"/>
      <c r="AC496" s="24"/>
    </row>
    <row r="497" spans="1:29" x14ac:dyDescent="0.2">
      <c r="A497" s="11">
        <f>+'SERVICIO FAENA'!A497</f>
        <v>0</v>
      </c>
      <c r="B497" s="11">
        <f>+'SERVICIO FAENA'!B497</f>
        <v>0</v>
      </c>
      <c r="C497" s="11"/>
      <c r="D497" s="11"/>
      <c r="E497" s="18">
        <f>+'SERVICIO FAENA'!E497</f>
        <v>0</v>
      </c>
      <c r="F497" s="11"/>
      <c r="G497" s="180" t="e">
        <f t="shared" si="39"/>
        <v>#DIV/0!</v>
      </c>
      <c r="H497" s="11"/>
      <c r="I497" s="11"/>
      <c r="J497" s="180" t="e">
        <f t="shared" si="40"/>
        <v>#DIV/0!</v>
      </c>
      <c r="K497" s="100"/>
      <c r="L497" s="100"/>
      <c r="M497" s="100"/>
      <c r="N497" s="100">
        <f t="shared" si="41"/>
        <v>0</v>
      </c>
      <c r="O497" s="100"/>
      <c r="P497" s="41">
        <v>880</v>
      </c>
      <c r="Q497" s="11"/>
      <c r="R497" s="41">
        <v>260</v>
      </c>
      <c r="S497" s="185"/>
      <c r="T497" s="185"/>
      <c r="U497" s="185"/>
      <c r="V497" s="185"/>
      <c r="W497" s="41">
        <f t="shared" si="42"/>
        <v>0</v>
      </c>
      <c r="X497" s="41">
        <f t="shared" si="38"/>
        <v>0</v>
      </c>
      <c r="Y497" s="11"/>
      <c r="Z497" s="11"/>
      <c r="AA497" s="11"/>
      <c r="AB497" s="11"/>
      <c r="AC497" s="24"/>
    </row>
    <row r="498" spans="1:29" x14ac:dyDescent="0.2">
      <c r="A498" s="11">
        <f>+'SERVICIO FAENA'!A498</f>
        <v>0</v>
      </c>
      <c r="B498" s="11">
        <f>+'SERVICIO FAENA'!B498</f>
        <v>0</v>
      </c>
      <c r="C498" s="11"/>
      <c r="D498" s="11"/>
      <c r="E498" s="18">
        <f>+'SERVICIO FAENA'!E498</f>
        <v>0</v>
      </c>
      <c r="F498" s="11"/>
      <c r="G498" s="180" t="e">
        <f t="shared" si="39"/>
        <v>#DIV/0!</v>
      </c>
      <c r="H498" s="11"/>
      <c r="I498" s="11"/>
      <c r="J498" s="180" t="e">
        <f t="shared" si="40"/>
        <v>#DIV/0!</v>
      </c>
      <c r="K498" s="100"/>
      <c r="L498" s="100"/>
      <c r="M498" s="100"/>
      <c r="N498" s="100">
        <f t="shared" si="41"/>
        <v>0</v>
      </c>
      <c r="O498" s="100"/>
      <c r="P498" s="41">
        <v>880</v>
      </c>
      <c r="Q498" s="11"/>
      <c r="R498" s="41">
        <v>260</v>
      </c>
      <c r="S498" s="185"/>
      <c r="T498" s="185"/>
      <c r="U498" s="185"/>
      <c r="V498" s="185"/>
      <c r="W498" s="41">
        <f t="shared" si="42"/>
        <v>0</v>
      </c>
      <c r="X498" s="41">
        <f t="shared" si="38"/>
        <v>0</v>
      </c>
      <c r="Y498" s="11"/>
      <c r="Z498" s="11"/>
      <c r="AA498" s="11"/>
      <c r="AB498" s="11"/>
      <c r="AC498" s="24"/>
    </row>
    <row r="499" spans="1:29" x14ac:dyDescent="0.2">
      <c r="A499" s="11">
        <f>+'SERVICIO FAENA'!A499</f>
        <v>0</v>
      </c>
      <c r="B499" s="11">
        <f>+'SERVICIO FAENA'!B499</f>
        <v>0</v>
      </c>
      <c r="C499" s="11"/>
      <c r="D499" s="11"/>
      <c r="E499" s="18">
        <f>+'SERVICIO FAENA'!E499</f>
        <v>0</v>
      </c>
      <c r="F499" s="11"/>
      <c r="G499" s="180" t="e">
        <f t="shared" si="39"/>
        <v>#DIV/0!</v>
      </c>
      <c r="H499" s="11"/>
      <c r="I499" s="11"/>
      <c r="J499" s="180" t="e">
        <f t="shared" si="40"/>
        <v>#DIV/0!</v>
      </c>
      <c r="K499" s="100"/>
      <c r="L499" s="100"/>
      <c r="M499" s="100"/>
      <c r="N499" s="100">
        <f t="shared" si="41"/>
        <v>0</v>
      </c>
      <c r="O499" s="100"/>
      <c r="P499" s="41">
        <v>880</v>
      </c>
      <c r="Q499" s="11"/>
      <c r="R499" s="41">
        <v>260</v>
      </c>
      <c r="S499" s="185"/>
      <c r="T499" s="185"/>
      <c r="U499" s="185"/>
      <c r="V499" s="185"/>
      <c r="W499" s="41">
        <f t="shared" si="42"/>
        <v>0</v>
      </c>
      <c r="X499" s="41">
        <f t="shared" si="38"/>
        <v>0</v>
      </c>
      <c r="Y499" s="11"/>
      <c r="Z499" s="11"/>
      <c r="AA499" s="11"/>
      <c r="AB499" s="11"/>
      <c r="AC499" s="24"/>
    </row>
    <row r="500" spans="1:29" x14ac:dyDescent="0.2">
      <c r="A500" s="11">
        <f>+'SERVICIO FAENA'!A500</f>
        <v>0</v>
      </c>
      <c r="B500" s="11">
        <f>+'SERVICIO FAENA'!B500</f>
        <v>0</v>
      </c>
      <c r="C500" s="11"/>
      <c r="D500" s="11"/>
      <c r="E500" s="18">
        <f>+'SERVICIO FAENA'!E500</f>
        <v>0</v>
      </c>
      <c r="F500" s="11"/>
      <c r="G500" s="180" t="e">
        <f t="shared" si="39"/>
        <v>#DIV/0!</v>
      </c>
      <c r="H500" s="11"/>
      <c r="I500" s="11"/>
      <c r="J500" s="180" t="e">
        <f t="shared" si="40"/>
        <v>#DIV/0!</v>
      </c>
      <c r="K500" s="100"/>
      <c r="L500" s="100"/>
      <c r="M500" s="100"/>
      <c r="N500" s="100">
        <f t="shared" si="41"/>
        <v>0</v>
      </c>
      <c r="O500" s="100"/>
      <c r="P500" s="41">
        <v>880</v>
      </c>
      <c r="Q500" s="11"/>
      <c r="R500" s="41">
        <v>260</v>
      </c>
      <c r="S500" s="185"/>
      <c r="T500" s="185"/>
      <c r="U500" s="185"/>
      <c r="V500" s="185"/>
      <c r="W500" s="41">
        <f t="shared" si="42"/>
        <v>0</v>
      </c>
      <c r="X500" s="41">
        <f t="shared" si="38"/>
        <v>0</v>
      </c>
      <c r="Y500" s="11"/>
      <c r="Z500" s="11"/>
      <c r="AA500" s="11"/>
      <c r="AB500" s="11"/>
      <c r="AC500" s="24"/>
    </row>
    <row r="501" spans="1:29" x14ac:dyDescent="0.2">
      <c r="A501" s="11">
        <f>+'SERVICIO FAENA'!A501</f>
        <v>0</v>
      </c>
      <c r="B501" s="11">
        <f>+'SERVICIO FAENA'!B501</f>
        <v>0</v>
      </c>
      <c r="C501" s="11"/>
      <c r="D501" s="11"/>
      <c r="E501" s="18">
        <f>+'SERVICIO FAENA'!E501</f>
        <v>0</v>
      </c>
      <c r="F501" s="11"/>
      <c r="G501" s="180" t="e">
        <f t="shared" si="39"/>
        <v>#DIV/0!</v>
      </c>
      <c r="H501" s="11"/>
      <c r="I501" s="11"/>
      <c r="J501" s="180" t="e">
        <f t="shared" si="40"/>
        <v>#DIV/0!</v>
      </c>
      <c r="K501" s="100"/>
      <c r="L501" s="100"/>
      <c r="M501" s="100"/>
      <c r="N501" s="100">
        <f t="shared" si="41"/>
        <v>0</v>
      </c>
      <c r="O501" s="100"/>
      <c r="P501" s="41">
        <v>880</v>
      </c>
      <c r="Q501" s="11"/>
      <c r="R501" s="41">
        <v>260</v>
      </c>
      <c r="S501" s="185"/>
      <c r="T501" s="185"/>
      <c r="U501" s="185"/>
      <c r="V501" s="185"/>
      <c r="W501" s="41">
        <f t="shared" si="42"/>
        <v>0</v>
      </c>
      <c r="X501" s="41">
        <f t="shared" si="38"/>
        <v>0</v>
      </c>
      <c r="Y501" s="11"/>
      <c r="Z501" s="11"/>
      <c r="AA501" s="11"/>
      <c r="AB501" s="11"/>
      <c r="AC501" s="24"/>
    </row>
    <row r="502" spans="1:29" x14ac:dyDescent="0.2">
      <c r="A502" s="11">
        <f>+'SERVICIO FAENA'!A502</f>
        <v>0</v>
      </c>
      <c r="B502" s="11">
        <f>+'SERVICIO FAENA'!B502</f>
        <v>0</v>
      </c>
      <c r="C502" s="11"/>
      <c r="D502" s="11"/>
      <c r="E502" s="18">
        <f>+'SERVICIO FAENA'!E502</f>
        <v>0</v>
      </c>
      <c r="F502" s="11"/>
      <c r="G502" s="180" t="e">
        <f t="shared" si="39"/>
        <v>#DIV/0!</v>
      </c>
      <c r="H502" s="11"/>
      <c r="I502" s="11"/>
      <c r="J502" s="180" t="e">
        <f t="shared" si="40"/>
        <v>#DIV/0!</v>
      </c>
      <c r="K502" s="100"/>
      <c r="L502" s="100"/>
      <c r="M502" s="100"/>
      <c r="N502" s="100">
        <f t="shared" si="41"/>
        <v>0</v>
      </c>
      <c r="O502" s="100"/>
      <c r="P502" s="41">
        <v>880</v>
      </c>
      <c r="Q502" s="11"/>
      <c r="R502" s="41">
        <v>260</v>
      </c>
      <c r="S502" s="185"/>
      <c r="T502" s="185"/>
      <c r="U502" s="185"/>
      <c r="V502" s="185"/>
      <c r="W502" s="41">
        <f t="shared" si="42"/>
        <v>0</v>
      </c>
      <c r="X502" s="41">
        <f t="shared" si="38"/>
        <v>0</v>
      </c>
      <c r="Y502" s="11"/>
      <c r="Z502" s="11"/>
      <c r="AA502" s="11"/>
      <c r="AB502" s="11"/>
      <c r="AC502" s="24"/>
    </row>
    <row r="503" spans="1:29" x14ac:dyDescent="0.2">
      <c r="A503" s="11">
        <f>+'SERVICIO FAENA'!A503</f>
        <v>0</v>
      </c>
      <c r="B503" s="11">
        <f>+'SERVICIO FAENA'!B503</f>
        <v>0</v>
      </c>
      <c r="C503" s="11"/>
      <c r="D503" s="11"/>
      <c r="E503" s="18">
        <f>+'SERVICIO FAENA'!E503</f>
        <v>0</v>
      </c>
      <c r="F503" s="11"/>
      <c r="G503" s="180" t="e">
        <f t="shared" si="39"/>
        <v>#DIV/0!</v>
      </c>
      <c r="H503" s="11"/>
      <c r="I503" s="11"/>
      <c r="J503" s="180" t="e">
        <f t="shared" si="40"/>
        <v>#DIV/0!</v>
      </c>
      <c r="K503" s="100"/>
      <c r="L503" s="100"/>
      <c r="M503" s="100"/>
      <c r="N503" s="100">
        <f t="shared" si="41"/>
        <v>0</v>
      </c>
      <c r="O503" s="100"/>
      <c r="P503" s="41">
        <v>880</v>
      </c>
      <c r="Q503" s="11"/>
      <c r="R503" s="41">
        <v>260</v>
      </c>
      <c r="S503" s="185"/>
      <c r="T503" s="185"/>
      <c r="U503" s="185"/>
      <c r="V503" s="185"/>
      <c r="W503" s="41">
        <f t="shared" si="42"/>
        <v>0</v>
      </c>
      <c r="X503" s="41">
        <f t="shared" si="38"/>
        <v>0</v>
      </c>
      <c r="Y503" s="11"/>
      <c r="Z503" s="11"/>
      <c r="AA503" s="11"/>
      <c r="AB503" s="11"/>
      <c r="AC503" s="24"/>
    </row>
    <row r="504" spans="1:29" x14ac:dyDescent="0.2">
      <c r="A504" s="11">
        <f>+'SERVICIO FAENA'!A504</f>
        <v>0</v>
      </c>
      <c r="B504" s="11">
        <f>+'SERVICIO FAENA'!B504</f>
        <v>0</v>
      </c>
      <c r="C504" s="11"/>
      <c r="D504" s="11"/>
      <c r="E504" s="18">
        <f>+'SERVICIO FAENA'!E504</f>
        <v>0</v>
      </c>
      <c r="F504" s="11"/>
      <c r="G504" s="180" t="e">
        <f t="shared" si="39"/>
        <v>#DIV/0!</v>
      </c>
      <c r="H504" s="11"/>
      <c r="I504" s="11"/>
      <c r="J504" s="180" t="e">
        <f t="shared" si="40"/>
        <v>#DIV/0!</v>
      </c>
      <c r="K504" s="100"/>
      <c r="L504" s="100"/>
      <c r="M504" s="100"/>
      <c r="N504" s="100">
        <f t="shared" si="41"/>
        <v>0</v>
      </c>
      <c r="O504" s="100"/>
      <c r="P504" s="41">
        <v>880</v>
      </c>
      <c r="Q504" s="11"/>
      <c r="R504" s="41">
        <v>260</v>
      </c>
      <c r="S504" s="185"/>
      <c r="T504" s="185"/>
      <c r="U504" s="185"/>
      <c r="V504" s="185"/>
      <c r="W504" s="41">
        <f t="shared" si="42"/>
        <v>0</v>
      </c>
      <c r="X504" s="41">
        <f t="shared" si="38"/>
        <v>0</v>
      </c>
      <c r="Y504" s="11"/>
      <c r="Z504" s="11"/>
      <c r="AA504" s="11"/>
      <c r="AB504" s="11"/>
      <c r="AC504" s="24"/>
    </row>
    <row r="505" spans="1:29" x14ac:dyDescent="0.2">
      <c r="A505" s="11">
        <f>+'SERVICIO FAENA'!A505</f>
        <v>0</v>
      </c>
      <c r="B505" s="11">
        <f>+'SERVICIO FAENA'!B505</f>
        <v>0</v>
      </c>
      <c r="C505" s="11"/>
      <c r="D505" s="11"/>
      <c r="E505" s="18">
        <f>+'SERVICIO FAENA'!E505</f>
        <v>0</v>
      </c>
      <c r="F505" s="11"/>
      <c r="G505" s="180" t="e">
        <f t="shared" si="39"/>
        <v>#DIV/0!</v>
      </c>
      <c r="H505" s="11"/>
      <c r="I505" s="11"/>
      <c r="J505" s="180" t="e">
        <f t="shared" si="40"/>
        <v>#DIV/0!</v>
      </c>
      <c r="K505" s="100"/>
      <c r="L505" s="100"/>
      <c r="M505" s="100"/>
      <c r="N505" s="100">
        <f t="shared" si="41"/>
        <v>0</v>
      </c>
      <c r="O505" s="100"/>
      <c r="P505" s="41">
        <v>880</v>
      </c>
      <c r="Q505" s="11"/>
      <c r="R505" s="41">
        <v>260</v>
      </c>
      <c r="S505" s="185"/>
      <c r="T505" s="185"/>
      <c r="U505" s="185"/>
      <c r="V505" s="185"/>
      <c r="W505" s="41">
        <f t="shared" si="42"/>
        <v>0</v>
      </c>
      <c r="X505" s="41">
        <f t="shared" si="38"/>
        <v>0</v>
      </c>
      <c r="Y505" s="11"/>
      <c r="Z505" s="11"/>
      <c r="AA505" s="11"/>
      <c r="AB505" s="11"/>
      <c r="AC505" s="24"/>
    </row>
    <row r="506" spans="1:29" x14ac:dyDescent="0.2">
      <c r="A506" s="11">
        <f>+'SERVICIO FAENA'!A506</f>
        <v>0</v>
      </c>
      <c r="B506" s="11">
        <f>+'SERVICIO FAENA'!B506</f>
        <v>0</v>
      </c>
      <c r="C506" s="11"/>
      <c r="D506" s="11"/>
      <c r="E506" s="18">
        <f>+'SERVICIO FAENA'!E506</f>
        <v>0</v>
      </c>
      <c r="F506" s="11"/>
      <c r="G506" s="180" t="e">
        <f t="shared" si="39"/>
        <v>#DIV/0!</v>
      </c>
      <c r="H506" s="11"/>
      <c r="I506" s="11"/>
      <c r="J506" s="180" t="e">
        <f t="shared" si="40"/>
        <v>#DIV/0!</v>
      </c>
      <c r="K506" s="100"/>
      <c r="L506" s="100"/>
      <c r="M506" s="100"/>
      <c r="N506" s="100">
        <f t="shared" si="41"/>
        <v>0</v>
      </c>
      <c r="O506" s="100"/>
      <c r="P506" s="41">
        <v>880</v>
      </c>
      <c r="Q506" s="11"/>
      <c r="R506" s="41">
        <v>260</v>
      </c>
      <c r="S506" s="185"/>
      <c r="T506" s="185"/>
      <c r="U506" s="185"/>
      <c r="V506" s="185"/>
      <c r="W506" s="41">
        <f t="shared" si="42"/>
        <v>0</v>
      </c>
      <c r="X506" s="41">
        <f t="shared" si="38"/>
        <v>0</v>
      </c>
      <c r="Y506" s="11"/>
      <c r="Z506" s="11"/>
      <c r="AA506" s="11"/>
      <c r="AB506" s="11"/>
      <c r="AC506" s="24"/>
    </row>
    <row r="507" spans="1:29" x14ac:dyDescent="0.2">
      <c r="A507" s="11">
        <f>+'SERVICIO FAENA'!A507</f>
        <v>0</v>
      </c>
      <c r="B507" s="11">
        <f>+'SERVICIO FAENA'!B507</f>
        <v>0</v>
      </c>
      <c r="C507" s="11"/>
      <c r="D507" s="11"/>
      <c r="E507" s="18">
        <f>+'SERVICIO FAENA'!E507</f>
        <v>0</v>
      </c>
      <c r="F507" s="11"/>
      <c r="G507" s="180" t="e">
        <f t="shared" si="39"/>
        <v>#DIV/0!</v>
      </c>
      <c r="H507" s="11"/>
      <c r="I507" s="11"/>
      <c r="J507" s="180" t="e">
        <f t="shared" si="40"/>
        <v>#DIV/0!</v>
      </c>
      <c r="K507" s="100"/>
      <c r="L507" s="100"/>
      <c r="M507" s="100"/>
      <c r="N507" s="100">
        <f t="shared" si="41"/>
        <v>0</v>
      </c>
      <c r="O507" s="100"/>
      <c r="P507" s="41">
        <v>880</v>
      </c>
      <c r="Q507" s="11"/>
      <c r="R507" s="41">
        <v>260</v>
      </c>
      <c r="S507" s="185"/>
      <c r="T507" s="185"/>
      <c r="U507" s="185"/>
      <c r="V507" s="185"/>
      <c r="W507" s="41">
        <f t="shared" si="42"/>
        <v>0</v>
      </c>
      <c r="X507" s="41">
        <f t="shared" si="38"/>
        <v>0</v>
      </c>
      <c r="Y507" s="11"/>
      <c r="Z507" s="11"/>
      <c r="AA507" s="11"/>
      <c r="AB507" s="11"/>
      <c r="AC507" s="24"/>
    </row>
    <row r="508" spans="1:29" x14ac:dyDescent="0.2">
      <c r="A508" s="11">
        <f>+'SERVICIO FAENA'!A508</f>
        <v>0</v>
      </c>
      <c r="B508" s="11">
        <f>+'SERVICIO FAENA'!B508</f>
        <v>0</v>
      </c>
      <c r="C508" s="11"/>
      <c r="D508" s="11"/>
      <c r="E508" s="18">
        <f>+'SERVICIO FAENA'!E508</f>
        <v>0</v>
      </c>
      <c r="F508" s="11"/>
      <c r="G508" s="180" t="e">
        <f t="shared" si="39"/>
        <v>#DIV/0!</v>
      </c>
      <c r="H508" s="11"/>
      <c r="I508" s="11"/>
      <c r="J508" s="180" t="e">
        <f t="shared" si="40"/>
        <v>#DIV/0!</v>
      </c>
      <c r="K508" s="100"/>
      <c r="L508" s="100"/>
      <c r="M508" s="100"/>
      <c r="N508" s="100">
        <f t="shared" si="41"/>
        <v>0</v>
      </c>
      <c r="O508" s="100"/>
      <c r="P508" s="41">
        <v>880</v>
      </c>
      <c r="Q508" s="11"/>
      <c r="R508" s="41">
        <v>260</v>
      </c>
      <c r="S508" s="185"/>
      <c r="T508" s="185"/>
      <c r="U508" s="185"/>
      <c r="V508" s="185"/>
      <c r="W508" s="41">
        <f t="shared" si="42"/>
        <v>0</v>
      </c>
      <c r="X508" s="41">
        <f t="shared" si="38"/>
        <v>0</v>
      </c>
      <c r="Y508" s="11"/>
      <c r="Z508" s="11"/>
      <c r="AA508" s="11"/>
      <c r="AB508" s="11"/>
      <c r="AC508" s="24"/>
    </row>
    <row r="509" spans="1:29" x14ac:dyDescent="0.2">
      <c r="A509" s="11">
        <f>+'SERVICIO FAENA'!A509</f>
        <v>0</v>
      </c>
      <c r="B509" s="11">
        <f>+'SERVICIO FAENA'!B509</f>
        <v>0</v>
      </c>
      <c r="C509" s="11"/>
      <c r="D509" s="11"/>
      <c r="E509" s="18">
        <f>+'SERVICIO FAENA'!E509</f>
        <v>0</v>
      </c>
      <c r="F509" s="11"/>
      <c r="G509" s="180" t="e">
        <f t="shared" si="39"/>
        <v>#DIV/0!</v>
      </c>
      <c r="H509" s="11"/>
      <c r="I509" s="11"/>
      <c r="J509" s="180" t="e">
        <f t="shared" si="40"/>
        <v>#DIV/0!</v>
      </c>
      <c r="K509" s="100"/>
      <c r="L509" s="100"/>
      <c r="M509" s="100"/>
      <c r="N509" s="100">
        <f t="shared" si="41"/>
        <v>0</v>
      </c>
      <c r="O509" s="100"/>
      <c r="P509" s="41">
        <v>880</v>
      </c>
      <c r="Q509" s="11"/>
      <c r="R509" s="41">
        <v>260</v>
      </c>
      <c r="S509" s="185"/>
      <c r="T509" s="185"/>
      <c r="U509" s="185"/>
      <c r="V509" s="185"/>
      <c r="W509" s="41">
        <f t="shared" si="42"/>
        <v>0</v>
      </c>
      <c r="X509" s="41">
        <f t="shared" si="38"/>
        <v>0</v>
      </c>
      <c r="Y509" s="11"/>
      <c r="Z509" s="11"/>
      <c r="AA509" s="11"/>
      <c r="AB509" s="11"/>
      <c r="AC509" s="24"/>
    </row>
    <row r="510" spans="1:29" x14ac:dyDescent="0.2">
      <c r="A510" s="11">
        <f>+'SERVICIO FAENA'!A510</f>
        <v>0</v>
      </c>
      <c r="B510" s="11">
        <f>+'SERVICIO FAENA'!B510</f>
        <v>0</v>
      </c>
      <c r="C510" s="11"/>
      <c r="D510" s="11"/>
      <c r="E510" s="18">
        <f>+'SERVICIO FAENA'!E510</f>
        <v>0</v>
      </c>
      <c r="F510" s="11"/>
      <c r="G510" s="180" t="e">
        <f t="shared" si="39"/>
        <v>#DIV/0!</v>
      </c>
      <c r="H510" s="11"/>
      <c r="I510" s="11"/>
      <c r="J510" s="180" t="e">
        <f t="shared" si="40"/>
        <v>#DIV/0!</v>
      </c>
      <c r="K510" s="100"/>
      <c r="L510" s="100"/>
      <c r="M510" s="100"/>
      <c r="N510" s="100">
        <f t="shared" si="41"/>
        <v>0</v>
      </c>
      <c r="O510" s="100"/>
      <c r="P510" s="41">
        <v>880</v>
      </c>
      <c r="Q510" s="11"/>
      <c r="R510" s="41">
        <v>260</v>
      </c>
      <c r="S510" s="185"/>
      <c r="T510" s="185"/>
      <c r="U510" s="185"/>
      <c r="V510" s="185"/>
      <c r="W510" s="41">
        <f t="shared" si="42"/>
        <v>0</v>
      </c>
      <c r="X510" s="41">
        <f t="shared" si="38"/>
        <v>0</v>
      </c>
      <c r="Y510" s="11"/>
      <c r="Z510" s="11"/>
      <c r="AA510" s="11"/>
      <c r="AB510" s="11"/>
      <c r="AC510" s="24"/>
    </row>
    <row r="511" spans="1:29" x14ac:dyDescent="0.2">
      <c r="A511" s="11">
        <f>+'SERVICIO FAENA'!A511</f>
        <v>0</v>
      </c>
      <c r="B511" s="11">
        <f>+'SERVICIO FAENA'!B511</f>
        <v>0</v>
      </c>
      <c r="C511" s="11"/>
      <c r="D511" s="11"/>
      <c r="E511" s="18">
        <f>+'SERVICIO FAENA'!E511</f>
        <v>0</v>
      </c>
      <c r="F511" s="11"/>
      <c r="G511" s="180" t="e">
        <f t="shared" si="39"/>
        <v>#DIV/0!</v>
      </c>
      <c r="H511" s="11"/>
      <c r="I511" s="11"/>
      <c r="J511" s="180" t="e">
        <f t="shared" si="40"/>
        <v>#DIV/0!</v>
      </c>
      <c r="K511" s="100"/>
      <c r="L511" s="100"/>
      <c r="M511" s="100"/>
      <c r="N511" s="100">
        <f t="shared" si="41"/>
        <v>0</v>
      </c>
      <c r="O511" s="100"/>
      <c r="P511" s="41">
        <v>880</v>
      </c>
      <c r="Q511" s="11"/>
      <c r="R511" s="41">
        <v>260</v>
      </c>
      <c r="S511" s="185"/>
      <c r="T511" s="185"/>
      <c r="U511" s="185"/>
      <c r="V511" s="185"/>
      <c r="W511" s="41">
        <f t="shared" si="42"/>
        <v>0</v>
      </c>
      <c r="X511" s="41">
        <f t="shared" si="38"/>
        <v>0</v>
      </c>
      <c r="Y511" s="11"/>
      <c r="Z511" s="11"/>
      <c r="AA511" s="11"/>
      <c r="AB511" s="11"/>
      <c r="AC511" s="24"/>
    </row>
    <row r="512" spans="1:29" x14ac:dyDescent="0.2">
      <c r="A512" s="11">
        <f>+'SERVICIO FAENA'!A512</f>
        <v>0</v>
      </c>
      <c r="B512" s="11">
        <f>+'SERVICIO FAENA'!B512</f>
        <v>0</v>
      </c>
      <c r="C512" s="11"/>
      <c r="D512" s="11"/>
      <c r="E512" s="18">
        <f>+'SERVICIO FAENA'!E512</f>
        <v>0</v>
      </c>
      <c r="F512" s="11"/>
      <c r="G512" s="180" t="e">
        <f t="shared" si="39"/>
        <v>#DIV/0!</v>
      </c>
      <c r="H512" s="11"/>
      <c r="I512" s="11"/>
      <c r="J512" s="180" t="e">
        <f t="shared" si="40"/>
        <v>#DIV/0!</v>
      </c>
      <c r="K512" s="100"/>
      <c r="L512" s="100"/>
      <c r="M512" s="100"/>
      <c r="N512" s="100">
        <f t="shared" si="41"/>
        <v>0</v>
      </c>
      <c r="O512" s="100"/>
      <c r="P512" s="41">
        <v>880</v>
      </c>
      <c r="Q512" s="11"/>
      <c r="R512" s="41">
        <v>260</v>
      </c>
      <c r="S512" s="185"/>
      <c r="T512" s="185"/>
      <c r="U512" s="185"/>
      <c r="V512" s="185"/>
      <c r="W512" s="41">
        <f t="shared" si="42"/>
        <v>0</v>
      </c>
      <c r="X512" s="41">
        <f t="shared" si="38"/>
        <v>0</v>
      </c>
      <c r="Y512" s="11"/>
      <c r="Z512" s="11"/>
      <c r="AA512" s="11"/>
      <c r="AB512" s="11"/>
      <c r="AC512" s="24"/>
    </row>
    <row r="513" spans="1:29" x14ac:dyDescent="0.2">
      <c r="A513" s="11">
        <f>+'SERVICIO FAENA'!A513</f>
        <v>0</v>
      </c>
      <c r="B513" s="11">
        <f>+'SERVICIO FAENA'!B513</f>
        <v>0</v>
      </c>
      <c r="C513" s="11"/>
      <c r="D513" s="11"/>
      <c r="E513" s="18">
        <f>+'SERVICIO FAENA'!E513</f>
        <v>0</v>
      </c>
      <c r="F513" s="11"/>
      <c r="G513" s="180" t="e">
        <f t="shared" si="39"/>
        <v>#DIV/0!</v>
      </c>
      <c r="H513" s="11"/>
      <c r="I513" s="11"/>
      <c r="J513" s="180" t="e">
        <f t="shared" si="40"/>
        <v>#DIV/0!</v>
      </c>
      <c r="K513" s="100"/>
      <c r="L513" s="100"/>
      <c r="M513" s="100"/>
      <c r="N513" s="100">
        <f t="shared" si="41"/>
        <v>0</v>
      </c>
      <c r="O513" s="100"/>
      <c r="P513" s="41">
        <v>880</v>
      </c>
      <c r="Q513" s="11"/>
      <c r="R513" s="41">
        <v>260</v>
      </c>
      <c r="S513" s="185"/>
      <c r="T513" s="185"/>
      <c r="U513" s="185"/>
      <c r="V513" s="185"/>
      <c r="W513" s="41">
        <f t="shared" si="42"/>
        <v>0</v>
      </c>
      <c r="X513" s="41">
        <f t="shared" si="38"/>
        <v>0</v>
      </c>
      <c r="Y513" s="11"/>
      <c r="Z513" s="11"/>
      <c r="AA513" s="11"/>
      <c r="AB513" s="11"/>
      <c r="AC513" s="24"/>
    </row>
    <row r="514" spans="1:29" x14ac:dyDescent="0.2">
      <c r="A514" s="11">
        <f>+'SERVICIO FAENA'!A514</f>
        <v>0</v>
      </c>
      <c r="B514" s="11">
        <f>+'SERVICIO FAENA'!B514</f>
        <v>0</v>
      </c>
      <c r="C514" s="11"/>
      <c r="D514" s="11"/>
      <c r="E514" s="18">
        <f>+'SERVICIO FAENA'!E514</f>
        <v>0</v>
      </c>
      <c r="F514" s="11"/>
      <c r="G514" s="180" t="e">
        <f t="shared" si="39"/>
        <v>#DIV/0!</v>
      </c>
      <c r="H514" s="11"/>
      <c r="I514" s="11"/>
      <c r="J514" s="180" t="e">
        <f t="shared" si="40"/>
        <v>#DIV/0!</v>
      </c>
      <c r="K514" s="100"/>
      <c r="L514" s="100"/>
      <c r="M514" s="100"/>
      <c r="N514" s="100">
        <f t="shared" si="41"/>
        <v>0</v>
      </c>
      <c r="O514" s="100"/>
      <c r="P514" s="41">
        <v>880</v>
      </c>
      <c r="Q514" s="11"/>
      <c r="R514" s="41">
        <v>260</v>
      </c>
      <c r="S514" s="185"/>
      <c r="T514" s="185"/>
      <c r="U514" s="185"/>
      <c r="V514" s="185"/>
      <c r="W514" s="41">
        <f t="shared" si="42"/>
        <v>0</v>
      </c>
      <c r="X514" s="41">
        <f t="shared" si="38"/>
        <v>0</v>
      </c>
      <c r="Y514" s="11"/>
      <c r="Z514" s="11"/>
      <c r="AA514" s="11"/>
      <c r="AB514" s="11"/>
      <c r="AC514" s="24"/>
    </row>
    <row r="515" spans="1:29" x14ac:dyDescent="0.2">
      <c r="A515" s="11">
        <f>+'SERVICIO FAENA'!A515</f>
        <v>0</v>
      </c>
      <c r="B515" s="11">
        <f>+'SERVICIO FAENA'!B515</f>
        <v>0</v>
      </c>
      <c r="C515" s="11"/>
      <c r="D515" s="11"/>
      <c r="E515" s="18">
        <f>+'SERVICIO FAENA'!E515</f>
        <v>0</v>
      </c>
      <c r="F515" s="11"/>
      <c r="G515" s="180" t="e">
        <f t="shared" si="39"/>
        <v>#DIV/0!</v>
      </c>
      <c r="H515" s="11"/>
      <c r="I515" s="11"/>
      <c r="J515" s="180" t="e">
        <f t="shared" si="40"/>
        <v>#DIV/0!</v>
      </c>
      <c r="K515" s="100"/>
      <c r="L515" s="100"/>
      <c r="M515" s="100"/>
      <c r="N515" s="100">
        <f t="shared" si="41"/>
        <v>0</v>
      </c>
      <c r="O515" s="100"/>
      <c r="P515" s="41">
        <v>880</v>
      </c>
      <c r="Q515" s="11"/>
      <c r="R515" s="41">
        <v>260</v>
      </c>
      <c r="S515" s="185"/>
      <c r="T515" s="185"/>
      <c r="U515" s="185"/>
      <c r="V515" s="185"/>
      <c r="W515" s="41">
        <f t="shared" si="42"/>
        <v>0</v>
      </c>
      <c r="X515" s="41">
        <f t="shared" ref="X515:X578" si="43">+((O515*P515)+(Q515*R515))*1.21</f>
        <v>0</v>
      </c>
      <c r="Y515" s="11"/>
      <c r="Z515" s="11"/>
      <c r="AA515" s="11"/>
      <c r="AB515" s="11"/>
      <c r="AC515" s="24"/>
    </row>
    <row r="516" spans="1:29" x14ac:dyDescent="0.2">
      <c r="A516" s="11">
        <f>+'SERVICIO FAENA'!A516</f>
        <v>0</v>
      </c>
      <c r="B516" s="11">
        <f>+'SERVICIO FAENA'!B516</f>
        <v>0</v>
      </c>
      <c r="C516" s="11"/>
      <c r="D516" s="11"/>
      <c r="E516" s="18">
        <f>+'SERVICIO FAENA'!E516</f>
        <v>0</v>
      </c>
      <c r="F516" s="11"/>
      <c r="G516" s="180" t="e">
        <f t="shared" ref="G516:G579" si="44">+F516/D516</f>
        <v>#DIV/0!</v>
      </c>
      <c r="H516" s="11"/>
      <c r="I516" s="11"/>
      <c r="J516" s="180" t="e">
        <f t="shared" si="40"/>
        <v>#DIV/0!</v>
      </c>
      <c r="K516" s="100"/>
      <c r="L516" s="100"/>
      <c r="M516" s="100"/>
      <c r="N516" s="100">
        <f t="shared" si="41"/>
        <v>0</v>
      </c>
      <c r="O516" s="100"/>
      <c r="P516" s="41">
        <v>880</v>
      </c>
      <c r="Q516" s="11"/>
      <c r="R516" s="41">
        <v>260</v>
      </c>
      <c r="S516" s="185"/>
      <c r="T516" s="185"/>
      <c r="U516" s="185"/>
      <c r="V516" s="185"/>
      <c r="W516" s="41">
        <f t="shared" si="42"/>
        <v>0</v>
      </c>
      <c r="X516" s="41">
        <f t="shared" si="43"/>
        <v>0</v>
      </c>
      <c r="Y516" s="11"/>
      <c r="Z516" s="11"/>
      <c r="AA516" s="11"/>
      <c r="AB516" s="11"/>
      <c r="AC516" s="24"/>
    </row>
    <row r="517" spans="1:29" x14ac:dyDescent="0.2">
      <c r="A517" s="11">
        <f>+'SERVICIO FAENA'!A517</f>
        <v>0</v>
      </c>
      <c r="B517" s="11">
        <f>+'SERVICIO FAENA'!B517</f>
        <v>0</v>
      </c>
      <c r="C517" s="11"/>
      <c r="D517" s="11"/>
      <c r="E517" s="18">
        <f>+'SERVICIO FAENA'!E517</f>
        <v>0</v>
      </c>
      <c r="F517" s="11"/>
      <c r="G517" s="180" t="e">
        <f t="shared" si="44"/>
        <v>#DIV/0!</v>
      </c>
      <c r="H517" s="11"/>
      <c r="I517" s="11"/>
      <c r="J517" s="180" t="e">
        <f t="shared" si="40"/>
        <v>#DIV/0!</v>
      </c>
      <c r="K517" s="100"/>
      <c r="L517" s="100"/>
      <c r="M517" s="100"/>
      <c r="N517" s="100">
        <f t="shared" si="41"/>
        <v>0</v>
      </c>
      <c r="O517" s="100"/>
      <c r="P517" s="41">
        <v>880</v>
      </c>
      <c r="Q517" s="11"/>
      <c r="R517" s="41">
        <v>260</v>
      </c>
      <c r="S517" s="185"/>
      <c r="T517" s="185"/>
      <c r="U517" s="185"/>
      <c r="V517" s="185"/>
      <c r="W517" s="41">
        <f t="shared" si="42"/>
        <v>0</v>
      </c>
      <c r="X517" s="41">
        <f t="shared" si="43"/>
        <v>0</v>
      </c>
      <c r="Y517" s="11"/>
      <c r="Z517" s="11"/>
      <c r="AA517" s="11"/>
      <c r="AB517" s="11"/>
      <c r="AC517" s="24"/>
    </row>
    <row r="518" spans="1:29" x14ac:dyDescent="0.2">
      <c r="A518" s="11">
        <f>+'SERVICIO FAENA'!A518</f>
        <v>0</v>
      </c>
      <c r="B518" s="11">
        <f>+'SERVICIO FAENA'!B518</f>
        <v>0</v>
      </c>
      <c r="C518" s="11"/>
      <c r="D518" s="11"/>
      <c r="E518" s="18">
        <f>+'SERVICIO FAENA'!E518</f>
        <v>0</v>
      </c>
      <c r="F518" s="11"/>
      <c r="G518" s="180" t="e">
        <f t="shared" si="44"/>
        <v>#DIV/0!</v>
      </c>
      <c r="H518" s="11"/>
      <c r="I518" s="11"/>
      <c r="J518" s="180" t="e">
        <f t="shared" si="40"/>
        <v>#DIV/0!</v>
      </c>
      <c r="K518" s="100"/>
      <c r="L518" s="100"/>
      <c r="M518" s="100"/>
      <c r="N518" s="100">
        <f t="shared" si="41"/>
        <v>0</v>
      </c>
      <c r="O518" s="100"/>
      <c r="P518" s="41">
        <v>880</v>
      </c>
      <c r="Q518" s="11"/>
      <c r="R518" s="41">
        <v>260</v>
      </c>
      <c r="S518" s="185"/>
      <c r="T518" s="185"/>
      <c r="U518" s="185"/>
      <c r="V518" s="185"/>
      <c r="W518" s="41">
        <f t="shared" si="42"/>
        <v>0</v>
      </c>
      <c r="X518" s="41">
        <f t="shared" si="43"/>
        <v>0</v>
      </c>
      <c r="Y518" s="11"/>
      <c r="Z518" s="11"/>
      <c r="AA518" s="11"/>
      <c r="AB518" s="11"/>
      <c r="AC518" s="24"/>
    </row>
    <row r="519" spans="1:29" x14ac:dyDescent="0.2">
      <c r="A519" s="11">
        <f>+'SERVICIO FAENA'!A519</f>
        <v>0</v>
      </c>
      <c r="B519" s="11">
        <f>+'SERVICIO FAENA'!B519</f>
        <v>0</v>
      </c>
      <c r="C519" s="11"/>
      <c r="D519" s="11"/>
      <c r="E519" s="18">
        <f>+'SERVICIO FAENA'!E519</f>
        <v>0</v>
      </c>
      <c r="F519" s="11"/>
      <c r="G519" s="180" t="e">
        <f t="shared" si="44"/>
        <v>#DIV/0!</v>
      </c>
      <c r="H519" s="11"/>
      <c r="I519" s="11"/>
      <c r="J519" s="180" t="e">
        <f t="shared" si="40"/>
        <v>#DIV/0!</v>
      </c>
      <c r="K519" s="100"/>
      <c r="L519" s="100"/>
      <c r="M519" s="100"/>
      <c r="N519" s="100">
        <f t="shared" si="41"/>
        <v>0</v>
      </c>
      <c r="O519" s="100"/>
      <c r="P519" s="41">
        <v>880</v>
      </c>
      <c r="Q519" s="11"/>
      <c r="R519" s="41">
        <v>260</v>
      </c>
      <c r="S519" s="185"/>
      <c r="T519" s="185"/>
      <c r="U519" s="185"/>
      <c r="V519" s="185"/>
      <c r="W519" s="41">
        <f t="shared" si="42"/>
        <v>0</v>
      </c>
      <c r="X519" s="41">
        <f t="shared" si="43"/>
        <v>0</v>
      </c>
      <c r="Y519" s="11"/>
      <c r="Z519" s="11"/>
      <c r="AA519" s="11"/>
      <c r="AB519" s="11"/>
      <c r="AC519" s="24"/>
    </row>
    <row r="520" spans="1:29" x14ac:dyDescent="0.2">
      <c r="A520" s="11">
        <f>+'SERVICIO FAENA'!A520</f>
        <v>0</v>
      </c>
      <c r="B520" s="11">
        <f>+'SERVICIO FAENA'!B520</f>
        <v>0</v>
      </c>
      <c r="C520" s="11"/>
      <c r="D520" s="11"/>
      <c r="E520" s="18">
        <f>+'SERVICIO FAENA'!E520</f>
        <v>0</v>
      </c>
      <c r="F520" s="11"/>
      <c r="G520" s="180" t="e">
        <f t="shared" si="44"/>
        <v>#DIV/0!</v>
      </c>
      <c r="H520" s="11"/>
      <c r="I520" s="11"/>
      <c r="J520" s="180" t="e">
        <f t="shared" si="40"/>
        <v>#DIV/0!</v>
      </c>
      <c r="K520" s="100"/>
      <c r="L520" s="100"/>
      <c r="M520" s="100"/>
      <c r="N520" s="100">
        <f t="shared" si="41"/>
        <v>0</v>
      </c>
      <c r="O520" s="100"/>
      <c r="P520" s="41">
        <v>880</v>
      </c>
      <c r="Q520" s="11"/>
      <c r="R520" s="41">
        <v>260</v>
      </c>
      <c r="S520" s="185"/>
      <c r="T520" s="185"/>
      <c r="U520" s="185"/>
      <c r="V520" s="185"/>
      <c r="W520" s="41">
        <f t="shared" si="42"/>
        <v>0</v>
      </c>
      <c r="X520" s="41">
        <f t="shared" si="43"/>
        <v>0</v>
      </c>
      <c r="Y520" s="11"/>
      <c r="Z520" s="11"/>
      <c r="AA520" s="11"/>
      <c r="AB520" s="11"/>
      <c r="AC520" s="24"/>
    </row>
    <row r="521" spans="1:29" x14ac:dyDescent="0.2">
      <c r="A521" s="11">
        <f>+'SERVICIO FAENA'!A521</f>
        <v>0</v>
      </c>
      <c r="B521" s="11">
        <f>+'SERVICIO FAENA'!B521</f>
        <v>0</v>
      </c>
      <c r="C521" s="11"/>
      <c r="D521" s="11"/>
      <c r="E521" s="18">
        <f>+'SERVICIO FAENA'!E521</f>
        <v>0</v>
      </c>
      <c r="F521" s="11"/>
      <c r="G521" s="180" t="e">
        <f t="shared" si="44"/>
        <v>#DIV/0!</v>
      </c>
      <c r="H521" s="11"/>
      <c r="I521" s="11"/>
      <c r="J521" s="180" t="e">
        <f t="shared" si="40"/>
        <v>#DIV/0!</v>
      </c>
      <c r="K521" s="100"/>
      <c r="L521" s="100"/>
      <c r="M521" s="100"/>
      <c r="N521" s="100">
        <f t="shared" si="41"/>
        <v>0</v>
      </c>
      <c r="O521" s="100"/>
      <c r="P521" s="41">
        <v>880</v>
      </c>
      <c r="Q521" s="11"/>
      <c r="R521" s="41">
        <v>260</v>
      </c>
      <c r="S521" s="185"/>
      <c r="T521" s="185"/>
      <c r="U521" s="185"/>
      <c r="V521" s="185"/>
      <c r="W521" s="41">
        <f t="shared" si="42"/>
        <v>0</v>
      </c>
      <c r="X521" s="41">
        <f t="shared" si="43"/>
        <v>0</v>
      </c>
      <c r="Y521" s="11"/>
      <c r="Z521" s="11"/>
      <c r="AA521" s="11"/>
      <c r="AB521" s="11"/>
      <c r="AC521" s="24"/>
    </row>
    <row r="522" spans="1:29" x14ac:dyDescent="0.2">
      <c r="A522" s="11">
        <f>+'SERVICIO FAENA'!A522</f>
        <v>0</v>
      </c>
      <c r="B522" s="11">
        <f>+'SERVICIO FAENA'!B522</f>
        <v>0</v>
      </c>
      <c r="C522" s="11"/>
      <c r="D522" s="11"/>
      <c r="E522" s="18">
        <f>+'SERVICIO FAENA'!E522</f>
        <v>0</v>
      </c>
      <c r="F522" s="11"/>
      <c r="G522" s="180" t="e">
        <f t="shared" si="44"/>
        <v>#DIV/0!</v>
      </c>
      <c r="H522" s="11"/>
      <c r="I522" s="11"/>
      <c r="J522" s="180" t="e">
        <f t="shared" si="40"/>
        <v>#DIV/0!</v>
      </c>
      <c r="K522" s="100"/>
      <c r="L522" s="100"/>
      <c r="M522" s="100"/>
      <c r="N522" s="100">
        <f t="shared" si="41"/>
        <v>0</v>
      </c>
      <c r="O522" s="100"/>
      <c r="P522" s="41">
        <v>880</v>
      </c>
      <c r="Q522" s="11"/>
      <c r="R522" s="41">
        <v>260</v>
      </c>
      <c r="S522" s="185"/>
      <c r="T522" s="185"/>
      <c r="U522" s="185"/>
      <c r="V522" s="185"/>
      <c r="W522" s="41">
        <f t="shared" si="42"/>
        <v>0</v>
      </c>
      <c r="X522" s="41">
        <f t="shared" si="43"/>
        <v>0</v>
      </c>
      <c r="Y522" s="11"/>
      <c r="Z522" s="11"/>
      <c r="AA522" s="11"/>
      <c r="AB522" s="11"/>
      <c r="AC522" s="24"/>
    </row>
    <row r="523" spans="1:29" x14ac:dyDescent="0.2">
      <c r="A523" s="11">
        <f>+'SERVICIO FAENA'!A523</f>
        <v>0</v>
      </c>
      <c r="B523" s="11">
        <f>+'SERVICIO FAENA'!B523</f>
        <v>0</v>
      </c>
      <c r="C523" s="11"/>
      <c r="D523" s="11"/>
      <c r="E523" s="18">
        <f>+'SERVICIO FAENA'!E523</f>
        <v>0</v>
      </c>
      <c r="F523" s="11"/>
      <c r="G523" s="180" t="e">
        <f t="shared" si="44"/>
        <v>#DIV/0!</v>
      </c>
      <c r="H523" s="11"/>
      <c r="I523" s="11"/>
      <c r="J523" s="180" t="e">
        <f t="shared" si="40"/>
        <v>#DIV/0!</v>
      </c>
      <c r="K523" s="100"/>
      <c r="L523" s="100"/>
      <c r="M523" s="100"/>
      <c r="N523" s="100">
        <f t="shared" si="41"/>
        <v>0</v>
      </c>
      <c r="O523" s="100"/>
      <c r="P523" s="41">
        <v>880</v>
      </c>
      <c r="Q523" s="11"/>
      <c r="R523" s="41">
        <v>260</v>
      </c>
      <c r="S523" s="185"/>
      <c r="T523" s="185"/>
      <c r="U523" s="185"/>
      <c r="V523" s="185"/>
      <c r="W523" s="41">
        <f t="shared" si="42"/>
        <v>0</v>
      </c>
      <c r="X523" s="41">
        <f t="shared" si="43"/>
        <v>0</v>
      </c>
      <c r="Y523" s="11"/>
      <c r="Z523" s="11"/>
      <c r="AA523" s="11"/>
      <c r="AB523" s="11"/>
      <c r="AC523" s="24"/>
    </row>
    <row r="524" spans="1:29" x14ac:dyDescent="0.2">
      <c r="A524" s="11">
        <f>+'SERVICIO FAENA'!A524</f>
        <v>0</v>
      </c>
      <c r="B524" s="11">
        <f>+'SERVICIO FAENA'!B524</f>
        <v>0</v>
      </c>
      <c r="C524" s="11"/>
      <c r="D524" s="11"/>
      <c r="E524" s="18">
        <f>+'SERVICIO FAENA'!E524</f>
        <v>0</v>
      </c>
      <c r="F524" s="11"/>
      <c r="G524" s="180" t="e">
        <f t="shared" si="44"/>
        <v>#DIV/0!</v>
      </c>
      <c r="H524" s="11"/>
      <c r="I524" s="11"/>
      <c r="J524" s="180" t="e">
        <f t="shared" si="40"/>
        <v>#DIV/0!</v>
      </c>
      <c r="K524" s="100"/>
      <c r="L524" s="100"/>
      <c r="M524" s="100"/>
      <c r="N524" s="100">
        <f t="shared" si="41"/>
        <v>0</v>
      </c>
      <c r="O524" s="100"/>
      <c r="P524" s="41">
        <v>880</v>
      </c>
      <c r="Q524" s="11"/>
      <c r="R524" s="41">
        <v>260</v>
      </c>
      <c r="S524" s="185"/>
      <c r="T524" s="185"/>
      <c r="U524" s="185"/>
      <c r="V524" s="185"/>
      <c r="W524" s="41">
        <f t="shared" si="42"/>
        <v>0</v>
      </c>
      <c r="X524" s="41">
        <f t="shared" si="43"/>
        <v>0</v>
      </c>
      <c r="Y524" s="11"/>
      <c r="Z524" s="11"/>
      <c r="AA524" s="11"/>
      <c r="AB524" s="11"/>
      <c r="AC524" s="24"/>
    </row>
    <row r="525" spans="1:29" x14ac:dyDescent="0.2">
      <c r="A525" s="11">
        <f>+'SERVICIO FAENA'!A525</f>
        <v>0</v>
      </c>
      <c r="B525" s="11">
        <f>+'SERVICIO FAENA'!B525</f>
        <v>0</v>
      </c>
      <c r="C525" s="11"/>
      <c r="D525" s="11"/>
      <c r="E525" s="18">
        <f>+'SERVICIO FAENA'!E525</f>
        <v>0</v>
      </c>
      <c r="F525" s="11"/>
      <c r="G525" s="180" t="e">
        <f t="shared" si="44"/>
        <v>#DIV/0!</v>
      </c>
      <c r="H525" s="11"/>
      <c r="I525" s="11"/>
      <c r="J525" s="180" t="e">
        <f t="shared" si="40"/>
        <v>#DIV/0!</v>
      </c>
      <c r="K525" s="100"/>
      <c r="L525" s="100"/>
      <c r="M525" s="100"/>
      <c r="N525" s="100">
        <f t="shared" si="41"/>
        <v>0</v>
      </c>
      <c r="O525" s="100"/>
      <c r="P525" s="41">
        <v>880</v>
      </c>
      <c r="Q525" s="11"/>
      <c r="R525" s="41">
        <v>260</v>
      </c>
      <c r="S525" s="185"/>
      <c r="T525" s="185"/>
      <c r="U525" s="185"/>
      <c r="V525" s="185"/>
      <c r="W525" s="41">
        <f t="shared" si="42"/>
        <v>0</v>
      </c>
      <c r="X525" s="41">
        <f t="shared" si="43"/>
        <v>0</v>
      </c>
      <c r="Y525" s="11"/>
      <c r="Z525" s="11"/>
      <c r="AA525" s="11"/>
      <c r="AB525" s="11"/>
      <c r="AC525" s="24"/>
    </row>
    <row r="526" spans="1:29" x14ac:dyDescent="0.2">
      <c r="A526" s="11">
        <f>+'SERVICIO FAENA'!A526</f>
        <v>0</v>
      </c>
      <c r="B526" s="11">
        <f>+'SERVICIO FAENA'!B526</f>
        <v>0</v>
      </c>
      <c r="C526" s="11"/>
      <c r="D526" s="11"/>
      <c r="E526" s="18">
        <f>+'SERVICIO FAENA'!E526</f>
        <v>0</v>
      </c>
      <c r="F526" s="11"/>
      <c r="G526" s="180" t="e">
        <f t="shared" si="44"/>
        <v>#DIV/0!</v>
      </c>
      <c r="H526" s="11"/>
      <c r="I526" s="11"/>
      <c r="J526" s="180" t="e">
        <f t="shared" si="40"/>
        <v>#DIV/0!</v>
      </c>
      <c r="K526" s="100"/>
      <c r="L526" s="100"/>
      <c r="M526" s="100"/>
      <c r="N526" s="100">
        <f t="shared" si="41"/>
        <v>0</v>
      </c>
      <c r="O526" s="100"/>
      <c r="P526" s="41">
        <v>880</v>
      </c>
      <c r="Q526" s="11"/>
      <c r="R526" s="41">
        <v>260</v>
      </c>
      <c r="S526" s="185"/>
      <c r="T526" s="185"/>
      <c r="U526" s="185"/>
      <c r="V526" s="185"/>
      <c r="W526" s="41">
        <f t="shared" si="42"/>
        <v>0</v>
      </c>
      <c r="X526" s="41">
        <f t="shared" si="43"/>
        <v>0</v>
      </c>
      <c r="Y526" s="11"/>
      <c r="Z526" s="11"/>
      <c r="AA526" s="11"/>
      <c r="AB526" s="11"/>
      <c r="AC526" s="24"/>
    </row>
    <row r="527" spans="1:29" x14ac:dyDescent="0.2">
      <c r="A527" s="11">
        <f>+'SERVICIO FAENA'!A527</f>
        <v>0</v>
      </c>
      <c r="B527" s="11">
        <f>+'SERVICIO FAENA'!B527</f>
        <v>0</v>
      </c>
      <c r="C527" s="11"/>
      <c r="D527" s="11"/>
      <c r="E527" s="18">
        <f>+'SERVICIO FAENA'!E527</f>
        <v>0</v>
      </c>
      <c r="F527" s="11"/>
      <c r="G527" s="180" t="e">
        <f t="shared" si="44"/>
        <v>#DIV/0!</v>
      </c>
      <c r="H527" s="11"/>
      <c r="I527" s="11"/>
      <c r="J527" s="180" t="e">
        <f t="shared" si="40"/>
        <v>#DIV/0!</v>
      </c>
      <c r="K527" s="100"/>
      <c r="L527" s="100"/>
      <c r="M527" s="100"/>
      <c r="N527" s="100">
        <f t="shared" si="41"/>
        <v>0</v>
      </c>
      <c r="O527" s="100"/>
      <c r="P527" s="41">
        <v>880</v>
      </c>
      <c r="Q527" s="11"/>
      <c r="R527" s="41">
        <v>260</v>
      </c>
      <c r="S527" s="185"/>
      <c r="T527" s="185"/>
      <c r="U527" s="185"/>
      <c r="V527" s="185"/>
      <c r="W527" s="41">
        <f t="shared" si="42"/>
        <v>0</v>
      </c>
      <c r="X527" s="41">
        <f t="shared" si="43"/>
        <v>0</v>
      </c>
      <c r="Y527" s="11"/>
      <c r="Z527" s="11"/>
      <c r="AA527" s="11"/>
      <c r="AB527" s="11"/>
      <c r="AC527" s="24"/>
    </row>
    <row r="528" spans="1:29" x14ac:dyDescent="0.2">
      <c r="A528" s="11">
        <f>+'SERVICIO FAENA'!A528</f>
        <v>0</v>
      </c>
      <c r="B528" s="11">
        <f>+'SERVICIO FAENA'!B528</f>
        <v>0</v>
      </c>
      <c r="C528" s="11"/>
      <c r="D528" s="11"/>
      <c r="E528" s="18">
        <f>+'SERVICIO FAENA'!E528</f>
        <v>0</v>
      </c>
      <c r="F528" s="11"/>
      <c r="G528" s="180" t="e">
        <f t="shared" si="44"/>
        <v>#DIV/0!</v>
      </c>
      <c r="H528" s="11"/>
      <c r="I528" s="11"/>
      <c r="J528" s="180" t="e">
        <f t="shared" si="40"/>
        <v>#DIV/0!</v>
      </c>
      <c r="K528" s="100"/>
      <c r="L528" s="100"/>
      <c r="M528" s="100"/>
      <c r="N528" s="100">
        <f t="shared" si="41"/>
        <v>0</v>
      </c>
      <c r="O528" s="100"/>
      <c r="P528" s="41">
        <v>880</v>
      </c>
      <c r="Q528" s="11"/>
      <c r="R528" s="41">
        <v>260</v>
      </c>
      <c r="S528" s="185"/>
      <c r="T528" s="185"/>
      <c r="U528" s="185"/>
      <c r="V528" s="185"/>
      <c r="W528" s="41">
        <f t="shared" si="42"/>
        <v>0</v>
      </c>
      <c r="X528" s="41">
        <f t="shared" si="43"/>
        <v>0</v>
      </c>
      <c r="Y528" s="11"/>
      <c r="Z528" s="11"/>
      <c r="AA528" s="11"/>
      <c r="AB528" s="11"/>
      <c r="AC528" s="24"/>
    </row>
    <row r="529" spans="1:29" x14ac:dyDescent="0.2">
      <c r="A529" s="11">
        <f>+'SERVICIO FAENA'!A529</f>
        <v>0</v>
      </c>
      <c r="B529" s="11">
        <f>+'SERVICIO FAENA'!B529</f>
        <v>0</v>
      </c>
      <c r="C529" s="11"/>
      <c r="D529" s="11"/>
      <c r="E529" s="18">
        <f>+'SERVICIO FAENA'!E529</f>
        <v>0</v>
      </c>
      <c r="F529" s="11"/>
      <c r="G529" s="180" t="e">
        <f t="shared" si="44"/>
        <v>#DIV/0!</v>
      </c>
      <c r="H529" s="11"/>
      <c r="I529" s="11"/>
      <c r="J529" s="180" t="e">
        <f t="shared" si="40"/>
        <v>#DIV/0!</v>
      </c>
      <c r="K529" s="100"/>
      <c r="L529" s="100"/>
      <c r="M529" s="100"/>
      <c r="N529" s="100">
        <f t="shared" si="41"/>
        <v>0</v>
      </c>
      <c r="O529" s="100"/>
      <c r="P529" s="41">
        <v>880</v>
      </c>
      <c r="Q529" s="11"/>
      <c r="R529" s="41">
        <v>260</v>
      </c>
      <c r="S529" s="185"/>
      <c r="T529" s="185"/>
      <c r="U529" s="185"/>
      <c r="V529" s="185"/>
      <c r="W529" s="41">
        <f t="shared" si="42"/>
        <v>0</v>
      </c>
      <c r="X529" s="41">
        <f t="shared" si="43"/>
        <v>0</v>
      </c>
      <c r="Y529" s="11"/>
      <c r="Z529" s="11"/>
      <c r="AA529" s="11"/>
      <c r="AB529" s="11"/>
      <c r="AC529" s="24"/>
    </row>
    <row r="530" spans="1:29" x14ac:dyDescent="0.2">
      <c r="A530" s="11">
        <f>+'SERVICIO FAENA'!A530</f>
        <v>0</v>
      </c>
      <c r="B530" s="11">
        <f>+'SERVICIO FAENA'!B530</f>
        <v>0</v>
      </c>
      <c r="C530" s="11"/>
      <c r="D530" s="11"/>
      <c r="E530" s="18">
        <f>+'SERVICIO FAENA'!E530</f>
        <v>0</v>
      </c>
      <c r="F530" s="11"/>
      <c r="G530" s="180" t="e">
        <f t="shared" si="44"/>
        <v>#DIV/0!</v>
      </c>
      <c r="H530" s="11"/>
      <c r="I530" s="11"/>
      <c r="J530" s="180" t="e">
        <f t="shared" si="40"/>
        <v>#DIV/0!</v>
      </c>
      <c r="K530" s="100"/>
      <c r="L530" s="100"/>
      <c r="M530" s="100"/>
      <c r="N530" s="100">
        <f t="shared" si="41"/>
        <v>0</v>
      </c>
      <c r="O530" s="100"/>
      <c r="P530" s="41">
        <v>880</v>
      </c>
      <c r="Q530" s="11"/>
      <c r="R530" s="41">
        <v>260</v>
      </c>
      <c r="S530" s="185"/>
      <c r="T530" s="185"/>
      <c r="U530" s="185"/>
      <c r="V530" s="185"/>
      <c r="W530" s="41">
        <f t="shared" si="42"/>
        <v>0</v>
      </c>
      <c r="X530" s="41">
        <f t="shared" si="43"/>
        <v>0</v>
      </c>
      <c r="Y530" s="11"/>
      <c r="Z530" s="11"/>
      <c r="AA530" s="11"/>
      <c r="AB530" s="11"/>
      <c r="AC530" s="24"/>
    </row>
    <row r="531" spans="1:29" x14ac:dyDescent="0.2">
      <c r="A531" s="11">
        <f>+'SERVICIO FAENA'!A531</f>
        <v>0</v>
      </c>
      <c r="B531" s="11">
        <f>+'SERVICIO FAENA'!B531</f>
        <v>0</v>
      </c>
      <c r="C531" s="11"/>
      <c r="D531" s="11"/>
      <c r="E531" s="18">
        <f>+'SERVICIO FAENA'!E531</f>
        <v>0</v>
      </c>
      <c r="F531" s="11"/>
      <c r="G531" s="180" t="e">
        <f t="shared" si="44"/>
        <v>#DIV/0!</v>
      </c>
      <c r="H531" s="11"/>
      <c r="I531" s="11"/>
      <c r="J531" s="180" t="e">
        <f t="shared" si="40"/>
        <v>#DIV/0!</v>
      </c>
      <c r="K531" s="100"/>
      <c r="L531" s="100"/>
      <c r="M531" s="100"/>
      <c r="N531" s="100">
        <f t="shared" si="41"/>
        <v>0</v>
      </c>
      <c r="O531" s="100"/>
      <c r="P531" s="41">
        <v>880</v>
      </c>
      <c r="Q531" s="11"/>
      <c r="R531" s="41">
        <v>260</v>
      </c>
      <c r="S531" s="185"/>
      <c r="T531" s="185"/>
      <c r="U531" s="185"/>
      <c r="V531" s="185"/>
      <c r="W531" s="41">
        <f t="shared" si="42"/>
        <v>0</v>
      </c>
      <c r="X531" s="41">
        <f t="shared" si="43"/>
        <v>0</v>
      </c>
      <c r="Y531" s="11"/>
      <c r="Z531" s="11"/>
      <c r="AA531" s="11"/>
      <c r="AB531" s="11"/>
      <c r="AC531" s="24"/>
    </row>
    <row r="532" spans="1:29" x14ac:dyDescent="0.2">
      <c r="A532" s="11">
        <f>+'SERVICIO FAENA'!A532</f>
        <v>0</v>
      </c>
      <c r="B532" s="11">
        <f>+'SERVICIO FAENA'!B532</f>
        <v>0</v>
      </c>
      <c r="C532" s="11"/>
      <c r="D532" s="11"/>
      <c r="E532" s="18">
        <f>+'SERVICIO FAENA'!E532</f>
        <v>0</v>
      </c>
      <c r="F532" s="11"/>
      <c r="G532" s="180" t="e">
        <f t="shared" si="44"/>
        <v>#DIV/0!</v>
      </c>
      <c r="H532" s="11"/>
      <c r="I532" s="11"/>
      <c r="J532" s="180" t="e">
        <f t="shared" si="40"/>
        <v>#DIV/0!</v>
      </c>
      <c r="K532" s="100"/>
      <c r="L532" s="100"/>
      <c r="M532" s="100"/>
      <c r="N532" s="100">
        <f t="shared" si="41"/>
        <v>0</v>
      </c>
      <c r="O532" s="100"/>
      <c r="P532" s="41">
        <v>880</v>
      </c>
      <c r="Q532" s="11"/>
      <c r="R532" s="41">
        <v>260</v>
      </c>
      <c r="S532" s="185"/>
      <c r="T532" s="185"/>
      <c r="U532" s="185"/>
      <c r="V532" s="185"/>
      <c r="W532" s="41">
        <f t="shared" si="42"/>
        <v>0</v>
      </c>
      <c r="X532" s="41">
        <f t="shared" si="43"/>
        <v>0</v>
      </c>
      <c r="Y532" s="11"/>
      <c r="Z532" s="11"/>
      <c r="AA532" s="11"/>
      <c r="AB532" s="11"/>
      <c r="AC532" s="24"/>
    </row>
    <row r="533" spans="1:29" x14ac:dyDescent="0.2">
      <c r="A533" s="11">
        <f>+'SERVICIO FAENA'!A533</f>
        <v>0</v>
      </c>
      <c r="B533" s="11">
        <f>+'SERVICIO FAENA'!B533</f>
        <v>0</v>
      </c>
      <c r="C533" s="11"/>
      <c r="D533" s="11"/>
      <c r="E533" s="18">
        <f>+'SERVICIO FAENA'!E533</f>
        <v>0</v>
      </c>
      <c r="F533" s="11"/>
      <c r="G533" s="180" t="e">
        <f t="shared" si="44"/>
        <v>#DIV/0!</v>
      </c>
      <c r="H533" s="11"/>
      <c r="I533" s="11"/>
      <c r="J533" s="180" t="e">
        <f t="shared" si="40"/>
        <v>#DIV/0!</v>
      </c>
      <c r="K533" s="100"/>
      <c r="L533" s="100"/>
      <c r="M533" s="100"/>
      <c r="N533" s="100">
        <f t="shared" si="41"/>
        <v>0</v>
      </c>
      <c r="O533" s="100"/>
      <c r="P533" s="41">
        <v>880</v>
      </c>
      <c r="Q533" s="11"/>
      <c r="R533" s="41">
        <v>260</v>
      </c>
      <c r="S533" s="185"/>
      <c r="T533" s="185"/>
      <c r="U533" s="185"/>
      <c r="V533" s="185"/>
      <c r="W533" s="41">
        <f t="shared" si="42"/>
        <v>0</v>
      </c>
      <c r="X533" s="41">
        <f t="shared" si="43"/>
        <v>0</v>
      </c>
      <c r="Y533" s="11"/>
      <c r="Z533" s="11"/>
      <c r="AA533" s="11"/>
      <c r="AB533" s="11"/>
      <c r="AC533" s="24"/>
    </row>
    <row r="534" spans="1:29" x14ac:dyDescent="0.2">
      <c r="A534" s="11">
        <f>+'SERVICIO FAENA'!A534</f>
        <v>0</v>
      </c>
      <c r="B534" s="11">
        <f>+'SERVICIO FAENA'!B534</f>
        <v>0</v>
      </c>
      <c r="C534" s="11"/>
      <c r="D534" s="11"/>
      <c r="E534" s="18">
        <f>+'SERVICIO FAENA'!E534</f>
        <v>0</v>
      </c>
      <c r="F534" s="11"/>
      <c r="G534" s="180" t="e">
        <f t="shared" si="44"/>
        <v>#DIV/0!</v>
      </c>
      <c r="H534" s="11"/>
      <c r="I534" s="11"/>
      <c r="J534" s="180" t="e">
        <f t="shared" si="40"/>
        <v>#DIV/0!</v>
      </c>
      <c r="K534" s="100"/>
      <c r="L534" s="100"/>
      <c r="M534" s="100"/>
      <c r="N534" s="100">
        <f t="shared" si="41"/>
        <v>0</v>
      </c>
      <c r="O534" s="100"/>
      <c r="P534" s="41">
        <v>880</v>
      </c>
      <c r="Q534" s="11"/>
      <c r="R534" s="41">
        <v>260</v>
      </c>
      <c r="S534" s="185"/>
      <c r="T534" s="185"/>
      <c r="U534" s="185"/>
      <c r="V534" s="185"/>
      <c r="W534" s="41">
        <f t="shared" si="42"/>
        <v>0</v>
      </c>
      <c r="X534" s="41">
        <f t="shared" si="43"/>
        <v>0</v>
      </c>
      <c r="Y534" s="11"/>
      <c r="Z534" s="11"/>
      <c r="AA534" s="11"/>
      <c r="AB534" s="11"/>
      <c r="AC534" s="24"/>
    </row>
    <row r="535" spans="1:29" x14ac:dyDescent="0.2">
      <c r="A535" s="11">
        <f>+'SERVICIO FAENA'!A535</f>
        <v>0</v>
      </c>
      <c r="B535" s="11">
        <f>+'SERVICIO FAENA'!B535</f>
        <v>0</v>
      </c>
      <c r="C535" s="11"/>
      <c r="D535" s="11"/>
      <c r="E535" s="18">
        <f>+'SERVICIO FAENA'!E535</f>
        <v>0</v>
      </c>
      <c r="F535" s="11"/>
      <c r="G535" s="180" t="e">
        <f t="shared" si="44"/>
        <v>#DIV/0!</v>
      </c>
      <c r="H535" s="11"/>
      <c r="I535" s="11"/>
      <c r="J535" s="180" t="e">
        <f t="shared" si="40"/>
        <v>#DIV/0!</v>
      </c>
      <c r="K535" s="100"/>
      <c r="L535" s="100"/>
      <c r="M535" s="100"/>
      <c r="N535" s="100">
        <f t="shared" si="41"/>
        <v>0</v>
      </c>
      <c r="O535" s="100"/>
      <c r="P535" s="41">
        <v>880</v>
      </c>
      <c r="Q535" s="11"/>
      <c r="R535" s="41">
        <v>260</v>
      </c>
      <c r="S535" s="185"/>
      <c r="T535" s="185"/>
      <c r="U535" s="185"/>
      <c r="V535" s="185"/>
      <c r="W535" s="41">
        <f t="shared" si="42"/>
        <v>0</v>
      </c>
      <c r="X535" s="41">
        <f t="shared" si="43"/>
        <v>0</v>
      </c>
      <c r="Y535" s="11"/>
      <c r="Z535" s="11"/>
      <c r="AA535" s="11"/>
      <c r="AB535" s="11"/>
      <c r="AC535" s="24"/>
    </row>
    <row r="536" spans="1:29" x14ac:dyDescent="0.2">
      <c r="A536" s="11">
        <f>+'SERVICIO FAENA'!A536</f>
        <v>0</v>
      </c>
      <c r="B536" s="11">
        <f>+'SERVICIO FAENA'!B536</f>
        <v>0</v>
      </c>
      <c r="C536" s="11"/>
      <c r="D536" s="11"/>
      <c r="E536" s="18">
        <f>+'SERVICIO FAENA'!E536</f>
        <v>0</v>
      </c>
      <c r="F536" s="11"/>
      <c r="G536" s="180" t="e">
        <f t="shared" si="44"/>
        <v>#DIV/0!</v>
      </c>
      <c r="H536" s="11"/>
      <c r="I536" s="11"/>
      <c r="J536" s="180" t="e">
        <f t="shared" si="40"/>
        <v>#DIV/0!</v>
      </c>
      <c r="K536" s="100"/>
      <c r="L536" s="100"/>
      <c r="M536" s="100"/>
      <c r="N536" s="100">
        <f t="shared" si="41"/>
        <v>0</v>
      </c>
      <c r="O536" s="100"/>
      <c r="P536" s="41">
        <v>880</v>
      </c>
      <c r="Q536" s="11"/>
      <c r="R536" s="41">
        <v>260</v>
      </c>
      <c r="S536" s="185"/>
      <c r="T536" s="185"/>
      <c r="U536" s="185"/>
      <c r="V536" s="185"/>
      <c r="W536" s="41">
        <f t="shared" si="42"/>
        <v>0</v>
      </c>
      <c r="X536" s="41">
        <f t="shared" si="43"/>
        <v>0</v>
      </c>
      <c r="Y536" s="11"/>
      <c r="Z536" s="11"/>
      <c r="AA536" s="11"/>
      <c r="AB536" s="11"/>
      <c r="AC536" s="24"/>
    </row>
    <row r="537" spans="1:29" x14ac:dyDescent="0.2">
      <c r="A537" s="11">
        <f>+'SERVICIO FAENA'!A537</f>
        <v>0</v>
      </c>
      <c r="B537" s="11">
        <f>+'SERVICIO FAENA'!B537</f>
        <v>0</v>
      </c>
      <c r="C537" s="11"/>
      <c r="D537" s="11"/>
      <c r="E537" s="18">
        <f>+'SERVICIO FAENA'!E537</f>
        <v>0</v>
      </c>
      <c r="F537" s="11"/>
      <c r="G537" s="180" t="e">
        <f t="shared" si="44"/>
        <v>#DIV/0!</v>
      </c>
      <c r="H537" s="11"/>
      <c r="I537" s="11"/>
      <c r="J537" s="180" t="e">
        <f t="shared" si="40"/>
        <v>#DIV/0!</v>
      </c>
      <c r="K537" s="100"/>
      <c r="L537" s="100"/>
      <c r="M537" s="100"/>
      <c r="N537" s="100">
        <f t="shared" si="41"/>
        <v>0</v>
      </c>
      <c r="O537" s="100"/>
      <c r="P537" s="41">
        <v>880</v>
      </c>
      <c r="Q537" s="11"/>
      <c r="R537" s="41">
        <v>260</v>
      </c>
      <c r="S537" s="185"/>
      <c r="T537" s="185"/>
      <c r="U537" s="185"/>
      <c r="V537" s="185"/>
      <c r="W537" s="41">
        <f t="shared" si="42"/>
        <v>0</v>
      </c>
      <c r="X537" s="41">
        <f t="shared" si="43"/>
        <v>0</v>
      </c>
      <c r="Y537" s="11"/>
      <c r="Z537" s="11"/>
      <c r="AA537" s="11"/>
      <c r="AB537" s="11"/>
      <c r="AC537" s="24"/>
    </row>
    <row r="538" spans="1:29" x14ac:dyDescent="0.2">
      <c r="A538" s="11">
        <f>+'SERVICIO FAENA'!A538</f>
        <v>0</v>
      </c>
      <c r="B538" s="11">
        <f>+'SERVICIO FAENA'!B538</f>
        <v>0</v>
      </c>
      <c r="C538" s="11"/>
      <c r="D538" s="11"/>
      <c r="E538" s="18">
        <f>+'SERVICIO FAENA'!E538</f>
        <v>0</v>
      </c>
      <c r="F538" s="11"/>
      <c r="G538" s="180" t="e">
        <f t="shared" si="44"/>
        <v>#DIV/0!</v>
      </c>
      <c r="H538" s="11"/>
      <c r="I538" s="11"/>
      <c r="J538" s="180" t="e">
        <f t="shared" si="40"/>
        <v>#DIV/0!</v>
      </c>
      <c r="K538" s="100"/>
      <c r="L538" s="100"/>
      <c r="M538" s="100"/>
      <c r="N538" s="100">
        <f t="shared" si="41"/>
        <v>0</v>
      </c>
      <c r="O538" s="100"/>
      <c r="P538" s="41">
        <v>880</v>
      </c>
      <c r="Q538" s="11"/>
      <c r="R538" s="41">
        <v>260</v>
      </c>
      <c r="S538" s="185"/>
      <c r="T538" s="185"/>
      <c r="U538" s="185"/>
      <c r="V538" s="185"/>
      <c r="W538" s="41">
        <f t="shared" si="42"/>
        <v>0</v>
      </c>
      <c r="X538" s="41">
        <f t="shared" si="43"/>
        <v>0</v>
      </c>
      <c r="Y538" s="11"/>
      <c r="Z538" s="11"/>
      <c r="AA538" s="11"/>
      <c r="AB538" s="11"/>
      <c r="AC538" s="24"/>
    </row>
    <row r="539" spans="1:29" x14ac:dyDescent="0.2">
      <c r="A539" s="11">
        <f>+'SERVICIO FAENA'!A539</f>
        <v>0</v>
      </c>
      <c r="B539" s="11">
        <f>+'SERVICIO FAENA'!B539</f>
        <v>0</v>
      </c>
      <c r="C539" s="11"/>
      <c r="D539" s="11"/>
      <c r="E539" s="18">
        <f>+'SERVICIO FAENA'!E539</f>
        <v>0</v>
      </c>
      <c r="F539" s="11"/>
      <c r="G539" s="180" t="e">
        <f t="shared" si="44"/>
        <v>#DIV/0!</v>
      </c>
      <c r="H539" s="11"/>
      <c r="I539" s="11"/>
      <c r="J539" s="180" t="e">
        <f t="shared" si="40"/>
        <v>#DIV/0!</v>
      </c>
      <c r="K539" s="100"/>
      <c r="L539" s="100"/>
      <c r="M539" s="100"/>
      <c r="N539" s="100">
        <f t="shared" si="41"/>
        <v>0</v>
      </c>
      <c r="O539" s="100"/>
      <c r="P539" s="41">
        <v>880</v>
      </c>
      <c r="Q539" s="11"/>
      <c r="R539" s="41">
        <v>260</v>
      </c>
      <c r="S539" s="185"/>
      <c r="T539" s="185"/>
      <c r="U539" s="185"/>
      <c r="V539" s="185"/>
      <c r="W539" s="41">
        <f t="shared" si="42"/>
        <v>0</v>
      </c>
      <c r="X539" s="41">
        <f t="shared" si="43"/>
        <v>0</v>
      </c>
      <c r="Y539" s="11"/>
      <c r="Z539" s="11"/>
      <c r="AA539" s="11"/>
      <c r="AB539" s="11"/>
      <c r="AC539" s="24"/>
    </row>
    <row r="540" spans="1:29" x14ac:dyDescent="0.2">
      <c r="A540" s="11">
        <f>+'SERVICIO FAENA'!A540</f>
        <v>0</v>
      </c>
      <c r="B540" s="11">
        <f>+'SERVICIO FAENA'!B540</f>
        <v>0</v>
      </c>
      <c r="C540" s="11"/>
      <c r="D540" s="11"/>
      <c r="E540" s="18">
        <f>+'SERVICIO FAENA'!E540</f>
        <v>0</v>
      </c>
      <c r="F540" s="11"/>
      <c r="G540" s="180" t="e">
        <f t="shared" si="44"/>
        <v>#DIV/0!</v>
      </c>
      <c r="H540" s="11"/>
      <c r="I540" s="11"/>
      <c r="J540" s="180" t="e">
        <f t="shared" si="40"/>
        <v>#DIV/0!</v>
      </c>
      <c r="K540" s="100"/>
      <c r="L540" s="100"/>
      <c r="M540" s="100"/>
      <c r="N540" s="100">
        <f t="shared" si="41"/>
        <v>0</v>
      </c>
      <c r="O540" s="100"/>
      <c r="P540" s="41">
        <v>880</v>
      </c>
      <c r="Q540" s="11"/>
      <c r="R540" s="41">
        <v>260</v>
      </c>
      <c r="S540" s="185"/>
      <c r="T540" s="185"/>
      <c r="U540" s="185"/>
      <c r="V540" s="185"/>
      <c r="W540" s="41">
        <f t="shared" si="42"/>
        <v>0</v>
      </c>
      <c r="X540" s="41">
        <f t="shared" si="43"/>
        <v>0</v>
      </c>
      <c r="Y540" s="11"/>
      <c r="Z540" s="11"/>
      <c r="AA540" s="11"/>
      <c r="AB540" s="11"/>
      <c r="AC540" s="24"/>
    </row>
    <row r="541" spans="1:29" x14ac:dyDescent="0.2">
      <c r="A541" s="11">
        <f>+'SERVICIO FAENA'!A541</f>
        <v>0</v>
      </c>
      <c r="B541" s="11">
        <f>+'SERVICIO FAENA'!B541</f>
        <v>0</v>
      </c>
      <c r="C541" s="11"/>
      <c r="D541" s="11"/>
      <c r="E541" s="18">
        <f>+'SERVICIO FAENA'!E541</f>
        <v>0</v>
      </c>
      <c r="F541" s="11"/>
      <c r="G541" s="180" t="e">
        <f t="shared" si="44"/>
        <v>#DIV/0!</v>
      </c>
      <c r="H541" s="11"/>
      <c r="I541" s="11"/>
      <c r="J541" s="180" t="e">
        <f t="shared" si="40"/>
        <v>#DIV/0!</v>
      </c>
      <c r="K541" s="100"/>
      <c r="L541" s="100"/>
      <c r="M541" s="100"/>
      <c r="N541" s="100">
        <f t="shared" si="41"/>
        <v>0</v>
      </c>
      <c r="O541" s="100"/>
      <c r="P541" s="41">
        <v>880</v>
      </c>
      <c r="Q541" s="11"/>
      <c r="R541" s="41">
        <v>260</v>
      </c>
      <c r="S541" s="185"/>
      <c r="T541" s="185"/>
      <c r="U541" s="185"/>
      <c r="V541" s="185"/>
      <c r="W541" s="41">
        <f t="shared" si="42"/>
        <v>0</v>
      </c>
      <c r="X541" s="41">
        <f t="shared" si="43"/>
        <v>0</v>
      </c>
      <c r="Y541" s="11"/>
      <c r="Z541" s="11"/>
      <c r="AA541" s="11"/>
      <c r="AB541" s="11"/>
      <c r="AC541" s="24"/>
    </row>
    <row r="542" spans="1:29" x14ac:dyDescent="0.2">
      <c r="A542" s="11">
        <f>+'SERVICIO FAENA'!A542</f>
        <v>0</v>
      </c>
      <c r="B542" s="11">
        <f>+'SERVICIO FAENA'!B542</f>
        <v>0</v>
      </c>
      <c r="C542" s="11"/>
      <c r="D542" s="11"/>
      <c r="E542" s="18">
        <f>+'SERVICIO FAENA'!E542</f>
        <v>0</v>
      </c>
      <c r="F542" s="11"/>
      <c r="G542" s="180" t="e">
        <f t="shared" si="44"/>
        <v>#DIV/0!</v>
      </c>
      <c r="H542" s="11"/>
      <c r="I542" s="11"/>
      <c r="J542" s="180" t="e">
        <f t="shared" si="40"/>
        <v>#DIV/0!</v>
      </c>
      <c r="K542" s="100"/>
      <c r="L542" s="100"/>
      <c r="M542" s="100"/>
      <c r="N542" s="100">
        <f t="shared" si="41"/>
        <v>0</v>
      </c>
      <c r="O542" s="100"/>
      <c r="P542" s="41">
        <v>880</v>
      </c>
      <c r="Q542" s="11"/>
      <c r="R542" s="41">
        <v>260</v>
      </c>
      <c r="S542" s="185"/>
      <c r="T542" s="185"/>
      <c r="U542" s="185"/>
      <c r="V542" s="185"/>
      <c r="W542" s="41">
        <f t="shared" si="42"/>
        <v>0</v>
      </c>
      <c r="X542" s="41">
        <f t="shared" si="43"/>
        <v>0</v>
      </c>
      <c r="Y542" s="11"/>
      <c r="Z542" s="11"/>
      <c r="AA542" s="11"/>
      <c r="AB542" s="11"/>
      <c r="AC542" s="24"/>
    </row>
    <row r="543" spans="1:29" x14ac:dyDescent="0.2">
      <c r="A543" s="11">
        <f>+'SERVICIO FAENA'!A543</f>
        <v>0</v>
      </c>
      <c r="B543" s="11">
        <f>+'SERVICIO FAENA'!B543</f>
        <v>0</v>
      </c>
      <c r="C543" s="11"/>
      <c r="D543" s="11"/>
      <c r="E543" s="18">
        <f>+'SERVICIO FAENA'!E543</f>
        <v>0</v>
      </c>
      <c r="F543" s="11"/>
      <c r="G543" s="180" t="e">
        <f t="shared" si="44"/>
        <v>#DIV/0!</v>
      </c>
      <c r="H543" s="11"/>
      <c r="I543" s="11"/>
      <c r="J543" s="180" t="e">
        <f t="shared" si="40"/>
        <v>#DIV/0!</v>
      </c>
      <c r="K543" s="100"/>
      <c r="L543" s="100"/>
      <c r="M543" s="100"/>
      <c r="N543" s="100">
        <f t="shared" si="41"/>
        <v>0</v>
      </c>
      <c r="O543" s="100"/>
      <c r="P543" s="41">
        <v>880</v>
      </c>
      <c r="Q543" s="11"/>
      <c r="R543" s="41">
        <v>260</v>
      </c>
      <c r="S543" s="185"/>
      <c r="T543" s="185"/>
      <c r="U543" s="185"/>
      <c r="V543" s="185"/>
      <c r="W543" s="41">
        <f t="shared" si="42"/>
        <v>0</v>
      </c>
      <c r="X543" s="41">
        <f t="shared" si="43"/>
        <v>0</v>
      </c>
      <c r="Y543" s="11"/>
      <c r="Z543" s="11"/>
      <c r="AA543" s="11"/>
      <c r="AB543" s="11"/>
      <c r="AC543" s="24"/>
    </row>
    <row r="544" spans="1:29" x14ac:dyDescent="0.2">
      <c r="A544" s="11">
        <f>+'SERVICIO FAENA'!A544</f>
        <v>0</v>
      </c>
      <c r="B544" s="11">
        <f>+'SERVICIO FAENA'!B544</f>
        <v>0</v>
      </c>
      <c r="C544" s="11"/>
      <c r="D544" s="11"/>
      <c r="E544" s="18">
        <f>+'SERVICIO FAENA'!E544</f>
        <v>0</v>
      </c>
      <c r="F544" s="11"/>
      <c r="G544" s="180" t="e">
        <f t="shared" si="44"/>
        <v>#DIV/0!</v>
      </c>
      <c r="H544" s="11"/>
      <c r="I544" s="11"/>
      <c r="J544" s="180" t="e">
        <f t="shared" si="40"/>
        <v>#DIV/0!</v>
      </c>
      <c r="K544" s="100"/>
      <c r="L544" s="100"/>
      <c r="M544" s="100"/>
      <c r="N544" s="100">
        <f t="shared" si="41"/>
        <v>0</v>
      </c>
      <c r="O544" s="100"/>
      <c r="P544" s="41">
        <v>880</v>
      </c>
      <c r="Q544" s="11"/>
      <c r="R544" s="41">
        <v>260</v>
      </c>
      <c r="S544" s="185"/>
      <c r="T544" s="185"/>
      <c r="U544" s="185"/>
      <c r="V544" s="185"/>
      <c r="W544" s="41">
        <f t="shared" si="42"/>
        <v>0</v>
      </c>
      <c r="X544" s="41">
        <f t="shared" si="43"/>
        <v>0</v>
      </c>
      <c r="Y544" s="11"/>
      <c r="Z544" s="11"/>
      <c r="AA544" s="11"/>
      <c r="AB544" s="11"/>
      <c r="AC544" s="24"/>
    </row>
    <row r="545" spans="1:29" x14ac:dyDescent="0.2">
      <c r="A545" s="11">
        <f>+'SERVICIO FAENA'!A545</f>
        <v>0</v>
      </c>
      <c r="B545" s="11">
        <f>+'SERVICIO FAENA'!B545</f>
        <v>0</v>
      </c>
      <c r="C545" s="11"/>
      <c r="D545" s="11"/>
      <c r="E545" s="18">
        <f>+'SERVICIO FAENA'!E545</f>
        <v>0</v>
      </c>
      <c r="F545" s="11"/>
      <c r="G545" s="180" t="e">
        <f t="shared" si="44"/>
        <v>#DIV/0!</v>
      </c>
      <c r="H545" s="11"/>
      <c r="I545" s="11"/>
      <c r="J545" s="180" t="e">
        <f t="shared" si="40"/>
        <v>#DIV/0!</v>
      </c>
      <c r="K545" s="100"/>
      <c r="L545" s="100"/>
      <c r="M545" s="100"/>
      <c r="N545" s="100">
        <f t="shared" si="41"/>
        <v>0</v>
      </c>
      <c r="O545" s="100"/>
      <c r="P545" s="41">
        <v>880</v>
      </c>
      <c r="Q545" s="11"/>
      <c r="R545" s="41">
        <v>260</v>
      </c>
      <c r="S545" s="185"/>
      <c r="T545" s="185"/>
      <c r="U545" s="185"/>
      <c r="V545" s="185"/>
      <c r="W545" s="41">
        <f t="shared" si="42"/>
        <v>0</v>
      </c>
      <c r="X545" s="41">
        <f t="shared" si="43"/>
        <v>0</v>
      </c>
      <c r="Y545" s="11"/>
      <c r="Z545" s="11"/>
      <c r="AA545" s="11"/>
      <c r="AB545" s="11"/>
      <c r="AC545" s="24"/>
    </row>
    <row r="546" spans="1:29" x14ac:dyDescent="0.2">
      <c r="A546" s="11">
        <f>+'SERVICIO FAENA'!A546</f>
        <v>0</v>
      </c>
      <c r="B546" s="11">
        <f>+'SERVICIO FAENA'!B546</f>
        <v>0</v>
      </c>
      <c r="C546" s="11"/>
      <c r="D546" s="11"/>
      <c r="E546" s="18">
        <f>+'SERVICIO FAENA'!E546</f>
        <v>0</v>
      </c>
      <c r="F546" s="11"/>
      <c r="G546" s="180" t="e">
        <f t="shared" si="44"/>
        <v>#DIV/0!</v>
      </c>
      <c r="H546" s="11"/>
      <c r="I546" s="11"/>
      <c r="J546" s="180" t="e">
        <f t="shared" si="40"/>
        <v>#DIV/0!</v>
      </c>
      <c r="K546" s="100"/>
      <c r="L546" s="100"/>
      <c r="M546" s="100"/>
      <c r="N546" s="100">
        <f t="shared" si="41"/>
        <v>0</v>
      </c>
      <c r="O546" s="100"/>
      <c r="P546" s="41">
        <v>880</v>
      </c>
      <c r="Q546" s="11"/>
      <c r="R546" s="41">
        <v>260</v>
      </c>
      <c r="S546" s="185"/>
      <c r="T546" s="185"/>
      <c r="U546" s="185"/>
      <c r="V546" s="185"/>
      <c r="W546" s="41">
        <f t="shared" si="42"/>
        <v>0</v>
      </c>
      <c r="X546" s="41">
        <f t="shared" si="43"/>
        <v>0</v>
      </c>
      <c r="Y546" s="11"/>
      <c r="Z546" s="11"/>
      <c r="AA546" s="11"/>
      <c r="AB546" s="11"/>
      <c r="AC546" s="24"/>
    </row>
    <row r="547" spans="1:29" x14ac:dyDescent="0.2">
      <c r="A547" s="11">
        <f>+'SERVICIO FAENA'!A547</f>
        <v>0</v>
      </c>
      <c r="B547" s="11">
        <f>+'SERVICIO FAENA'!B547</f>
        <v>0</v>
      </c>
      <c r="C547" s="11"/>
      <c r="D547" s="11"/>
      <c r="E547" s="18">
        <f>+'SERVICIO FAENA'!E547</f>
        <v>0</v>
      </c>
      <c r="F547" s="11"/>
      <c r="G547" s="180" t="e">
        <f t="shared" si="44"/>
        <v>#DIV/0!</v>
      </c>
      <c r="H547" s="11"/>
      <c r="I547" s="11"/>
      <c r="J547" s="180" t="e">
        <f t="shared" si="40"/>
        <v>#DIV/0!</v>
      </c>
      <c r="K547" s="100"/>
      <c r="L547" s="100"/>
      <c r="M547" s="100"/>
      <c r="N547" s="100">
        <f t="shared" si="41"/>
        <v>0</v>
      </c>
      <c r="O547" s="100"/>
      <c r="P547" s="41">
        <v>880</v>
      </c>
      <c r="Q547" s="11"/>
      <c r="R547" s="41">
        <v>260</v>
      </c>
      <c r="S547" s="185"/>
      <c r="T547" s="185"/>
      <c r="U547" s="185"/>
      <c r="V547" s="185"/>
      <c r="W547" s="41">
        <f t="shared" si="42"/>
        <v>0</v>
      </c>
      <c r="X547" s="41">
        <f t="shared" si="43"/>
        <v>0</v>
      </c>
      <c r="Y547" s="11"/>
      <c r="Z547" s="11"/>
      <c r="AA547" s="11"/>
      <c r="AB547" s="11"/>
      <c r="AC547" s="24"/>
    </row>
    <row r="548" spans="1:29" x14ac:dyDescent="0.2">
      <c r="A548" s="11">
        <f>+'SERVICIO FAENA'!A548</f>
        <v>0</v>
      </c>
      <c r="B548" s="11">
        <f>+'SERVICIO FAENA'!B548</f>
        <v>0</v>
      </c>
      <c r="C548" s="11"/>
      <c r="D548" s="11"/>
      <c r="E548" s="18">
        <f>+'SERVICIO FAENA'!E548</f>
        <v>0</v>
      </c>
      <c r="F548" s="11"/>
      <c r="G548" s="180" t="e">
        <f t="shared" si="44"/>
        <v>#DIV/0!</v>
      </c>
      <c r="H548" s="11"/>
      <c r="I548" s="11"/>
      <c r="J548" s="180" t="e">
        <f t="shared" si="40"/>
        <v>#DIV/0!</v>
      </c>
      <c r="K548" s="100"/>
      <c r="L548" s="100"/>
      <c r="M548" s="100"/>
      <c r="N548" s="100">
        <f t="shared" si="41"/>
        <v>0</v>
      </c>
      <c r="O548" s="100"/>
      <c r="P548" s="41">
        <v>880</v>
      </c>
      <c r="Q548" s="11"/>
      <c r="R548" s="41">
        <v>260</v>
      </c>
      <c r="S548" s="185"/>
      <c r="T548" s="185"/>
      <c r="U548" s="185"/>
      <c r="V548" s="185"/>
      <c r="W548" s="41">
        <f t="shared" si="42"/>
        <v>0</v>
      </c>
      <c r="X548" s="41">
        <f t="shared" si="43"/>
        <v>0</v>
      </c>
      <c r="Y548" s="11"/>
      <c r="Z548" s="11"/>
      <c r="AA548" s="11"/>
      <c r="AB548" s="11"/>
      <c r="AC548" s="24"/>
    </row>
    <row r="549" spans="1:29" x14ac:dyDescent="0.2">
      <c r="A549" s="11">
        <f>+'SERVICIO FAENA'!A549</f>
        <v>0</v>
      </c>
      <c r="B549" s="11">
        <f>+'SERVICIO FAENA'!B549</f>
        <v>0</v>
      </c>
      <c r="C549" s="11"/>
      <c r="D549" s="11"/>
      <c r="E549" s="18">
        <f>+'SERVICIO FAENA'!E549</f>
        <v>0</v>
      </c>
      <c r="F549" s="11"/>
      <c r="G549" s="180" t="e">
        <f t="shared" si="44"/>
        <v>#DIV/0!</v>
      </c>
      <c r="H549" s="11"/>
      <c r="I549" s="11"/>
      <c r="J549" s="180" t="e">
        <f t="shared" si="40"/>
        <v>#DIV/0!</v>
      </c>
      <c r="K549" s="100"/>
      <c r="L549" s="100"/>
      <c r="M549" s="100"/>
      <c r="N549" s="100">
        <f t="shared" si="41"/>
        <v>0</v>
      </c>
      <c r="O549" s="100"/>
      <c r="P549" s="41">
        <v>880</v>
      </c>
      <c r="Q549" s="11"/>
      <c r="R549" s="41">
        <v>260</v>
      </c>
      <c r="S549" s="185"/>
      <c r="T549" s="185"/>
      <c r="U549" s="185"/>
      <c r="V549" s="185"/>
      <c r="W549" s="41">
        <f t="shared" si="42"/>
        <v>0</v>
      </c>
      <c r="X549" s="41">
        <f t="shared" si="43"/>
        <v>0</v>
      </c>
      <c r="Y549" s="11"/>
      <c r="Z549" s="11"/>
      <c r="AA549" s="11"/>
      <c r="AB549" s="11"/>
      <c r="AC549" s="24"/>
    </row>
    <row r="550" spans="1:29" x14ac:dyDescent="0.2">
      <c r="A550" s="11">
        <f>+'SERVICIO FAENA'!A550</f>
        <v>0</v>
      </c>
      <c r="B550" s="11">
        <f>+'SERVICIO FAENA'!B550</f>
        <v>0</v>
      </c>
      <c r="C550" s="11"/>
      <c r="D550" s="11"/>
      <c r="E550" s="18">
        <f>+'SERVICIO FAENA'!E550</f>
        <v>0</v>
      </c>
      <c r="F550" s="11"/>
      <c r="G550" s="180" t="e">
        <f t="shared" si="44"/>
        <v>#DIV/0!</v>
      </c>
      <c r="H550" s="11"/>
      <c r="I550" s="11"/>
      <c r="J550" s="180" t="e">
        <f t="shared" si="40"/>
        <v>#DIV/0!</v>
      </c>
      <c r="K550" s="100"/>
      <c r="L550" s="100"/>
      <c r="M550" s="100"/>
      <c r="N550" s="100">
        <f t="shared" si="41"/>
        <v>0</v>
      </c>
      <c r="O550" s="100"/>
      <c r="P550" s="41">
        <v>880</v>
      </c>
      <c r="Q550" s="11"/>
      <c r="R550" s="41">
        <v>260</v>
      </c>
      <c r="S550" s="185"/>
      <c r="T550" s="185"/>
      <c r="U550" s="185"/>
      <c r="V550" s="185"/>
      <c r="W550" s="41">
        <f t="shared" si="42"/>
        <v>0</v>
      </c>
      <c r="X550" s="41">
        <f t="shared" si="43"/>
        <v>0</v>
      </c>
      <c r="Y550" s="11"/>
      <c r="Z550" s="11"/>
      <c r="AA550" s="11"/>
      <c r="AB550" s="11"/>
      <c r="AC550" s="24"/>
    </row>
    <row r="551" spans="1:29" x14ac:dyDescent="0.2">
      <c r="A551" s="11">
        <f>+'SERVICIO FAENA'!A551</f>
        <v>0</v>
      </c>
      <c r="B551" s="11">
        <f>+'SERVICIO FAENA'!B551</f>
        <v>0</v>
      </c>
      <c r="C551" s="11"/>
      <c r="D551" s="11"/>
      <c r="E551" s="18">
        <f>+'SERVICIO FAENA'!E551</f>
        <v>0</v>
      </c>
      <c r="F551" s="11"/>
      <c r="G551" s="180" t="e">
        <f t="shared" si="44"/>
        <v>#DIV/0!</v>
      </c>
      <c r="H551" s="11"/>
      <c r="I551" s="11"/>
      <c r="J551" s="180" t="e">
        <f t="shared" si="40"/>
        <v>#DIV/0!</v>
      </c>
      <c r="K551" s="100"/>
      <c r="L551" s="100"/>
      <c r="M551" s="100"/>
      <c r="N551" s="100">
        <f t="shared" si="41"/>
        <v>0</v>
      </c>
      <c r="O551" s="100"/>
      <c r="P551" s="41">
        <v>880</v>
      </c>
      <c r="Q551" s="11"/>
      <c r="R551" s="41">
        <v>260</v>
      </c>
      <c r="S551" s="185"/>
      <c r="T551" s="185"/>
      <c r="U551" s="185"/>
      <c r="V551" s="185"/>
      <c r="W551" s="41">
        <f t="shared" si="42"/>
        <v>0</v>
      </c>
      <c r="X551" s="41">
        <f t="shared" si="43"/>
        <v>0</v>
      </c>
      <c r="Y551" s="11"/>
      <c r="Z551" s="11"/>
      <c r="AA551" s="11"/>
      <c r="AB551" s="11"/>
      <c r="AC551" s="24"/>
    </row>
    <row r="552" spans="1:29" x14ac:dyDescent="0.2">
      <c r="A552" s="11">
        <f>+'SERVICIO FAENA'!A552</f>
        <v>0</v>
      </c>
      <c r="B552" s="11">
        <f>+'SERVICIO FAENA'!B552</f>
        <v>0</v>
      </c>
      <c r="C552" s="11"/>
      <c r="D552" s="11"/>
      <c r="E552" s="18">
        <f>+'SERVICIO FAENA'!E552</f>
        <v>0</v>
      </c>
      <c r="F552" s="11"/>
      <c r="G552" s="180" t="e">
        <f t="shared" si="44"/>
        <v>#DIV/0!</v>
      </c>
      <c r="H552" s="11"/>
      <c r="I552" s="11"/>
      <c r="J552" s="180" t="e">
        <f t="shared" si="40"/>
        <v>#DIV/0!</v>
      </c>
      <c r="K552" s="100"/>
      <c r="L552" s="100"/>
      <c r="M552" s="100"/>
      <c r="N552" s="100">
        <f t="shared" si="41"/>
        <v>0</v>
      </c>
      <c r="O552" s="100"/>
      <c r="P552" s="41">
        <v>880</v>
      </c>
      <c r="Q552" s="11"/>
      <c r="R552" s="41">
        <v>260</v>
      </c>
      <c r="S552" s="185"/>
      <c r="T552" s="185"/>
      <c r="U552" s="185"/>
      <c r="V552" s="185"/>
      <c r="W552" s="41">
        <f t="shared" si="42"/>
        <v>0</v>
      </c>
      <c r="X552" s="41">
        <f t="shared" si="43"/>
        <v>0</v>
      </c>
      <c r="Y552" s="11"/>
      <c r="Z552" s="11"/>
      <c r="AA552" s="11"/>
      <c r="AB552" s="11"/>
      <c r="AC552" s="24"/>
    </row>
    <row r="553" spans="1:29" x14ac:dyDescent="0.2">
      <c r="A553" s="11">
        <f>+'SERVICIO FAENA'!A553</f>
        <v>0</v>
      </c>
      <c r="B553" s="11">
        <f>+'SERVICIO FAENA'!B553</f>
        <v>0</v>
      </c>
      <c r="C553" s="11"/>
      <c r="D553" s="11"/>
      <c r="E553" s="18">
        <f>+'SERVICIO FAENA'!E553</f>
        <v>0</v>
      </c>
      <c r="F553" s="11"/>
      <c r="G553" s="180" t="e">
        <f t="shared" si="44"/>
        <v>#DIV/0!</v>
      </c>
      <c r="H553" s="11"/>
      <c r="I553" s="11"/>
      <c r="J553" s="180" t="e">
        <f t="shared" si="40"/>
        <v>#DIV/0!</v>
      </c>
      <c r="K553" s="100"/>
      <c r="L553" s="100"/>
      <c r="M553" s="100"/>
      <c r="N553" s="100">
        <f t="shared" si="41"/>
        <v>0</v>
      </c>
      <c r="O553" s="100"/>
      <c r="P553" s="41">
        <v>880</v>
      </c>
      <c r="Q553" s="11"/>
      <c r="R553" s="41">
        <v>260</v>
      </c>
      <c r="S553" s="185"/>
      <c r="T553" s="185"/>
      <c r="U553" s="185"/>
      <c r="V553" s="185"/>
      <c r="W553" s="41">
        <f t="shared" si="42"/>
        <v>0</v>
      </c>
      <c r="X553" s="41">
        <f t="shared" si="43"/>
        <v>0</v>
      </c>
      <c r="Y553" s="11"/>
      <c r="Z553" s="11"/>
      <c r="AA553" s="11"/>
      <c r="AB553" s="11"/>
      <c r="AC553" s="24"/>
    </row>
    <row r="554" spans="1:29" x14ac:dyDescent="0.2">
      <c r="A554" s="11">
        <f>+'SERVICIO FAENA'!A554</f>
        <v>0</v>
      </c>
      <c r="B554" s="11">
        <f>+'SERVICIO FAENA'!B554</f>
        <v>0</v>
      </c>
      <c r="C554" s="11"/>
      <c r="D554" s="11"/>
      <c r="E554" s="18">
        <f>+'SERVICIO FAENA'!E554</f>
        <v>0</v>
      </c>
      <c r="F554" s="11"/>
      <c r="G554" s="180" t="e">
        <f t="shared" si="44"/>
        <v>#DIV/0!</v>
      </c>
      <c r="H554" s="11"/>
      <c r="I554" s="11"/>
      <c r="J554" s="180" t="e">
        <f t="shared" ref="J554:J617" si="45">+((F554-(H554+I554))/F554)</f>
        <v>#DIV/0!</v>
      </c>
      <c r="K554" s="100"/>
      <c r="L554" s="100"/>
      <c r="M554" s="100"/>
      <c r="N554" s="100">
        <f t="shared" ref="N554:N617" si="46">SUM(K554:M554)</f>
        <v>0</v>
      </c>
      <c r="O554" s="100"/>
      <c r="P554" s="41">
        <v>880</v>
      </c>
      <c r="Q554" s="11"/>
      <c r="R554" s="41">
        <v>260</v>
      </c>
      <c r="S554" s="185"/>
      <c r="T554" s="185"/>
      <c r="U554" s="185"/>
      <c r="V554" s="185"/>
      <c r="W554" s="41">
        <f t="shared" ref="W554:W617" si="47">+(P554*O554)+(R554*Q554)</f>
        <v>0</v>
      </c>
      <c r="X554" s="41">
        <f t="shared" si="43"/>
        <v>0</v>
      </c>
      <c r="Y554" s="11"/>
      <c r="Z554" s="11"/>
      <c r="AA554" s="11"/>
      <c r="AB554" s="11"/>
      <c r="AC554" s="24"/>
    </row>
    <row r="555" spans="1:29" x14ac:dyDescent="0.2">
      <c r="A555" s="11">
        <f>+'SERVICIO FAENA'!A555</f>
        <v>0</v>
      </c>
      <c r="B555" s="11">
        <f>+'SERVICIO FAENA'!B555</f>
        <v>0</v>
      </c>
      <c r="C555" s="11"/>
      <c r="D555" s="11"/>
      <c r="E555" s="18">
        <f>+'SERVICIO FAENA'!E555</f>
        <v>0</v>
      </c>
      <c r="F555" s="11"/>
      <c r="G555" s="180" t="e">
        <f t="shared" si="44"/>
        <v>#DIV/0!</v>
      </c>
      <c r="H555" s="11"/>
      <c r="I555" s="11"/>
      <c r="J555" s="180" t="e">
        <f t="shared" si="45"/>
        <v>#DIV/0!</v>
      </c>
      <c r="K555" s="100"/>
      <c r="L555" s="100"/>
      <c r="M555" s="100"/>
      <c r="N555" s="100">
        <f t="shared" si="46"/>
        <v>0</v>
      </c>
      <c r="O555" s="100"/>
      <c r="P555" s="41">
        <v>880</v>
      </c>
      <c r="Q555" s="11"/>
      <c r="R555" s="41">
        <v>260</v>
      </c>
      <c r="S555" s="185"/>
      <c r="T555" s="185"/>
      <c r="U555" s="185"/>
      <c r="V555" s="185"/>
      <c r="W555" s="41">
        <f t="shared" si="47"/>
        <v>0</v>
      </c>
      <c r="X555" s="41">
        <f t="shared" si="43"/>
        <v>0</v>
      </c>
      <c r="Y555" s="11"/>
      <c r="Z555" s="11"/>
      <c r="AA555" s="11"/>
      <c r="AB555" s="11"/>
      <c r="AC555" s="24"/>
    </row>
    <row r="556" spans="1:29" x14ac:dyDescent="0.2">
      <c r="A556" s="11">
        <f>+'SERVICIO FAENA'!A556</f>
        <v>0</v>
      </c>
      <c r="B556" s="11">
        <f>+'SERVICIO FAENA'!B556</f>
        <v>0</v>
      </c>
      <c r="C556" s="11"/>
      <c r="D556" s="11"/>
      <c r="E556" s="18">
        <f>+'SERVICIO FAENA'!E556</f>
        <v>0</v>
      </c>
      <c r="F556" s="11"/>
      <c r="G556" s="180" t="e">
        <f t="shared" si="44"/>
        <v>#DIV/0!</v>
      </c>
      <c r="H556" s="11"/>
      <c r="I556" s="11"/>
      <c r="J556" s="180" t="e">
        <f t="shared" si="45"/>
        <v>#DIV/0!</v>
      </c>
      <c r="K556" s="100"/>
      <c r="L556" s="100"/>
      <c r="M556" s="100"/>
      <c r="N556" s="100">
        <f t="shared" si="46"/>
        <v>0</v>
      </c>
      <c r="O556" s="100"/>
      <c r="P556" s="41">
        <v>880</v>
      </c>
      <c r="Q556" s="11"/>
      <c r="R556" s="41">
        <v>260</v>
      </c>
      <c r="S556" s="185"/>
      <c r="T556" s="185"/>
      <c r="U556" s="185"/>
      <c r="V556" s="185"/>
      <c r="W556" s="41">
        <f t="shared" si="47"/>
        <v>0</v>
      </c>
      <c r="X556" s="41">
        <f t="shared" si="43"/>
        <v>0</v>
      </c>
      <c r="Y556" s="11"/>
      <c r="Z556" s="11"/>
      <c r="AA556" s="11"/>
      <c r="AB556" s="11"/>
      <c r="AC556" s="24"/>
    </row>
    <row r="557" spans="1:29" x14ac:dyDescent="0.2">
      <c r="A557" s="11">
        <f>+'SERVICIO FAENA'!A557</f>
        <v>0</v>
      </c>
      <c r="B557" s="11">
        <f>+'SERVICIO FAENA'!B557</f>
        <v>0</v>
      </c>
      <c r="C557" s="11"/>
      <c r="D557" s="11"/>
      <c r="E557" s="18">
        <f>+'SERVICIO FAENA'!E557</f>
        <v>0</v>
      </c>
      <c r="F557" s="11"/>
      <c r="G557" s="180" t="e">
        <f t="shared" si="44"/>
        <v>#DIV/0!</v>
      </c>
      <c r="H557" s="11"/>
      <c r="I557" s="11"/>
      <c r="J557" s="180" t="e">
        <f t="shared" si="45"/>
        <v>#DIV/0!</v>
      </c>
      <c r="K557" s="100"/>
      <c r="L557" s="100"/>
      <c r="M557" s="100"/>
      <c r="N557" s="100">
        <f t="shared" si="46"/>
        <v>0</v>
      </c>
      <c r="O557" s="100"/>
      <c r="P557" s="41">
        <v>880</v>
      </c>
      <c r="Q557" s="11"/>
      <c r="R557" s="41">
        <v>260</v>
      </c>
      <c r="S557" s="185"/>
      <c r="T557" s="185"/>
      <c r="U557" s="185"/>
      <c r="V557" s="185"/>
      <c r="W557" s="41">
        <f t="shared" si="47"/>
        <v>0</v>
      </c>
      <c r="X557" s="41">
        <f t="shared" si="43"/>
        <v>0</v>
      </c>
      <c r="Y557" s="11"/>
      <c r="Z557" s="11"/>
      <c r="AA557" s="11"/>
      <c r="AB557" s="11"/>
      <c r="AC557" s="24"/>
    </row>
    <row r="558" spans="1:29" x14ac:dyDescent="0.2">
      <c r="A558" s="11">
        <f>+'SERVICIO FAENA'!A558</f>
        <v>0</v>
      </c>
      <c r="B558" s="11">
        <f>+'SERVICIO FAENA'!B558</f>
        <v>0</v>
      </c>
      <c r="C558" s="11"/>
      <c r="D558" s="11"/>
      <c r="E558" s="18">
        <f>+'SERVICIO FAENA'!E558</f>
        <v>0</v>
      </c>
      <c r="F558" s="11"/>
      <c r="G558" s="180" t="e">
        <f t="shared" si="44"/>
        <v>#DIV/0!</v>
      </c>
      <c r="H558" s="11"/>
      <c r="I558" s="11"/>
      <c r="J558" s="180" t="e">
        <f t="shared" si="45"/>
        <v>#DIV/0!</v>
      </c>
      <c r="K558" s="100"/>
      <c r="L558" s="100"/>
      <c r="M558" s="100"/>
      <c r="N558" s="100">
        <f t="shared" si="46"/>
        <v>0</v>
      </c>
      <c r="O558" s="100"/>
      <c r="P558" s="41">
        <v>880</v>
      </c>
      <c r="Q558" s="11"/>
      <c r="R558" s="41">
        <v>260</v>
      </c>
      <c r="S558" s="185"/>
      <c r="T558" s="185"/>
      <c r="U558" s="185"/>
      <c r="V558" s="185"/>
      <c r="W558" s="41">
        <f t="shared" si="47"/>
        <v>0</v>
      </c>
      <c r="X558" s="41">
        <f t="shared" si="43"/>
        <v>0</v>
      </c>
      <c r="Y558" s="11"/>
      <c r="Z558" s="11"/>
      <c r="AA558" s="11"/>
      <c r="AB558" s="11"/>
      <c r="AC558" s="24"/>
    </row>
    <row r="559" spans="1:29" x14ac:dyDescent="0.2">
      <c r="A559" s="11">
        <f>+'SERVICIO FAENA'!A559</f>
        <v>0</v>
      </c>
      <c r="B559" s="11">
        <f>+'SERVICIO FAENA'!B559</f>
        <v>0</v>
      </c>
      <c r="C559" s="11"/>
      <c r="D559" s="11"/>
      <c r="E559" s="18">
        <f>+'SERVICIO FAENA'!E559</f>
        <v>0</v>
      </c>
      <c r="F559" s="11"/>
      <c r="G559" s="180" t="e">
        <f t="shared" si="44"/>
        <v>#DIV/0!</v>
      </c>
      <c r="H559" s="11"/>
      <c r="I559" s="11"/>
      <c r="J559" s="180" t="e">
        <f t="shared" si="45"/>
        <v>#DIV/0!</v>
      </c>
      <c r="K559" s="100"/>
      <c r="L559" s="100"/>
      <c r="M559" s="100"/>
      <c r="N559" s="100">
        <f t="shared" si="46"/>
        <v>0</v>
      </c>
      <c r="O559" s="100"/>
      <c r="P559" s="41">
        <v>880</v>
      </c>
      <c r="Q559" s="11"/>
      <c r="R559" s="41">
        <v>260</v>
      </c>
      <c r="S559" s="185"/>
      <c r="T559" s="185"/>
      <c r="U559" s="185"/>
      <c r="V559" s="185"/>
      <c r="W559" s="41">
        <f t="shared" si="47"/>
        <v>0</v>
      </c>
      <c r="X559" s="41">
        <f t="shared" si="43"/>
        <v>0</v>
      </c>
      <c r="Y559" s="11"/>
      <c r="Z559" s="11"/>
      <c r="AA559" s="11"/>
      <c r="AB559" s="11"/>
      <c r="AC559" s="24"/>
    </row>
    <row r="560" spans="1:29" x14ac:dyDescent="0.2">
      <c r="A560" s="11">
        <f>+'SERVICIO FAENA'!A560</f>
        <v>0</v>
      </c>
      <c r="B560" s="11">
        <f>+'SERVICIO FAENA'!B560</f>
        <v>0</v>
      </c>
      <c r="C560" s="11"/>
      <c r="D560" s="11"/>
      <c r="E560" s="18">
        <f>+'SERVICIO FAENA'!E560</f>
        <v>0</v>
      </c>
      <c r="F560" s="11"/>
      <c r="G560" s="180" t="e">
        <f t="shared" si="44"/>
        <v>#DIV/0!</v>
      </c>
      <c r="H560" s="11"/>
      <c r="I560" s="11"/>
      <c r="J560" s="180" t="e">
        <f t="shared" si="45"/>
        <v>#DIV/0!</v>
      </c>
      <c r="K560" s="100"/>
      <c r="L560" s="100"/>
      <c r="M560" s="100"/>
      <c r="N560" s="100">
        <f t="shared" si="46"/>
        <v>0</v>
      </c>
      <c r="O560" s="100"/>
      <c r="P560" s="41">
        <v>880</v>
      </c>
      <c r="Q560" s="11"/>
      <c r="R560" s="41">
        <v>260</v>
      </c>
      <c r="S560" s="185"/>
      <c r="T560" s="185"/>
      <c r="U560" s="185"/>
      <c r="V560" s="185"/>
      <c r="W560" s="41">
        <f t="shared" si="47"/>
        <v>0</v>
      </c>
      <c r="X560" s="41">
        <f t="shared" si="43"/>
        <v>0</v>
      </c>
      <c r="Y560" s="11"/>
      <c r="Z560" s="11"/>
      <c r="AA560" s="11"/>
      <c r="AB560" s="11"/>
      <c r="AC560" s="24"/>
    </row>
    <row r="561" spans="1:29" x14ac:dyDescent="0.2">
      <c r="A561" s="11">
        <f>+'SERVICIO FAENA'!A561</f>
        <v>0</v>
      </c>
      <c r="B561" s="11">
        <f>+'SERVICIO FAENA'!B561</f>
        <v>0</v>
      </c>
      <c r="C561" s="11"/>
      <c r="D561" s="11"/>
      <c r="E561" s="18">
        <f>+'SERVICIO FAENA'!E561</f>
        <v>0</v>
      </c>
      <c r="F561" s="11"/>
      <c r="G561" s="180" t="e">
        <f t="shared" si="44"/>
        <v>#DIV/0!</v>
      </c>
      <c r="H561" s="11"/>
      <c r="I561" s="11"/>
      <c r="J561" s="180" t="e">
        <f t="shared" si="45"/>
        <v>#DIV/0!</v>
      </c>
      <c r="K561" s="100"/>
      <c r="L561" s="100"/>
      <c r="M561" s="100"/>
      <c r="N561" s="100">
        <f t="shared" si="46"/>
        <v>0</v>
      </c>
      <c r="O561" s="100"/>
      <c r="P561" s="41">
        <v>880</v>
      </c>
      <c r="Q561" s="11"/>
      <c r="R561" s="41">
        <v>260</v>
      </c>
      <c r="S561" s="185"/>
      <c r="T561" s="185"/>
      <c r="U561" s="185"/>
      <c r="V561" s="185"/>
      <c r="W561" s="41">
        <f t="shared" si="47"/>
        <v>0</v>
      </c>
      <c r="X561" s="41">
        <f t="shared" si="43"/>
        <v>0</v>
      </c>
      <c r="Y561" s="11"/>
      <c r="Z561" s="11"/>
      <c r="AA561" s="11"/>
      <c r="AB561" s="11"/>
      <c r="AC561" s="24"/>
    </row>
    <row r="562" spans="1:29" x14ac:dyDescent="0.2">
      <c r="A562" s="11">
        <f>+'SERVICIO FAENA'!A562</f>
        <v>0</v>
      </c>
      <c r="B562" s="11">
        <f>+'SERVICIO FAENA'!B562</f>
        <v>0</v>
      </c>
      <c r="C562" s="11"/>
      <c r="D562" s="11"/>
      <c r="E562" s="18">
        <f>+'SERVICIO FAENA'!E562</f>
        <v>0</v>
      </c>
      <c r="F562" s="11"/>
      <c r="G562" s="180" t="e">
        <f t="shared" si="44"/>
        <v>#DIV/0!</v>
      </c>
      <c r="H562" s="11"/>
      <c r="I562" s="11"/>
      <c r="J562" s="180" t="e">
        <f t="shared" si="45"/>
        <v>#DIV/0!</v>
      </c>
      <c r="K562" s="100"/>
      <c r="L562" s="100"/>
      <c r="M562" s="100"/>
      <c r="N562" s="100">
        <f t="shared" si="46"/>
        <v>0</v>
      </c>
      <c r="O562" s="100"/>
      <c r="P562" s="41">
        <v>880</v>
      </c>
      <c r="Q562" s="11"/>
      <c r="R562" s="41">
        <v>260</v>
      </c>
      <c r="S562" s="185"/>
      <c r="T562" s="185"/>
      <c r="U562" s="185"/>
      <c r="V562" s="185"/>
      <c r="W562" s="41">
        <f t="shared" si="47"/>
        <v>0</v>
      </c>
      <c r="X562" s="41">
        <f t="shared" si="43"/>
        <v>0</v>
      </c>
      <c r="Y562" s="11"/>
      <c r="Z562" s="11"/>
      <c r="AA562" s="11"/>
      <c r="AB562" s="11"/>
      <c r="AC562" s="24"/>
    </row>
    <row r="563" spans="1:29" x14ac:dyDescent="0.2">
      <c r="A563" s="11">
        <f>+'SERVICIO FAENA'!A563</f>
        <v>0</v>
      </c>
      <c r="B563" s="11">
        <f>+'SERVICIO FAENA'!B563</f>
        <v>0</v>
      </c>
      <c r="C563" s="11"/>
      <c r="D563" s="11"/>
      <c r="E563" s="18">
        <f>+'SERVICIO FAENA'!E563</f>
        <v>0</v>
      </c>
      <c r="F563" s="11"/>
      <c r="G563" s="180" t="e">
        <f t="shared" si="44"/>
        <v>#DIV/0!</v>
      </c>
      <c r="H563" s="11"/>
      <c r="I563" s="11"/>
      <c r="J563" s="180" t="e">
        <f t="shared" si="45"/>
        <v>#DIV/0!</v>
      </c>
      <c r="K563" s="100"/>
      <c r="L563" s="100"/>
      <c r="M563" s="100"/>
      <c r="N563" s="100">
        <f t="shared" si="46"/>
        <v>0</v>
      </c>
      <c r="O563" s="100"/>
      <c r="P563" s="41">
        <v>880</v>
      </c>
      <c r="Q563" s="11"/>
      <c r="R563" s="41">
        <v>260</v>
      </c>
      <c r="S563" s="185"/>
      <c r="T563" s="185"/>
      <c r="U563" s="185"/>
      <c r="V563" s="185"/>
      <c r="W563" s="41">
        <f t="shared" si="47"/>
        <v>0</v>
      </c>
      <c r="X563" s="41">
        <f t="shared" si="43"/>
        <v>0</v>
      </c>
      <c r="Y563" s="11"/>
      <c r="Z563" s="11"/>
      <c r="AA563" s="11"/>
      <c r="AB563" s="11"/>
      <c r="AC563" s="24"/>
    </row>
    <row r="564" spans="1:29" x14ac:dyDescent="0.2">
      <c r="A564" s="11">
        <f>+'SERVICIO FAENA'!A564</f>
        <v>0</v>
      </c>
      <c r="B564" s="11">
        <f>+'SERVICIO FAENA'!B564</f>
        <v>0</v>
      </c>
      <c r="C564" s="11"/>
      <c r="D564" s="11"/>
      <c r="E564" s="18">
        <f>+'SERVICIO FAENA'!E564</f>
        <v>0</v>
      </c>
      <c r="F564" s="11"/>
      <c r="G564" s="180" t="e">
        <f t="shared" si="44"/>
        <v>#DIV/0!</v>
      </c>
      <c r="H564" s="11"/>
      <c r="I564" s="11"/>
      <c r="J564" s="180" t="e">
        <f t="shared" si="45"/>
        <v>#DIV/0!</v>
      </c>
      <c r="K564" s="100"/>
      <c r="L564" s="100"/>
      <c r="M564" s="100"/>
      <c r="N564" s="100">
        <f t="shared" si="46"/>
        <v>0</v>
      </c>
      <c r="O564" s="100"/>
      <c r="P564" s="41">
        <v>880</v>
      </c>
      <c r="Q564" s="11"/>
      <c r="R564" s="41">
        <v>260</v>
      </c>
      <c r="S564" s="185"/>
      <c r="T564" s="185"/>
      <c r="U564" s="185"/>
      <c r="V564" s="185"/>
      <c r="W564" s="41">
        <f t="shared" si="47"/>
        <v>0</v>
      </c>
      <c r="X564" s="41">
        <f t="shared" si="43"/>
        <v>0</v>
      </c>
      <c r="Y564" s="11"/>
      <c r="Z564" s="11"/>
      <c r="AA564" s="11"/>
      <c r="AB564" s="11"/>
      <c r="AC564" s="24"/>
    </row>
    <row r="565" spans="1:29" x14ac:dyDescent="0.2">
      <c r="A565" s="11">
        <f>+'SERVICIO FAENA'!A565</f>
        <v>0</v>
      </c>
      <c r="B565" s="11">
        <f>+'SERVICIO FAENA'!B565</f>
        <v>0</v>
      </c>
      <c r="C565" s="11"/>
      <c r="D565" s="11"/>
      <c r="E565" s="18">
        <f>+'SERVICIO FAENA'!E565</f>
        <v>0</v>
      </c>
      <c r="F565" s="11"/>
      <c r="G565" s="180" t="e">
        <f t="shared" si="44"/>
        <v>#DIV/0!</v>
      </c>
      <c r="H565" s="11"/>
      <c r="I565" s="11"/>
      <c r="J565" s="180" t="e">
        <f t="shared" si="45"/>
        <v>#DIV/0!</v>
      </c>
      <c r="K565" s="100"/>
      <c r="L565" s="100"/>
      <c r="M565" s="100"/>
      <c r="N565" s="100">
        <f t="shared" si="46"/>
        <v>0</v>
      </c>
      <c r="O565" s="100"/>
      <c r="P565" s="41">
        <v>880</v>
      </c>
      <c r="Q565" s="11"/>
      <c r="R565" s="41">
        <v>260</v>
      </c>
      <c r="S565" s="185"/>
      <c r="T565" s="185"/>
      <c r="U565" s="185"/>
      <c r="V565" s="185"/>
      <c r="W565" s="41">
        <f t="shared" si="47"/>
        <v>0</v>
      </c>
      <c r="X565" s="41">
        <f t="shared" si="43"/>
        <v>0</v>
      </c>
      <c r="Y565" s="11"/>
      <c r="Z565" s="11"/>
      <c r="AA565" s="11"/>
      <c r="AB565" s="11"/>
      <c r="AC565" s="24"/>
    </row>
    <row r="566" spans="1:29" x14ac:dyDescent="0.2">
      <c r="A566" s="11">
        <f>+'SERVICIO FAENA'!A566</f>
        <v>0</v>
      </c>
      <c r="B566" s="11">
        <f>+'SERVICIO FAENA'!B566</f>
        <v>0</v>
      </c>
      <c r="C566" s="11"/>
      <c r="D566" s="11"/>
      <c r="E566" s="18">
        <f>+'SERVICIO FAENA'!E566</f>
        <v>0</v>
      </c>
      <c r="F566" s="11"/>
      <c r="G566" s="180" t="e">
        <f t="shared" si="44"/>
        <v>#DIV/0!</v>
      </c>
      <c r="H566" s="11"/>
      <c r="I566" s="11"/>
      <c r="J566" s="180" t="e">
        <f t="shared" si="45"/>
        <v>#DIV/0!</v>
      </c>
      <c r="K566" s="100"/>
      <c r="L566" s="100"/>
      <c r="M566" s="100"/>
      <c r="N566" s="100">
        <f t="shared" si="46"/>
        <v>0</v>
      </c>
      <c r="O566" s="100"/>
      <c r="P566" s="41">
        <v>880</v>
      </c>
      <c r="Q566" s="11"/>
      <c r="R566" s="41">
        <v>260</v>
      </c>
      <c r="S566" s="185"/>
      <c r="T566" s="185"/>
      <c r="U566" s="185"/>
      <c r="V566" s="185"/>
      <c r="W566" s="41">
        <f t="shared" si="47"/>
        <v>0</v>
      </c>
      <c r="X566" s="41">
        <f t="shared" si="43"/>
        <v>0</v>
      </c>
      <c r="Y566" s="11"/>
      <c r="Z566" s="11"/>
      <c r="AA566" s="11"/>
      <c r="AB566" s="11"/>
      <c r="AC566" s="24"/>
    </row>
    <row r="567" spans="1:29" x14ac:dyDescent="0.2">
      <c r="A567" s="11">
        <f>+'SERVICIO FAENA'!A567</f>
        <v>0</v>
      </c>
      <c r="B567" s="11">
        <f>+'SERVICIO FAENA'!B567</f>
        <v>0</v>
      </c>
      <c r="C567" s="11"/>
      <c r="D567" s="11"/>
      <c r="E567" s="18">
        <f>+'SERVICIO FAENA'!E567</f>
        <v>0</v>
      </c>
      <c r="F567" s="11"/>
      <c r="G567" s="180" t="e">
        <f t="shared" si="44"/>
        <v>#DIV/0!</v>
      </c>
      <c r="H567" s="11"/>
      <c r="I567" s="11"/>
      <c r="J567" s="180" t="e">
        <f t="shared" si="45"/>
        <v>#DIV/0!</v>
      </c>
      <c r="K567" s="100"/>
      <c r="L567" s="100"/>
      <c r="M567" s="100"/>
      <c r="N567" s="100">
        <f t="shared" si="46"/>
        <v>0</v>
      </c>
      <c r="O567" s="100"/>
      <c r="P567" s="41">
        <v>880</v>
      </c>
      <c r="Q567" s="11"/>
      <c r="R567" s="41">
        <v>260</v>
      </c>
      <c r="S567" s="185"/>
      <c r="T567" s="185"/>
      <c r="U567" s="185"/>
      <c r="V567" s="185"/>
      <c r="W567" s="41">
        <f t="shared" si="47"/>
        <v>0</v>
      </c>
      <c r="X567" s="41">
        <f t="shared" si="43"/>
        <v>0</v>
      </c>
      <c r="Y567" s="11"/>
      <c r="Z567" s="11"/>
      <c r="AA567" s="11"/>
      <c r="AB567" s="11"/>
      <c r="AC567" s="24"/>
    </row>
    <row r="568" spans="1:29" x14ac:dyDescent="0.2">
      <c r="A568" s="11">
        <f>+'SERVICIO FAENA'!A568</f>
        <v>0</v>
      </c>
      <c r="B568" s="11">
        <f>+'SERVICIO FAENA'!B568</f>
        <v>0</v>
      </c>
      <c r="C568" s="11"/>
      <c r="D568" s="11"/>
      <c r="E568" s="18">
        <f>+'SERVICIO FAENA'!E568</f>
        <v>0</v>
      </c>
      <c r="F568" s="11"/>
      <c r="G568" s="180" t="e">
        <f t="shared" si="44"/>
        <v>#DIV/0!</v>
      </c>
      <c r="H568" s="11"/>
      <c r="I568" s="11"/>
      <c r="J568" s="180" t="e">
        <f t="shared" si="45"/>
        <v>#DIV/0!</v>
      </c>
      <c r="K568" s="100"/>
      <c r="L568" s="100"/>
      <c r="M568" s="100"/>
      <c r="N568" s="100">
        <f t="shared" si="46"/>
        <v>0</v>
      </c>
      <c r="O568" s="100"/>
      <c r="P568" s="41">
        <v>880</v>
      </c>
      <c r="Q568" s="11"/>
      <c r="R568" s="41">
        <v>260</v>
      </c>
      <c r="S568" s="185"/>
      <c r="T568" s="185"/>
      <c r="U568" s="185"/>
      <c r="V568" s="185"/>
      <c r="W568" s="41">
        <f t="shared" si="47"/>
        <v>0</v>
      </c>
      <c r="X568" s="41">
        <f t="shared" si="43"/>
        <v>0</v>
      </c>
      <c r="Y568" s="11"/>
      <c r="Z568" s="11"/>
      <c r="AA568" s="11"/>
      <c r="AB568" s="11"/>
      <c r="AC568" s="24"/>
    </row>
    <row r="569" spans="1:29" x14ac:dyDescent="0.2">
      <c r="A569" s="11">
        <f>+'SERVICIO FAENA'!A569</f>
        <v>0</v>
      </c>
      <c r="B569" s="11">
        <f>+'SERVICIO FAENA'!B569</f>
        <v>0</v>
      </c>
      <c r="C569" s="11"/>
      <c r="D569" s="11"/>
      <c r="E569" s="18">
        <f>+'SERVICIO FAENA'!E569</f>
        <v>0</v>
      </c>
      <c r="F569" s="11"/>
      <c r="G569" s="180" t="e">
        <f t="shared" si="44"/>
        <v>#DIV/0!</v>
      </c>
      <c r="H569" s="11"/>
      <c r="I569" s="11"/>
      <c r="J569" s="180" t="e">
        <f t="shared" si="45"/>
        <v>#DIV/0!</v>
      </c>
      <c r="K569" s="100"/>
      <c r="L569" s="100"/>
      <c r="M569" s="100"/>
      <c r="N569" s="100">
        <f t="shared" si="46"/>
        <v>0</v>
      </c>
      <c r="O569" s="100"/>
      <c r="P569" s="41">
        <v>880</v>
      </c>
      <c r="Q569" s="11"/>
      <c r="R569" s="41">
        <v>260</v>
      </c>
      <c r="S569" s="185"/>
      <c r="T569" s="185"/>
      <c r="U569" s="185"/>
      <c r="V569" s="185"/>
      <c r="W569" s="41">
        <f t="shared" si="47"/>
        <v>0</v>
      </c>
      <c r="X569" s="41">
        <f t="shared" si="43"/>
        <v>0</v>
      </c>
      <c r="Y569" s="11"/>
      <c r="Z569" s="11"/>
      <c r="AA569" s="11"/>
      <c r="AB569" s="11"/>
      <c r="AC569" s="24"/>
    </row>
    <row r="570" spans="1:29" x14ac:dyDescent="0.2">
      <c r="A570" s="11">
        <f>+'SERVICIO FAENA'!A570</f>
        <v>0</v>
      </c>
      <c r="B570" s="11">
        <f>+'SERVICIO FAENA'!B570</f>
        <v>0</v>
      </c>
      <c r="C570" s="11"/>
      <c r="D570" s="11"/>
      <c r="E570" s="18">
        <f>+'SERVICIO FAENA'!E570</f>
        <v>0</v>
      </c>
      <c r="F570" s="11"/>
      <c r="G570" s="180" t="e">
        <f t="shared" si="44"/>
        <v>#DIV/0!</v>
      </c>
      <c r="H570" s="11"/>
      <c r="I570" s="11"/>
      <c r="J570" s="180" t="e">
        <f t="shared" si="45"/>
        <v>#DIV/0!</v>
      </c>
      <c r="K570" s="100"/>
      <c r="L570" s="100"/>
      <c r="M570" s="100"/>
      <c r="N570" s="100">
        <f t="shared" si="46"/>
        <v>0</v>
      </c>
      <c r="O570" s="100"/>
      <c r="P570" s="41">
        <v>880</v>
      </c>
      <c r="Q570" s="11"/>
      <c r="R570" s="41">
        <v>260</v>
      </c>
      <c r="S570" s="185"/>
      <c r="T570" s="185"/>
      <c r="U570" s="185"/>
      <c r="V570" s="185"/>
      <c r="W570" s="41">
        <f t="shared" si="47"/>
        <v>0</v>
      </c>
      <c r="X570" s="41">
        <f t="shared" si="43"/>
        <v>0</v>
      </c>
      <c r="Y570" s="11"/>
      <c r="Z570" s="11"/>
      <c r="AA570" s="11"/>
      <c r="AB570" s="11"/>
      <c r="AC570" s="24"/>
    </row>
    <row r="571" spans="1:29" x14ac:dyDescent="0.2">
      <c r="A571" s="11">
        <f>+'SERVICIO FAENA'!A571</f>
        <v>0</v>
      </c>
      <c r="B571" s="11">
        <f>+'SERVICIO FAENA'!B571</f>
        <v>0</v>
      </c>
      <c r="C571" s="11"/>
      <c r="D571" s="11"/>
      <c r="E571" s="18">
        <f>+'SERVICIO FAENA'!E571</f>
        <v>0</v>
      </c>
      <c r="F571" s="11"/>
      <c r="G571" s="180" t="e">
        <f t="shared" si="44"/>
        <v>#DIV/0!</v>
      </c>
      <c r="H571" s="11"/>
      <c r="I571" s="11"/>
      <c r="J571" s="180" t="e">
        <f t="shared" si="45"/>
        <v>#DIV/0!</v>
      </c>
      <c r="K571" s="100"/>
      <c r="L571" s="100"/>
      <c r="M571" s="100"/>
      <c r="N571" s="100">
        <f t="shared" si="46"/>
        <v>0</v>
      </c>
      <c r="O571" s="100"/>
      <c r="P571" s="41">
        <v>880</v>
      </c>
      <c r="Q571" s="11"/>
      <c r="R571" s="41">
        <v>260</v>
      </c>
      <c r="S571" s="185"/>
      <c r="T571" s="185"/>
      <c r="U571" s="185"/>
      <c r="V571" s="185"/>
      <c r="W571" s="41">
        <f t="shared" si="47"/>
        <v>0</v>
      </c>
      <c r="X571" s="41">
        <f t="shared" si="43"/>
        <v>0</v>
      </c>
      <c r="Y571" s="11"/>
      <c r="Z571" s="11"/>
      <c r="AA571" s="11"/>
      <c r="AB571" s="11"/>
      <c r="AC571" s="24"/>
    </row>
    <row r="572" spans="1:29" x14ac:dyDescent="0.2">
      <c r="A572" s="11">
        <f>+'SERVICIO FAENA'!A572</f>
        <v>0</v>
      </c>
      <c r="B572" s="11">
        <f>+'SERVICIO FAENA'!B572</f>
        <v>0</v>
      </c>
      <c r="C572" s="11"/>
      <c r="D572" s="11"/>
      <c r="E572" s="18">
        <f>+'SERVICIO FAENA'!E572</f>
        <v>0</v>
      </c>
      <c r="F572" s="11"/>
      <c r="G572" s="180" t="e">
        <f t="shared" si="44"/>
        <v>#DIV/0!</v>
      </c>
      <c r="H572" s="11"/>
      <c r="I572" s="11"/>
      <c r="J572" s="180" t="e">
        <f t="shared" si="45"/>
        <v>#DIV/0!</v>
      </c>
      <c r="K572" s="100"/>
      <c r="L572" s="100"/>
      <c r="M572" s="100"/>
      <c r="N572" s="100">
        <f t="shared" si="46"/>
        <v>0</v>
      </c>
      <c r="O572" s="100"/>
      <c r="P572" s="41">
        <v>880</v>
      </c>
      <c r="Q572" s="11"/>
      <c r="R572" s="41">
        <v>260</v>
      </c>
      <c r="S572" s="185"/>
      <c r="T572" s="185"/>
      <c r="U572" s="185"/>
      <c r="V572" s="185"/>
      <c r="W572" s="41">
        <f t="shared" si="47"/>
        <v>0</v>
      </c>
      <c r="X572" s="41">
        <f t="shared" si="43"/>
        <v>0</v>
      </c>
      <c r="Y572" s="11"/>
      <c r="Z572" s="11"/>
      <c r="AA572" s="11"/>
      <c r="AB572" s="11"/>
      <c r="AC572" s="24"/>
    </row>
    <row r="573" spans="1:29" x14ac:dyDescent="0.2">
      <c r="A573" s="11">
        <f>+'SERVICIO FAENA'!A573</f>
        <v>0</v>
      </c>
      <c r="B573" s="11">
        <f>+'SERVICIO FAENA'!B573</f>
        <v>0</v>
      </c>
      <c r="C573" s="11"/>
      <c r="D573" s="11"/>
      <c r="E573" s="18">
        <f>+'SERVICIO FAENA'!E573</f>
        <v>0</v>
      </c>
      <c r="F573" s="11"/>
      <c r="G573" s="180" t="e">
        <f t="shared" si="44"/>
        <v>#DIV/0!</v>
      </c>
      <c r="H573" s="11"/>
      <c r="I573" s="11"/>
      <c r="J573" s="180" t="e">
        <f t="shared" si="45"/>
        <v>#DIV/0!</v>
      </c>
      <c r="K573" s="100"/>
      <c r="L573" s="100"/>
      <c r="M573" s="100"/>
      <c r="N573" s="100">
        <f t="shared" si="46"/>
        <v>0</v>
      </c>
      <c r="O573" s="100"/>
      <c r="P573" s="41">
        <v>880</v>
      </c>
      <c r="Q573" s="11"/>
      <c r="R573" s="41">
        <v>260</v>
      </c>
      <c r="S573" s="185"/>
      <c r="T573" s="185"/>
      <c r="U573" s="185"/>
      <c r="V573" s="185"/>
      <c r="W573" s="41">
        <f t="shared" si="47"/>
        <v>0</v>
      </c>
      <c r="X573" s="41">
        <f t="shared" si="43"/>
        <v>0</v>
      </c>
      <c r="Y573" s="11"/>
      <c r="Z573" s="11"/>
      <c r="AA573" s="11"/>
      <c r="AB573" s="11"/>
      <c r="AC573" s="24"/>
    </row>
    <row r="574" spans="1:29" x14ac:dyDescent="0.2">
      <c r="A574" s="11">
        <f>+'SERVICIO FAENA'!A574</f>
        <v>0</v>
      </c>
      <c r="B574" s="11">
        <f>+'SERVICIO FAENA'!B574</f>
        <v>0</v>
      </c>
      <c r="C574" s="11"/>
      <c r="D574" s="11"/>
      <c r="E574" s="18">
        <f>+'SERVICIO FAENA'!E574</f>
        <v>0</v>
      </c>
      <c r="F574" s="11"/>
      <c r="G574" s="180" t="e">
        <f t="shared" si="44"/>
        <v>#DIV/0!</v>
      </c>
      <c r="H574" s="11"/>
      <c r="I574" s="11"/>
      <c r="J574" s="180" t="e">
        <f t="shared" si="45"/>
        <v>#DIV/0!</v>
      </c>
      <c r="K574" s="100"/>
      <c r="L574" s="100"/>
      <c r="M574" s="100"/>
      <c r="N574" s="100">
        <f t="shared" si="46"/>
        <v>0</v>
      </c>
      <c r="O574" s="100"/>
      <c r="P574" s="41">
        <v>880</v>
      </c>
      <c r="Q574" s="11"/>
      <c r="R574" s="41">
        <v>260</v>
      </c>
      <c r="S574" s="185"/>
      <c r="T574" s="185"/>
      <c r="U574" s="185"/>
      <c r="V574" s="185"/>
      <c r="W574" s="41">
        <f t="shared" si="47"/>
        <v>0</v>
      </c>
      <c r="X574" s="41">
        <f t="shared" si="43"/>
        <v>0</v>
      </c>
      <c r="Y574" s="11"/>
      <c r="Z574" s="11"/>
      <c r="AA574" s="11"/>
      <c r="AB574" s="11"/>
      <c r="AC574" s="24"/>
    </row>
    <row r="575" spans="1:29" x14ac:dyDescent="0.2">
      <c r="A575" s="11">
        <f>+'SERVICIO FAENA'!A575</f>
        <v>0</v>
      </c>
      <c r="B575" s="11">
        <f>+'SERVICIO FAENA'!B575</f>
        <v>0</v>
      </c>
      <c r="C575" s="11"/>
      <c r="D575" s="11"/>
      <c r="E575" s="18">
        <f>+'SERVICIO FAENA'!E575</f>
        <v>0</v>
      </c>
      <c r="F575" s="11"/>
      <c r="G575" s="180" t="e">
        <f t="shared" si="44"/>
        <v>#DIV/0!</v>
      </c>
      <c r="H575" s="11"/>
      <c r="I575" s="11"/>
      <c r="J575" s="180" t="e">
        <f t="shared" si="45"/>
        <v>#DIV/0!</v>
      </c>
      <c r="K575" s="100"/>
      <c r="L575" s="100"/>
      <c r="M575" s="100"/>
      <c r="N575" s="100">
        <f t="shared" si="46"/>
        <v>0</v>
      </c>
      <c r="O575" s="100"/>
      <c r="P575" s="41">
        <v>880</v>
      </c>
      <c r="Q575" s="11"/>
      <c r="R575" s="41">
        <v>260</v>
      </c>
      <c r="S575" s="185"/>
      <c r="T575" s="185"/>
      <c r="U575" s="185"/>
      <c r="V575" s="185"/>
      <c r="W575" s="41">
        <f t="shared" si="47"/>
        <v>0</v>
      </c>
      <c r="X575" s="41">
        <f t="shared" si="43"/>
        <v>0</v>
      </c>
      <c r="Y575" s="11"/>
      <c r="Z575" s="11"/>
      <c r="AA575" s="11"/>
      <c r="AB575" s="11"/>
      <c r="AC575" s="24"/>
    </row>
    <row r="576" spans="1:29" x14ac:dyDescent="0.2">
      <c r="A576" s="11">
        <f>+'SERVICIO FAENA'!A576</f>
        <v>0</v>
      </c>
      <c r="B576" s="11">
        <f>+'SERVICIO FAENA'!B576</f>
        <v>0</v>
      </c>
      <c r="C576" s="11"/>
      <c r="D576" s="11"/>
      <c r="E576" s="18">
        <f>+'SERVICIO FAENA'!E576</f>
        <v>0</v>
      </c>
      <c r="F576" s="11"/>
      <c r="G576" s="180" t="e">
        <f t="shared" si="44"/>
        <v>#DIV/0!</v>
      </c>
      <c r="H576" s="11"/>
      <c r="I576" s="11"/>
      <c r="J576" s="180" t="e">
        <f t="shared" si="45"/>
        <v>#DIV/0!</v>
      </c>
      <c r="K576" s="100"/>
      <c r="L576" s="100"/>
      <c r="M576" s="100"/>
      <c r="N576" s="100">
        <f t="shared" si="46"/>
        <v>0</v>
      </c>
      <c r="O576" s="100"/>
      <c r="P576" s="41">
        <v>880</v>
      </c>
      <c r="Q576" s="11"/>
      <c r="R576" s="41">
        <v>260</v>
      </c>
      <c r="S576" s="185"/>
      <c r="T576" s="185"/>
      <c r="U576" s="185"/>
      <c r="V576" s="185"/>
      <c r="W576" s="41">
        <f t="shared" si="47"/>
        <v>0</v>
      </c>
      <c r="X576" s="41">
        <f t="shared" si="43"/>
        <v>0</v>
      </c>
      <c r="Y576" s="11"/>
      <c r="Z576" s="11"/>
      <c r="AA576" s="11"/>
      <c r="AB576" s="11"/>
      <c r="AC576" s="24"/>
    </row>
    <row r="577" spans="1:29" x14ac:dyDescent="0.2">
      <c r="A577" s="11">
        <f>+'SERVICIO FAENA'!A577</f>
        <v>0</v>
      </c>
      <c r="B577" s="11">
        <f>+'SERVICIO FAENA'!B577</f>
        <v>0</v>
      </c>
      <c r="C577" s="11"/>
      <c r="D577" s="11"/>
      <c r="E577" s="18">
        <f>+'SERVICIO FAENA'!E577</f>
        <v>0</v>
      </c>
      <c r="F577" s="11"/>
      <c r="G577" s="180" t="e">
        <f t="shared" si="44"/>
        <v>#DIV/0!</v>
      </c>
      <c r="H577" s="11"/>
      <c r="I577" s="11"/>
      <c r="J577" s="180" t="e">
        <f t="shared" si="45"/>
        <v>#DIV/0!</v>
      </c>
      <c r="K577" s="100"/>
      <c r="L577" s="100"/>
      <c r="M577" s="100"/>
      <c r="N577" s="100">
        <f t="shared" si="46"/>
        <v>0</v>
      </c>
      <c r="O577" s="100"/>
      <c r="P577" s="41">
        <v>880</v>
      </c>
      <c r="Q577" s="11"/>
      <c r="R577" s="41">
        <v>260</v>
      </c>
      <c r="S577" s="185"/>
      <c r="T577" s="185"/>
      <c r="U577" s="185"/>
      <c r="V577" s="185"/>
      <c r="W577" s="41">
        <f t="shared" si="47"/>
        <v>0</v>
      </c>
      <c r="X577" s="41">
        <f t="shared" si="43"/>
        <v>0</v>
      </c>
      <c r="Y577" s="11"/>
      <c r="Z577" s="11"/>
      <c r="AA577" s="11"/>
      <c r="AB577" s="11"/>
      <c r="AC577" s="24"/>
    </row>
    <row r="578" spans="1:29" x14ac:dyDescent="0.2">
      <c r="A578" s="11">
        <f>+'SERVICIO FAENA'!A578</f>
        <v>0</v>
      </c>
      <c r="B578" s="11">
        <f>+'SERVICIO FAENA'!B578</f>
        <v>0</v>
      </c>
      <c r="C578" s="11"/>
      <c r="D578" s="11"/>
      <c r="E578" s="18">
        <f>+'SERVICIO FAENA'!E578</f>
        <v>0</v>
      </c>
      <c r="F578" s="11"/>
      <c r="G578" s="180" t="e">
        <f t="shared" si="44"/>
        <v>#DIV/0!</v>
      </c>
      <c r="H578" s="11"/>
      <c r="I578" s="11"/>
      <c r="J578" s="180" t="e">
        <f t="shared" si="45"/>
        <v>#DIV/0!</v>
      </c>
      <c r="K578" s="100"/>
      <c r="L578" s="100"/>
      <c r="M578" s="100"/>
      <c r="N578" s="100">
        <f t="shared" si="46"/>
        <v>0</v>
      </c>
      <c r="O578" s="100"/>
      <c r="P578" s="41">
        <v>880</v>
      </c>
      <c r="Q578" s="11"/>
      <c r="R578" s="41">
        <v>260</v>
      </c>
      <c r="S578" s="185"/>
      <c r="T578" s="185"/>
      <c r="U578" s="185"/>
      <c r="V578" s="185"/>
      <c r="W578" s="41">
        <f t="shared" si="47"/>
        <v>0</v>
      </c>
      <c r="X578" s="41">
        <f t="shared" si="43"/>
        <v>0</v>
      </c>
      <c r="Y578" s="11"/>
      <c r="Z578" s="11"/>
      <c r="AA578" s="11"/>
      <c r="AB578" s="11"/>
      <c r="AC578" s="24"/>
    </row>
    <row r="579" spans="1:29" x14ac:dyDescent="0.2">
      <c r="A579" s="11">
        <f>+'SERVICIO FAENA'!A579</f>
        <v>0</v>
      </c>
      <c r="B579" s="11">
        <f>+'SERVICIO FAENA'!B579</f>
        <v>0</v>
      </c>
      <c r="C579" s="11"/>
      <c r="D579" s="11"/>
      <c r="E579" s="18">
        <f>+'SERVICIO FAENA'!E579</f>
        <v>0</v>
      </c>
      <c r="F579" s="11"/>
      <c r="G579" s="180" t="e">
        <f t="shared" si="44"/>
        <v>#DIV/0!</v>
      </c>
      <c r="H579" s="11"/>
      <c r="I579" s="11"/>
      <c r="J579" s="180" t="e">
        <f t="shared" si="45"/>
        <v>#DIV/0!</v>
      </c>
      <c r="K579" s="100"/>
      <c r="L579" s="100"/>
      <c r="M579" s="100"/>
      <c r="N579" s="100">
        <f t="shared" si="46"/>
        <v>0</v>
      </c>
      <c r="O579" s="100"/>
      <c r="P579" s="41">
        <v>880</v>
      </c>
      <c r="Q579" s="11"/>
      <c r="R579" s="41">
        <v>260</v>
      </c>
      <c r="S579" s="185"/>
      <c r="T579" s="185"/>
      <c r="U579" s="185"/>
      <c r="V579" s="185"/>
      <c r="W579" s="41">
        <f t="shared" si="47"/>
        <v>0</v>
      </c>
      <c r="X579" s="41">
        <f t="shared" ref="X579:X642" si="48">+((O579*P579)+(Q579*R579))*1.21</f>
        <v>0</v>
      </c>
      <c r="Y579" s="11"/>
      <c r="Z579" s="11"/>
      <c r="AA579" s="11"/>
      <c r="AB579" s="11"/>
      <c r="AC579" s="24"/>
    </row>
    <row r="580" spans="1:29" x14ac:dyDescent="0.2">
      <c r="A580" s="11">
        <f>+'SERVICIO FAENA'!A580</f>
        <v>0</v>
      </c>
      <c r="B580" s="11">
        <f>+'SERVICIO FAENA'!B580</f>
        <v>0</v>
      </c>
      <c r="C580" s="11"/>
      <c r="D580" s="11"/>
      <c r="E580" s="18">
        <f>+'SERVICIO FAENA'!E580</f>
        <v>0</v>
      </c>
      <c r="F580" s="11"/>
      <c r="G580" s="180" t="e">
        <f t="shared" ref="G580:G643" si="49">+F580/D580</f>
        <v>#DIV/0!</v>
      </c>
      <c r="H580" s="11"/>
      <c r="I580" s="11"/>
      <c r="J580" s="180" t="e">
        <f t="shared" si="45"/>
        <v>#DIV/0!</v>
      </c>
      <c r="K580" s="100"/>
      <c r="L580" s="100"/>
      <c r="M580" s="100"/>
      <c r="N580" s="100">
        <f t="shared" si="46"/>
        <v>0</v>
      </c>
      <c r="O580" s="100"/>
      <c r="P580" s="41">
        <v>880</v>
      </c>
      <c r="Q580" s="11"/>
      <c r="R580" s="41">
        <v>260</v>
      </c>
      <c r="S580" s="185"/>
      <c r="T580" s="185"/>
      <c r="U580" s="185"/>
      <c r="V580" s="185"/>
      <c r="W580" s="41">
        <f t="shared" si="47"/>
        <v>0</v>
      </c>
      <c r="X580" s="41">
        <f t="shared" si="48"/>
        <v>0</v>
      </c>
      <c r="Y580" s="11"/>
      <c r="Z580" s="11"/>
      <c r="AA580" s="11"/>
      <c r="AB580" s="11"/>
      <c r="AC580" s="24"/>
    </row>
    <row r="581" spans="1:29" x14ac:dyDescent="0.2">
      <c r="A581" s="11">
        <f>+'SERVICIO FAENA'!A581</f>
        <v>0</v>
      </c>
      <c r="B581" s="11">
        <f>+'SERVICIO FAENA'!B581</f>
        <v>0</v>
      </c>
      <c r="C581" s="11"/>
      <c r="D581" s="11"/>
      <c r="E581" s="18">
        <f>+'SERVICIO FAENA'!E581</f>
        <v>0</v>
      </c>
      <c r="F581" s="11"/>
      <c r="G581" s="180" t="e">
        <f t="shared" si="49"/>
        <v>#DIV/0!</v>
      </c>
      <c r="H581" s="11"/>
      <c r="I581" s="11"/>
      <c r="J581" s="180" t="e">
        <f t="shared" si="45"/>
        <v>#DIV/0!</v>
      </c>
      <c r="K581" s="100"/>
      <c r="L581" s="100"/>
      <c r="M581" s="100"/>
      <c r="N581" s="100">
        <f t="shared" si="46"/>
        <v>0</v>
      </c>
      <c r="O581" s="100"/>
      <c r="P581" s="41">
        <v>880</v>
      </c>
      <c r="Q581" s="11"/>
      <c r="R581" s="41">
        <v>260</v>
      </c>
      <c r="S581" s="185"/>
      <c r="T581" s="185"/>
      <c r="U581" s="185"/>
      <c r="V581" s="185"/>
      <c r="W581" s="41">
        <f t="shared" si="47"/>
        <v>0</v>
      </c>
      <c r="X581" s="41">
        <f t="shared" si="48"/>
        <v>0</v>
      </c>
      <c r="Y581" s="11"/>
      <c r="Z581" s="11"/>
      <c r="AA581" s="11"/>
      <c r="AB581" s="11"/>
      <c r="AC581" s="24"/>
    </row>
    <row r="582" spans="1:29" x14ac:dyDescent="0.2">
      <c r="A582" s="11">
        <f>+'SERVICIO FAENA'!A582</f>
        <v>0</v>
      </c>
      <c r="B582" s="11">
        <f>+'SERVICIO FAENA'!B582</f>
        <v>0</v>
      </c>
      <c r="C582" s="11"/>
      <c r="D582" s="11"/>
      <c r="E582" s="18">
        <f>+'SERVICIO FAENA'!E582</f>
        <v>0</v>
      </c>
      <c r="F582" s="11"/>
      <c r="G582" s="180" t="e">
        <f t="shared" si="49"/>
        <v>#DIV/0!</v>
      </c>
      <c r="H582" s="11"/>
      <c r="I582" s="11"/>
      <c r="J582" s="180" t="e">
        <f t="shared" si="45"/>
        <v>#DIV/0!</v>
      </c>
      <c r="K582" s="100"/>
      <c r="L582" s="100"/>
      <c r="M582" s="100"/>
      <c r="N582" s="100">
        <f t="shared" si="46"/>
        <v>0</v>
      </c>
      <c r="O582" s="100"/>
      <c r="P582" s="41">
        <v>880</v>
      </c>
      <c r="Q582" s="11"/>
      <c r="R582" s="41">
        <v>260</v>
      </c>
      <c r="S582" s="185"/>
      <c r="T582" s="185"/>
      <c r="U582" s="185"/>
      <c r="V582" s="185"/>
      <c r="W582" s="41">
        <f t="shared" si="47"/>
        <v>0</v>
      </c>
      <c r="X582" s="41">
        <f t="shared" si="48"/>
        <v>0</v>
      </c>
      <c r="Y582" s="11"/>
      <c r="Z582" s="11"/>
      <c r="AA582" s="11"/>
      <c r="AB582" s="11"/>
      <c r="AC582" s="24"/>
    </row>
    <row r="583" spans="1:29" x14ac:dyDescent="0.2">
      <c r="A583" s="11">
        <f>+'SERVICIO FAENA'!A583</f>
        <v>0</v>
      </c>
      <c r="B583" s="11">
        <f>+'SERVICIO FAENA'!B583</f>
        <v>0</v>
      </c>
      <c r="C583" s="11"/>
      <c r="D583" s="11"/>
      <c r="E583" s="18">
        <f>+'SERVICIO FAENA'!E583</f>
        <v>0</v>
      </c>
      <c r="F583" s="11"/>
      <c r="G583" s="180" t="e">
        <f t="shared" si="49"/>
        <v>#DIV/0!</v>
      </c>
      <c r="H583" s="11"/>
      <c r="I583" s="11"/>
      <c r="J583" s="180" t="e">
        <f t="shared" si="45"/>
        <v>#DIV/0!</v>
      </c>
      <c r="K583" s="100"/>
      <c r="L583" s="100"/>
      <c r="M583" s="100"/>
      <c r="N583" s="100">
        <f t="shared" si="46"/>
        <v>0</v>
      </c>
      <c r="O583" s="100"/>
      <c r="P583" s="41">
        <v>880</v>
      </c>
      <c r="Q583" s="11"/>
      <c r="R583" s="41">
        <v>260</v>
      </c>
      <c r="S583" s="185"/>
      <c r="T583" s="185"/>
      <c r="U583" s="185"/>
      <c r="V583" s="185"/>
      <c r="W583" s="41">
        <f t="shared" si="47"/>
        <v>0</v>
      </c>
      <c r="X583" s="41">
        <f t="shared" si="48"/>
        <v>0</v>
      </c>
      <c r="Y583" s="11"/>
      <c r="Z583" s="11"/>
      <c r="AA583" s="11"/>
      <c r="AB583" s="11"/>
      <c r="AC583" s="24"/>
    </row>
    <row r="584" spans="1:29" x14ac:dyDescent="0.2">
      <c r="A584" s="11">
        <f>+'SERVICIO FAENA'!A584</f>
        <v>0</v>
      </c>
      <c r="B584" s="11">
        <f>+'SERVICIO FAENA'!B584</f>
        <v>0</v>
      </c>
      <c r="C584" s="11"/>
      <c r="D584" s="11"/>
      <c r="E584" s="18">
        <f>+'SERVICIO FAENA'!E584</f>
        <v>0</v>
      </c>
      <c r="F584" s="11"/>
      <c r="G584" s="180" t="e">
        <f t="shared" si="49"/>
        <v>#DIV/0!</v>
      </c>
      <c r="H584" s="11"/>
      <c r="I584" s="11"/>
      <c r="J584" s="180" t="e">
        <f t="shared" si="45"/>
        <v>#DIV/0!</v>
      </c>
      <c r="K584" s="100"/>
      <c r="L584" s="100"/>
      <c r="M584" s="100"/>
      <c r="N584" s="100">
        <f t="shared" si="46"/>
        <v>0</v>
      </c>
      <c r="O584" s="100"/>
      <c r="P584" s="41">
        <v>880</v>
      </c>
      <c r="Q584" s="11"/>
      <c r="R584" s="41">
        <v>260</v>
      </c>
      <c r="S584" s="185"/>
      <c r="T584" s="185"/>
      <c r="U584" s="185"/>
      <c r="V584" s="185"/>
      <c r="W584" s="41">
        <f t="shared" si="47"/>
        <v>0</v>
      </c>
      <c r="X584" s="41">
        <f t="shared" si="48"/>
        <v>0</v>
      </c>
      <c r="Y584" s="11"/>
      <c r="Z584" s="11"/>
      <c r="AA584" s="11"/>
      <c r="AB584" s="11"/>
      <c r="AC584" s="24"/>
    </row>
    <row r="585" spans="1:29" x14ac:dyDescent="0.2">
      <c r="A585" s="11">
        <f>+'SERVICIO FAENA'!A585</f>
        <v>0</v>
      </c>
      <c r="B585" s="11">
        <f>+'SERVICIO FAENA'!B585</f>
        <v>0</v>
      </c>
      <c r="C585" s="11"/>
      <c r="D585" s="11"/>
      <c r="E585" s="18">
        <f>+'SERVICIO FAENA'!E585</f>
        <v>0</v>
      </c>
      <c r="F585" s="11"/>
      <c r="G585" s="180" t="e">
        <f t="shared" si="49"/>
        <v>#DIV/0!</v>
      </c>
      <c r="H585" s="11"/>
      <c r="I585" s="11"/>
      <c r="J585" s="180" t="e">
        <f t="shared" si="45"/>
        <v>#DIV/0!</v>
      </c>
      <c r="K585" s="100"/>
      <c r="L585" s="100"/>
      <c r="M585" s="100"/>
      <c r="N585" s="100">
        <f t="shared" si="46"/>
        <v>0</v>
      </c>
      <c r="O585" s="100"/>
      <c r="P585" s="41">
        <v>880</v>
      </c>
      <c r="Q585" s="11"/>
      <c r="R585" s="41">
        <v>260</v>
      </c>
      <c r="S585" s="185"/>
      <c r="T585" s="185"/>
      <c r="U585" s="185"/>
      <c r="V585" s="185"/>
      <c r="W585" s="41">
        <f t="shared" si="47"/>
        <v>0</v>
      </c>
      <c r="X585" s="41">
        <f t="shared" si="48"/>
        <v>0</v>
      </c>
      <c r="Y585" s="11"/>
      <c r="Z585" s="11"/>
      <c r="AA585" s="11"/>
      <c r="AB585" s="11"/>
      <c r="AC585" s="24"/>
    </row>
    <row r="586" spans="1:29" x14ac:dyDescent="0.2">
      <c r="A586" s="11">
        <f>+'SERVICIO FAENA'!A586</f>
        <v>0</v>
      </c>
      <c r="B586" s="11">
        <f>+'SERVICIO FAENA'!B586</f>
        <v>0</v>
      </c>
      <c r="C586" s="11"/>
      <c r="D586" s="11"/>
      <c r="E586" s="18">
        <f>+'SERVICIO FAENA'!E586</f>
        <v>0</v>
      </c>
      <c r="F586" s="11"/>
      <c r="G586" s="180" t="e">
        <f t="shared" si="49"/>
        <v>#DIV/0!</v>
      </c>
      <c r="H586" s="11"/>
      <c r="I586" s="11"/>
      <c r="J586" s="180" t="e">
        <f t="shared" si="45"/>
        <v>#DIV/0!</v>
      </c>
      <c r="K586" s="100"/>
      <c r="L586" s="100"/>
      <c r="M586" s="100"/>
      <c r="N586" s="100">
        <f t="shared" si="46"/>
        <v>0</v>
      </c>
      <c r="O586" s="100"/>
      <c r="P586" s="41">
        <v>880</v>
      </c>
      <c r="Q586" s="11"/>
      <c r="R586" s="41">
        <v>260</v>
      </c>
      <c r="S586" s="185"/>
      <c r="T586" s="185"/>
      <c r="U586" s="185"/>
      <c r="V586" s="185"/>
      <c r="W586" s="41">
        <f t="shared" si="47"/>
        <v>0</v>
      </c>
      <c r="X586" s="41">
        <f t="shared" si="48"/>
        <v>0</v>
      </c>
      <c r="Y586" s="11"/>
      <c r="Z586" s="11"/>
      <c r="AA586" s="11"/>
      <c r="AB586" s="11"/>
      <c r="AC586" s="24"/>
    </row>
    <row r="587" spans="1:29" x14ac:dyDescent="0.2">
      <c r="A587" s="11">
        <f>+'SERVICIO FAENA'!A587</f>
        <v>0</v>
      </c>
      <c r="B587" s="11">
        <f>+'SERVICIO FAENA'!B587</f>
        <v>0</v>
      </c>
      <c r="C587" s="11"/>
      <c r="D587" s="11"/>
      <c r="E587" s="18">
        <f>+'SERVICIO FAENA'!E587</f>
        <v>0</v>
      </c>
      <c r="F587" s="11"/>
      <c r="G587" s="180" t="e">
        <f t="shared" si="49"/>
        <v>#DIV/0!</v>
      </c>
      <c r="H587" s="11"/>
      <c r="I587" s="11"/>
      <c r="J587" s="180" t="e">
        <f t="shared" si="45"/>
        <v>#DIV/0!</v>
      </c>
      <c r="K587" s="100"/>
      <c r="L587" s="100"/>
      <c r="M587" s="100"/>
      <c r="N587" s="100">
        <f t="shared" si="46"/>
        <v>0</v>
      </c>
      <c r="O587" s="100"/>
      <c r="P587" s="41">
        <v>880</v>
      </c>
      <c r="Q587" s="11"/>
      <c r="R587" s="41">
        <v>260</v>
      </c>
      <c r="S587" s="185"/>
      <c r="T587" s="185"/>
      <c r="U587" s="185"/>
      <c r="V587" s="185"/>
      <c r="W587" s="41">
        <f t="shared" si="47"/>
        <v>0</v>
      </c>
      <c r="X587" s="41">
        <f t="shared" si="48"/>
        <v>0</v>
      </c>
      <c r="Y587" s="11"/>
      <c r="Z587" s="11"/>
      <c r="AA587" s="11"/>
      <c r="AB587" s="11"/>
      <c r="AC587" s="24"/>
    </row>
    <row r="588" spans="1:29" x14ac:dyDescent="0.2">
      <c r="A588" s="11">
        <f>+'SERVICIO FAENA'!A588</f>
        <v>0</v>
      </c>
      <c r="B588" s="11">
        <f>+'SERVICIO FAENA'!B588</f>
        <v>0</v>
      </c>
      <c r="C588" s="11"/>
      <c r="D588" s="11"/>
      <c r="E588" s="18">
        <f>+'SERVICIO FAENA'!E588</f>
        <v>0</v>
      </c>
      <c r="F588" s="11"/>
      <c r="G588" s="180" t="e">
        <f t="shared" si="49"/>
        <v>#DIV/0!</v>
      </c>
      <c r="H588" s="11"/>
      <c r="I588" s="11"/>
      <c r="J588" s="180" t="e">
        <f t="shared" si="45"/>
        <v>#DIV/0!</v>
      </c>
      <c r="K588" s="100"/>
      <c r="L588" s="100"/>
      <c r="M588" s="100"/>
      <c r="N588" s="100">
        <f t="shared" si="46"/>
        <v>0</v>
      </c>
      <c r="O588" s="100"/>
      <c r="P588" s="41">
        <v>880</v>
      </c>
      <c r="Q588" s="11"/>
      <c r="R588" s="41">
        <v>260</v>
      </c>
      <c r="S588" s="185"/>
      <c r="T588" s="185"/>
      <c r="U588" s="185"/>
      <c r="V588" s="185"/>
      <c r="W588" s="41">
        <f t="shared" si="47"/>
        <v>0</v>
      </c>
      <c r="X588" s="41">
        <f t="shared" si="48"/>
        <v>0</v>
      </c>
      <c r="Y588" s="11"/>
      <c r="Z588" s="11"/>
      <c r="AA588" s="11"/>
      <c r="AB588" s="11"/>
      <c r="AC588" s="24"/>
    </row>
    <row r="589" spans="1:29" x14ac:dyDescent="0.2">
      <c r="A589" s="11">
        <f>+'SERVICIO FAENA'!A589</f>
        <v>0</v>
      </c>
      <c r="B589" s="11">
        <f>+'SERVICIO FAENA'!B589</f>
        <v>0</v>
      </c>
      <c r="C589" s="11"/>
      <c r="D589" s="11"/>
      <c r="E589" s="18">
        <f>+'SERVICIO FAENA'!E589</f>
        <v>0</v>
      </c>
      <c r="F589" s="11"/>
      <c r="G589" s="180" t="e">
        <f t="shared" si="49"/>
        <v>#DIV/0!</v>
      </c>
      <c r="H589" s="11"/>
      <c r="I589" s="11"/>
      <c r="J589" s="180" t="e">
        <f t="shared" si="45"/>
        <v>#DIV/0!</v>
      </c>
      <c r="K589" s="100"/>
      <c r="L589" s="100"/>
      <c r="M589" s="100"/>
      <c r="N589" s="100">
        <f t="shared" si="46"/>
        <v>0</v>
      </c>
      <c r="O589" s="100"/>
      <c r="P589" s="41">
        <v>880</v>
      </c>
      <c r="Q589" s="11"/>
      <c r="R589" s="41">
        <v>260</v>
      </c>
      <c r="S589" s="185"/>
      <c r="T589" s="185"/>
      <c r="U589" s="185"/>
      <c r="V589" s="185"/>
      <c r="W589" s="41">
        <f t="shared" si="47"/>
        <v>0</v>
      </c>
      <c r="X589" s="41">
        <f t="shared" si="48"/>
        <v>0</v>
      </c>
      <c r="Y589" s="11"/>
      <c r="Z589" s="11"/>
      <c r="AA589" s="11"/>
      <c r="AB589" s="11"/>
      <c r="AC589" s="24"/>
    </row>
    <row r="590" spans="1:29" x14ac:dyDescent="0.2">
      <c r="A590" s="11">
        <f>+'SERVICIO FAENA'!A590</f>
        <v>0</v>
      </c>
      <c r="B590" s="11">
        <f>+'SERVICIO FAENA'!B590</f>
        <v>0</v>
      </c>
      <c r="C590" s="11"/>
      <c r="D590" s="11"/>
      <c r="E590" s="18">
        <f>+'SERVICIO FAENA'!E590</f>
        <v>0</v>
      </c>
      <c r="F590" s="11"/>
      <c r="G590" s="180" t="e">
        <f t="shared" si="49"/>
        <v>#DIV/0!</v>
      </c>
      <c r="H590" s="11"/>
      <c r="I590" s="11"/>
      <c r="J590" s="180" t="e">
        <f t="shared" si="45"/>
        <v>#DIV/0!</v>
      </c>
      <c r="K590" s="100"/>
      <c r="L590" s="100"/>
      <c r="M590" s="100"/>
      <c r="N590" s="100">
        <f t="shared" si="46"/>
        <v>0</v>
      </c>
      <c r="O590" s="100"/>
      <c r="P590" s="41">
        <v>880</v>
      </c>
      <c r="Q590" s="11"/>
      <c r="R590" s="41">
        <v>260</v>
      </c>
      <c r="S590" s="185"/>
      <c r="T590" s="185"/>
      <c r="U590" s="185"/>
      <c r="V590" s="185"/>
      <c r="W590" s="41">
        <f t="shared" si="47"/>
        <v>0</v>
      </c>
      <c r="X590" s="41">
        <f t="shared" si="48"/>
        <v>0</v>
      </c>
      <c r="Y590" s="11"/>
      <c r="Z590" s="11"/>
      <c r="AA590" s="11"/>
      <c r="AB590" s="11"/>
      <c r="AC590" s="24"/>
    </row>
    <row r="591" spans="1:29" x14ac:dyDescent="0.2">
      <c r="A591" s="11">
        <f>+'SERVICIO FAENA'!A591</f>
        <v>0</v>
      </c>
      <c r="B591" s="11">
        <f>+'SERVICIO FAENA'!B591</f>
        <v>0</v>
      </c>
      <c r="C591" s="11"/>
      <c r="D591" s="11"/>
      <c r="E591" s="18">
        <f>+'SERVICIO FAENA'!E591</f>
        <v>0</v>
      </c>
      <c r="F591" s="11"/>
      <c r="G591" s="180" t="e">
        <f t="shared" si="49"/>
        <v>#DIV/0!</v>
      </c>
      <c r="H591" s="11"/>
      <c r="I591" s="11"/>
      <c r="J591" s="180" t="e">
        <f t="shared" si="45"/>
        <v>#DIV/0!</v>
      </c>
      <c r="K591" s="100"/>
      <c r="L591" s="100"/>
      <c r="M591" s="100"/>
      <c r="N591" s="100">
        <f t="shared" si="46"/>
        <v>0</v>
      </c>
      <c r="O591" s="100"/>
      <c r="P591" s="41">
        <v>880</v>
      </c>
      <c r="Q591" s="11"/>
      <c r="R591" s="41">
        <v>260</v>
      </c>
      <c r="S591" s="185"/>
      <c r="T591" s="185"/>
      <c r="U591" s="185"/>
      <c r="V591" s="185"/>
      <c r="W591" s="41">
        <f t="shared" si="47"/>
        <v>0</v>
      </c>
      <c r="X591" s="41">
        <f t="shared" si="48"/>
        <v>0</v>
      </c>
      <c r="Y591" s="11"/>
      <c r="Z591" s="11"/>
      <c r="AA591" s="11"/>
      <c r="AB591" s="11"/>
      <c r="AC591" s="24"/>
    </row>
    <row r="592" spans="1:29" x14ac:dyDescent="0.2">
      <c r="A592" s="11">
        <f>+'SERVICIO FAENA'!A592</f>
        <v>0</v>
      </c>
      <c r="B592" s="11">
        <f>+'SERVICIO FAENA'!B592</f>
        <v>0</v>
      </c>
      <c r="C592" s="11"/>
      <c r="D592" s="11"/>
      <c r="E592" s="18">
        <f>+'SERVICIO FAENA'!E592</f>
        <v>0</v>
      </c>
      <c r="F592" s="11"/>
      <c r="G592" s="180" t="e">
        <f t="shared" si="49"/>
        <v>#DIV/0!</v>
      </c>
      <c r="H592" s="11"/>
      <c r="I592" s="11"/>
      <c r="J592" s="180" t="e">
        <f t="shared" si="45"/>
        <v>#DIV/0!</v>
      </c>
      <c r="K592" s="100"/>
      <c r="L592" s="100"/>
      <c r="M592" s="100"/>
      <c r="N592" s="100">
        <f t="shared" si="46"/>
        <v>0</v>
      </c>
      <c r="O592" s="100"/>
      <c r="P592" s="41">
        <v>880</v>
      </c>
      <c r="Q592" s="11"/>
      <c r="R592" s="41">
        <v>260</v>
      </c>
      <c r="S592" s="185"/>
      <c r="T592" s="185"/>
      <c r="U592" s="185"/>
      <c r="V592" s="185"/>
      <c r="W592" s="41">
        <f t="shared" si="47"/>
        <v>0</v>
      </c>
      <c r="X592" s="41">
        <f t="shared" si="48"/>
        <v>0</v>
      </c>
      <c r="Y592" s="11"/>
      <c r="Z592" s="11"/>
      <c r="AA592" s="11"/>
      <c r="AB592" s="11"/>
      <c r="AC592" s="24"/>
    </row>
    <row r="593" spans="1:29" x14ac:dyDescent="0.2">
      <c r="A593" s="11">
        <f>+'SERVICIO FAENA'!A593</f>
        <v>0</v>
      </c>
      <c r="B593" s="11">
        <f>+'SERVICIO FAENA'!B593</f>
        <v>0</v>
      </c>
      <c r="C593" s="11"/>
      <c r="D593" s="11"/>
      <c r="E593" s="18">
        <f>+'SERVICIO FAENA'!E593</f>
        <v>0</v>
      </c>
      <c r="F593" s="11"/>
      <c r="G593" s="180" t="e">
        <f t="shared" si="49"/>
        <v>#DIV/0!</v>
      </c>
      <c r="H593" s="11"/>
      <c r="I593" s="11"/>
      <c r="J593" s="180" t="e">
        <f t="shared" si="45"/>
        <v>#DIV/0!</v>
      </c>
      <c r="K593" s="100"/>
      <c r="L593" s="100"/>
      <c r="M593" s="100"/>
      <c r="N593" s="100">
        <f t="shared" si="46"/>
        <v>0</v>
      </c>
      <c r="O593" s="100"/>
      <c r="P593" s="41">
        <v>880</v>
      </c>
      <c r="Q593" s="11"/>
      <c r="R593" s="41">
        <v>260</v>
      </c>
      <c r="S593" s="185"/>
      <c r="T593" s="185"/>
      <c r="U593" s="185"/>
      <c r="V593" s="185"/>
      <c r="W593" s="41">
        <f t="shared" si="47"/>
        <v>0</v>
      </c>
      <c r="X593" s="41">
        <f t="shared" si="48"/>
        <v>0</v>
      </c>
      <c r="Y593" s="11"/>
      <c r="Z593" s="11"/>
      <c r="AA593" s="11"/>
      <c r="AB593" s="11"/>
      <c r="AC593" s="24"/>
    </row>
    <row r="594" spans="1:29" x14ac:dyDescent="0.2">
      <c r="A594" s="11">
        <f>+'SERVICIO FAENA'!A594</f>
        <v>0</v>
      </c>
      <c r="B594" s="11">
        <f>+'SERVICIO FAENA'!B594</f>
        <v>0</v>
      </c>
      <c r="C594" s="11"/>
      <c r="D594" s="11"/>
      <c r="E594" s="18">
        <f>+'SERVICIO FAENA'!E594</f>
        <v>0</v>
      </c>
      <c r="F594" s="11"/>
      <c r="G594" s="180" t="e">
        <f t="shared" si="49"/>
        <v>#DIV/0!</v>
      </c>
      <c r="H594" s="11"/>
      <c r="I594" s="11"/>
      <c r="J594" s="180" t="e">
        <f t="shared" si="45"/>
        <v>#DIV/0!</v>
      </c>
      <c r="K594" s="100"/>
      <c r="L594" s="100"/>
      <c r="M594" s="100"/>
      <c r="N594" s="100">
        <f t="shared" si="46"/>
        <v>0</v>
      </c>
      <c r="O594" s="100"/>
      <c r="P594" s="41">
        <v>880</v>
      </c>
      <c r="Q594" s="11"/>
      <c r="R594" s="41">
        <v>260</v>
      </c>
      <c r="S594" s="185"/>
      <c r="T594" s="185"/>
      <c r="U594" s="185"/>
      <c r="V594" s="185"/>
      <c r="W594" s="41">
        <f t="shared" si="47"/>
        <v>0</v>
      </c>
      <c r="X594" s="41">
        <f t="shared" si="48"/>
        <v>0</v>
      </c>
      <c r="Y594" s="11"/>
      <c r="Z594" s="11"/>
      <c r="AA594" s="11"/>
      <c r="AB594" s="11"/>
      <c r="AC594" s="24"/>
    </row>
    <row r="595" spans="1:29" x14ac:dyDescent="0.2">
      <c r="A595" s="11">
        <f>+'SERVICIO FAENA'!A595</f>
        <v>0</v>
      </c>
      <c r="B595" s="11">
        <f>+'SERVICIO FAENA'!B595</f>
        <v>0</v>
      </c>
      <c r="C595" s="11"/>
      <c r="D595" s="11"/>
      <c r="E595" s="18">
        <f>+'SERVICIO FAENA'!E595</f>
        <v>0</v>
      </c>
      <c r="F595" s="11"/>
      <c r="G595" s="180" t="e">
        <f t="shared" si="49"/>
        <v>#DIV/0!</v>
      </c>
      <c r="H595" s="11"/>
      <c r="I595" s="11"/>
      <c r="J595" s="180" t="e">
        <f t="shared" si="45"/>
        <v>#DIV/0!</v>
      </c>
      <c r="K595" s="100"/>
      <c r="L595" s="100"/>
      <c r="M595" s="100"/>
      <c r="N595" s="100">
        <f t="shared" si="46"/>
        <v>0</v>
      </c>
      <c r="O595" s="100"/>
      <c r="P595" s="41">
        <v>880</v>
      </c>
      <c r="Q595" s="11"/>
      <c r="R595" s="41">
        <v>260</v>
      </c>
      <c r="S595" s="185"/>
      <c r="T595" s="185"/>
      <c r="U595" s="185"/>
      <c r="V595" s="185"/>
      <c r="W595" s="41">
        <f t="shared" si="47"/>
        <v>0</v>
      </c>
      <c r="X595" s="41">
        <f t="shared" si="48"/>
        <v>0</v>
      </c>
      <c r="Y595" s="11"/>
      <c r="Z595" s="11"/>
      <c r="AA595" s="11"/>
      <c r="AB595" s="11"/>
      <c r="AC595" s="24"/>
    </row>
    <row r="596" spans="1:29" x14ac:dyDescent="0.2">
      <c r="A596" s="11">
        <f>+'SERVICIO FAENA'!A596</f>
        <v>0</v>
      </c>
      <c r="B596" s="11">
        <f>+'SERVICIO FAENA'!B596</f>
        <v>0</v>
      </c>
      <c r="C596" s="11"/>
      <c r="D596" s="11"/>
      <c r="E596" s="18">
        <f>+'SERVICIO FAENA'!E596</f>
        <v>0</v>
      </c>
      <c r="F596" s="11"/>
      <c r="G596" s="180" t="e">
        <f t="shared" si="49"/>
        <v>#DIV/0!</v>
      </c>
      <c r="H596" s="11"/>
      <c r="I596" s="11"/>
      <c r="J596" s="180" t="e">
        <f t="shared" si="45"/>
        <v>#DIV/0!</v>
      </c>
      <c r="K596" s="100"/>
      <c r="L596" s="100"/>
      <c r="M596" s="100"/>
      <c r="N596" s="100">
        <f t="shared" si="46"/>
        <v>0</v>
      </c>
      <c r="O596" s="100"/>
      <c r="P596" s="41">
        <v>880</v>
      </c>
      <c r="Q596" s="11"/>
      <c r="R596" s="41">
        <v>260</v>
      </c>
      <c r="S596" s="185"/>
      <c r="T596" s="185"/>
      <c r="U596" s="185"/>
      <c r="V596" s="185"/>
      <c r="W596" s="41">
        <f t="shared" si="47"/>
        <v>0</v>
      </c>
      <c r="X596" s="41">
        <f t="shared" si="48"/>
        <v>0</v>
      </c>
      <c r="Y596" s="11"/>
      <c r="Z596" s="11"/>
      <c r="AA596" s="11"/>
      <c r="AB596" s="11"/>
      <c r="AC596" s="24"/>
    </row>
    <row r="597" spans="1:29" x14ac:dyDescent="0.2">
      <c r="A597" s="11">
        <f>+'SERVICIO FAENA'!A597</f>
        <v>0</v>
      </c>
      <c r="B597" s="11">
        <f>+'SERVICIO FAENA'!B597</f>
        <v>0</v>
      </c>
      <c r="C597" s="11"/>
      <c r="D597" s="11"/>
      <c r="E597" s="18">
        <f>+'SERVICIO FAENA'!E597</f>
        <v>0</v>
      </c>
      <c r="F597" s="11"/>
      <c r="G597" s="180" t="e">
        <f t="shared" si="49"/>
        <v>#DIV/0!</v>
      </c>
      <c r="H597" s="11"/>
      <c r="I597" s="11"/>
      <c r="J597" s="180" t="e">
        <f t="shared" si="45"/>
        <v>#DIV/0!</v>
      </c>
      <c r="K597" s="100"/>
      <c r="L597" s="100"/>
      <c r="M597" s="100"/>
      <c r="N597" s="100">
        <f t="shared" si="46"/>
        <v>0</v>
      </c>
      <c r="O597" s="100"/>
      <c r="P597" s="41">
        <v>880</v>
      </c>
      <c r="Q597" s="11"/>
      <c r="R597" s="41">
        <v>260</v>
      </c>
      <c r="S597" s="185"/>
      <c r="T597" s="185"/>
      <c r="U597" s="185"/>
      <c r="V597" s="185"/>
      <c r="W597" s="41">
        <f t="shared" si="47"/>
        <v>0</v>
      </c>
      <c r="X597" s="41">
        <f t="shared" si="48"/>
        <v>0</v>
      </c>
      <c r="Y597" s="11"/>
      <c r="Z597" s="11"/>
      <c r="AA597" s="11"/>
      <c r="AB597" s="11"/>
      <c r="AC597" s="24"/>
    </row>
    <row r="598" spans="1:29" x14ac:dyDescent="0.2">
      <c r="A598" s="11">
        <f>+'SERVICIO FAENA'!A598</f>
        <v>0</v>
      </c>
      <c r="B598" s="11">
        <f>+'SERVICIO FAENA'!B598</f>
        <v>0</v>
      </c>
      <c r="C598" s="11"/>
      <c r="D598" s="11"/>
      <c r="E598" s="18">
        <f>+'SERVICIO FAENA'!E598</f>
        <v>0</v>
      </c>
      <c r="F598" s="11"/>
      <c r="G598" s="180" t="e">
        <f t="shared" si="49"/>
        <v>#DIV/0!</v>
      </c>
      <c r="H598" s="11"/>
      <c r="I598" s="11"/>
      <c r="J598" s="180" t="e">
        <f t="shared" si="45"/>
        <v>#DIV/0!</v>
      </c>
      <c r="K598" s="100"/>
      <c r="L598" s="100"/>
      <c r="M598" s="100"/>
      <c r="N598" s="100">
        <f t="shared" si="46"/>
        <v>0</v>
      </c>
      <c r="O598" s="100"/>
      <c r="P598" s="41">
        <v>880</v>
      </c>
      <c r="Q598" s="11"/>
      <c r="R598" s="41">
        <v>260</v>
      </c>
      <c r="S598" s="185"/>
      <c r="T598" s="185"/>
      <c r="U598" s="185"/>
      <c r="V598" s="185"/>
      <c r="W598" s="41">
        <f t="shared" si="47"/>
        <v>0</v>
      </c>
      <c r="X598" s="41">
        <f t="shared" si="48"/>
        <v>0</v>
      </c>
      <c r="Y598" s="11"/>
      <c r="Z598" s="11"/>
      <c r="AA598" s="11"/>
      <c r="AB598" s="11"/>
      <c r="AC598" s="24"/>
    </row>
    <row r="599" spans="1:29" x14ac:dyDescent="0.2">
      <c r="A599" s="11">
        <f>+'SERVICIO FAENA'!A599</f>
        <v>0</v>
      </c>
      <c r="B599" s="11">
        <f>+'SERVICIO FAENA'!B599</f>
        <v>0</v>
      </c>
      <c r="C599" s="11"/>
      <c r="D599" s="11"/>
      <c r="E599" s="18">
        <f>+'SERVICIO FAENA'!E599</f>
        <v>0</v>
      </c>
      <c r="F599" s="11"/>
      <c r="G599" s="180" t="e">
        <f t="shared" si="49"/>
        <v>#DIV/0!</v>
      </c>
      <c r="H599" s="11"/>
      <c r="I599" s="11"/>
      <c r="J599" s="180" t="e">
        <f t="shared" si="45"/>
        <v>#DIV/0!</v>
      </c>
      <c r="K599" s="100"/>
      <c r="L599" s="100"/>
      <c r="M599" s="100"/>
      <c r="N599" s="100">
        <f t="shared" si="46"/>
        <v>0</v>
      </c>
      <c r="O599" s="100"/>
      <c r="P599" s="41">
        <v>880</v>
      </c>
      <c r="Q599" s="11"/>
      <c r="R599" s="41">
        <v>260</v>
      </c>
      <c r="S599" s="185"/>
      <c r="T599" s="185"/>
      <c r="U599" s="185"/>
      <c r="V599" s="185"/>
      <c r="W599" s="41">
        <f t="shared" si="47"/>
        <v>0</v>
      </c>
      <c r="X599" s="41">
        <f t="shared" si="48"/>
        <v>0</v>
      </c>
      <c r="Y599" s="11"/>
      <c r="Z599" s="11"/>
      <c r="AA599" s="11"/>
      <c r="AB599" s="11"/>
      <c r="AC599" s="24"/>
    </row>
    <row r="600" spans="1:29" x14ac:dyDescent="0.2">
      <c r="A600" s="11">
        <f>+'SERVICIO FAENA'!A600</f>
        <v>0</v>
      </c>
      <c r="B600" s="11">
        <f>+'SERVICIO FAENA'!B600</f>
        <v>0</v>
      </c>
      <c r="C600" s="11"/>
      <c r="D600" s="11"/>
      <c r="E600" s="18">
        <f>+'SERVICIO FAENA'!E600</f>
        <v>0</v>
      </c>
      <c r="F600" s="11"/>
      <c r="G600" s="180" t="e">
        <f t="shared" si="49"/>
        <v>#DIV/0!</v>
      </c>
      <c r="H600" s="11"/>
      <c r="I600" s="11"/>
      <c r="J600" s="180" t="e">
        <f t="shared" si="45"/>
        <v>#DIV/0!</v>
      </c>
      <c r="K600" s="100"/>
      <c r="L600" s="100"/>
      <c r="M600" s="100"/>
      <c r="N600" s="100">
        <f t="shared" si="46"/>
        <v>0</v>
      </c>
      <c r="O600" s="100"/>
      <c r="P600" s="41">
        <v>880</v>
      </c>
      <c r="Q600" s="11"/>
      <c r="R600" s="41">
        <v>260</v>
      </c>
      <c r="S600" s="185"/>
      <c r="T600" s="185"/>
      <c r="U600" s="185"/>
      <c r="V600" s="185"/>
      <c r="W600" s="41">
        <f t="shared" si="47"/>
        <v>0</v>
      </c>
      <c r="X600" s="41">
        <f t="shared" si="48"/>
        <v>0</v>
      </c>
      <c r="Y600" s="11"/>
      <c r="Z600" s="11"/>
      <c r="AA600" s="11"/>
      <c r="AB600" s="11"/>
      <c r="AC600" s="24"/>
    </row>
    <row r="601" spans="1:29" x14ac:dyDescent="0.2">
      <c r="A601" s="11">
        <f>+'SERVICIO FAENA'!A601</f>
        <v>0</v>
      </c>
      <c r="B601" s="11">
        <f>+'SERVICIO FAENA'!B601</f>
        <v>0</v>
      </c>
      <c r="C601" s="11"/>
      <c r="D601" s="11"/>
      <c r="E601" s="18">
        <f>+'SERVICIO FAENA'!E601</f>
        <v>0</v>
      </c>
      <c r="F601" s="11"/>
      <c r="G601" s="180" t="e">
        <f t="shared" si="49"/>
        <v>#DIV/0!</v>
      </c>
      <c r="H601" s="11"/>
      <c r="I601" s="11"/>
      <c r="J601" s="180" t="e">
        <f t="shared" si="45"/>
        <v>#DIV/0!</v>
      </c>
      <c r="K601" s="100"/>
      <c r="L601" s="100"/>
      <c r="M601" s="100"/>
      <c r="N601" s="100">
        <f t="shared" si="46"/>
        <v>0</v>
      </c>
      <c r="O601" s="100"/>
      <c r="P601" s="41">
        <v>880</v>
      </c>
      <c r="Q601" s="11"/>
      <c r="R601" s="41">
        <v>260</v>
      </c>
      <c r="S601" s="185"/>
      <c r="T601" s="185"/>
      <c r="U601" s="185"/>
      <c r="V601" s="185"/>
      <c r="W601" s="41">
        <f t="shared" si="47"/>
        <v>0</v>
      </c>
      <c r="X601" s="41">
        <f t="shared" si="48"/>
        <v>0</v>
      </c>
      <c r="Y601" s="11"/>
      <c r="Z601" s="11"/>
      <c r="AA601" s="11"/>
      <c r="AB601" s="11"/>
      <c r="AC601" s="24"/>
    </row>
    <row r="602" spans="1:29" x14ac:dyDescent="0.2">
      <c r="A602" s="11">
        <f>+'SERVICIO FAENA'!A602</f>
        <v>0</v>
      </c>
      <c r="B602" s="11">
        <f>+'SERVICIO FAENA'!B602</f>
        <v>0</v>
      </c>
      <c r="C602" s="11"/>
      <c r="D602" s="11"/>
      <c r="E602" s="18">
        <f>+'SERVICIO FAENA'!E602</f>
        <v>0</v>
      </c>
      <c r="F602" s="11"/>
      <c r="G602" s="180" t="e">
        <f t="shared" si="49"/>
        <v>#DIV/0!</v>
      </c>
      <c r="H602" s="11"/>
      <c r="I602" s="11"/>
      <c r="J602" s="180" t="e">
        <f t="shared" si="45"/>
        <v>#DIV/0!</v>
      </c>
      <c r="K602" s="100"/>
      <c r="L602" s="100"/>
      <c r="M602" s="100"/>
      <c r="N602" s="100">
        <f t="shared" si="46"/>
        <v>0</v>
      </c>
      <c r="O602" s="100"/>
      <c r="P602" s="41">
        <v>880</v>
      </c>
      <c r="Q602" s="11"/>
      <c r="R602" s="41">
        <v>260</v>
      </c>
      <c r="S602" s="185"/>
      <c r="T602" s="185"/>
      <c r="U602" s="185"/>
      <c r="V602" s="185"/>
      <c r="W602" s="41">
        <f t="shared" si="47"/>
        <v>0</v>
      </c>
      <c r="X602" s="41">
        <f t="shared" si="48"/>
        <v>0</v>
      </c>
      <c r="Y602" s="11"/>
      <c r="Z602" s="11"/>
      <c r="AA602" s="11"/>
      <c r="AB602" s="11"/>
      <c r="AC602" s="24"/>
    </row>
    <row r="603" spans="1:29" x14ac:dyDescent="0.2">
      <c r="A603" s="11">
        <f>+'SERVICIO FAENA'!A603</f>
        <v>0</v>
      </c>
      <c r="B603" s="11">
        <f>+'SERVICIO FAENA'!B603</f>
        <v>0</v>
      </c>
      <c r="C603" s="11"/>
      <c r="D603" s="11"/>
      <c r="E603" s="18">
        <f>+'SERVICIO FAENA'!E603</f>
        <v>0</v>
      </c>
      <c r="F603" s="11"/>
      <c r="G603" s="180" t="e">
        <f t="shared" si="49"/>
        <v>#DIV/0!</v>
      </c>
      <c r="H603" s="11"/>
      <c r="I603" s="11"/>
      <c r="J603" s="180" t="e">
        <f t="shared" si="45"/>
        <v>#DIV/0!</v>
      </c>
      <c r="K603" s="100"/>
      <c r="L603" s="100"/>
      <c r="M603" s="100"/>
      <c r="N603" s="100">
        <f t="shared" si="46"/>
        <v>0</v>
      </c>
      <c r="O603" s="100"/>
      <c r="P603" s="41">
        <v>880</v>
      </c>
      <c r="Q603" s="11"/>
      <c r="R603" s="41">
        <v>260</v>
      </c>
      <c r="S603" s="185"/>
      <c r="T603" s="185"/>
      <c r="U603" s="185"/>
      <c r="V603" s="185"/>
      <c r="W603" s="41">
        <f t="shared" si="47"/>
        <v>0</v>
      </c>
      <c r="X603" s="41">
        <f t="shared" si="48"/>
        <v>0</v>
      </c>
      <c r="Y603" s="11"/>
      <c r="Z603" s="11"/>
      <c r="AA603" s="11"/>
      <c r="AB603" s="11"/>
      <c r="AC603" s="24"/>
    </row>
    <row r="604" spans="1:29" x14ac:dyDescent="0.2">
      <c r="A604" s="11">
        <f>+'SERVICIO FAENA'!A604</f>
        <v>0</v>
      </c>
      <c r="B604" s="11">
        <f>+'SERVICIO FAENA'!B604</f>
        <v>0</v>
      </c>
      <c r="C604" s="11"/>
      <c r="D604" s="11"/>
      <c r="E604" s="18">
        <f>+'SERVICIO FAENA'!E604</f>
        <v>0</v>
      </c>
      <c r="F604" s="11"/>
      <c r="G604" s="180" t="e">
        <f t="shared" si="49"/>
        <v>#DIV/0!</v>
      </c>
      <c r="H604" s="11"/>
      <c r="I604" s="11"/>
      <c r="J604" s="180" t="e">
        <f t="shared" si="45"/>
        <v>#DIV/0!</v>
      </c>
      <c r="K604" s="100"/>
      <c r="L604" s="100"/>
      <c r="M604" s="100"/>
      <c r="N604" s="100">
        <f t="shared" si="46"/>
        <v>0</v>
      </c>
      <c r="O604" s="100"/>
      <c r="P604" s="41">
        <v>880</v>
      </c>
      <c r="Q604" s="11"/>
      <c r="R604" s="41">
        <v>260</v>
      </c>
      <c r="S604" s="185"/>
      <c r="T604" s="185"/>
      <c r="U604" s="185"/>
      <c r="V604" s="185"/>
      <c r="W604" s="41">
        <f t="shared" si="47"/>
        <v>0</v>
      </c>
      <c r="X604" s="41">
        <f t="shared" si="48"/>
        <v>0</v>
      </c>
      <c r="Y604" s="11"/>
      <c r="Z604" s="11"/>
      <c r="AA604" s="11"/>
      <c r="AB604" s="11"/>
      <c r="AC604" s="24"/>
    </row>
    <row r="605" spans="1:29" x14ac:dyDescent="0.2">
      <c r="A605" s="11">
        <f>+'SERVICIO FAENA'!A605</f>
        <v>0</v>
      </c>
      <c r="B605" s="11">
        <f>+'SERVICIO FAENA'!B605</f>
        <v>0</v>
      </c>
      <c r="C605" s="11"/>
      <c r="D605" s="11"/>
      <c r="E605" s="18">
        <f>+'SERVICIO FAENA'!E605</f>
        <v>0</v>
      </c>
      <c r="F605" s="11"/>
      <c r="G605" s="180" t="e">
        <f t="shared" si="49"/>
        <v>#DIV/0!</v>
      </c>
      <c r="H605" s="11"/>
      <c r="I605" s="11"/>
      <c r="J605" s="180" t="e">
        <f t="shared" si="45"/>
        <v>#DIV/0!</v>
      </c>
      <c r="K605" s="100"/>
      <c r="L605" s="100"/>
      <c r="M605" s="100"/>
      <c r="N605" s="100">
        <f t="shared" si="46"/>
        <v>0</v>
      </c>
      <c r="O605" s="100"/>
      <c r="P605" s="41">
        <v>880</v>
      </c>
      <c r="Q605" s="11"/>
      <c r="R605" s="41">
        <v>260</v>
      </c>
      <c r="S605" s="185"/>
      <c r="T605" s="185"/>
      <c r="U605" s="185"/>
      <c r="V605" s="185"/>
      <c r="W605" s="41">
        <f t="shared" si="47"/>
        <v>0</v>
      </c>
      <c r="X605" s="41">
        <f t="shared" si="48"/>
        <v>0</v>
      </c>
      <c r="Y605" s="11"/>
      <c r="Z605" s="11"/>
      <c r="AA605" s="11"/>
      <c r="AB605" s="11"/>
      <c r="AC605" s="24"/>
    </row>
    <row r="606" spans="1:29" x14ac:dyDescent="0.2">
      <c r="A606" s="11">
        <f>+'SERVICIO FAENA'!A606</f>
        <v>0</v>
      </c>
      <c r="B606" s="11">
        <f>+'SERVICIO FAENA'!B606</f>
        <v>0</v>
      </c>
      <c r="C606" s="11"/>
      <c r="D606" s="11"/>
      <c r="E606" s="18">
        <f>+'SERVICIO FAENA'!E606</f>
        <v>0</v>
      </c>
      <c r="F606" s="11"/>
      <c r="G606" s="180" t="e">
        <f t="shared" si="49"/>
        <v>#DIV/0!</v>
      </c>
      <c r="H606" s="11"/>
      <c r="I606" s="11"/>
      <c r="J606" s="180" t="e">
        <f t="shared" si="45"/>
        <v>#DIV/0!</v>
      </c>
      <c r="K606" s="100"/>
      <c r="L606" s="100"/>
      <c r="M606" s="100"/>
      <c r="N606" s="100">
        <f t="shared" si="46"/>
        <v>0</v>
      </c>
      <c r="O606" s="100"/>
      <c r="P606" s="41">
        <v>880</v>
      </c>
      <c r="Q606" s="11"/>
      <c r="R606" s="41">
        <v>260</v>
      </c>
      <c r="S606" s="185"/>
      <c r="T606" s="185"/>
      <c r="U606" s="185"/>
      <c r="V606" s="185"/>
      <c r="W606" s="41">
        <f t="shared" si="47"/>
        <v>0</v>
      </c>
      <c r="X606" s="41">
        <f t="shared" si="48"/>
        <v>0</v>
      </c>
      <c r="Y606" s="11"/>
      <c r="Z606" s="11"/>
      <c r="AA606" s="11"/>
      <c r="AB606" s="11"/>
      <c r="AC606" s="24"/>
    </row>
    <row r="607" spans="1:29" x14ac:dyDescent="0.2">
      <c r="A607" s="11">
        <f>+'SERVICIO FAENA'!A607</f>
        <v>0</v>
      </c>
      <c r="B607" s="11">
        <f>+'SERVICIO FAENA'!B607</f>
        <v>0</v>
      </c>
      <c r="C607" s="11"/>
      <c r="D607" s="11"/>
      <c r="E607" s="18">
        <f>+'SERVICIO FAENA'!E607</f>
        <v>0</v>
      </c>
      <c r="F607" s="11"/>
      <c r="G607" s="180" t="e">
        <f t="shared" si="49"/>
        <v>#DIV/0!</v>
      </c>
      <c r="H607" s="11"/>
      <c r="I607" s="11"/>
      <c r="J607" s="180" t="e">
        <f t="shared" si="45"/>
        <v>#DIV/0!</v>
      </c>
      <c r="K607" s="100"/>
      <c r="L607" s="100"/>
      <c r="M607" s="100"/>
      <c r="N607" s="100">
        <f t="shared" si="46"/>
        <v>0</v>
      </c>
      <c r="O607" s="100"/>
      <c r="P607" s="41">
        <v>880</v>
      </c>
      <c r="Q607" s="11"/>
      <c r="R607" s="41">
        <v>260</v>
      </c>
      <c r="S607" s="185"/>
      <c r="T607" s="185"/>
      <c r="U607" s="185"/>
      <c r="V607" s="185"/>
      <c r="W607" s="41">
        <f t="shared" si="47"/>
        <v>0</v>
      </c>
      <c r="X607" s="41">
        <f t="shared" si="48"/>
        <v>0</v>
      </c>
      <c r="Y607" s="11"/>
      <c r="Z607" s="11"/>
      <c r="AA607" s="11"/>
      <c r="AB607" s="11"/>
      <c r="AC607" s="24"/>
    </row>
    <row r="608" spans="1:29" x14ac:dyDescent="0.2">
      <c r="A608" s="11">
        <f>+'SERVICIO FAENA'!A608</f>
        <v>0</v>
      </c>
      <c r="B608" s="11">
        <f>+'SERVICIO FAENA'!B608</f>
        <v>0</v>
      </c>
      <c r="C608" s="11"/>
      <c r="D608" s="11"/>
      <c r="E608" s="18">
        <f>+'SERVICIO FAENA'!E608</f>
        <v>0</v>
      </c>
      <c r="F608" s="11"/>
      <c r="G608" s="180" t="e">
        <f t="shared" si="49"/>
        <v>#DIV/0!</v>
      </c>
      <c r="H608" s="11"/>
      <c r="I608" s="11"/>
      <c r="J608" s="180" t="e">
        <f t="shared" si="45"/>
        <v>#DIV/0!</v>
      </c>
      <c r="K608" s="100"/>
      <c r="L608" s="100"/>
      <c r="M608" s="100"/>
      <c r="N608" s="100">
        <f t="shared" si="46"/>
        <v>0</v>
      </c>
      <c r="O608" s="100"/>
      <c r="P608" s="41">
        <v>880</v>
      </c>
      <c r="Q608" s="11"/>
      <c r="R608" s="41">
        <v>260</v>
      </c>
      <c r="S608" s="185"/>
      <c r="T608" s="185"/>
      <c r="U608" s="185"/>
      <c r="V608" s="185"/>
      <c r="W608" s="41">
        <f t="shared" si="47"/>
        <v>0</v>
      </c>
      <c r="X608" s="41">
        <f t="shared" si="48"/>
        <v>0</v>
      </c>
      <c r="Y608" s="11"/>
      <c r="Z608" s="11"/>
      <c r="AA608" s="11"/>
      <c r="AB608" s="11"/>
      <c r="AC608" s="24"/>
    </row>
    <row r="609" spans="1:29" x14ac:dyDescent="0.2">
      <c r="A609" s="11">
        <f>+'SERVICIO FAENA'!A609</f>
        <v>0</v>
      </c>
      <c r="B609" s="11">
        <f>+'SERVICIO FAENA'!B609</f>
        <v>0</v>
      </c>
      <c r="C609" s="11"/>
      <c r="D609" s="11"/>
      <c r="E609" s="18">
        <f>+'SERVICIO FAENA'!E609</f>
        <v>0</v>
      </c>
      <c r="F609" s="11"/>
      <c r="G609" s="180" t="e">
        <f t="shared" si="49"/>
        <v>#DIV/0!</v>
      </c>
      <c r="H609" s="11"/>
      <c r="I609" s="11"/>
      <c r="J609" s="180" t="e">
        <f t="shared" si="45"/>
        <v>#DIV/0!</v>
      </c>
      <c r="K609" s="100"/>
      <c r="L609" s="100"/>
      <c r="M609" s="100"/>
      <c r="N609" s="100">
        <f t="shared" si="46"/>
        <v>0</v>
      </c>
      <c r="O609" s="100"/>
      <c r="P609" s="41">
        <v>880</v>
      </c>
      <c r="Q609" s="11"/>
      <c r="R609" s="41">
        <v>260</v>
      </c>
      <c r="S609" s="185"/>
      <c r="T609" s="185"/>
      <c r="U609" s="185"/>
      <c r="V609" s="185"/>
      <c r="W609" s="41">
        <f t="shared" si="47"/>
        <v>0</v>
      </c>
      <c r="X609" s="41">
        <f t="shared" si="48"/>
        <v>0</v>
      </c>
      <c r="Y609" s="11"/>
      <c r="Z609" s="11"/>
      <c r="AA609" s="11"/>
      <c r="AB609" s="11"/>
      <c r="AC609" s="24"/>
    </row>
    <row r="610" spans="1:29" x14ac:dyDescent="0.2">
      <c r="A610" s="11">
        <f>+'SERVICIO FAENA'!A610</f>
        <v>0</v>
      </c>
      <c r="B610" s="11">
        <f>+'SERVICIO FAENA'!B610</f>
        <v>0</v>
      </c>
      <c r="C610" s="11"/>
      <c r="D610" s="11"/>
      <c r="E610" s="18">
        <f>+'SERVICIO FAENA'!E610</f>
        <v>0</v>
      </c>
      <c r="F610" s="11"/>
      <c r="G610" s="180" t="e">
        <f t="shared" si="49"/>
        <v>#DIV/0!</v>
      </c>
      <c r="H610" s="11"/>
      <c r="I610" s="11"/>
      <c r="J610" s="180" t="e">
        <f t="shared" si="45"/>
        <v>#DIV/0!</v>
      </c>
      <c r="K610" s="100"/>
      <c r="L610" s="100"/>
      <c r="M610" s="100"/>
      <c r="N610" s="100">
        <f t="shared" si="46"/>
        <v>0</v>
      </c>
      <c r="O610" s="100"/>
      <c r="P610" s="41">
        <v>880</v>
      </c>
      <c r="Q610" s="11"/>
      <c r="R610" s="41">
        <v>260</v>
      </c>
      <c r="S610" s="185"/>
      <c r="T610" s="185"/>
      <c r="U610" s="185"/>
      <c r="V610" s="185"/>
      <c r="W610" s="41">
        <f t="shared" si="47"/>
        <v>0</v>
      </c>
      <c r="X610" s="41">
        <f t="shared" si="48"/>
        <v>0</v>
      </c>
      <c r="Y610" s="11"/>
      <c r="Z610" s="11"/>
      <c r="AA610" s="11"/>
      <c r="AB610" s="11"/>
      <c r="AC610" s="24"/>
    </row>
    <row r="611" spans="1:29" x14ac:dyDescent="0.2">
      <c r="A611" s="11">
        <f>+'SERVICIO FAENA'!A611</f>
        <v>0</v>
      </c>
      <c r="B611" s="11">
        <f>+'SERVICIO FAENA'!B611</f>
        <v>0</v>
      </c>
      <c r="C611" s="11"/>
      <c r="D611" s="11"/>
      <c r="E611" s="18">
        <f>+'SERVICIO FAENA'!E611</f>
        <v>0</v>
      </c>
      <c r="F611" s="11"/>
      <c r="G611" s="180" t="e">
        <f t="shared" si="49"/>
        <v>#DIV/0!</v>
      </c>
      <c r="H611" s="11"/>
      <c r="I611" s="11"/>
      <c r="J611" s="180" t="e">
        <f t="shared" si="45"/>
        <v>#DIV/0!</v>
      </c>
      <c r="K611" s="100"/>
      <c r="L611" s="100"/>
      <c r="M611" s="100"/>
      <c r="N611" s="100">
        <f t="shared" si="46"/>
        <v>0</v>
      </c>
      <c r="O611" s="100"/>
      <c r="P611" s="41">
        <v>880</v>
      </c>
      <c r="Q611" s="11"/>
      <c r="R611" s="41">
        <v>260</v>
      </c>
      <c r="S611" s="185"/>
      <c r="T611" s="185"/>
      <c r="U611" s="185"/>
      <c r="V611" s="185"/>
      <c r="W611" s="41">
        <f t="shared" si="47"/>
        <v>0</v>
      </c>
      <c r="X611" s="41">
        <f t="shared" si="48"/>
        <v>0</v>
      </c>
      <c r="Y611" s="11"/>
      <c r="Z611" s="11"/>
      <c r="AA611" s="11"/>
      <c r="AB611" s="11"/>
      <c r="AC611" s="24"/>
    </row>
    <row r="612" spans="1:29" x14ac:dyDescent="0.2">
      <c r="A612" s="11">
        <f>+'SERVICIO FAENA'!A612</f>
        <v>0</v>
      </c>
      <c r="B612" s="11">
        <f>+'SERVICIO FAENA'!B612</f>
        <v>0</v>
      </c>
      <c r="C612" s="11"/>
      <c r="D612" s="11"/>
      <c r="E612" s="18">
        <f>+'SERVICIO FAENA'!E612</f>
        <v>0</v>
      </c>
      <c r="F612" s="11"/>
      <c r="G612" s="180" t="e">
        <f t="shared" si="49"/>
        <v>#DIV/0!</v>
      </c>
      <c r="H612" s="11"/>
      <c r="I612" s="11"/>
      <c r="J612" s="180" t="e">
        <f t="shared" si="45"/>
        <v>#DIV/0!</v>
      </c>
      <c r="K612" s="100"/>
      <c r="L612" s="100"/>
      <c r="M612" s="100"/>
      <c r="N612" s="100">
        <f t="shared" si="46"/>
        <v>0</v>
      </c>
      <c r="O612" s="100"/>
      <c r="P612" s="41">
        <v>880</v>
      </c>
      <c r="Q612" s="11"/>
      <c r="R612" s="41">
        <v>260</v>
      </c>
      <c r="S612" s="185"/>
      <c r="T612" s="185"/>
      <c r="U612" s="185"/>
      <c r="V612" s="185"/>
      <c r="W612" s="41">
        <f t="shared" si="47"/>
        <v>0</v>
      </c>
      <c r="X612" s="41">
        <f t="shared" si="48"/>
        <v>0</v>
      </c>
      <c r="Y612" s="11"/>
      <c r="Z612" s="11"/>
      <c r="AA612" s="11"/>
      <c r="AB612" s="11"/>
      <c r="AC612" s="24"/>
    </row>
    <row r="613" spans="1:29" x14ac:dyDescent="0.2">
      <c r="A613" s="11">
        <f>+'SERVICIO FAENA'!A613</f>
        <v>0</v>
      </c>
      <c r="B613" s="11">
        <f>+'SERVICIO FAENA'!B613</f>
        <v>0</v>
      </c>
      <c r="C613" s="11"/>
      <c r="D613" s="11"/>
      <c r="E613" s="18">
        <f>+'SERVICIO FAENA'!E613</f>
        <v>0</v>
      </c>
      <c r="F613" s="11"/>
      <c r="G613" s="180" t="e">
        <f t="shared" si="49"/>
        <v>#DIV/0!</v>
      </c>
      <c r="H613" s="11"/>
      <c r="I613" s="11"/>
      <c r="J613" s="180" t="e">
        <f t="shared" si="45"/>
        <v>#DIV/0!</v>
      </c>
      <c r="K613" s="100"/>
      <c r="L613" s="100"/>
      <c r="M613" s="100"/>
      <c r="N613" s="100">
        <f t="shared" si="46"/>
        <v>0</v>
      </c>
      <c r="O613" s="100"/>
      <c r="P613" s="41">
        <v>880</v>
      </c>
      <c r="Q613" s="11"/>
      <c r="R613" s="41">
        <v>260</v>
      </c>
      <c r="S613" s="185"/>
      <c r="T613" s="185"/>
      <c r="U613" s="185"/>
      <c r="V613" s="185"/>
      <c r="W613" s="41">
        <f t="shared" si="47"/>
        <v>0</v>
      </c>
      <c r="X613" s="41">
        <f t="shared" si="48"/>
        <v>0</v>
      </c>
      <c r="Y613" s="11"/>
      <c r="Z613" s="11"/>
      <c r="AA613" s="11"/>
      <c r="AB613" s="11"/>
      <c r="AC613" s="24"/>
    </row>
    <row r="614" spans="1:29" x14ac:dyDescent="0.2">
      <c r="A614" s="11">
        <f>+'SERVICIO FAENA'!A614</f>
        <v>0</v>
      </c>
      <c r="B614" s="11">
        <f>+'SERVICIO FAENA'!B614</f>
        <v>0</v>
      </c>
      <c r="C614" s="11"/>
      <c r="D614" s="11"/>
      <c r="E614" s="18">
        <f>+'SERVICIO FAENA'!E614</f>
        <v>0</v>
      </c>
      <c r="F614" s="11"/>
      <c r="G614" s="180" t="e">
        <f t="shared" si="49"/>
        <v>#DIV/0!</v>
      </c>
      <c r="H614" s="11"/>
      <c r="I614" s="11"/>
      <c r="J614" s="180" t="e">
        <f t="shared" si="45"/>
        <v>#DIV/0!</v>
      </c>
      <c r="K614" s="100"/>
      <c r="L614" s="100"/>
      <c r="M614" s="100"/>
      <c r="N614" s="100">
        <f t="shared" si="46"/>
        <v>0</v>
      </c>
      <c r="O614" s="100"/>
      <c r="P614" s="41">
        <v>880</v>
      </c>
      <c r="Q614" s="11"/>
      <c r="R614" s="41">
        <v>260</v>
      </c>
      <c r="S614" s="185"/>
      <c r="T614" s="185"/>
      <c r="U614" s="185"/>
      <c r="V614" s="185"/>
      <c r="W614" s="41">
        <f t="shared" si="47"/>
        <v>0</v>
      </c>
      <c r="X614" s="41">
        <f t="shared" si="48"/>
        <v>0</v>
      </c>
      <c r="Y614" s="11"/>
      <c r="Z614" s="11"/>
      <c r="AA614" s="11"/>
      <c r="AB614" s="11"/>
      <c r="AC614" s="24"/>
    </row>
    <row r="615" spans="1:29" x14ac:dyDescent="0.2">
      <c r="A615" s="11">
        <f>+'SERVICIO FAENA'!A615</f>
        <v>0</v>
      </c>
      <c r="B615" s="11">
        <f>+'SERVICIO FAENA'!B615</f>
        <v>0</v>
      </c>
      <c r="C615" s="11"/>
      <c r="D615" s="11"/>
      <c r="E615" s="18">
        <f>+'SERVICIO FAENA'!E615</f>
        <v>0</v>
      </c>
      <c r="F615" s="11"/>
      <c r="G615" s="180" t="e">
        <f t="shared" si="49"/>
        <v>#DIV/0!</v>
      </c>
      <c r="H615" s="11"/>
      <c r="I615" s="11"/>
      <c r="J615" s="180" t="e">
        <f t="shared" si="45"/>
        <v>#DIV/0!</v>
      </c>
      <c r="K615" s="100"/>
      <c r="L615" s="100"/>
      <c r="M615" s="100"/>
      <c r="N615" s="100">
        <f t="shared" si="46"/>
        <v>0</v>
      </c>
      <c r="O615" s="100"/>
      <c r="P615" s="41">
        <v>880</v>
      </c>
      <c r="Q615" s="11"/>
      <c r="R615" s="41">
        <v>260</v>
      </c>
      <c r="S615" s="185"/>
      <c r="T615" s="185"/>
      <c r="U615" s="185"/>
      <c r="V615" s="185"/>
      <c r="W615" s="41">
        <f t="shared" si="47"/>
        <v>0</v>
      </c>
      <c r="X615" s="41">
        <f t="shared" si="48"/>
        <v>0</v>
      </c>
      <c r="Y615" s="11"/>
      <c r="Z615" s="11"/>
      <c r="AA615" s="11"/>
      <c r="AB615" s="11"/>
      <c r="AC615" s="24"/>
    </row>
    <row r="616" spans="1:29" x14ac:dyDescent="0.2">
      <c r="A616" s="11">
        <f>+'SERVICIO FAENA'!A616</f>
        <v>0</v>
      </c>
      <c r="B616" s="11">
        <f>+'SERVICIO FAENA'!B616</f>
        <v>0</v>
      </c>
      <c r="C616" s="11"/>
      <c r="D616" s="11"/>
      <c r="E616" s="18">
        <f>+'SERVICIO FAENA'!E616</f>
        <v>0</v>
      </c>
      <c r="F616" s="11"/>
      <c r="G616" s="180" t="e">
        <f t="shared" si="49"/>
        <v>#DIV/0!</v>
      </c>
      <c r="H616" s="11"/>
      <c r="I616" s="11"/>
      <c r="J616" s="180" t="e">
        <f t="shared" si="45"/>
        <v>#DIV/0!</v>
      </c>
      <c r="K616" s="100"/>
      <c r="L616" s="100"/>
      <c r="M616" s="100"/>
      <c r="N616" s="100">
        <f t="shared" si="46"/>
        <v>0</v>
      </c>
      <c r="O616" s="100"/>
      <c r="P616" s="41">
        <v>880</v>
      </c>
      <c r="Q616" s="11"/>
      <c r="R616" s="41">
        <v>260</v>
      </c>
      <c r="S616" s="185"/>
      <c r="T616" s="185"/>
      <c r="U616" s="185"/>
      <c r="V616" s="185"/>
      <c r="W616" s="41">
        <f t="shared" si="47"/>
        <v>0</v>
      </c>
      <c r="X616" s="41">
        <f t="shared" si="48"/>
        <v>0</v>
      </c>
      <c r="Y616" s="11"/>
      <c r="Z616" s="11"/>
      <c r="AA616" s="11"/>
      <c r="AB616" s="11"/>
      <c r="AC616" s="24"/>
    </row>
    <row r="617" spans="1:29" x14ac:dyDescent="0.2">
      <c r="A617" s="11">
        <f>+'SERVICIO FAENA'!A617</f>
        <v>0</v>
      </c>
      <c r="B617" s="11">
        <f>+'SERVICIO FAENA'!B617</f>
        <v>0</v>
      </c>
      <c r="C617" s="11"/>
      <c r="D617" s="11"/>
      <c r="E617" s="18">
        <f>+'SERVICIO FAENA'!E617</f>
        <v>0</v>
      </c>
      <c r="F617" s="11"/>
      <c r="G617" s="180" t="e">
        <f t="shared" si="49"/>
        <v>#DIV/0!</v>
      </c>
      <c r="H617" s="11"/>
      <c r="I617" s="11"/>
      <c r="J617" s="180" t="e">
        <f t="shared" si="45"/>
        <v>#DIV/0!</v>
      </c>
      <c r="K617" s="100"/>
      <c r="L617" s="100"/>
      <c r="M617" s="100"/>
      <c r="N617" s="100">
        <f t="shared" si="46"/>
        <v>0</v>
      </c>
      <c r="O617" s="100"/>
      <c r="P617" s="41">
        <v>880</v>
      </c>
      <c r="Q617" s="11"/>
      <c r="R617" s="41">
        <v>260</v>
      </c>
      <c r="S617" s="185"/>
      <c r="T617" s="185"/>
      <c r="U617" s="185"/>
      <c r="V617" s="185"/>
      <c r="W617" s="41">
        <f t="shared" si="47"/>
        <v>0</v>
      </c>
      <c r="X617" s="41">
        <f t="shared" si="48"/>
        <v>0</v>
      </c>
      <c r="Y617" s="11"/>
      <c r="Z617" s="11"/>
      <c r="AA617" s="11"/>
      <c r="AB617" s="11"/>
      <c r="AC617" s="24"/>
    </row>
    <row r="618" spans="1:29" x14ac:dyDescent="0.2">
      <c r="A618" s="11">
        <f>+'SERVICIO FAENA'!A618</f>
        <v>0</v>
      </c>
      <c r="B618" s="11">
        <f>+'SERVICIO FAENA'!B618</f>
        <v>0</v>
      </c>
      <c r="C618" s="11"/>
      <c r="D618" s="11"/>
      <c r="E618" s="18">
        <f>+'SERVICIO FAENA'!E618</f>
        <v>0</v>
      </c>
      <c r="F618" s="11"/>
      <c r="G618" s="180" t="e">
        <f t="shared" si="49"/>
        <v>#DIV/0!</v>
      </c>
      <c r="H618" s="11"/>
      <c r="I618" s="11"/>
      <c r="J618" s="180" t="e">
        <f t="shared" ref="J618:J681" si="50">+((F618-(H618+I618))/F618)</f>
        <v>#DIV/0!</v>
      </c>
      <c r="K618" s="100"/>
      <c r="L618" s="100"/>
      <c r="M618" s="100"/>
      <c r="N618" s="100">
        <f t="shared" ref="N618:N681" si="51">SUM(K618:M618)</f>
        <v>0</v>
      </c>
      <c r="O618" s="100"/>
      <c r="P618" s="41">
        <v>880</v>
      </c>
      <c r="Q618" s="11"/>
      <c r="R618" s="41">
        <v>260</v>
      </c>
      <c r="S618" s="185"/>
      <c r="T618" s="185"/>
      <c r="U618" s="185"/>
      <c r="V618" s="185"/>
      <c r="W618" s="41">
        <f t="shared" ref="W618:W681" si="52">+(P618*O618)+(R618*Q618)</f>
        <v>0</v>
      </c>
      <c r="X618" s="41">
        <f t="shared" si="48"/>
        <v>0</v>
      </c>
      <c r="Y618" s="11"/>
      <c r="Z618" s="11"/>
      <c r="AA618" s="11"/>
      <c r="AB618" s="11"/>
      <c r="AC618" s="24"/>
    </row>
    <row r="619" spans="1:29" x14ac:dyDescent="0.2">
      <c r="A619" s="11">
        <f>+'SERVICIO FAENA'!A619</f>
        <v>0</v>
      </c>
      <c r="B619" s="11">
        <f>+'SERVICIO FAENA'!B619</f>
        <v>0</v>
      </c>
      <c r="C619" s="11"/>
      <c r="D619" s="11"/>
      <c r="E619" s="18">
        <f>+'SERVICIO FAENA'!E619</f>
        <v>0</v>
      </c>
      <c r="F619" s="11"/>
      <c r="G619" s="180" t="e">
        <f t="shared" si="49"/>
        <v>#DIV/0!</v>
      </c>
      <c r="H619" s="11"/>
      <c r="I619" s="11"/>
      <c r="J619" s="180" t="e">
        <f t="shared" si="50"/>
        <v>#DIV/0!</v>
      </c>
      <c r="K619" s="100"/>
      <c r="L619" s="100"/>
      <c r="M619" s="100"/>
      <c r="N619" s="100">
        <f t="shared" si="51"/>
        <v>0</v>
      </c>
      <c r="O619" s="100"/>
      <c r="P619" s="41">
        <v>880</v>
      </c>
      <c r="Q619" s="11"/>
      <c r="R619" s="41">
        <v>260</v>
      </c>
      <c r="S619" s="185"/>
      <c r="T619" s="185"/>
      <c r="U619" s="185"/>
      <c r="V619" s="185"/>
      <c r="W619" s="41">
        <f t="shared" si="52"/>
        <v>0</v>
      </c>
      <c r="X619" s="41">
        <f t="shared" si="48"/>
        <v>0</v>
      </c>
      <c r="Y619" s="11"/>
      <c r="Z619" s="11"/>
      <c r="AA619" s="11"/>
      <c r="AB619" s="11"/>
      <c r="AC619" s="24"/>
    </row>
    <row r="620" spans="1:29" x14ac:dyDescent="0.2">
      <c r="A620" s="11">
        <f>+'SERVICIO FAENA'!A620</f>
        <v>0</v>
      </c>
      <c r="B620" s="11">
        <f>+'SERVICIO FAENA'!B620</f>
        <v>0</v>
      </c>
      <c r="C620" s="11"/>
      <c r="D620" s="11"/>
      <c r="E620" s="18">
        <f>+'SERVICIO FAENA'!E620</f>
        <v>0</v>
      </c>
      <c r="F620" s="11"/>
      <c r="G620" s="180" t="e">
        <f t="shared" si="49"/>
        <v>#DIV/0!</v>
      </c>
      <c r="H620" s="11"/>
      <c r="I620" s="11"/>
      <c r="J620" s="180" t="e">
        <f t="shared" si="50"/>
        <v>#DIV/0!</v>
      </c>
      <c r="K620" s="100"/>
      <c r="L620" s="100"/>
      <c r="M620" s="100"/>
      <c r="N620" s="100">
        <f t="shared" si="51"/>
        <v>0</v>
      </c>
      <c r="O620" s="100"/>
      <c r="P620" s="41">
        <v>880</v>
      </c>
      <c r="Q620" s="11"/>
      <c r="R620" s="41">
        <v>260</v>
      </c>
      <c r="S620" s="185"/>
      <c r="T620" s="185"/>
      <c r="U620" s="185"/>
      <c r="V620" s="185"/>
      <c r="W620" s="41">
        <f t="shared" si="52"/>
        <v>0</v>
      </c>
      <c r="X620" s="41">
        <f t="shared" si="48"/>
        <v>0</v>
      </c>
      <c r="Y620" s="11"/>
      <c r="Z620" s="11"/>
      <c r="AA620" s="11"/>
      <c r="AB620" s="11"/>
      <c r="AC620" s="24"/>
    </row>
    <row r="621" spans="1:29" x14ac:dyDescent="0.2">
      <c r="A621" s="11">
        <f>+'SERVICIO FAENA'!A621</f>
        <v>0</v>
      </c>
      <c r="B621" s="11">
        <f>+'SERVICIO FAENA'!B621</f>
        <v>0</v>
      </c>
      <c r="C621" s="11"/>
      <c r="D621" s="11"/>
      <c r="E621" s="18">
        <f>+'SERVICIO FAENA'!E621</f>
        <v>0</v>
      </c>
      <c r="F621" s="11"/>
      <c r="G621" s="180" t="e">
        <f t="shared" si="49"/>
        <v>#DIV/0!</v>
      </c>
      <c r="H621" s="11"/>
      <c r="I621" s="11"/>
      <c r="J621" s="180" t="e">
        <f t="shared" si="50"/>
        <v>#DIV/0!</v>
      </c>
      <c r="K621" s="100"/>
      <c r="L621" s="100"/>
      <c r="M621" s="100"/>
      <c r="N621" s="100">
        <f t="shared" si="51"/>
        <v>0</v>
      </c>
      <c r="O621" s="100"/>
      <c r="P621" s="41">
        <v>880</v>
      </c>
      <c r="Q621" s="11"/>
      <c r="R621" s="41">
        <v>260</v>
      </c>
      <c r="S621" s="185"/>
      <c r="T621" s="185"/>
      <c r="U621" s="185"/>
      <c r="V621" s="185"/>
      <c r="W621" s="41">
        <f t="shared" si="52"/>
        <v>0</v>
      </c>
      <c r="X621" s="41">
        <f t="shared" si="48"/>
        <v>0</v>
      </c>
      <c r="Y621" s="11"/>
      <c r="Z621" s="11"/>
      <c r="AA621" s="11"/>
      <c r="AB621" s="11"/>
      <c r="AC621" s="24"/>
    </row>
    <row r="622" spans="1:29" x14ac:dyDescent="0.2">
      <c r="A622" s="11">
        <f>+'SERVICIO FAENA'!A622</f>
        <v>0</v>
      </c>
      <c r="B622" s="11">
        <f>+'SERVICIO FAENA'!B622</f>
        <v>0</v>
      </c>
      <c r="C622" s="11"/>
      <c r="D622" s="11"/>
      <c r="E622" s="18">
        <f>+'SERVICIO FAENA'!E622</f>
        <v>0</v>
      </c>
      <c r="F622" s="11"/>
      <c r="G622" s="180" t="e">
        <f t="shared" si="49"/>
        <v>#DIV/0!</v>
      </c>
      <c r="H622" s="11"/>
      <c r="I622" s="11"/>
      <c r="J622" s="180" t="e">
        <f t="shared" si="50"/>
        <v>#DIV/0!</v>
      </c>
      <c r="K622" s="100"/>
      <c r="L622" s="100"/>
      <c r="M622" s="100"/>
      <c r="N622" s="100">
        <f t="shared" si="51"/>
        <v>0</v>
      </c>
      <c r="O622" s="100"/>
      <c r="P622" s="41">
        <v>880</v>
      </c>
      <c r="Q622" s="11"/>
      <c r="R622" s="41">
        <v>260</v>
      </c>
      <c r="S622" s="185"/>
      <c r="T622" s="185"/>
      <c r="U622" s="185"/>
      <c r="V622" s="185"/>
      <c r="W622" s="41">
        <f t="shared" si="52"/>
        <v>0</v>
      </c>
      <c r="X622" s="41">
        <f t="shared" si="48"/>
        <v>0</v>
      </c>
      <c r="Y622" s="11"/>
      <c r="Z622" s="11"/>
      <c r="AA622" s="11"/>
      <c r="AB622" s="11"/>
      <c r="AC622" s="24"/>
    </row>
    <row r="623" spans="1:29" x14ac:dyDescent="0.2">
      <c r="A623" s="11">
        <f>+'SERVICIO FAENA'!A623</f>
        <v>0</v>
      </c>
      <c r="B623" s="11">
        <f>+'SERVICIO FAENA'!B623</f>
        <v>0</v>
      </c>
      <c r="C623" s="11"/>
      <c r="D623" s="11"/>
      <c r="E623" s="18">
        <f>+'SERVICIO FAENA'!E623</f>
        <v>0</v>
      </c>
      <c r="F623" s="11"/>
      <c r="G623" s="180" t="e">
        <f t="shared" si="49"/>
        <v>#DIV/0!</v>
      </c>
      <c r="H623" s="11"/>
      <c r="I623" s="11"/>
      <c r="J623" s="180" t="e">
        <f t="shared" si="50"/>
        <v>#DIV/0!</v>
      </c>
      <c r="K623" s="100"/>
      <c r="L623" s="100"/>
      <c r="M623" s="100"/>
      <c r="N623" s="100">
        <f t="shared" si="51"/>
        <v>0</v>
      </c>
      <c r="O623" s="100"/>
      <c r="P623" s="41">
        <v>880</v>
      </c>
      <c r="Q623" s="11"/>
      <c r="R623" s="41">
        <v>260</v>
      </c>
      <c r="S623" s="185"/>
      <c r="T623" s="185"/>
      <c r="U623" s="185"/>
      <c r="V623" s="185"/>
      <c r="W623" s="41">
        <f t="shared" si="52"/>
        <v>0</v>
      </c>
      <c r="X623" s="41">
        <f t="shared" si="48"/>
        <v>0</v>
      </c>
      <c r="Y623" s="11"/>
      <c r="Z623" s="11"/>
      <c r="AA623" s="11"/>
      <c r="AB623" s="11"/>
      <c r="AC623" s="24"/>
    </row>
    <row r="624" spans="1:29" x14ac:dyDescent="0.2">
      <c r="A624" s="11">
        <f>+'SERVICIO FAENA'!A624</f>
        <v>0</v>
      </c>
      <c r="B624" s="11">
        <f>+'SERVICIO FAENA'!B624</f>
        <v>0</v>
      </c>
      <c r="C624" s="11"/>
      <c r="D624" s="11"/>
      <c r="E624" s="18">
        <f>+'SERVICIO FAENA'!E624</f>
        <v>0</v>
      </c>
      <c r="F624" s="11"/>
      <c r="G624" s="180" t="e">
        <f t="shared" si="49"/>
        <v>#DIV/0!</v>
      </c>
      <c r="H624" s="11"/>
      <c r="I624" s="11"/>
      <c r="J624" s="180" t="e">
        <f t="shared" si="50"/>
        <v>#DIV/0!</v>
      </c>
      <c r="K624" s="100"/>
      <c r="L624" s="100"/>
      <c r="M624" s="100"/>
      <c r="N624" s="100">
        <f t="shared" si="51"/>
        <v>0</v>
      </c>
      <c r="O624" s="100"/>
      <c r="P624" s="41">
        <v>880</v>
      </c>
      <c r="Q624" s="11"/>
      <c r="R624" s="41">
        <v>260</v>
      </c>
      <c r="S624" s="185"/>
      <c r="T624" s="185"/>
      <c r="U624" s="185"/>
      <c r="V624" s="185"/>
      <c r="W624" s="41">
        <f t="shared" si="52"/>
        <v>0</v>
      </c>
      <c r="X624" s="41">
        <f t="shared" si="48"/>
        <v>0</v>
      </c>
      <c r="Y624" s="11"/>
      <c r="Z624" s="11"/>
      <c r="AA624" s="11"/>
      <c r="AB624" s="11"/>
      <c r="AC624" s="24"/>
    </row>
    <row r="625" spans="1:29" x14ac:dyDescent="0.2">
      <c r="A625" s="11">
        <f>+'SERVICIO FAENA'!A625</f>
        <v>0</v>
      </c>
      <c r="B625" s="11">
        <f>+'SERVICIO FAENA'!B625</f>
        <v>0</v>
      </c>
      <c r="C625" s="11"/>
      <c r="D625" s="11"/>
      <c r="E625" s="18">
        <f>+'SERVICIO FAENA'!E625</f>
        <v>0</v>
      </c>
      <c r="F625" s="11"/>
      <c r="G625" s="180" t="e">
        <f t="shared" si="49"/>
        <v>#DIV/0!</v>
      </c>
      <c r="H625" s="11"/>
      <c r="I625" s="11"/>
      <c r="J625" s="180" t="e">
        <f t="shared" si="50"/>
        <v>#DIV/0!</v>
      </c>
      <c r="K625" s="100"/>
      <c r="L625" s="100"/>
      <c r="M625" s="100"/>
      <c r="N625" s="100">
        <f t="shared" si="51"/>
        <v>0</v>
      </c>
      <c r="O625" s="100"/>
      <c r="P625" s="41">
        <v>880</v>
      </c>
      <c r="Q625" s="11"/>
      <c r="R625" s="41">
        <v>260</v>
      </c>
      <c r="S625" s="185"/>
      <c r="T625" s="185"/>
      <c r="U625" s="185"/>
      <c r="V625" s="185"/>
      <c r="W625" s="41">
        <f t="shared" si="52"/>
        <v>0</v>
      </c>
      <c r="X625" s="41">
        <f t="shared" si="48"/>
        <v>0</v>
      </c>
      <c r="Y625" s="11"/>
      <c r="Z625" s="11"/>
      <c r="AA625" s="11"/>
      <c r="AB625" s="11"/>
      <c r="AC625" s="24"/>
    </row>
    <row r="626" spans="1:29" x14ac:dyDescent="0.2">
      <c r="A626" s="11">
        <f>+'SERVICIO FAENA'!A626</f>
        <v>0</v>
      </c>
      <c r="B626" s="11">
        <f>+'SERVICIO FAENA'!B626</f>
        <v>0</v>
      </c>
      <c r="C626" s="11"/>
      <c r="D626" s="11"/>
      <c r="E626" s="18">
        <f>+'SERVICIO FAENA'!E626</f>
        <v>0</v>
      </c>
      <c r="F626" s="11"/>
      <c r="G626" s="180" t="e">
        <f t="shared" si="49"/>
        <v>#DIV/0!</v>
      </c>
      <c r="H626" s="11"/>
      <c r="I626" s="11"/>
      <c r="J626" s="180" t="e">
        <f t="shared" si="50"/>
        <v>#DIV/0!</v>
      </c>
      <c r="K626" s="100"/>
      <c r="L626" s="100"/>
      <c r="M626" s="100"/>
      <c r="N626" s="100">
        <f t="shared" si="51"/>
        <v>0</v>
      </c>
      <c r="O626" s="100"/>
      <c r="P626" s="41">
        <v>880</v>
      </c>
      <c r="Q626" s="11"/>
      <c r="R626" s="41">
        <v>260</v>
      </c>
      <c r="S626" s="185"/>
      <c r="T626" s="185"/>
      <c r="U626" s="185"/>
      <c r="V626" s="185"/>
      <c r="W626" s="41">
        <f t="shared" si="52"/>
        <v>0</v>
      </c>
      <c r="X626" s="41">
        <f t="shared" si="48"/>
        <v>0</v>
      </c>
      <c r="Y626" s="11"/>
      <c r="Z626" s="11"/>
      <c r="AA626" s="11"/>
      <c r="AB626" s="11"/>
      <c r="AC626" s="24"/>
    </row>
    <row r="627" spans="1:29" x14ac:dyDescent="0.2">
      <c r="A627" s="11">
        <f>+'SERVICIO FAENA'!A627</f>
        <v>0</v>
      </c>
      <c r="B627" s="11">
        <f>+'SERVICIO FAENA'!B627</f>
        <v>0</v>
      </c>
      <c r="C627" s="11"/>
      <c r="D627" s="11"/>
      <c r="E627" s="18">
        <f>+'SERVICIO FAENA'!E627</f>
        <v>0</v>
      </c>
      <c r="F627" s="11"/>
      <c r="G627" s="180" t="e">
        <f t="shared" si="49"/>
        <v>#DIV/0!</v>
      </c>
      <c r="H627" s="11"/>
      <c r="I627" s="11"/>
      <c r="J627" s="180" t="e">
        <f t="shared" si="50"/>
        <v>#DIV/0!</v>
      </c>
      <c r="K627" s="100"/>
      <c r="L627" s="100"/>
      <c r="M627" s="100"/>
      <c r="N627" s="100">
        <f t="shared" si="51"/>
        <v>0</v>
      </c>
      <c r="O627" s="100"/>
      <c r="P627" s="41">
        <v>880</v>
      </c>
      <c r="Q627" s="11"/>
      <c r="R627" s="41">
        <v>260</v>
      </c>
      <c r="S627" s="185"/>
      <c r="T627" s="185"/>
      <c r="U627" s="185"/>
      <c r="V627" s="185"/>
      <c r="W627" s="41">
        <f t="shared" si="52"/>
        <v>0</v>
      </c>
      <c r="X627" s="41">
        <f t="shared" si="48"/>
        <v>0</v>
      </c>
      <c r="Y627" s="11"/>
      <c r="Z627" s="11"/>
      <c r="AA627" s="11"/>
      <c r="AB627" s="11"/>
      <c r="AC627" s="24"/>
    </row>
    <row r="628" spans="1:29" x14ac:dyDescent="0.2">
      <c r="A628" s="11">
        <f>+'SERVICIO FAENA'!A628</f>
        <v>0</v>
      </c>
      <c r="B628" s="11">
        <f>+'SERVICIO FAENA'!B628</f>
        <v>0</v>
      </c>
      <c r="C628" s="11"/>
      <c r="D628" s="11"/>
      <c r="E628" s="18">
        <f>+'SERVICIO FAENA'!E628</f>
        <v>0</v>
      </c>
      <c r="F628" s="11"/>
      <c r="G628" s="180" t="e">
        <f t="shared" si="49"/>
        <v>#DIV/0!</v>
      </c>
      <c r="H628" s="11"/>
      <c r="I628" s="11"/>
      <c r="J628" s="180" t="e">
        <f t="shared" si="50"/>
        <v>#DIV/0!</v>
      </c>
      <c r="K628" s="100"/>
      <c r="L628" s="100"/>
      <c r="M628" s="100"/>
      <c r="N628" s="100">
        <f t="shared" si="51"/>
        <v>0</v>
      </c>
      <c r="O628" s="100"/>
      <c r="P628" s="41">
        <v>880</v>
      </c>
      <c r="Q628" s="11"/>
      <c r="R628" s="41">
        <v>260</v>
      </c>
      <c r="S628" s="185"/>
      <c r="T628" s="185"/>
      <c r="U628" s="185"/>
      <c r="V628" s="185"/>
      <c r="W628" s="41">
        <f t="shared" si="52"/>
        <v>0</v>
      </c>
      <c r="X628" s="41">
        <f t="shared" si="48"/>
        <v>0</v>
      </c>
      <c r="Y628" s="11"/>
      <c r="Z628" s="11"/>
      <c r="AA628" s="11"/>
      <c r="AB628" s="11"/>
      <c r="AC628" s="24"/>
    </row>
    <row r="629" spans="1:29" x14ac:dyDescent="0.2">
      <c r="A629" s="11">
        <f>+'SERVICIO FAENA'!A629</f>
        <v>0</v>
      </c>
      <c r="B629" s="11">
        <f>+'SERVICIO FAENA'!B629</f>
        <v>0</v>
      </c>
      <c r="C629" s="11"/>
      <c r="D629" s="11"/>
      <c r="E629" s="18">
        <f>+'SERVICIO FAENA'!E629</f>
        <v>0</v>
      </c>
      <c r="F629" s="11"/>
      <c r="G629" s="180" t="e">
        <f t="shared" si="49"/>
        <v>#DIV/0!</v>
      </c>
      <c r="H629" s="11"/>
      <c r="I629" s="11"/>
      <c r="J629" s="180" t="e">
        <f t="shared" si="50"/>
        <v>#DIV/0!</v>
      </c>
      <c r="K629" s="100"/>
      <c r="L629" s="100"/>
      <c r="M629" s="100"/>
      <c r="N629" s="100">
        <f t="shared" si="51"/>
        <v>0</v>
      </c>
      <c r="O629" s="100"/>
      <c r="P629" s="41">
        <v>880</v>
      </c>
      <c r="Q629" s="11"/>
      <c r="R629" s="41">
        <v>260</v>
      </c>
      <c r="S629" s="185"/>
      <c r="T629" s="185"/>
      <c r="U629" s="185"/>
      <c r="V629" s="185"/>
      <c r="W629" s="41">
        <f t="shared" si="52"/>
        <v>0</v>
      </c>
      <c r="X629" s="41">
        <f t="shared" si="48"/>
        <v>0</v>
      </c>
      <c r="Y629" s="11"/>
      <c r="Z629" s="11"/>
      <c r="AA629" s="11"/>
      <c r="AB629" s="11"/>
      <c r="AC629" s="24"/>
    </row>
    <row r="630" spans="1:29" x14ac:dyDescent="0.2">
      <c r="A630" s="11">
        <f>+'SERVICIO FAENA'!A630</f>
        <v>0</v>
      </c>
      <c r="B630" s="11">
        <f>+'SERVICIO FAENA'!B630</f>
        <v>0</v>
      </c>
      <c r="C630" s="11"/>
      <c r="D630" s="11"/>
      <c r="E630" s="18">
        <f>+'SERVICIO FAENA'!E630</f>
        <v>0</v>
      </c>
      <c r="F630" s="11"/>
      <c r="G630" s="180" t="e">
        <f t="shared" si="49"/>
        <v>#DIV/0!</v>
      </c>
      <c r="H630" s="11"/>
      <c r="I630" s="11"/>
      <c r="J630" s="180" t="e">
        <f t="shared" si="50"/>
        <v>#DIV/0!</v>
      </c>
      <c r="K630" s="100"/>
      <c r="L630" s="100"/>
      <c r="M630" s="100"/>
      <c r="N630" s="100">
        <f t="shared" si="51"/>
        <v>0</v>
      </c>
      <c r="O630" s="100"/>
      <c r="P630" s="41">
        <v>880</v>
      </c>
      <c r="Q630" s="11"/>
      <c r="R630" s="41">
        <v>260</v>
      </c>
      <c r="S630" s="185"/>
      <c r="T630" s="185"/>
      <c r="U630" s="185"/>
      <c r="V630" s="185"/>
      <c r="W630" s="41">
        <f t="shared" si="52"/>
        <v>0</v>
      </c>
      <c r="X630" s="41">
        <f t="shared" si="48"/>
        <v>0</v>
      </c>
      <c r="Y630" s="11"/>
      <c r="Z630" s="11"/>
      <c r="AA630" s="11"/>
      <c r="AB630" s="11"/>
      <c r="AC630" s="24"/>
    </row>
    <row r="631" spans="1:29" x14ac:dyDescent="0.2">
      <c r="A631" s="11">
        <f>+'SERVICIO FAENA'!A631</f>
        <v>0</v>
      </c>
      <c r="B631" s="11">
        <f>+'SERVICIO FAENA'!B631</f>
        <v>0</v>
      </c>
      <c r="C631" s="11"/>
      <c r="D631" s="11"/>
      <c r="E631" s="18">
        <f>+'SERVICIO FAENA'!E631</f>
        <v>0</v>
      </c>
      <c r="F631" s="11"/>
      <c r="G631" s="180" t="e">
        <f t="shared" si="49"/>
        <v>#DIV/0!</v>
      </c>
      <c r="H631" s="11"/>
      <c r="I631" s="11"/>
      <c r="J631" s="180" t="e">
        <f t="shared" si="50"/>
        <v>#DIV/0!</v>
      </c>
      <c r="K631" s="100"/>
      <c r="L631" s="100"/>
      <c r="M631" s="100"/>
      <c r="N631" s="100">
        <f t="shared" si="51"/>
        <v>0</v>
      </c>
      <c r="O631" s="100"/>
      <c r="P631" s="41">
        <v>880</v>
      </c>
      <c r="Q631" s="11"/>
      <c r="R631" s="41">
        <v>260</v>
      </c>
      <c r="S631" s="185"/>
      <c r="T631" s="185"/>
      <c r="U631" s="185"/>
      <c r="V631" s="185"/>
      <c r="W631" s="41">
        <f t="shared" si="52"/>
        <v>0</v>
      </c>
      <c r="X631" s="41">
        <f t="shared" si="48"/>
        <v>0</v>
      </c>
      <c r="Y631" s="11"/>
      <c r="Z631" s="11"/>
      <c r="AA631" s="11"/>
      <c r="AB631" s="11"/>
      <c r="AC631" s="24"/>
    </row>
    <row r="632" spans="1:29" x14ac:dyDescent="0.2">
      <c r="A632" s="11">
        <f>+'SERVICIO FAENA'!A632</f>
        <v>0</v>
      </c>
      <c r="B632" s="11">
        <f>+'SERVICIO FAENA'!B632</f>
        <v>0</v>
      </c>
      <c r="C632" s="11"/>
      <c r="D632" s="11"/>
      <c r="E632" s="18">
        <f>+'SERVICIO FAENA'!E632</f>
        <v>0</v>
      </c>
      <c r="F632" s="11"/>
      <c r="G632" s="180" t="e">
        <f t="shared" si="49"/>
        <v>#DIV/0!</v>
      </c>
      <c r="H632" s="11"/>
      <c r="I632" s="11"/>
      <c r="J632" s="180" t="e">
        <f t="shared" si="50"/>
        <v>#DIV/0!</v>
      </c>
      <c r="K632" s="100"/>
      <c r="L632" s="100"/>
      <c r="M632" s="100"/>
      <c r="N632" s="100">
        <f t="shared" si="51"/>
        <v>0</v>
      </c>
      <c r="O632" s="100"/>
      <c r="P632" s="41">
        <v>880</v>
      </c>
      <c r="Q632" s="11"/>
      <c r="R632" s="41">
        <v>260</v>
      </c>
      <c r="S632" s="185"/>
      <c r="T632" s="185"/>
      <c r="U632" s="185"/>
      <c r="V632" s="185"/>
      <c r="W632" s="41">
        <f t="shared" si="52"/>
        <v>0</v>
      </c>
      <c r="X632" s="41">
        <f t="shared" si="48"/>
        <v>0</v>
      </c>
      <c r="Y632" s="11"/>
      <c r="Z632" s="11"/>
      <c r="AA632" s="11"/>
      <c r="AB632" s="11"/>
      <c r="AC632" s="24"/>
    </row>
    <row r="633" spans="1:29" x14ac:dyDescent="0.2">
      <c r="A633" s="11">
        <f>+'SERVICIO FAENA'!A633</f>
        <v>0</v>
      </c>
      <c r="B633" s="11">
        <f>+'SERVICIO FAENA'!B633</f>
        <v>0</v>
      </c>
      <c r="C633" s="11"/>
      <c r="D633" s="11"/>
      <c r="E633" s="18">
        <f>+'SERVICIO FAENA'!E633</f>
        <v>0</v>
      </c>
      <c r="F633" s="11"/>
      <c r="G633" s="180" t="e">
        <f t="shared" si="49"/>
        <v>#DIV/0!</v>
      </c>
      <c r="H633" s="11"/>
      <c r="I633" s="11"/>
      <c r="J633" s="180" t="e">
        <f t="shared" si="50"/>
        <v>#DIV/0!</v>
      </c>
      <c r="K633" s="100"/>
      <c r="L633" s="100"/>
      <c r="M633" s="100"/>
      <c r="N633" s="100">
        <f t="shared" si="51"/>
        <v>0</v>
      </c>
      <c r="O633" s="100"/>
      <c r="P633" s="41">
        <v>880</v>
      </c>
      <c r="Q633" s="11"/>
      <c r="R633" s="41">
        <v>260</v>
      </c>
      <c r="S633" s="185"/>
      <c r="T633" s="185"/>
      <c r="U633" s="185"/>
      <c r="V633" s="185"/>
      <c r="W633" s="41">
        <f t="shared" si="52"/>
        <v>0</v>
      </c>
      <c r="X633" s="41">
        <f t="shared" si="48"/>
        <v>0</v>
      </c>
      <c r="Y633" s="11"/>
      <c r="Z633" s="11"/>
      <c r="AA633" s="11"/>
      <c r="AB633" s="11"/>
      <c r="AC633" s="24"/>
    </row>
    <row r="634" spans="1:29" x14ac:dyDescent="0.2">
      <c r="A634" s="11">
        <f>+'SERVICIO FAENA'!A634</f>
        <v>0</v>
      </c>
      <c r="B634" s="11">
        <f>+'SERVICIO FAENA'!B634</f>
        <v>0</v>
      </c>
      <c r="C634" s="11"/>
      <c r="D634" s="11"/>
      <c r="E634" s="18">
        <f>+'SERVICIO FAENA'!E634</f>
        <v>0</v>
      </c>
      <c r="F634" s="11"/>
      <c r="G634" s="180" t="e">
        <f t="shared" si="49"/>
        <v>#DIV/0!</v>
      </c>
      <c r="H634" s="11"/>
      <c r="I634" s="11"/>
      <c r="J634" s="180" t="e">
        <f t="shared" si="50"/>
        <v>#DIV/0!</v>
      </c>
      <c r="K634" s="100"/>
      <c r="L634" s="100"/>
      <c r="M634" s="100"/>
      <c r="N634" s="100">
        <f t="shared" si="51"/>
        <v>0</v>
      </c>
      <c r="O634" s="100"/>
      <c r="P634" s="41">
        <v>880</v>
      </c>
      <c r="Q634" s="11"/>
      <c r="R634" s="41">
        <v>260</v>
      </c>
      <c r="S634" s="185"/>
      <c r="T634" s="185"/>
      <c r="U634" s="185"/>
      <c r="V634" s="185"/>
      <c r="W634" s="41">
        <f t="shared" si="52"/>
        <v>0</v>
      </c>
      <c r="X634" s="41">
        <f t="shared" si="48"/>
        <v>0</v>
      </c>
      <c r="Y634" s="11"/>
      <c r="Z634" s="11"/>
      <c r="AA634" s="11"/>
      <c r="AB634" s="11"/>
      <c r="AC634" s="24"/>
    </row>
    <row r="635" spans="1:29" x14ac:dyDescent="0.2">
      <c r="A635" s="11">
        <f>+'SERVICIO FAENA'!A635</f>
        <v>0</v>
      </c>
      <c r="B635" s="11">
        <f>+'SERVICIO FAENA'!B635</f>
        <v>0</v>
      </c>
      <c r="C635" s="11"/>
      <c r="D635" s="11"/>
      <c r="E635" s="18">
        <f>+'SERVICIO FAENA'!E635</f>
        <v>0</v>
      </c>
      <c r="F635" s="11"/>
      <c r="G635" s="180" t="e">
        <f t="shared" si="49"/>
        <v>#DIV/0!</v>
      </c>
      <c r="H635" s="11"/>
      <c r="I635" s="11"/>
      <c r="J635" s="180" t="e">
        <f t="shared" si="50"/>
        <v>#DIV/0!</v>
      </c>
      <c r="K635" s="100"/>
      <c r="L635" s="100"/>
      <c r="M635" s="100"/>
      <c r="N635" s="100">
        <f t="shared" si="51"/>
        <v>0</v>
      </c>
      <c r="O635" s="100"/>
      <c r="P635" s="41">
        <v>880</v>
      </c>
      <c r="Q635" s="11"/>
      <c r="R635" s="41">
        <v>260</v>
      </c>
      <c r="S635" s="185"/>
      <c r="T635" s="185"/>
      <c r="U635" s="185"/>
      <c r="V635" s="185"/>
      <c r="W635" s="41">
        <f t="shared" si="52"/>
        <v>0</v>
      </c>
      <c r="X635" s="41">
        <f t="shared" si="48"/>
        <v>0</v>
      </c>
      <c r="Y635" s="11"/>
      <c r="Z635" s="11"/>
      <c r="AA635" s="11"/>
      <c r="AB635" s="11"/>
      <c r="AC635" s="24"/>
    </row>
    <row r="636" spans="1:29" x14ac:dyDescent="0.2">
      <c r="A636" s="11">
        <f>+'SERVICIO FAENA'!A636</f>
        <v>0</v>
      </c>
      <c r="B636" s="11">
        <f>+'SERVICIO FAENA'!B636</f>
        <v>0</v>
      </c>
      <c r="C636" s="11"/>
      <c r="D636" s="11"/>
      <c r="E636" s="18">
        <f>+'SERVICIO FAENA'!E636</f>
        <v>0</v>
      </c>
      <c r="F636" s="11"/>
      <c r="G636" s="180" t="e">
        <f t="shared" si="49"/>
        <v>#DIV/0!</v>
      </c>
      <c r="H636" s="11"/>
      <c r="I636" s="11"/>
      <c r="J636" s="180" t="e">
        <f t="shared" si="50"/>
        <v>#DIV/0!</v>
      </c>
      <c r="K636" s="100"/>
      <c r="L636" s="100"/>
      <c r="M636" s="100"/>
      <c r="N636" s="100">
        <f t="shared" si="51"/>
        <v>0</v>
      </c>
      <c r="O636" s="100"/>
      <c r="P636" s="41">
        <v>880</v>
      </c>
      <c r="Q636" s="11"/>
      <c r="R636" s="41">
        <v>260</v>
      </c>
      <c r="S636" s="185"/>
      <c r="T636" s="185"/>
      <c r="U636" s="185"/>
      <c r="V636" s="185"/>
      <c r="W636" s="41">
        <f t="shared" si="52"/>
        <v>0</v>
      </c>
      <c r="X636" s="41">
        <f t="shared" si="48"/>
        <v>0</v>
      </c>
      <c r="Y636" s="11"/>
      <c r="Z636" s="11"/>
      <c r="AA636" s="11"/>
      <c r="AB636" s="11"/>
      <c r="AC636" s="24"/>
    </row>
    <row r="637" spans="1:29" x14ac:dyDescent="0.2">
      <c r="A637" s="11">
        <f>+'SERVICIO FAENA'!A637</f>
        <v>0</v>
      </c>
      <c r="B637" s="11">
        <f>+'SERVICIO FAENA'!B637</f>
        <v>0</v>
      </c>
      <c r="C637" s="11"/>
      <c r="D637" s="11"/>
      <c r="E637" s="18">
        <f>+'SERVICIO FAENA'!E637</f>
        <v>0</v>
      </c>
      <c r="F637" s="11"/>
      <c r="G637" s="180" t="e">
        <f t="shared" si="49"/>
        <v>#DIV/0!</v>
      </c>
      <c r="H637" s="11"/>
      <c r="I637" s="11"/>
      <c r="J637" s="180" t="e">
        <f t="shared" si="50"/>
        <v>#DIV/0!</v>
      </c>
      <c r="K637" s="100"/>
      <c r="L637" s="100"/>
      <c r="M637" s="100"/>
      <c r="N637" s="100">
        <f t="shared" si="51"/>
        <v>0</v>
      </c>
      <c r="O637" s="100"/>
      <c r="P637" s="41">
        <v>880</v>
      </c>
      <c r="Q637" s="11"/>
      <c r="R637" s="41">
        <v>260</v>
      </c>
      <c r="S637" s="185"/>
      <c r="T637" s="185"/>
      <c r="U637" s="185"/>
      <c r="V637" s="185"/>
      <c r="W637" s="41">
        <f t="shared" si="52"/>
        <v>0</v>
      </c>
      <c r="X637" s="41">
        <f t="shared" si="48"/>
        <v>0</v>
      </c>
      <c r="Y637" s="11"/>
      <c r="Z637" s="11"/>
      <c r="AA637" s="11"/>
      <c r="AB637" s="11"/>
      <c r="AC637" s="24"/>
    </row>
    <row r="638" spans="1:29" x14ac:dyDescent="0.2">
      <c r="A638" s="11">
        <f>+'SERVICIO FAENA'!A638</f>
        <v>0</v>
      </c>
      <c r="B638" s="11">
        <f>+'SERVICIO FAENA'!B638</f>
        <v>0</v>
      </c>
      <c r="C638" s="11"/>
      <c r="D638" s="11"/>
      <c r="E638" s="18">
        <f>+'SERVICIO FAENA'!E638</f>
        <v>0</v>
      </c>
      <c r="F638" s="11"/>
      <c r="G638" s="180" t="e">
        <f t="shared" si="49"/>
        <v>#DIV/0!</v>
      </c>
      <c r="H638" s="11"/>
      <c r="I638" s="11"/>
      <c r="J638" s="180" t="e">
        <f t="shared" si="50"/>
        <v>#DIV/0!</v>
      </c>
      <c r="K638" s="100"/>
      <c r="L638" s="100"/>
      <c r="M638" s="100"/>
      <c r="N638" s="100">
        <f t="shared" si="51"/>
        <v>0</v>
      </c>
      <c r="O638" s="100"/>
      <c r="P638" s="41">
        <v>880</v>
      </c>
      <c r="Q638" s="11"/>
      <c r="R638" s="41">
        <v>260</v>
      </c>
      <c r="S638" s="185"/>
      <c r="T638" s="185"/>
      <c r="U638" s="185"/>
      <c r="V638" s="185"/>
      <c r="W638" s="41">
        <f t="shared" si="52"/>
        <v>0</v>
      </c>
      <c r="X638" s="41">
        <f t="shared" si="48"/>
        <v>0</v>
      </c>
      <c r="Y638" s="11"/>
      <c r="Z638" s="11"/>
      <c r="AA638" s="11"/>
      <c r="AB638" s="11"/>
      <c r="AC638" s="24"/>
    </row>
    <row r="639" spans="1:29" x14ac:dyDescent="0.2">
      <c r="A639" s="11">
        <f>+'SERVICIO FAENA'!A639</f>
        <v>0</v>
      </c>
      <c r="B639" s="11">
        <f>+'SERVICIO FAENA'!B639</f>
        <v>0</v>
      </c>
      <c r="C639" s="11"/>
      <c r="D639" s="11"/>
      <c r="E639" s="18">
        <f>+'SERVICIO FAENA'!E639</f>
        <v>0</v>
      </c>
      <c r="F639" s="11"/>
      <c r="G639" s="180" t="e">
        <f t="shared" si="49"/>
        <v>#DIV/0!</v>
      </c>
      <c r="H639" s="11"/>
      <c r="I639" s="11"/>
      <c r="J639" s="180" t="e">
        <f t="shared" si="50"/>
        <v>#DIV/0!</v>
      </c>
      <c r="K639" s="100"/>
      <c r="L639" s="100"/>
      <c r="M639" s="100"/>
      <c r="N639" s="100">
        <f t="shared" si="51"/>
        <v>0</v>
      </c>
      <c r="O639" s="100"/>
      <c r="P639" s="41">
        <v>880</v>
      </c>
      <c r="Q639" s="11"/>
      <c r="R639" s="41">
        <v>260</v>
      </c>
      <c r="S639" s="185"/>
      <c r="T639" s="185"/>
      <c r="U639" s="185"/>
      <c r="V639" s="185"/>
      <c r="W639" s="41">
        <f t="shared" si="52"/>
        <v>0</v>
      </c>
      <c r="X639" s="41">
        <f t="shared" si="48"/>
        <v>0</v>
      </c>
      <c r="Y639" s="11"/>
      <c r="Z639" s="11"/>
      <c r="AA639" s="11"/>
      <c r="AB639" s="11"/>
      <c r="AC639" s="24"/>
    </row>
    <row r="640" spans="1:29" x14ac:dyDescent="0.2">
      <c r="A640" s="11">
        <f>+'SERVICIO FAENA'!A640</f>
        <v>0</v>
      </c>
      <c r="B640" s="11">
        <f>+'SERVICIO FAENA'!B640</f>
        <v>0</v>
      </c>
      <c r="C640" s="11"/>
      <c r="D640" s="11"/>
      <c r="E640" s="18">
        <f>+'SERVICIO FAENA'!E640</f>
        <v>0</v>
      </c>
      <c r="F640" s="11"/>
      <c r="G640" s="180" t="e">
        <f t="shared" si="49"/>
        <v>#DIV/0!</v>
      </c>
      <c r="H640" s="11"/>
      <c r="I640" s="11"/>
      <c r="J640" s="180" t="e">
        <f t="shared" si="50"/>
        <v>#DIV/0!</v>
      </c>
      <c r="K640" s="100"/>
      <c r="L640" s="100"/>
      <c r="M640" s="100"/>
      <c r="N640" s="100">
        <f t="shared" si="51"/>
        <v>0</v>
      </c>
      <c r="O640" s="100"/>
      <c r="P640" s="41">
        <v>880</v>
      </c>
      <c r="Q640" s="11"/>
      <c r="R640" s="41">
        <v>260</v>
      </c>
      <c r="S640" s="185"/>
      <c r="T640" s="185"/>
      <c r="U640" s="185"/>
      <c r="V640" s="185"/>
      <c r="W640" s="41">
        <f t="shared" si="52"/>
        <v>0</v>
      </c>
      <c r="X640" s="41">
        <f t="shared" si="48"/>
        <v>0</v>
      </c>
      <c r="Y640" s="11"/>
      <c r="Z640" s="11"/>
      <c r="AA640" s="11"/>
      <c r="AB640" s="11"/>
      <c r="AC640" s="24"/>
    </row>
    <row r="641" spans="1:29" x14ac:dyDescent="0.2">
      <c r="A641" s="11">
        <f>+'SERVICIO FAENA'!A641</f>
        <v>0</v>
      </c>
      <c r="B641" s="11">
        <f>+'SERVICIO FAENA'!B641</f>
        <v>0</v>
      </c>
      <c r="C641" s="11"/>
      <c r="D641" s="11"/>
      <c r="E641" s="18">
        <f>+'SERVICIO FAENA'!E641</f>
        <v>0</v>
      </c>
      <c r="F641" s="11"/>
      <c r="G641" s="180" t="e">
        <f t="shared" si="49"/>
        <v>#DIV/0!</v>
      </c>
      <c r="H641" s="11"/>
      <c r="I641" s="11"/>
      <c r="J641" s="180" t="e">
        <f t="shared" si="50"/>
        <v>#DIV/0!</v>
      </c>
      <c r="K641" s="100"/>
      <c r="L641" s="100"/>
      <c r="M641" s="100"/>
      <c r="N641" s="100">
        <f t="shared" si="51"/>
        <v>0</v>
      </c>
      <c r="O641" s="100"/>
      <c r="P641" s="41">
        <v>880</v>
      </c>
      <c r="Q641" s="11"/>
      <c r="R641" s="41">
        <v>260</v>
      </c>
      <c r="S641" s="185"/>
      <c r="T641" s="185"/>
      <c r="U641" s="185"/>
      <c r="V641" s="185"/>
      <c r="W641" s="41">
        <f t="shared" si="52"/>
        <v>0</v>
      </c>
      <c r="X641" s="41">
        <f t="shared" si="48"/>
        <v>0</v>
      </c>
      <c r="Y641" s="11"/>
      <c r="Z641" s="11"/>
      <c r="AA641" s="11"/>
      <c r="AB641" s="11"/>
      <c r="AC641" s="24"/>
    </row>
    <row r="642" spans="1:29" x14ac:dyDescent="0.2">
      <c r="A642" s="11">
        <f>+'SERVICIO FAENA'!A642</f>
        <v>0</v>
      </c>
      <c r="B642" s="11">
        <f>+'SERVICIO FAENA'!B642</f>
        <v>0</v>
      </c>
      <c r="C642" s="11"/>
      <c r="D642" s="11"/>
      <c r="E642" s="18">
        <f>+'SERVICIO FAENA'!E642</f>
        <v>0</v>
      </c>
      <c r="F642" s="11"/>
      <c r="G642" s="180" t="e">
        <f t="shared" si="49"/>
        <v>#DIV/0!</v>
      </c>
      <c r="H642" s="11"/>
      <c r="I642" s="11"/>
      <c r="J642" s="180" t="e">
        <f t="shared" si="50"/>
        <v>#DIV/0!</v>
      </c>
      <c r="K642" s="100"/>
      <c r="L642" s="100"/>
      <c r="M642" s="100"/>
      <c r="N642" s="100">
        <f t="shared" si="51"/>
        <v>0</v>
      </c>
      <c r="O642" s="100"/>
      <c r="P642" s="41">
        <v>880</v>
      </c>
      <c r="Q642" s="11"/>
      <c r="R642" s="41">
        <v>260</v>
      </c>
      <c r="S642" s="185"/>
      <c r="T642" s="185"/>
      <c r="U642" s="185"/>
      <c r="V642" s="185"/>
      <c r="W642" s="41">
        <f t="shared" si="52"/>
        <v>0</v>
      </c>
      <c r="X642" s="41">
        <f t="shared" si="48"/>
        <v>0</v>
      </c>
      <c r="Y642" s="11"/>
      <c r="Z642" s="11"/>
      <c r="AA642" s="11"/>
      <c r="AB642" s="11"/>
      <c r="AC642" s="24"/>
    </row>
    <row r="643" spans="1:29" x14ac:dyDescent="0.2">
      <c r="A643" s="11">
        <f>+'SERVICIO FAENA'!A643</f>
        <v>0</v>
      </c>
      <c r="B643" s="11">
        <f>+'SERVICIO FAENA'!B643</f>
        <v>0</v>
      </c>
      <c r="C643" s="11"/>
      <c r="D643" s="11"/>
      <c r="E643" s="18">
        <f>+'SERVICIO FAENA'!E643</f>
        <v>0</v>
      </c>
      <c r="F643" s="11"/>
      <c r="G643" s="180" t="e">
        <f t="shared" si="49"/>
        <v>#DIV/0!</v>
      </c>
      <c r="H643" s="11"/>
      <c r="I643" s="11"/>
      <c r="J643" s="180" t="e">
        <f t="shared" si="50"/>
        <v>#DIV/0!</v>
      </c>
      <c r="K643" s="100"/>
      <c r="L643" s="100"/>
      <c r="M643" s="100"/>
      <c r="N643" s="100">
        <f t="shared" si="51"/>
        <v>0</v>
      </c>
      <c r="O643" s="100"/>
      <c r="P643" s="41">
        <v>880</v>
      </c>
      <c r="Q643" s="11"/>
      <c r="R643" s="41">
        <v>260</v>
      </c>
      <c r="S643" s="185"/>
      <c r="T643" s="185"/>
      <c r="U643" s="185"/>
      <c r="V643" s="185"/>
      <c r="W643" s="41">
        <f t="shared" si="52"/>
        <v>0</v>
      </c>
      <c r="X643" s="41">
        <f t="shared" ref="X643:X706" si="53">+((O643*P643)+(Q643*R643))*1.21</f>
        <v>0</v>
      </c>
      <c r="Y643" s="11"/>
      <c r="Z643" s="11"/>
      <c r="AA643" s="11"/>
      <c r="AB643" s="11"/>
      <c r="AC643" s="24"/>
    </row>
    <row r="644" spans="1:29" x14ac:dyDescent="0.2">
      <c r="A644" s="11">
        <f>+'SERVICIO FAENA'!A644</f>
        <v>0</v>
      </c>
      <c r="B644" s="11">
        <f>+'SERVICIO FAENA'!B644</f>
        <v>0</v>
      </c>
      <c r="C644" s="11"/>
      <c r="D644" s="11"/>
      <c r="E644" s="18">
        <f>+'SERVICIO FAENA'!E644</f>
        <v>0</v>
      </c>
      <c r="F644" s="11"/>
      <c r="G644" s="180" t="e">
        <f t="shared" ref="G644:G707" si="54">+F644/D644</f>
        <v>#DIV/0!</v>
      </c>
      <c r="H644" s="11"/>
      <c r="I644" s="11"/>
      <c r="J644" s="180" t="e">
        <f t="shared" si="50"/>
        <v>#DIV/0!</v>
      </c>
      <c r="K644" s="100"/>
      <c r="L644" s="100"/>
      <c r="M644" s="100"/>
      <c r="N644" s="100">
        <f t="shared" si="51"/>
        <v>0</v>
      </c>
      <c r="O644" s="100"/>
      <c r="P644" s="41">
        <v>880</v>
      </c>
      <c r="Q644" s="11"/>
      <c r="R644" s="41">
        <v>260</v>
      </c>
      <c r="S644" s="185"/>
      <c r="T644" s="185"/>
      <c r="U644" s="185"/>
      <c r="V644" s="185"/>
      <c r="W644" s="41">
        <f t="shared" si="52"/>
        <v>0</v>
      </c>
      <c r="X644" s="41">
        <f t="shared" si="53"/>
        <v>0</v>
      </c>
      <c r="Y644" s="11"/>
      <c r="Z644" s="11"/>
      <c r="AA644" s="11"/>
      <c r="AB644" s="11"/>
      <c r="AC644" s="24"/>
    </row>
    <row r="645" spans="1:29" x14ac:dyDescent="0.2">
      <c r="A645" s="11">
        <f>+'SERVICIO FAENA'!A645</f>
        <v>0</v>
      </c>
      <c r="B645" s="11">
        <f>+'SERVICIO FAENA'!B645</f>
        <v>0</v>
      </c>
      <c r="C645" s="11"/>
      <c r="D645" s="11"/>
      <c r="E645" s="18">
        <f>+'SERVICIO FAENA'!E645</f>
        <v>0</v>
      </c>
      <c r="F645" s="11"/>
      <c r="G645" s="180" t="e">
        <f t="shared" si="54"/>
        <v>#DIV/0!</v>
      </c>
      <c r="H645" s="11"/>
      <c r="I645" s="11"/>
      <c r="J645" s="180" t="e">
        <f t="shared" si="50"/>
        <v>#DIV/0!</v>
      </c>
      <c r="K645" s="100"/>
      <c r="L645" s="100"/>
      <c r="M645" s="100"/>
      <c r="N645" s="100">
        <f t="shared" si="51"/>
        <v>0</v>
      </c>
      <c r="O645" s="100"/>
      <c r="P645" s="41">
        <v>880</v>
      </c>
      <c r="Q645" s="11"/>
      <c r="R645" s="41">
        <v>260</v>
      </c>
      <c r="S645" s="185"/>
      <c r="T645" s="185"/>
      <c r="U645" s="185"/>
      <c r="V645" s="185"/>
      <c r="W645" s="41">
        <f t="shared" si="52"/>
        <v>0</v>
      </c>
      <c r="X645" s="41">
        <f t="shared" si="53"/>
        <v>0</v>
      </c>
      <c r="Y645" s="11"/>
      <c r="Z645" s="11"/>
      <c r="AA645" s="11"/>
      <c r="AB645" s="11"/>
      <c r="AC645" s="24"/>
    </row>
    <row r="646" spans="1:29" x14ac:dyDescent="0.2">
      <c r="A646" s="11">
        <f>+'SERVICIO FAENA'!A646</f>
        <v>0</v>
      </c>
      <c r="B646" s="11">
        <f>+'SERVICIO FAENA'!B646</f>
        <v>0</v>
      </c>
      <c r="C646" s="11"/>
      <c r="D646" s="11"/>
      <c r="E646" s="18">
        <f>+'SERVICIO FAENA'!E646</f>
        <v>0</v>
      </c>
      <c r="F646" s="11"/>
      <c r="G646" s="180" t="e">
        <f t="shared" si="54"/>
        <v>#DIV/0!</v>
      </c>
      <c r="H646" s="11"/>
      <c r="I646" s="11"/>
      <c r="J646" s="180" t="e">
        <f t="shared" si="50"/>
        <v>#DIV/0!</v>
      </c>
      <c r="K646" s="100"/>
      <c r="L646" s="100"/>
      <c r="M646" s="100"/>
      <c r="N646" s="100">
        <f t="shared" si="51"/>
        <v>0</v>
      </c>
      <c r="O646" s="100"/>
      <c r="P646" s="41">
        <v>880</v>
      </c>
      <c r="Q646" s="11"/>
      <c r="R646" s="41">
        <v>260</v>
      </c>
      <c r="S646" s="185"/>
      <c r="T646" s="185"/>
      <c r="U646" s="185"/>
      <c r="V646" s="185"/>
      <c r="W646" s="41">
        <f t="shared" si="52"/>
        <v>0</v>
      </c>
      <c r="X646" s="41">
        <f t="shared" si="53"/>
        <v>0</v>
      </c>
      <c r="Y646" s="11"/>
      <c r="Z646" s="11"/>
      <c r="AA646" s="11"/>
      <c r="AB646" s="11"/>
      <c r="AC646" s="24"/>
    </row>
    <row r="647" spans="1:29" x14ac:dyDescent="0.2">
      <c r="A647" s="11">
        <f>+'SERVICIO FAENA'!A647</f>
        <v>0</v>
      </c>
      <c r="B647" s="11">
        <f>+'SERVICIO FAENA'!B647</f>
        <v>0</v>
      </c>
      <c r="C647" s="11"/>
      <c r="D647" s="11"/>
      <c r="E647" s="18">
        <f>+'SERVICIO FAENA'!E647</f>
        <v>0</v>
      </c>
      <c r="F647" s="11"/>
      <c r="G647" s="180" t="e">
        <f t="shared" si="54"/>
        <v>#DIV/0!</v>
      </c>
      <c r="H647" s="11"/>
      <c r="I647" s="11"/>
      <c r="J647" s="180" t="e">
        <f t="shared" si="50"/>
        <v>#DIV/0!</v>
      </c>
      <c r="K647" s="100"/>
      <c r="L647" s="100"/>
      <c r="M647" s="100"/>
      <c r="N647" s="100">
        <f t="shared" si="51"/>
        <v>0</v>
      </c>
      <c r="O647" s="100"/>
      <c r="P647" s="41">
        <v>880</v>
      </c>
      <c r="Q647" s="11"/>
      <c r="R647" s="41">
        <v>260</v>
      </c>
      <c r="S647" s="185"/>
      <c r="T647" s="185"/>
      <c r="U647" s="185"/>
      <c r="V647" s="185"/>
      <c r="W647" s="41">
        <f t="shared" si="52"/>
        <v>0</v>
      </c>
      <c r="X647" s="41">
        <f t="shared" si="53"/>
        <v>0</v>
      </c>
      <c r="Y647" s="11"/>
      <c r="Z647" s="11"/>
      <c r="AA647" s="11"/>
      <c r="AB647" s="11"/>
      <c r="AC647" s="24"/>
    </row>
    <row r="648" spans="1:29" x14ac:dyDescent="0.2">
      <c r="A648" s="11">
        <f>+'SERVICIO FAENA'!A648</f>
        <v>0</v>
      </c>
      <c r="B648" s="11">
        <f>+'SERVICIO FAENA'!B648</f>
        <v>0</v>
      </c>
      <c r="C648" s="11"/>
      <c r="D648" s="11"/>
      <c r="E648" s="18">
        <f>+'SERVICIO FAENA'!E648</f>
        <v>0</v>
      </c>
      <c r="F648" s="11"/>
      <c r="G648" s="180" t="e">
        <f t="shared" si="54"/>
        <v>#DIV/0!</v>
      </c>
      <c r="H648" s="11"/>
      <c r="I648" s="11"/>
      <c r="J648" s="180" t="e">
        <f t="shared" si="50"/>
        <v>#DIV/0!</v>
      </c>
      <c r="K648" s="100"/>
      <c r="L648" s="100"/>
      <c r="M648" s="100"/>
      <c r="N648" s="100">
        <f t="shared" si="51"/>
        <v>0</v>
      </c>
      <c r="O648" s="100"/>
      <c r="P648" s="41">
        <v>880</v>
      </c>
      <c r="Q648" s="11"/>
      <c r="R648" s="41">
        <v>260</v>
      </c>
      <c r="S648" s="185"/>
      <c r="T648" s="185"/>
      <c r="U648" s="185"/>
      <c r="V648" s="185"/>
      <c r="W648" s="41">
        <f t="shared" si="52"/>
        <v>0</v>
      </c>
      <c r="X648" s="41">
        <f t="shared" si="53"/>
        <v>0</v>
      </c>
      <c r="Y648" s="11"/>
      <c r="Z648" s="11"/>
      <c r="AA648" s="11"/>
      <c r="AB648" s="11"/>
      <c r="AC648" s="24"/>
    </row>
    <row r="649" spans="1:29" x14ac:dyDescent="0.2">
      <c r="A649" s="11">
        <f>+'SERVICIO FAENA'!A649</f>
        <v>0</v>
      </c>
      <c r="B649" s="11">
        <f>+'SERVICIO FAENA'!B649</f>
        <v>0</v>
      </c>
      <c r="C649" s="11"/>
      <c r="D649" s="11"/>
      <c r="E649" s="18">
        <f>+'SERVICIO FAENA'!E649</f>
        <v>0</v>
      </c>
      <c r="F649" s="11"/>
      <c r="G649" s="180" t="e">
        <f t="shared" si="54"/>
        <v>#DIV/0!</v>
      </c>
      <c r="H649" s="11"/>
      <c r="I649" s="11"/>
      <c r="J649" s="180" t="e">
        <f t="shared" si="50"/>
        <v>#DIV/0!</v>
      </c>
      <c r="K649" s="100"/>
      <c r="L649" s="100"/>
      <c r="M649" s="100"/>
      <c r="N649" s="100">
        <f t="shared" si="51"/>
        <v>0</v>
      </c>
      <c r="O649" s="100"/>
      <c r="P649" s="41">
        <v>880</v>
      </c>
      <c r="Q649" s="11"/>
      <c r="R649" s="41">
        <v>260</v>
      </c>
      <c r="S649" s="185"/>
      <c r="T649" s="185"/>
      <c r="U649" s="185"/>
      <c r="V649" s="185"/>
      <c r="W649" s="41">
        <f t="shared" si="52"/>
        <v>0</v>
      </c>
      <c r="X649" s="41">
        <f t="shared" si="53"/>
        <v>0</v>
      </c>
      <c r="Y649" s="11"/>
      <c r="Z649" s="11"/>
      <c r="AA649" s="11"/>
      <c r="AB649" s="11"/>
      <c r="AC649" s="24"/>
    </row>
    <row r="650" spans="1:29" x14ac:dyDescent="0.2">
      <c r="A650" s="11">
        <f>+'SERVICIO FAENA'!A650</f>
        <v>0</v>
      </c>
      <c r="B650" s="11">
        <f>+'SERVICIO FAENA'!B650</f>
        <v>0</v>
      </c>
      <c r="C650" s="11"/>
      <c r="D650" s="11"/>
      <c r="E650" s="18">
        <f>+'SERVICIO FAENA'!E650</f>
        <v>0</v>
      </c>
      <c r="F650" s="11"/>
      <c r="G650" s="180" t="e">
        <f t="shared" si="54"/>
        <v>#DIV/0!</v>
      </c>
      <c r="H650" s="11"/>
      <c r="I650" s="11"/>
      <c r="J650" s="180" t="e">
        <f t="shared" si="50"/>
        <v>#DIV/0!</v>
      </c>
      <c r="K650" s="100"/>
      <c r="L650" s="100"/>
      <c r="M650" s="100"/>
      <c r="N650" s="100">
        <f t="shared" si="51"/>
        <v>0</v>
      </c>
      <c r="O650" s="100"/>
      <c r="P650" s="41">
        <v>880</v>
      </c>
      <c r="Q650" s="11"/>
      <c r="R650" s="41">
        <v>260</v>
      </c>
      <c r="S650" s="185"/>
      <c r="T650" s="185"/>
      <c r="U650" s="185"/>
      <c r="V650" s="185"/>
      <c r="W650" s="41">
        <f t="shared" si="52"/>
        <v>0</v>
      </c>
      <c r="X650" s="41">
        <f t="shared" si="53"/>
        <v>0</v>
      </c>
      <c r="Y650" s="11"/>
      <c r="Z650" s="11"/>
      <c r="AA650" s="11"/>
      <c r="AB650" s="11"/>
      <c r="AC650" s="24"/>
    </row>
    <row r="651" spans="1:29" x14ac:dyDescent="0.2">
      <c r="A651" s="11">
        <f>+'SERVICIO FAENA'!A651</f>
        <v>0</v>
      </c>
      <c r="B651" s="11">
        <f>+'SERVICIO FAENA'!B651</f>
        <v>0</v>
      </c>
      <c r="C651" s="11"/>
      <c r="D651" s="11"/>
      <c r="E651" s="18">
        <f>+'SERVICIO FAENA'!E651</f>
        <v>0</v>
      </c>
      <c r="F651" s="11"/>
      <c r="G651" s="180" t="e">
        <f t="shared" si="54"/>
        <v>#DIV/0!</v>
      </c>
      <c r="H651" s="11"/>
      <c r="I651" s="11"/>
      <c r="J651" s="180" t="e">
        <f t="shared" si="50"/>
        <v>#DIV/0!</v>
      </c>
      <c r="K651" s="100"/>
      <c r="L651" s="100"/>
      <c r="M651" s="100"/>
      <c r="N651" s="100">
        <f t="shared" si="51"/>
        <v>0</v>
      </c>
      <c r="O651" s="100"/>
      <c r="P651" s="41">
        <v>880</v>
      </c>
      <c r="Q651" s="11"/>
      <c r="R651" s="41">
        <v>260</v>
      </c>
      <c r="S651" s="185"/>
      <c r="T651" s="185"/>
      <c r="U651" s="185"/>
      <c r="V651" s="185"/>
      <c r="W651" s="41">
        <f t="shared" si="52"/>
        <v>0</v>
      </c>
      <c r="X651" s="41">
        <f t="shared" si="53"/>
        <v>0</v>
      </c>
      <c r="Y651" s="11"/>
      <c r="Z651" s="11"/>
      <c r="AA651" s="11"/>
      <c r="AB651" s="11"/>
      <c r="AC651" s="24"/>
    </row>
    <row r="652" spans="1:29" x14ac:dyDescent="0.2">
      <c r="A652" s="11">
        <f>+'SERVICIO FAENA'!A652</f>
        <v>0</v>
      </c>
      <c r="B652" s="11">
        <f>+'SERVICIO FAENA'!B652</f>
        <v>0</v>
      </c>
      <c r="C652" s="11"/>
      <c r="D652" s="11"/>
      <c r="E652" s="18">
        <f>+'SERVICIO FAENA'!E652</f>
        <v>0</v>
      </c>
      <c r="F652" s="11"/>
      <c r="G652" s="180" t="e">
        <f t="shared" si="54"/>
        <v>#DIV/0!</v>
      </c>
      <c r="H652" s="11"/>
      <c r="I652" s="11"/>
      <c r="J652" s="180" t="e">
        <f t="shared" si="50"/>
        <v>#DIV/0!</v>
      </c>
      <c r="K652" s="100"/>
      <c r="L652" s="100"/>
      <c r="M652" s="100"/>
      <c r="N652" s="100">
        <f t="shared" si="51"/>
        <v>0</v>
      </c>
      <c r="O652" s="100"/>
      <c r="P652" s="41">
        <v>880</v>
      </c>
      <c r="Q652" s="11"/>
      <c r="R652" s="41">
        <v>260</v>
      </c>
      <c r="S652" s="185"/>
      <c r="T652" s="185"/>
      <c r="U652" s="185"/>
      <c r="V652" s="185"/>
      <c r="W652" s="41">
        <f t="shared" si="52"/>
        <v>0</v>
      </c>
      <c r="X652" s="41">
        <f t="shared" si="53"/>
        <v>0</v>
      </c>
      <c r="Y652" s="11"/>
      <c r="Z652" s="11"/>
      <c r="AA652" s="11"/>
      <c r="AB652" s="11"/>
      <c r="AC652" s="24"/>
    </row>
    <row r="653" spans="1:29" x14ac:dyDescent="0.2">
      <c r="A653" s="11">
        <f>+'SERVICIO FAENA'!A653</f>
        <v>0</v>
      </c>
      <c r="B653" s="11">
        <f>+'SERVICIO FAENA'!B653</f>
        <v>0</v>
      </c>
      <c r="C653" s="11"/>
      <c r="D653" s="11"/>
      <c r="E653" s="18">
        <f>+'SERVICIO FAENA'!E653</f>
        <v>0</v>
      </c>
      <c r="F653" s="11"/>
      <c r="G653" s="180" t="e">
        <f t="shared" si="54"/>
        <v>#DIV/0!</v>
      </c>
      <c r="H653" s="11"/>
      <c r="I653" s="11"/>
      <c r="J653" s="180" t="e">
        <f t="shared" si="50"/>
        <v>#DIV/0!</v>
      </c>
      <c r="K653" s="100"/>
      <c r="L653" s="100"/>
      <c r="M653" s="100"/>
      <c r="N653" s="100">
        <f t="shared" si="51"/>
        <v>0</v>
      </c>
      <c r="O653" s="100"/>
      <c r="P653" s="41">
        <v>880</v>
      </c>
      <c r="Q653" s="11"/>
      <c r="R653" s="41">
        <v>260</v>
      </c>
      <c r="S653" s="185"/>
      <c r="T653" s="185"/>
      <c r="U653" s="185"/>
      <c r="V653" s="185"/>
      <c r="W653" s="41">
        <f t="shared" si="52"/>
        <v>0</v>
      </c>
      <c r="X653" s="41">
        <f t="shared" si="53"/>
        <v>0</v>
      </c>
      <c r="Y653" s="11"/>
      <c r="Z653" s="11"/>
      <c r="AA653" s="11"/>
      <c r="AB653" s="11"/>
      <c r="AC653" s="24"/>
    </row>
    <row r="654" spans="1:29" x14ac:dyDescent="0.2">
      <c r="A654" s="11">
        <f>+'SERVICIO FAENA'!A654</f>
        <v>0</v>
      </c>
      <c r="B654" s="11">
        <f>+'SERVICIO FAENA'!B654</f>
        <v>0</v>
      </c>
      <c r="C654" s="11"/>
      <c r="D654" s="11"/>
      <c r="E654" s="18">
        <f>+'SERVICIO FAENA'!E654</f>
        <v>0</v>
      </c>
      <c r="F654" s="11"/>
      <c r="G654" s="180" t="e">
        <f t="shared" si="54"/>
        <v>#DIV/0!</v>
      </c>
      <c r="H654" s="11"/>
      <c r="I654" s="11"/>
      <c r="J654" s="180" t="e">
        <f t="shared" si="50"/>
        <v>#DIV/0!</v>
      </c>
      <c r="K654" s="100"/>
      <c r="L654" s="100"/>
      <c r="M654" s="100"/>
      <c r="N654" s="100">
        <f t="shared" si="51"/>
        <v>0</v>
      </c>
      <c r="O654" s="100"/>
      <c r="P654" s="41">
        <v>880</v>
      </c>
      <c r="Q654" s="11"/>
      <c r="R654" s="41">
        <v>260</v>
      </c>
      <c r="S654" s="185"/>
      <c r="T654" s="185"/>
      <c r="U654" s="185"/>
      <c r="V654" s="185"/>
      <c r="W654" s="41">
        <f t="shared" si="52"/>
        <v>0</v>
      </c>
      <c r="X654" s="41">
        <f t="shared" si="53"/>
        <v>0</v>
      </c>
      <c r="Y654" s="11"/>
      <c r="Z654" s="11"/>
      <c r="AA654" s="11"/>
      <c r="AB654" s="11"/>
      <c r="AC654" s="24"/>
    </row>
    <row r="655" spans="1:29" x14ac:dyDescent="0.2">
      <c r="A655" s="11">
        <f>+'SERVICIO FAENA'!A655</f>
        <v>0</v>
      </c>
      <c r="B655" s="11">
        <f>+'SERVICIO FAENA'!B655</f>
        <v>0</v>
      </c>
      <c r="C655" s="11"/>
      <c r="D655" s="11"/>
      <c r="E655" s="18">
        <f>+'SERVICIO FAENA'!E655</f>
        <v>0</v>
      </c>
      <c r="F655" s="11"/>
      <c r="G655" s="180" t="e">
        <f t="shared" si="54"/>
        <v>#DIV/0!</v>
      </c>
      <c r="H655" s="11"/>
      <c r="I655" s="11"/>
      <c r="J655" s="180" t="e">
        <f t="shared" si="50"/>
        <v>#DIV/0!</v>
      </c>
      <c r="K655" s="100"/>
      <c r="L655" s="100"/>
      <c r="M655" s="100"/>
      <c r="N655" s="100">
        <f t="shared" si="51"/>
        <v>0</v>
      </c>
      <c r="O655" s="100"/>
      <c r="P655" s="41">
        <v>880</v>
      </c>
      <c r="Q655" s="11"/>
      <c r="R655" s="41">
        <v>260</v>
      </c>
      <c r="S655" s="185"/>
      <c r="T655" s="185"/>
      <c r="U655" s="185"/>
      <c r="V655" s="185"/>
      <c r="W655" s="41">
        <f t="shared" si="52"/>
        <v>0</v>
      </c>
      <c r="X655" s="41">
        <f t="shared" si="53"/>
        <v>0</v>
      </c>
      <c r="Y655" s="11"/>
      <c r="Z655" s="11"/>
      <c r="AA655" s="11"/>
      <c r="AB655" s="11"/>
      <c r="AC655" s="24"/>
    </row>
    <row r="656" spans="1:29" x14ac:dyDescent="0.2">
      <c r="A656" s="11">
        <f>+'SERVICIO FAENA'!A656</f>
        <v>0</v>
      </c>
      <c r="B656" s="11">
        <f>+'SERVICIO FAENA'!B656</f>
        <v>0</v>
      </c>
      <c r="C656" s="11"/>
      <c r="D656" s="11"/>
      <c r="E656" s="18">
        <f>+'SERVICIO FAENA'!E656</f>
        <v>0</v>
      </c>
      <c r="F656" s="11"/>
      <c r="G656" s="180" t="e">
        <f t="shared" si="54"/>
        <v>#DIV/0!</v>
      </c>
      <c r="H656" s="11"/>
      <c r="I656" s="11"/>
      <c r="J656" s="180" t="e">
        <f t="shared" si="50"/>
        <v>#DIV/0!</v>
      </c>
      <c r="K656" s="100"/>
      <c r="L656" s="100"/>
      <c r="M656" s="100"/>
      <c r="N656" s="100">
        <f t="shared" si="51"/>
        <v>0</v>
      </c>
      <c r="O656" s="100"/>
      <c r="P656" s="41">
        <v>880</v>
      </c>
      <c r="Q656" s="11"/>
      <c r="R656" s="41">
        <v>260</v>
      </c>
      <c r="S656" s="185"/>
      <c r="T656" s="185"/>
      <c r="U656" s="185"/>
      <c r="V656" s="185"/>
      <c r="W656" s="41">
        <f t="shared" si="52"/>
        <v>0</v>
      </c>
      <c r="X656" s="41">
        <f t="shared" si="53"/>
        <v>0</v>
      </c>
      <c r="Y656" s="11"/>
      <c r="Z656" s="11"/>
      <c r="AA656" s="11"/>
      <c r="AB656" s="11"/>
      <c r="AC656" s="24"/>
    </row>
    <row r="657" spans="1:29" x14ac:dyDescent="0.2">
      <c r="A657" s="11">
        <f>+'SERVICIO FAENA'!A657</f>
        <v>0</v>
      </c>
      <c r="B657" s="11">
        <f>+'SERVICIO FAENA'!B657</f>
        <v>0</v>
      </c>
      <c r="C657" s="11"/>
      <c r="D657" s="11"/>
      <c r="E657" s="18">
        <f>+'SERVICIO FAENA'!E657</f>
        <v>0</v>
      </c>
      <c r="F657" s="11"/>
      <c r="G657" s="180" t="e">
        <f t="shared" si="54"/>
        <v>#DIV/0!</v>
      </c>
      <c r="H657" s="11"/>
      <c r="I657" s="11"/>
      <c r="J657" s="180" t="e">
        <f t="shared" si="50"/>
        <v>#DIV/0!</v>
      </c>
      <c r="K657" s="100"/>
      <c r="L657" s="100"/>
      <c r="M657" s="100"/>
      <c r="N657" s="100">
        <f t="shared" si="51"/>
        <v>0</v>
      </c>
      <c r="O657" s="100"/>
      <c r="P657" s="41">
        <v>880</v>
      </c>
      <c r="Q657" s="11"/>
      <c r="R657" s="41">
        <v>260</v>
      </c>
      <c r="S657" s="185"/>
      <c r="T657" s="185"/>
      <c r="U657" s="185"/>
      <c r="V657" s="185"/>
      <c r="W657" s="41">
        <f t="shared" si="52"/>
        <v>0</v>
      </c>
      <c r="X657" s="41">
        <f t="shared" si="53"/>
        <v>0</v>
      </c>
      <c r="Y657" s="11"/>
      <c r="Z657" s="11"/>
      <c r="AA657" s="11"/>
      <c r="AB657" s="11"/>
      <c r="AC657" s="24"/>
    </row>
    <row r="658" spans="1:29" x14ac:dyDescent="0.2">
      <c r="A658" s="11">
        <f>+'SERVICIO FAENA'!A658</f>
        <v>0</v>
      </c>
      <c r="B658" s="11">
        <f>+'SERVICIO FAENA'!B658</f>
        <v>0</v>
      </c>
      <c r="C658" s="11"/>
      <c r="D658" s="11"/>
      <c r="E658" s="18">
        <f>+'SERVICIO FAENA'!E658</f>
        <v>0</v>
      </c>
      <c r="F658" s="11"/>
      <c r="G658" s="180" t="e">
        <f t="shared" si="54"/>
        <v>#DIV/0!</v>
      </c>
      <c r="H658" s="11"/>
      <c r="I658" s="11"/>
      <c r="J658" s="180" t="e">
        <f t="shared" si="50"/>
        <v>#DIV/0!</v>
      </c>
      <c r="K658" s="100"/>
      <c r="L658" s="100"/>
      <c r="M658" s="100"/>
      <c r="N658" s="100">
        <f t="shared" si="51"/>
        <v>0</v>
      </c>
      <c r="O658" s="100"/>
      <c r="P658" s="41">
        <v>880</v>
      </c>
      <c r="Q658" s="11"/>
      <c r="R658" s="41">
        <v>260</v>
      </c>
      <c r="S658" s="185"/>
      <c r="T658" s="185"/>
      <c r="U658" s="185"/>
      <c r="V658" s="185"/>
      <c r="W658" s="41">
        <f t="shared" si="52"/>
        <v>0</v>
      </c>
      <c r="X658" s="41">
        <f t="shared" si="53"/>
        <v>0</v>
      </c>
      <c r="Y658" s="11"/>
      <c r="Z658" s="11"/>
      <c r="AA658" s="11"/>
      <c r="AB658" s="11"/>
      <c r="AC658" s="24"/>
    </row>
    <row r="659" spans="1:29" x14ac:dyDescent="0.2">
      <c r="A659" s="11">
        <f>+'SERVICIO FAENA'!A659</f>
        <v>0</v>
      </c>
      <c r="B659" s="11">
        <f>+'SERVICIO FAENA'!B659</f>
        <v>0</v>
      </c>
      <c r="C659" s="11"/>
      <c r="D659" s="11"/>
      <c r="E659" s="18">
        <f>+'SERVICIO FAENA'!E659</f>
        <v>0</v>
      </c>
      <c r="F659" s="11"/>
      <c r="G659" s="180" t="e">
        <f t="shared" si="54"/>
        <v>#DIV/0!</v>
      </c>
      <c r="H659" s="11"/>
      <c r="I659" s="11"/>
      <c r="J659" s="180" t="e">
        <f t="shared" si="50"/>
        <v>#DIV/0!</v>
      </c>
      <c r="K659" s="100"/>
      <c r="L659" s="100"/>
      <c r="M659" s="100"/>
      <c r="N659" s="100">
        <f t="shared" si="51"/>
        <v>0</v>
      </c>
      <c r="O659" s="100"/>
      <c r="P659" s="41">
        <v>880</v>
      </c>
      <c r="Q659" s="11"/>
      <c r="R659" s="41">
        <v>260</v>
      </c>
      <c r="S659" s="185"/>
      <c r="T659" s="185"/>
      <c r="U659" s="185"/>
      <c r="V659" s="185"/>
      <c r="W659" s="41">
        <f t="shared" si="52"/>
        <v>0</v>
      </c>
      <c r="X659" s="41">
        <f t="shared" si="53"/>
        <v>0</v>
      </c>
      <c r="Y659" s="11"/>
      <c r="Z659" s="11"/>
      <c r="AA659" s="11"/>
      <c r="AB659" s="11"/>
      <c r="AC659" s="24"/>
    </row>
    <row r="660" spans="1:29" x14ac:dyDescent="0.2">
      <c r="A660" s="11">
        <f>+'SERVICIO FAENA'!A660</f>
        <v>0</v>
      </c>
      <c r="B660" s="11">
        <f>+'SERVICIO FAENA'!B660</f>
        <v>0</v>
      </c>
      <c r="C660" s="11"/>
      <c r="D660" s="11"/>
      <c r="E660" s="18">
        <f>+'SERVICIO FAENA'!E660</f>
        <v>0</v>
      </c>
      <c r="F660" s="11"/>
      <c r="G660" s="180" t="e">
        <f t="shared" si="54"/>
        <v>#DIV/0!</v>
      </c>
      <c r="H660" s="11"/>
      <c r="I660" s="11"/>
      <c r="J660" s="180" t="e">
        <f t="shared" si="50"/>
        <v>#DIV/0!</v>
      </c>
      <c r="K660" s="100"/>
      <c r="L660" s="100"/>
      <c r="M660" s="100"/>
      <c r="N660" s="100">
        <f t="shared" si="51"/>
        <v>0</v>
      </c>
      <c r="O660" s="100"/>
      <c r="P660" s="41">
        <v>880</v>
      </c>
      <c r="Q660" s="11"/>
      <c r="R660" s="41">
        <v>260</v>
      </c>
      <c r="S660" s="185"/>
      <c r="T660" s="185"/>
      <c r="U660" s="185"/>
      <c r="V660" s="185"/>
      <c r="W660" s="41">
        <f t="shared" si="52"/>
        <v>0</v>
      </c>
      <c r="X660" s="41">
        <f t="shared" si="53"/>
        <v>0</v>
      </c>
      <c r="Y660" s="11"/>
      <c r="Z660" s="11"/>
      <c r="AA660" s="11"/>
      <c r="AB660" s="11"/>
      <c r="AC660" s="24"/>
    </row>
    <row r="661" spans="1:29" x14ac:dyDescent="0.2">
      <c r="A661" s="11">
        <f>+'SERVICIO FAENA'!A661</f>
        <v>0</v>
      </c>
      <c r="B661" s="11">
        <f>+'SERVICIO FAENA'!B661</f>
        <v>0</v>
      </c>
      <c r="C661" s="11"/>
      <c r="D661" s="11"/>
      <c r="E661" s="18">
        <f>+'SERVICIO FAENA'!E661</f>
        <v>0</v>
      </c>
      <c r="F661" s="11"/>
      <c r="G661" s="180" t="e">
        <f t="shared" si="54"/>
        <v>#DIV/0!</v>
      </c>
      <c r="H661" s="11"/>
      <c r="I661" s="11"/>
      <c r="J661" s="180" t="e">
        <f t="shared" si="50"/>
        <v>#DIV/0!</v>
      </c>
      <c r="K661" s="100"/>
      <c r="L661" s="100"/>
      <c r="M661" s="100"/>
      <c r="N661" s="100">
        <f t="shared" si="51"/>
        <v>0</v>
      </c>
      <c r="O661" s="100"/>
      <c r="P661" s="41">
        <v>880</v>
      </c>
      <c r="Q661" s="11"/>
      <c r="R661" s="41">
        <v>260</v>
      </c>
      <c r="S661" s="185"/>
      <c r="T661" s="185"/>
      <c r="U661" s="185"/>
      <c r="V661" s="185"/>
      <c r="W661" s="41">
        <f t="shared" si="52"/>
        <v>0</v>
      </c>
      <c r="X661" s="41">
        <f t="shared" si="53"/>
        <v>0</v>
      </c>
      <c r="Y661" s="11"/>
      <c r="Z661" s="11"/>
      <c r="AA661" s="11"/>
      <c r="AB661" s="11"/>
      <c r="AC661" s="24"/>
    </row>
    <row r="662" spans="1:29" x14ac:dyDescent="0.2">
      <c r="A662" s="11">
        <f>+'SERVICIO FAENA'!A662</f>
        <v>0</v>
      </c>
      <c r="B662" s="11">
        <f>+'SERVICIO FAENA'!B662</f>
        <v>0</v>
      </c>
      <c r="C662" s="11"/>
      <c r="D662" s="11"/>
      <c r="E662" s="18">
        <f>+'SERVICIO FAENA'!E662</f>
        <v>0</v>
      </c>
      <c r="F662" s="11"/>
      <c r="G662" s="180" t="e">
        <f t="shared" si="54"/>
        <v>#DIV/0!</v>
      </c>
      <c r="H662" s="11"/>
      <c r="I662" s="11"/>
      <c r="J662" s="180" t="e">
        <f t="shared" si="50"/>
        <v>#DIV/0!</v>
      </c>
      <c r="K662" s="100"/>
      <c r="L662" s="100"/>
      <c r="M662" s="100"/>
      <c r="N662" s="100">
        <f t="shared" si="51"/>
        <v>0</v>
      </c>
      <c r="O662" s="100"/>
      <c r="P662" s="41">
        <v>880</v>
      </c>
      <c r="Q662" s="11"/>
      <c r="R662" s="41">
        <v>260</v>
      </c>
      <c r="S662" s="185"/>
      <c r="T662" s="185"/>
      <c r="U662" s="185"/>
      <c r="V662" s="185"/>
      <c r="W662" s="41">
        <f t="shared" si="52"/>
        <v>0</v>
      </c>
      <c r="X662" s="41">
        <f t="shared" si="53"/>
        <v>0</v>
      </c>
      <c r="Y662" s="11"/>
      <c r="Z662" s="11"/>
      <c r="AA662" s="11"/>
      <c r="AB662" s="11"/>
      <c r="AC662" s="24"/>
    </row>
    <row r="663" spans="1:29" x14ac:dyDescent="0.2">
      <c r="A663" s="11">
        <f>+'SERVICIO FAENA'!A663</f>
        <v>0</v>
      </c>
      <c r="B663" s="11">
        <f>+'SERVICIO FAENA'!B663</f>
        <v>0</v>
      </c>
      <c r="C663" s="11"/>
      <c r="D663" s="11"/>
      <c r="E663" s="18">
        <f>+'SERVICIO FAENA'!E663</f>
        <v>0</v>
      </c>
      <c r="F663" s="11"/>
      <c r="G663" s="180" t="e">
        <f t="shared" si="54"/>
        <v>#DIV/0!</v>
      </c>
      <c r="H663" s="11"/>
      <c r="I663" s="11"/>
      <c r="J663" s="180" t="e">
        <f t="shared" si="50"/>
        <v>#DIV/0!</v>
      </c>
      <c r="K663" s="100"/>
      <c r="L663" s="100"/>
      <c r="M663" s="100"/>
      <c r="N663" s="100">
        <f t="shared" si="51"/>
        <v>0</v>
      </c>
      <c r="O663" s="100"/>
      <c r="P663" s="41">
        <v>880</v>
      </c>
      <c r="Q663" s="11"/>
      <c r="R663" s="41">
        <v>260</v>
      </c>
      <c r="S663" s="185"/>
      <c r="T663" s="185"/>
      <c r="U663" s="185"/>
      <c r="V663" s="185"/>
      <c r="W663" s="41">
        <f t="shared" si="52"/>
        <v>0</v>
      </c>
      <c r="X663" s="41">
        <f t="shared" si="53"/>
        <v>0</v>
      </c>
      <c r="Y663" s="11"/>
      <c r="Z663" s="11"/>
      <c r="AA663" s="11"/>
      <c r="AB663" s="11"/>
      <c r="AC663" s="24"/>
    </row>
    <row r="664" spans="1:29" x14ac:dyDescent="0.2">
      <c r="A664" s="11">
        <f>+'SERVICIO FAENA'!A664</f>
        <v>0</v>
      </c>
      <c r="B664" s="11">
        <f>+'SERVICIO FAENA'!B664</f>
        <v>0</v>
      </c>
      <c r="C664" s="11"/>
      <c r="D664" s="11"/>
      <c r="E664" s="18">
        <f>+'SERVICIO FAENA'!E664</f>
        <v>0</v>
      </c>
      <c r="F664" s="11"/>
      <c r="G664" s="180" t="e">
        <f t="shared" si="54"/>
        <v>#DIV/0!</v>
      </c>
      <c r="H664" s="11"/>
      <c r="I664" s="11"/>
      <c r="J664" s="180" t="e">
        <f t="shared" si="50"/>
        <v>#DIV/0!</v>
      </c>
      <c r="K664" s="100"/>
      <c r="L664" s="100"/>
      <c r="M664" s="100"/>
      <c r="N664" s="100">
        <f t="shared" si="51"/>
        <v>0</v>
      </c>
      <c r="O664" s="100"/>
      <c r="P664" s="41">
        <v>880</v>
      </c>
      <c r="Q664" s="11"/>
      <c r="R664" s="41">
        <v>260</v>
      </c>
      <c r="S664" s="185"/>
      <c r="T664" s="185"/>
      <c r="U664" s="185"/>
      <c r="V664" s="185"/>
      <c r="W664" s="41">
        <f t="shared" si="52"/>
        <v>0</v>
      </c>
      <c r="X664" s="41">
        <f t="shared" si="53"/>
        <v>0</v>
      </c>
      <c r="Y664" s="11"/>
      <c r="Z664" s="11"/>
      <c r="AA664" s="11"/>
      <c r="AB664" s="11"/>
      <c r="AC664" s="24"/>
    </row>
    <row r="665" spans="1:29" x14ac:dyDescent="0.2">
      <c r="A665" s="11">
        <f>+'SERVICIO FAENA'!A665</f>
        <v>0</v>
      </c>
      <c r="B665" s="11">
        <f>+'SERVICIO FAENA'!B665</f>
        <v>0</v>
      </c>
      <c r="C665" s="11"/>
      <c r="D665" s="11"/>
      <c r="E665" s="18">
        <f>+'SERVICIO FAENA'!E665</f>
        <v>0</v>
      </c>
      <c r="F665" s="11"/>
      <c r="G665" s="180" t="e">
        <f t="shared" si="54"/>
        <v>#DIV/0!</v>
      </c>
      <c r="H665" s="11"/>
      <c r="I665" s="11"/>
      <c r="J665" s="180" t="e">
        <f t="shared" si="50"/>
        <v>#DIV/0!</v>
      </c>
      <c r="K665" s="100"/>
      <c r="L665" s="100"/>
      <c r="M665" s="100"/>
      <c r="N665" s="100">
        <f t="shared" si="51"/>
        <v>0</v>
      </c>
      <c r="O665" s="100"/>
      <c r="P665" s="41">
        <v>880</v>
      </c>
      <c r="Q665" s="11"/>
      <c r="R665" s="41">
        <v>260</v>
      </c>
      <c r="S665" s="185"/>
      <c r="T665" s="185"/>
      <c r="U665" s="185"/>
      <c r="V665" s="185"/>
      <c r="W665" s="41">
        <f t="shared" si="52"/>
        <v>0</v>
      </c>
      <c r="X665" s="41">
        <f t="shared" si="53"/>
        <v>0</v>
      </c>
      <c r="Y665" s="11"/>
      <c r="Z665" s="11"/>
      <c r="AA665" s="11"/>
      <c r="AB665" s="11"/>
      <c r="AC665" s="24"/>
    </row>
    <row r="666" spans="1:29" x14ac:dyDescent="0.2">
      <c r="A666" s="11">
        <f>+'SERVICIO FAENA'!A666</f>
        <v>0</v>
      </c>
      <c r="B666" s="11">
        <f>+'SERVICIO FAENA'!B666</f>
        <v>0</v>
      </c>
      <c r="C666" s="11"/>
      <c r="D666" s="11"/>
      <c r="E666" s="18">
        <f>+'SERVICIO FAENA'!E666</f>
        <v>0</v>
      </c>
      <c r="F666" s="11"/>
      <c r="G666" s="180" t="e">
        <f t="shared" si="54"/>
        <v>#DIV/0!</v>
      </c>
      <c r="H666" s="11"/>
      <c r="I666" s="11"/>
      <c r="J666" s="180" t="e">
        <f t="shared" si="50"/>
        <v>#DIV/0!</v>
      </c>
      <c r="K666" s="100"/>
      <c r="L666" s="100"/>
      <c r="M666" s="100"/>
      <c r="N666" s="100">
        <f t="shared" si="51"/>
        <v>0</v>
      </c>
      <c r="O666" s="100"/>
      <c r="P666" s="41">
        <v>880</v>
      </c>
      <c r="Q666" s="11"/>
      <c r="R666" s="41">
        <v>260</v>
      </c>
      <c r="S666" s="185"/>
      <c r="T666" s="185"/>
      <c r="U666" s="185"/>
      <c r="V666" s="185"/>
      <c r="W666" s="41">
        <f t="shared" si="52"/>
        <v>0</v>
      </c>
      <c r="X666" s="41">
        <f t="shared" si="53"/>
        <v>0</v>
      </c>
      <c r="Y666" s="11"/>
      <c r="Z666" s="11"/>
      <c r="AA666" s="11"/>
      <c r="AB666" s="11"/>
      <c r="AC666" s="24"/>
    </row>
    <row r="667" spans="1:29" x14ac:dyDescent="0.2">
      <c r="A667" s="11">
        <f>+'SERVICIO FAENA'!A667</f>
        <v>0</v>
      </c>
      <c r="B667" s="11">
        <f>+'SERVICIO FAENA'!B667</f>
        <v>0</v>
      </c>
      <c r="C667" s="11"/>
      <c r="D667" s="11"/>
      <c r="E667" s="18">
        <f>+'SERVICIO FAENA'!E667</f>
        <v>0</v>
      </c>
      <c r="F667" s="11"/>
      <c r="G667" s="180" t="e">
        <f t="shared" si="54"/>
        <v>#DIV/0!</v>
      </c>
      <c r="H667" s="11"/>
      <c r="I667" s="11"/>
      <c r="J667" s="180" t="e">
        <f t="shared" si="50"/>
        <v>#DIV/0!</v>
      </c>
      <c r="K667" s="100"/>
      <c r="L667" s="100"/>
      <c r="M667" s="100"/>
      <c r="N667" s="100">
        <f t="shared" si="51"/>
        <v>0</v>
      </c>
      <c r="O667" s="100"/>
      <c r="P667" s="41">
        <v>880</v>
      </c>
      <c r="Q667" s="11"/>
      <c r="R667" s="41">
        <v>260</v>
      </c>
      <c r="S667" s="185"/>
      <c r="T667" s="185"/>
      <c r="U667" s="185"/>
      <c r="V667" s="185"/>
      <c r="W667" s="41">
        <f t="shared" si="52"/>
        <v>0</v>
      </c>
      <c r="X667" s="41">
        <f t="shared" si="53"/>
        <v>0</v>
      </c>
      <c r="Y667" s="11"/>
      <c r="Z667" s="11"/>
      <c r="AA667" s="11"/>
      <c r="AB667" s="11"/>
      <c r="AC667" s="24"/>
    </row>
    <row r="668" spans="1:29" x14ac:dyDescent="0.2">
      <c r="A668" s="11">
        <f>+'SERVICIO FAENA'!A668</f>
        <v>0</v>
      </c>
      <c r="B668" s="11">
        <f>+'SERVICIO FAENA'!B668</f>
        <v>0</v>
      </c>
      <c r="C668" s="11"/>
      <c r="D668" s="11"/>
      <c r="E668" s="18">
        <f>+'SERVICIO FAENA'!E668</f>
        <v>0</v>
      </c>
      <c r="F668" s="11"/>
      <c r="G668" s="180" t="e">
        <f t="shared" si="54"/>
        <v>#DIV/0!</v>
      </c>
      <c r="H668" s="11"/>
      <c r="I668" s="11"/>
      <c r="J668" s="180" t="e">
        <f t="shared" si="50"/>
        <v>#DIV/0!</v>
      </c>
      <c r="K668" s="100"/>
      <c r="L668" s="100"/>
      <c r="M668" s="100"/>
      <c r="N668" s="100">
        <f t="shared" si="51"/>
        <v>0</v>
      </c>
      <c r="O668" s="100"/>
      <c r="P668" s="41">
        <v>880</v>
      </c>
      <c r="Q668" s="11"/>
      <c r="R668" s="41">
        <v>260</v>
      </c>
      <c r="S668" s="185"/>
      <c r="T668" s="185"/>
      <c r="U668" s="185"/>
      <c r="V668" s="185"/>
      <c r="W668" s="41">
        <f t="shared" si="52"/>
        <v>0</v>
      </c>
      <c r="X668" s="41">
        <f t="shared" si="53"/>
        <v>0</v>
      </c>
      <c r="Y668" s="11"/>
      <c r="Z668" s="11"/>
      <c r="AA668" s="11"/>
      <c r="AB668" s="11"/>
      <c r="AC668" s="24"/>
    </row>
    <row r="669" spans="1:29" x14ac:dyDescent="0.2">
      <c r="A669" s="11">
        <f>+'SERVICIO FAENA'!A669</f>
        <v>0</v>
      </c>
      <c r="B669" s="11">
        <f>+'SERVICIO FAENA'!B669</f>
        <v>0</v>
      </c>
      <c r="C669" s="11"/>
      <c r="D669" s="11"/>
      <c r="E669" s="18">
        <f>+'SERVICIO FAENA'!E669</f>
        <v>0</v>
      </c>
      <c r="F669" s="11"/>
      <c r="G669" s="180" t="e">
        <f t="shared" si="54"/>
        <v>#DIV/0!</v>
      </c>
      <c r="H669" s="11"/>
      <c r="I669" s="11"/>
      <c r="J669" s="180" t="e">
        <f t="shared" si="50"/>
        <v>#DIV/0!</v>
      </c>
      <c r="K669" s="100"/>
      <c r="L669" s="100"/>
      <c r="M669" s="100"/>
      <c r="N669" s="100">
        <f t="shared" si="51"/>
        <v>0</v>
      </c>
      <c r="O669" s="100"/>
      <c r="P669" s="41">
        <v>880</v>
      </c>
      <c r="Q669" s="11"/>
      <c r="R669" s="41">
        <v>260</v>
      </c>
      <c r="S669" s="185"/>
      <c r="T669" s="185"/>
      <c r="U669" s="185"/>
      <c r="V669" s="185"/>
      <c r="W669" s="41">
        <f t="shared" si="52"/>
        <v>0</v>
      </c>
      <c r="X669" s="41">
        <f t="shared" si="53"/>
        <v>0</v>
      </c>
      <c r="Y669" s="11"/>
      <c r="Z669" s="11"/>
      <c r="AA669" s="11"/>
      <c r="AB669" s="11"/>
      <c r="AC669" s="24"/>
    </row>
    <row r="670" spans="1:29" x14ac:dyDescent="0.2">
      <c r="A670" s="11">
        <f>+'SERVICIO FAENA'!A670</f>
        <v>0</v>
      </c>
      <c r="B670" s="11">
        <f>+'SERVICIO FAENA'!B670</f>
        <v>0</v>
      </c>
      <c r="C670" s="11"/>
      <c r="D670" s="11"/>
      <c r="E670" s="18">
        <f>+'SERVICIO FAENA'!E670</f>
        <v>0</v>
      </c>
      <c r="F670" s="11"/>
      <c r="G670" s="180" t="e">
        <f t="shared" si="54"/>
        <v>#DIV/0!</v>
      </c>
      <c r="H670" s="11"/>
      <c r="I670" s="11"/>
      <c r="J670" s="180" t="e">
        <f t="shared" si="50"/>
        <v>#DIV/0!</v>
      </c>
      <c r="K670" s="100"/>
      <c r="L670" s="100"/>
      <c r="M670" s="100"/>
      <c r="N670" s="100">
        <f t="shared" si="51"/>
        <v>0</v>
      </c>
      <c r="O670" s="100"/>
      <c r="P670" s="41">
        <v>880</v>
      </c>
      <c r="Q670" s="11"/>
      <c r="R670" s="41">
        <v>260</v>
      </c>
      <c r="S670" s="185"/>
      <c r="T670" s="185"/>
      <c r="U670" s="185"/>
      <c r="V670" s="185"/>
      <c r="W670" s="41">
        <f t="shared" si="52"/>
        <v>0</v>
      </c>
      <c r="X670" s="41">
        <f t="shared" si="53"/>
        <v>0</v>
      </c>
      <c r="Y670" s="11"/>
      <c r="Z670" s="11"/>
      <c r="AA670" s="11"/>
      <c r="AB670" s="11"/>
      <c r="AC670" s="24"/>
    </row>
    <row r="671" spans="1:29" x14ac:dyDescent="0.2">
      <c r="A671" s="11">
        <f>+'SERVICIO FAENA'!A671</f>
        <v>0</v>
      </c>
      <c r="B671" s="11">
        <f>+'SERVICIO FAENA'!B671</f>
        <v>0</v>
      </c>
      <c r="C671" s="11"/>
      <c r="D671" s="11"/>
      <c r="E671" s="18">
        <f>+'SERVICIO FAENA'!E671</f>
        <v>0</v>
      </c>
      <c r="F671" s="11"/>
      <c r="G671" s="180" t="e">
        <f t="shared" si="54"/>
        <v>#DIV/0!</v>
      </c>
      <c r="H671" s="11"/>
      <c r="I671" s="11"/>
      <c r="J671" s="180" t="e">
        <f t="shared" si="50"/>
        <v>#DIV/0!</v>
      </c>
      <c r="K671" s="100"/>
      <c r="L671" s="100"/>
      <c r="M671" s="100"/>
      <c r="N671" s="100">
        <f t="shared" si="51"/>
        <v>0</v>
      </c>
      <c r="O671" s="100"/>
      <c r="P671" s="41">
        <v>880</v>
      </c>
      <c r="Q671" s="11"/>
      <c r="R671" s="41">
        <v>260</v>
      </c>
      <c r="S671" s="185"/>
      <c r="T671" s="185"/>
      <c r="U671" s="185"/>
      <c r="V671" s="185"/>
      <c r="W671" s="41">
        <f t="shared" si="52"/>
        <v>0</v>
      </c>
      <c r="X671" s="41">
        <f t="shared" si="53"/>
        <v>0</v>
      </c>
      <c r="Y671" s="11"/>
      <c r="Z671" s="11"/>
      <c r="AA671" s="11"/>
      <c r="AB671" s="11"/>
      <c r="AC671" s="24"/>
    </row>
    <row r="672" spans="1:29" x14ac:dyDescent="0.2">
      <c r="A672" s="11">
        <f>+'SERVICIO FAENA'!A672</f>
        <v>0</v>
      </c>
      <c r="B672" s="11">
        <f>+'SERVICIO FAENA'!B672</f>
        <v>0</v>
      </c>
      <c r="C672" s="11"/>
      <c r="D672" s="11"/>
      <c r="E672" s="18">
        <f>+'SERVICIO FAENA'!E672</f>
        <v>0</v>
      </c>
      <c r="F672" s="11"/>
      <c r="G672" s="180" t="e">
        <f t="shared" si="54"/>
        <v>#DIV/0!</v>
      </c>
      <c r="H672" s="11"/>
      <c r="I672" s="11"/>
      <c r="J672" s="180" t="e">
        <f t="shared" si="50"/>
        <v>#DIV/0!</v>
      </c>
      <c r="K672" s="100"/>
      <c r="L672" s="100"/>
      <c r="M672" s="100"/>
      <c r="N672" s="100">
        <f t="shared" si="51"/>
        <v>0</v>
      </c>
      <c r="O672" s="100"/>
      <c r="P672" s="41">
        <v>880</v>
      </c>
      <c r="Q672" s="11"/>
      <c r="R672" s="41">
        <v>260</v>
      </c>
      <c r="S672" s="185"/>
      <c r="T672" s="185"/>
      <c r="U672" s="185"/>
      <c r="V672" s="185"/>
      <c r="W672" s="41">
        <f t="shared" si="52"/>
        <v>0</v>
      </c>
      <c r="X672" s="41">
        <f t="shared" si="53"/>
        <v>0</v>
      </c>
      <c r="Y672" s="11"/>
      <c r="Z672" s="11"/>
      <c r="AA672" s="11"/>
      <c r="AB672" s="11"/>
      <c r="AC672" s="24"/>
    </row>
    <row r="673" spans="1:29" x14ac:dyDescent="0.2">
      <c r="A673" s="11">
        <f>+'SERVICIO FAENA'!A673</f>
        <v>0</v>
      </c>
      <c r="B673" s="11">
        <f>+'SERVICIO FAENA'!B673</f>
        <v>0</v>
      </c>
      <c r="C673" s="11"/>
      <c r="D673" s="11"/>
      <c r="E673" s="18">
        <f>+'SERVICIO FAENA'!E673</f>
        <v>0</v>
      </c>
      <c r="F673" s="11"/>
      <c r="G673" s="180" t="e">
        <f t="shared" si="54"/>
        <v>#DIV/0!</v>
      </c>
      <c r="H673" s="11"/>
      <c r="I673" s="11"/>
      <c r="J673" s="180" t="e">
        <f t="shared" si="50"/>
        <v>#DIV/0!</v>
      </c>
      <c r="K673" s="100"/>
      <c r="L673" s="100"/>
      <c r="M673" s="100"/>
      <c r="N673" s="100">
        <f t="shared" si="51"/>
        <v>0</v>
      </c>
      <c r="O673" s="100"/>
      <c r="P673" s="41">
        <v>880</v>
      </c>
      <c r="Q673" s="11"/>
      <c r="R673" s="41">
        <v>260</v>
      </c>
      <c r="S673" s="185"/>
      <c r="T673" s="185"/>
      <c r="U673" s="185"/>
      <c r="V673" s="185"/>
      <c r="W673" s="41">
        <f t="shared" si="52"/>
        <v>0</v>
      </c>
      <c r="X673" s="41">
        <f t="shared" si="53"/>
        <v>0</v>
      </c>
      <c r="Y673" s="11"/>
      <c r="Z673" s="11"/>
      <c r="AA673" s="11"/>
      <c r="AB673" s="11"/>
      <c r="AC673" s="24"/>
    </row>
    <row r="674" spans="1:29" x14ac:dyDescent="0.2">
      <c r="A674" s="11">
        <f>+'SERVICIO FAENA'!A674</f>
        <v>0</v>
      </c>
      <c r="B674" s="11">
        <f>+'SERVICIO FAENA'!B674</f>
        <v>0</v>
      </c>
      <c r="C674" s="11"/>
      <c r="D674" s="11"/>
      <c r="E674" s="18">
        <f>+'SERVICIO FAENA'!E674</f>
        <v>0</v>
      </c>
      <c r="F674" s="11"/>
      <c r="G674" s="180" t="e">
        <f t="shared" si="54"/>
        <v>#DIV/0!</v>
      </c>
      <c r="H674" s="11"/>
      <c r="I674" s="11"/>
      <c r="J674" s="180" t="e">
        <f t="shared" si="50"/>
        <v>#DIV/0!</v>
      </c>
      <c r="K674" s="100"/>
      <c r="L674" s="100"/>
      <c r="M674" s="100"/>
      <c r="N674" s="100">
        <f t="shared" si="51"/>
        <v>0</v>
      </c>
      <c r="O674" s="100"/>
      <c r="P674" s="41">
        <v>880</v>
      </c>
      <c r="Q674" s="11"/>
      <c r="R674" s="41">
        <v>260</v>
      </c>
      <c r="S674" s="185"/>
      <c r="T674" s="185"/>
      <c r="U674" s="185"/>
      <c r="V674" s="185"/>
      <c r="W674" s="41">
        <f t="shared" si="52"/>
        <v>0</v>
      </c>
      <c r="X674" s="41">
        <f t="shared" si="53"/>
        <v>0</v>
      </c>
      <c r="Y674" s="11"/>
      <c r="Z674" s="11"/>
      <c r="AA674" s="11"/>
      <c r="AB674" s="11"/>
      <c r="AC674" s="24"/>
    </row>
    <row r="675" spans="1:29" x14ac:dyDescent="0.2">
      <c r="A675" s="11">
        <f>+'SERVICIO FAENA'!A675</f>
        <v>0</v>
      </c>
      <c r="B675" s="11">
        <f>+'SERVICIO FAENA'!B675</f>
        <v>0</v>
      </c>
      <c r="C675" s="11"/>
      <c r="D675" s="11"/>
      <c r="E675" s="18">
        <f>+'SERVICIO FAENA'!E675</f>
        <v>0</v>
      </c>
      <c r="F675" s="11"/>
      <c r="G675" s="180" t="e">
        <f t="shared" si="54"/>
        <v>#DIV/0!</v>
      </c>
      <c r="H675" s="11"/>
      <c r="I675" s="11"/>
      <c r="J675" s="180" t="e">
        <f t="shared" si="50"/>
        <v>#DIV/0!</v>
      </c>
      <c r="K675" s="100"/>
      <c r="L675" s="100"/>
      <c r="M675" s="100"/>
      <c r="N675" s="100">
        <f t="shared" si="51"/>
        <v>0</v>
      </c>
      <c r="O675" s="100"/>
      <c r="P675" s="41">
        <v>880</v>
      </c>
      <c r="Q675" s="11"/>
      <c r="R675" s="41">
        <v>260</v>
      </c>
      <c r="S675" s="185"/>
      <c r="T675" s="185"/>
      <c r="U675" s="185"/>
      <c r="V675" s="185"/>
      <c r="W675" s="41">
        <f t="shared" si="52"/>
        <v>0</v>
      </c>
      <c r="X675" s="41">
        <f t="shared" si="53"/>
        <v>0</v>
      </c>
      <c r="Y675" s="11"/>
      <c r="Z675" s="11"/>
      <c r="AA675" s="11"/>
      <c r="AB675" s="11"/>
      <c r="AC675" s="24"/>
    </row>
    <row r="676" spans="1:29" x14ac:dyDescent="0.2">
      <c r="A676" s="11">
        <f>+'SERVICIO FAENA'!A676</f>
        <v>0</v>
      </c>
      <c r="B676" s="11">
        <f>+'SERVICIO FAENA'!B676</f>
        <v>0</v>
      </c>
      <c r="C676" s="11"/>
      <c r="D676" s="11"/>
      <c r="E676" s="18">
        <f>+'SERVICIO FAENA'!E676</f>
        <v>0</v>
      </c>
      <c r="F676" s="11"/>
      <c r="G676" s="180" t="e">
        <f t="shared" si="54"/>
        <v>#DIV/0!</v>
      </c>
      <c r="H676" s="11"/>
      <c r="I676" s="11"/>
      <c r="J676" s="180" t="e">
        <f t="shared" si="50"/>
        <v>#DIV/0!</v>
      </c>
      <c r="K676" s="100"/>
      <c r="L676" s="100"/>
      <c r="M676" s="100"/>
      <c r="N676" s="100">
        <f t="shared" si="51"/>
        <v>0</v>
      </c>
      <c r="O676" s="100"/>
      <c r="P676" s="41">
        <v>880</v>
      </c>
      <c r="Q676" s="11"/>
      <c r="R676" s="41">
        <v>260</v>
      </c>
      <c r="S676" s="185"/>
      <c r="T676" s="185"/>
      <c r="U676" s="185"/>
      <c r="V676" s="185"/>
      <c r="W676" s="41">
        <f t="shared" si="52"/>
        <v>0</v>
      </c>
      <c r="X676" s="41">
        <f t="shared" si="53"/>
        <v>0</v>
      </c>
      <c r="Y676" s="11"/>
      <c r="Z676" s="11"/>
      <c r="AA676" s="11"/>
      <c r="AB676" s="11"/>
      <c r="AC676" s="24"/>
    </row>
    <row r="677" spans="1:29" x14ac:dyDescent="0.2">
      <c r="A677" s="11">
        <f>+'SERVICIO FAENA'!A677</f>
        <v>0</v>
      </c>
      <c r="B677" s="11">
        <f>+'SERVICIO FAENA'!B677</f>
        <v>0</v>
      </c>
      <c r="C677" s="11"/>
      <c r="D677" s="11"/>
      <c r="E677" s="18">
        <f>+'SERVICIO FAENA'!E677</f>
        <v>0</v>
      </c>
      <c r="F677" s="11"/>
      <c r="G677" s="180" t="e">
        <f t="shared" si="54"/>
        <v>#DIV/0!</v>
      </c>
      <c r="H677" s="11"/>
      <c r="I677" s="11"/>
      <c r="J677" s="180" t="e">
        <f t="shared" si="50"/>
        <v>#DIV/0!</v>
      </c>
      <c r="K677" s="100"/>
      <c r="L677" s="100"/>
      <c r="M677" s="100"/>
      <c r="N677" s="100">
        <f t="shared" si="51"/>
        <v>0</v>
      </c>
      <c r="O677" s="100"/>
      <c r="P677" s="41">
        <v>880</v>
      </c>
      <c r="Q677" s="11"/>
      <c r="R677" s="41">
        <v>260</v>
      </c>
      <c r="S677" s="185"/>
      <c r="T677" s="185"/>
      <c r="U677" s="185"/>
      <c r="V677" s="185"/>
      <c r="W677" s="41">
        <f t="shared" si="52"/>
        <v>0</v>
      </c>
      <c r="X677" s="41">
        <f t="shared" si="53"/>
        <v>0</v>
      </c>
      <c r="Y677" s="11"/>
      <c r="Z677" s="11"/>
      <c r="AA677" s="11"/>
      <c r="AB677" s="11"/>
      <c r="AC677" s="24"/>
    </row>
    <row r="678" spans="1:29" x14ac:dyDescent="0.2">
      <c r="A678" s="11">
        <f>+'SERVICIO FAENA'!A678</f>
        <v>0</v>
      </c>
      <c r="B678" s="11">
        <f>+'SERVICIO FAENA'!B678</f>
        <v>0</v>
      </c>
      <c r="C678" s="11"/>
      <c r="D678" s="11"/>
      <c r="E678" s="18">
        <f>+'SERVICIO FAENA'!E678</f>
        <v>0</v>
      </c>
      <c r="F678" s="11"/>
      <c r="G678" s="180" t="e">
        <f t="shared" si="54"/>
        <v>#DIV/0!</v>
      </c>
      <c r="H678" s="11"/>
      <c r="I678" s="11"/>
      <c r="J678" s="180" t="e">
        <f t="shared" si="50"/>
        <v>#DIV/0!</v>
      </c>
      <c r="K678" s="100"/>
      <c r="L678" s="100"/>
      <c r="M678" s="100"/>
      <c r="N678" s="100">
        <f t="shared" si="51"/>
        <v>0</v>
      </c>
      <c r="O678" s="100"/>
      <c r="P678" s="41">
        <v>880</v>
      </c>
      <c r="Q678" s="11"/>
      <c r="R678" s="41">
        <v>260</v>
      </c>
      <c r="S678" s="185"/>
      <c r="T678" s="185"/>
      <c r="U678" s="185"/>
      <c r="V678" s="185"/>
      <c r="W678" s="41">
        <f t="shared" si="52"/>
        <v>0</v>
      </c>
      <c r="X678" s="41">
        <f t="shared" si="53"/>
        <v>0</v>
      </c>
      <c r="Y678" s="11"/>
      <c r="Z678" s="11"/>
      <c r="AA678" s="11"/>
      <c r="AB678" s="11"/>
      <c r="AC678" s="24"/>
    </row>
    <row r="679" spans="1:29" x14ac:dyDescent="0.2">
      <c r="A679" s="11">
        <f>+'SERVICIO FAENA'!A679</f>
        <v>0</v>
      </c>
      <c r="B679" s="11">
        <f>+'SERVICIO FAENA'!B679</f>
        <v>0</v>
      </c>
      <c r="C679" s="11"/>
      <c r="D679" s="11"/>
      <c r="E679" s="18">
        <f>+'SERVICIO FAENA'!E679</f>
        <v>0</v>
      </c>
      <c r="F679" s="11"/>
      <c r="G679" s="180" t="e">
        <f t="shared" si="54"/>
        <v>#DIV/0!</v>
      </c>
      <c r="H679" s="11"/>
      <c r="I679" s="11"/>
      <c r="J679" s="180" t="e">
        <f t="shared" si="50"/>
        <v>#DIV/0!</v>
      </c>
      <c r="K679" s="100"/>
      <c r="L679" s="100"/>
      <c r="M679" s="100"/>
      <c r="N679" s="100">
        <f t="shared" si="51"/>
        <v>0</v>
      </c>
      <c r="O679" s="100"/>
      <c r="P679" s="41">
        <v>880</v>
      </c>
      <c r="Q679" s="11"/>
      <c r="R679" s="41">
        <v>260</v>
      </c>
      <c r="S679" s="185"/>
      <c r="T679" s="185"/>
      <c r="U679" s="185"/>
      <c r="V679" s="185"/>
      <c r="W679" s="41">
        <f t="shared" si="52"/>
        <v>0</v>
      </c>
      <c r="X679" s="41">
        <f t="shared" si="53"/>
        <v>0</v>
      </c>
      <c r="Y679" s="11"/>
      <c r="Z679" s="11"/>
      <c r="AA679" s="11"/>
      <c r="AB679" s="11"/>
      <c r="AC679" s="24"/>
    </row>
    <row r="680" spans="1:29" x14ac:dyDescent="0.2">
      <c r="A680" s="11">
        <f>+'SERVICIO FAENA'!A680</f>
        <v>0</v>
      </c>
      <c r="B680" s="11">
        <f>+'SERVICIO FAENA'!B680</f>
        <v>0</v>
      </c>
      <c r="C680" s="11"/>
      <c r="D680" s="11"/>
      <c r="E680" s="18">
        <f>+'SERVICIO FAENA'!E680</f>
        <v>0</v>
      </c>
      <c r="F680" s="11"/>
      <c r="G680" s="180" t="e">
        <f t="shared" si="54"/>
        <v>#DIV/0!</v>
      </c>
      <c r="H680" s="11"/>
      <c r="I680" s="11"/>
      <c r="J680" s="180" t="e">
        <f t="shared" si="50"/>
        <v>#DIV/0!</v>
      </c>
      <c r="K680" s="100"/>
      <c r="L680" s="100"/>
      <c r="M680" s="100"/>
      <c r="N680" s="100">
        <f t="shared" si="51"/>
        <v>0</v>
      </c>
      <c r="O680" s="100"/>
      <c r="P680" s="41">
        <v>880</v>
      </c>
      <c r="Q680" s="11"/>
      <c r="R680" s="41">
        <v>260</v>
      </c>
      <c r="S680" s="185"/>
      <c r="T680" s="185"/>
      <c r="U680" s="185"/>
      <c r="V680" s="185"/>
      <c r="W680" s="41">
        <f t="shared" si="52"/>
        <v>0</v>
      </c>
      <c r="X680" s="41">
        <f t="shared" si="53"/>
        <v>0</v>
      </c>
      <c r="Y680" s="11"/>
      <c r="Z680" s="11"/>
      <c r="AA680" s="11"/>
      <c r="AB680" s="11"/>
      <c r="AC680" s="24"/>
    </row>
    <row r="681" spans="1:29" x14ac:dyDescent="0.2">
      <c r="A681" s="11">
        <f>+'SERVICIO FAENA'!A681</f>
        <v>0</v>
      </c>
      <c r="B681" s="11">
        <f>+'SERVICIO FAENA'!B681</f>
        <v>0</v>
      </c>
      <c r="C681" s="11"/>
      <c r="D681" s="11"/>
      <c r="E681" s="18">
        <f>+'SERVICIO FAENA'!E681</f>
        <v>0</v>
      </c>
      <c r="F681" s="11"/>
      <c r="G681" s="180" t="e">
        <f t="shared" si="54"/>
        <v>#DIV/0!</v>
      </c>
      <c r="H681" s="11"/>
      <c r="I681" s="11"/>
      <c r="J681" s="180" t="e">
        <f t="shared" si="50"/>
        <v>#DIV/0!</v>
      </c>
      <c r="K681" s="100"/>
      <c r="L681" s="100"/>
      <c r="M681" s="100"/>
      <c r="N681" s="100">
        <f t="shared" si="51"/>
        <v>0</v>
      </c>
      <c r="O681" s="100"/>
      <c r="P681" s="41">
        <v>880</v>
      </c>
      <c r="Q681" s="11"/>
      <c r="R681" s="41">
        <v>260</v>
      </c>
      <c r="S681" s="185"/>
      <c r="T681" s="185"/>
      <c r="U681" s="185"/>
      <c r="V681" s="185"/>
      <c r="W681" s="41">
        <f t="shared" si="52"/>
        <v>0</v>
      </c>
      <c r="X681" s="41">
        <f t="shared" si="53"/>
        <v>0</v>
      </c>
      <c r="Y681" s="11"/>
      <c r="Z681" s="11"/>
      <c r="AA681" s="11"/>
      <c r="AB681" s="11"/>
      <c r="AC681" s="24"/>
    </row>
    <row r="682" spans="1:29" x14ac:dyDescent="0.2">
      <c r="A682" s="11">
        <f>+'SERVICIO FAENA'!A682</f>
        <v>0</v>
      </c>
      <c r="B682" s="11">
        <f>+'SERVICIO FAENA'!B682</f>
        <v>0</v>
      </c>
      <c r="C682" s="11"/>
      <c r="D682" s="11"/>
      <c r="E682" s="18">
        <f>+'SERVICIO FAENA'!E682</f>
        <v>0</v>
      </c>
      <c r="F682" s="11"/>
      <c r="G682" s="180" t="e">
        <f t="shared" si="54"/>
        <v>#DIV/0!</v>
      </c>
      <c r="H682" s="11"/>
      <c r="I682" s="11"/>
      <c r="J682" s="180" t="e">
        <f t="shared" ref="J682:J745" si="55">+((F682-(H682+I682))/F682)</f>
        <v>#DIV/0!</v>
      </c>
      <c r="K682" s="100"/>
      <c r="L682" s="100"/>
      <c r="M682" s="100"/>
      <c r="N682" s="100">
        <f t="shared" ref="N682:N745" si="56">SUM(K682:M682)</f>
        <v>0</v>
      </c>
      <c r="O682" s="100"/>
      <c r="P682" s="41">
        <v>880</v>
      </c>
      <c r="Q682" s="11"/>
      <c r="R682" s="41">
        <v>260</v>
      </c>
      <c r="S682" s="185"/>
      <c r="T682" s="185"/>
      <c r="U682" s="185"/>
      <c r="V682" s="185"/>
      <c r="W682" s="41">
        <f t="shared" ref="W682:W745" si="57">+(P682*O682)+(R682*Q682)</f>
        <v>0</v>
      </c>
      <c r="X682" s="41">
        <f t="shared" si="53"/>
        <v>0</v>
      </c>
      <c r="Y682" s="11"/>
      <c r="Z682" s="11"/>
      <c r="AA682" s="11"/>
      <c r="AB682" s="11"/>
      <c r="AC682" s="24"/>
    </row>
    <row r="683" spans="1:29" x14ac:dyDescent="0.2">
      <c r="A683" s="11">
        <f>+'SERVICIO FAENA'!A683</f>
        <v>0</v>
      </c>
      <c r="B683" s="11">
        <f>+'SERVICIO FAENA'!B683</f>
        <v>0</v>
      </c>
      <c r="C683" s="11"/>
      <c r="D683" s="11"/>
      <c r="E683" s="18">
        <f>+'SERVICIO FAENA'!E683</f>
        <v>0</v>
      </c>
      <c r="F683" s="11"/>
      <c r="G683" s="180" t="e">
        <f t="shared" si="54"/>
        <v>#DIV/0!</v>
      </c>
      <c r="H683" s="11"/>
      <c r="I683" s="11"/>
      <c r="J683" s="180" t="e">
        <f t="shared" si="55"/>
        <v>#DIV/0!</v>
      </c>
      <c r="K683" s="100"/>
      <c r="L683" s="100"/>
      <c r="M683" s="100"/>
      <c r="N683" s="100">
        <f t="shared" si="56"/>
        <v>0</v>
      </c>
      <c r="O683" s="100"/>
      <c r="P683" s="41">
        <v>880</v>
      </c>
      <c r="Q683" s="11"/>
      <c r="R683" s="41">
        <v>260</v>
      </c>
      <c r="S683" s="185"/>
      <c r="T683" s="185"/>
      <c r="U683" s="185"/>
      <c r="V683" s="185"/>
      <c r="W683" s="41">
        <f t="shared" si="57"/>
        <v>0</v>
      </c>
      <c r="X683" s="41">
        <f t="shared" si="53"/>
        <v>0</v>
      </c>
      <c r="Y683" s="11"/>
      <c r="Z683" s="11"/>
      <c r="AA683" s="11"/>
      <c r="AB683" s="11"/>
      <c r="AC683" s="24"/>
    </row>
    <row r="684" spans="1:29" x14ac:dyDescent="0.2">
      <c r="A684" s="11">
        <f>+'SERVICIO FAENA'!A684</f>
        <v>0</v>
      </c>
      <c r="B684" s="11">
        <f>+'SERVICIO FAENA'!B684</f>
        <v>0</v>
      </c>
      <c r="C684" s="11"/>
      <c r="D684" s="11"/>
      <c r="E684" s="18">
        <f>+'SERVICIO FAENA'!E684</f>
        <v>0</v>
      </c>
      <c r="F684" s="11"/>
      <c r="G684" s="180" t="e">
        <f t="shared" si="54"/>
        <v>#DIV/0!</v>
      </c>
      <c r="H684" s="11"/>
      <c r="I684" s="11"/>
      <c r="J684" s="180" t="e">
        <f t="shared" si="55"/>
        <v>#DIV/0!</v>
      </c>
      <c r="K684" s="100"/>
      <c r="L684" s="100"/>
      <c r="M684" s="100"/>
      <c r="N684" s="100">
        <f t="shared" si="56"/>
        <v>0</v>
      </c>
      <c r="O684" s="100"/>
      <c r="P684" s="41">
        <v>880</v>
      </c>
      <c r="Q684" s="11"/>
      <c r="R684" s="41">
        <v>260</v>
      </c>
      <c r="S684" s="185"/>
      <c r="T684" s="185"/>
      <c r="U684" s="185"/>
      <c r="V684" s="185"/>
      <c r="W684" s="41">
        <f t="shared" si="57"/>
        <v>0</v>
      </c>
      <c r="X684" s="41">
        <f t="shared" si="53"/>
        <v>0</v>
      </c>
      <c r="Y684" s="11"/>
      <c r="Z684" s="11"/>
      <c r="AA684" s="11"/>
      <c r="AB684" s="11"/>
      <c r="AC684" s="24"/>
    </row>
    <row r="685" spans="1:29" x14ac:dyDescent="0.2">
      <c r="A685" s="11">
        <f>+'SERVICIO FAENA'!A685</f>
        <v>0</v>
      </c>
      <c r="B685" s="11">
        <f>+'SERVICIO FAENA'!B685</f>
        <v>0</v>
      </c>
      <c r="C685" s="11"/>
      <c r="D685" s="11"/>
      <c r="E685" s="18">
        <f>+'SERVICIO FAENA'!E685</f>
        <v>0</v>
      </c>
      <c r="F685" s="11"/>
      <c r="G685" s="180" t="e">
        <f t="shared" si="54"/>
        <v>#DIV/0!</v>
      </c>
      <c r="H685" s="11"/>
      <c r="I685" s="11"/>
      <c r="J685" s="180" t="e">
        <f t="shared" si="55"/>
        <v>#DIV/0!</v>
      </c>
      <c r="K685" s="100"/>
      <c r="L685" s="100"/>
      <c r="M685" s="100"/>
      <c r="N685" s="100">
        <f t="shared" si="56"/>
        <v>0</v>
      </c>
      <c r="O685" s="100"/>
      <c r="P685" s="41">
        <v>880</v>
      </c>
      <c r="Q685" s="11"/>
      <c r="R685" s="41">
        <v>260</v>
      </c>
      <c r="S685" s="185"/>
      <c r="T685" s="185"/>
      <c r="U685" s="185"/>
      <c r="V685" s="185"/>
      <c r="W685" s="41">
        <f t="shared" si="57"/>
        <v>0</v>
      </c>
      <c r="X685" s="41">
        <f t="shared" si="53"/>
        <v>0</v>
      </c>
      <c r="Y685" s="11"/>
      <c r="Z685" s="11"/>
      <c r="AA685" s="11"/>
      <c r="AB685" s="11"/>
      <c r="AC685" s="24"/>
    </row>
    <row r="686" spans="1:29" x14ac:dyDescent="0.2">
      <c r="A686" s="11">
        <f>+'SERVICIO FAENA'!A686</f>
        <v>0</v>
      </c>
      <c r="B686" s="11">
        <f>+'SERVICIO FAENA'!B686</f>
        <v>0</v>
      </c>
      <c r="C686" s="11"/>
      <c r="D686" s="11"/>
      <c r="E686" s="18">
        <f>+'SERVICIO FAENA'!E686</f>
        <v>0</v>
      </c>
      <c r="F686" s="11"/>
      <c r="G686" s="180" t="e">
        <f t="shared" si="54"/>
        <v>#DIV/0!</v>
      </c>
      <c r="H686" s="11"/>
      <c r="I686" s="11"/>
      <c r="J686" s="180" t="e">
        <f t="shared" si="55"/>
        <v>#DIV/0!</v>
      </c>
      <c r="K686" s="100"/>
      <c r="L686" s="100"/>
      <c r="M686" s="100"/>
      <c r="N686" s="100">
        <f t="shared" si="56"/>
        <v>0</v>
      </c>
      <c r="O686" s="100"/>
      <c r="P686" s="41">
        <v>880</v>
      </c>
      <c r="Q686" s="11"/>
      <c r="R686" s="41">
        <v>260</v>
      </c>
      <c r="S686" s="185"/>
      <c r="T686" s="185"/>
      <c r="U686" s="185"/>
      <c r="V686" s="185"/>
      <c r="W686" s="41">
        <f t="shared" si="57"/>
        <v>0</v>
      </c>
      <c r="X686" s="41">
        <f t="shared" si="53"/>
        <v>0</v>
      </c>
      <c r="Y686" s="11"/>
      <c r="Z686" s="11"/>
      <c r="AA686" s="11"/>
      <c r="AB686" s="11"/>
      <c r="AC686" s="24"/>
    </row>
    <row r="687" spans="1:29" x14ac:dyDescent="0.2">
      <c r="A687" s="11">
        <f>+'SERVICIO FAENA'!A687</f>
        <v>0</v>
      </c>
      <c r="B687" s="11">
        <f>+'SERVICIO FAENA'!B687</f>
        <v>0</v>
      </c>
      <c r="C687" s="11"/>
      <c r="D687" s="11"/>
      <c r="E687" s="18">
        <f>+'SERVICIO FAENA'!E687</f>
        <v>0</v>
      </c>
      <c r="F687" s="11"/>
      <c r="G687" s="180" t="e">
        <f t="shared" si="54"/>
        <v>#DIV/0!</v>
      </c>
      <c r="H687" s="11"/>
      <c r="I687" s="11"/>
      <c r="J687" s="180" t="e">
        <f t="shared" si="55"/>
        <v>#DIV/0!</v>
      </c>
      <c r="K687" s="100"/>
      <c r="L687" s="100"/>
      <c r="M687" s="100"/>
      <c r="N687" s="100">
        <f t="shared" si="56"/>
        <v>0</v>
      </c>
      <c r="O687" s="100"/>
      <c r="P687" s="41">
        <v>880</v>
      </c>
      <c r="Q687" s="11"/>
      <c r="R687" s="41">
        <v>260</v>
      </c>
      <c r="S687" s="185"/>
      <c r="T687" s="185"/>
      <c r="U687" s="185"/>
      <c r="V687" s="185"/>
      <c r="W687" s="41">
        <f t="shared" si="57"/>
        <v>0</v>
      </c>
      <c r="X687" s="41">
        <f t="shared" si="53"/>
        <v>0</v>
      </c>
      <c r="Y687" s="11"/>
      <c r="Z687" s="11"/>
      <c r="AA687" s="11"/>
      <c r="AB687" s="11"/>
      <c r="AC687" s="24"/>
    </row>
    <row r="688" spans="1:29" x14ac:dyDescent="0.2">
      <c r="A688" s="11">
        <f>+'SERVICIO FAENA'!A688</f>
        <v>0</v>
      </c>
      <c r="B688" s="11">
        <f>+'SERVICIO FAENA'!B688</f>
        <v>0</v>
      </c>
      <c r="C688" s="11"/>
      <c r="D688" s="11"/>
      <c r="E688" s="18">
        <f>+'SERVICIO FAENA'!E688</f>
        <v>0</v>
      </c>
      <c r="F688" s="11"/>
      <c r="G688" s="180" t="e">
        <f t="shared" si="54"/>
        <v>#DIV/0!</v>
      </c>
      <c r="H688" s="11"/>
      <c r="I688" s="11"/>
      <c r="J688" s="180" t="e">
        <f t="shared" si="55"/>
        <v>#DIV/0!</v>
      </c>
      <c r="K688" s="100"/>
      <c r="L688" s="100"/>
      <c r="M688" s="100"/>
      <c r="N688" s="100">
        <f t="shared" si="56"/>
        <v>0</v>
      </c>
      <c r="O688" s="100"/>
      <c r="P688" s="41">
        <v>880</v>
      </c>
      <c r="Q688" s="11"/>
      <c r="R688" s="41">
        <v>260</v>
      </c>
      <c r="S688" s="185"/>
      <c r="T688" s="185"/>
      <c r="U688" s="185"/>
      <c r="V688" s="185"/>
      <c r="W688" s="41">
        <f t="shared" si="57"/>
        <v>0</v>
      </c>
      <c r="X688" s="41">
        <f t="shared" si="53"/>
        <v>0</v>
      </c>
      <c r="Y688" s="11"/>
      <c r="Z688" s="11"/>
      <c r="AA688" s="11"/>
      <c r="AB688" s="11"/>
      <c r="AC688" s="24"/>
    </row>
    <row r="689" spans="1:29" x14ac:dyDescent="0.2">
      <c r="A689" s="11">
        <f>+'SERVICIO FAENA'!A689</f>
        <v>0</v>
      </c>
      <c r="B689" s="11">
        <f>+'SERVICIO FAENA'!B689</f>
        <v>0</v>
      </c>
      <c r="C689" s="11"/>
      <c r="D689" s="11"/>
      <c r="E689" s="18">
        <f>+'SERVICIO FAENA'!E689</f>
        <v>0</v>
      </c>
      <c r="F689" s="11"/>
      <c r="G689" s="180" t="e">
        <f t="shared" si="54"/>
        <v>#DIV/0!</v>
      </c>
      <c r="H689" s="11"/>
      <c r="I689" s="11"/>
      <c r="J689" s="180" t="e">
        <f t="shared" si="55"/>
        <v>#DIV/0!</v>
      </c>
      <c r="K689" s="100"/>
      <c r="L689" s="100"/>
      <c r="M689" s="100"/>
      <c r="N689" s="100">
        <f t="shared" si="56"/>
        <v>0</v>
      </c>
      <c r="O689" s="100"/>
      <c r="P689" s="41">
        <v>880</v>
      </c>
      <c r="Q689" s="11"/>
      <c r="R689" s="41">
        <v>260</v>
      </c>
      <c r="S689" s="185"/>
      <c r="T689" s="185"/>
      <c r="U689" s="185"/>
      <c r="V689" s="185"/>
      <c r="W689" s="41">
        <f t="shared" si="57"/>
        <v>0</v>
      </c>
      <c r="X689" s="41">
        <f t="shared" si="53"/>
        <v>0</v>
      </c>
      <c r="Y689" s="11"/>
      <c r="Z689" s="11"/>
      <c r="AA689" s="11"/>
      <c r="AB689" s="11"/>
      <c r="AC689" s="24"/>
    </row>
    <row r="690" spans="1:29" x14ac:dyDescent="0.2">
      <c r="A690" s="11">
        <f>+'SERVICIO FAENA'!A690</f>
        <v>0</v>
      </c>
      <c r="B690" s="11">
        <f>+'SERVICIO FAENA'!B690</f>
        <v>0</v>
      </c>
      <c r="C690" s="11"/>
      <c r="D690" s="11"/>
      <c r="E690" s="18">
        <f>+'SERVICIO FAENA'!E690</f>
        <v>0</v>
      </c>
      <c r="F690" s="11"/>
      <c r="G690" s="180" t="e">
        <f t="shared" si="54"/>
        <v>#DIV/0!</v>
      </c>
      <c r="H690" s="11"/>
      <c r="I690" s="11"/>
      <c r="J690" s="180" t="e">
        <f t="shared" si="55"/>
        <v>#DIV/0!</v>
      </c>
      <c r="K690" s="100"/>
      <c r="L690" s="100"/>
      <c r="M690" s="100"/>
      <c r="N690" s="100">
        <f t="shared" si="56"/>
        <v>0</v>
      </c>
      <c r="O690" s="100"/>
      <c r="P690" s="41">
        <v>880</v>
      </c>
      <c r="Q690" s="11"/>
      <c r="R690" s="41">
        <v>260</v>
      </c>
      <c r="S690" s="185"/>
      <c r="T690" s="185"/>
      <c r="U690" s="185"/>
      <c r="V690" s="185"/>
      <c r="W690" s="41">
        <f t="shared" si="57"/>
        <v>0</v>
      </c>
      <c r="X690" s="41">
        <f t="shared" si="53"/>
        <v>0</v>
      </c>
      <c r="Y690" s="11"/>
      <c r="Z690" s="11"/>
      <c r="AA690" s="11"/>
      <c r="AB690" s="11"/>
      <c r="AC690" s="24"/>
    </row>
    <row r="691" spans="1:29" x14ac:dyDescent="0.2">
      <c r="A691" s="11">
        <f>+'SERVICIO FAENA'!A691</f>
        <v>0</v>
      </c>
      <c r="B691" s="11">
        <f>+'SERVICIO FAENA'!B691</f>
        <v>0</v>
      </c>
      <c r="C691" s="11"/>
      <c r="D691" s="11"/>
      <c r="E691" s="18">
        <f>+'SERVICIO FAENA'!E691</f>
        <v>0</v>
      </c>
      <c r="F691" s="11"/>
      <c r="G691" s="180" t="e">
        <f t="shared" si="54"/>
        <v>#DIV/0!</v>
      </c>
      <c r="H691" s="11"/>
      <c r="I691" s="11"/>
      <c r="J691" s="180" t="e">
        <f t="shared" si="55"/>
        <v>#DIV/0!</v>
      </c>
      <c r="K691" s="100"/>
      <c r="L691" s="100"/>
      <c r="M691" s="100"/>
      <c r="N691" s="100">
        <f t="shared" si="56"/>
        <v>0</v>
      </c>
      <c r="O691" s="100"/>
      <c r="P691" s="41">
        <v>880</v>
      </c>
      <c r="Q691" s="11"/>
      <c r="R691" s="41">
        <v>260</v>
      </c>
      <c r="S691" s="185"/>
      <c r="T691" s="185"/>
      <c r="U691" s="185"/>
      <c r="V691" s="185"/>
      <c r="W691" s="41">
        <f t="shared" si="57"/>
        <v>0</v>
      </c>
      <c r="X691" s="41">
        <f t="shared" si="53"/>
        <v>0</v>
      </c>
      <c r="Y691" s="11"/>
      <c r="Z691" s="11"/>
      <c r="AA691" s="11"/>
      <c r="AB691" s="11"/>
      <c r="AC691" s="24"/>
    </row>
    <row r="692" spans="1:29" x14ac:dyDescent="0.2">
      <c r="A692" s="11">
        <f>+'SERVICIO FAENA'!A692</f>
        <v>0</v>
      </c>
      <c r="B692" s="11">
        <f>+'SERVICIO FAENA'!B692</f>
        <v>0</v>
      </c>
      <c r="C692" s="11"/>
      <c r="D692" s="11"/>
      <c r="E692" s="18">
        <f>+'SERVICIO FAENA'!E692</f>
        <v>0</v>
      </c>
      <c r="F692" s="11"/>
      <c r="G692" s="180" t="e">
        <f t="shared" si="54"/>
        <v>#DIV/0!</v>
      </c>
      <c r="H692" s="11"/>
      <c r="I692" s="11"/>
      <c r="J692" s="180" t="e">
        <f t="shared" si="55"/>
        <v>#DIV/0!</v>
      </c>
      <c r="K692" s="100"/>
      <c r="L692" s="100"/>
      <c r="M692" s="100"/>
      <c r="N692" s="100">
        <f t="shared" si="56"/>
        <v>0</v>
      </c>
      <c r="O692" s="100"/>
      <c r="P692" s="41">
        <v>880</v>
      </c>
      <c r="Q692" s="11"/>
      <c r="R692" s="41">
        <v>260</v>
      </c>
      <c r="S692" s="185"/>
      <c r="T692" s="185"/>
      <c r="U692" s="185"/>
      <c r="V692" s="185"/>
      <c r="W692" s="41">
        <f t="shared" si="57"/>
        <v>0</v>
      </c>
      <c r="X692" s="41">
        <f t="shared" si="53"/>
        <v>0</v>
      </c>
      <c r="Y692" s="11"/>
      <c r="Z692" s="11"/>
      <c r="AA692" s="11"/>
      <c r="AB692" s="11"/>
      <c r="AC692" s="24"/>
    </row>
    <row r="693" spans="1:29" x14ac:dyDescent="0.2">
      <c r="A693" s="11">
        <f>+'SERVICIO FAENA'!A693</f>
        <v>0</v>
      </c>
      <c r="B693" s="11">
        <f>+'SERVICIO FAENA'!B693</f>
        <v>0</v>
      </c>
      <c r="C693" s="11"/>
      <c r="D693" s="11"/>
      <c r="E693" s="18">
        <f>+'SERVICIO FAENA'!E693</f>
        <v>0</v>
      </c>
      <c r="F693" s="11"/>
      <c r="G693" s="180" t="e">
        <f t="shared" si="54"/>
        <v>#DIV/0!</v>
      </c>
      <c r="H693" s="11"/>
      <c r="I693" s="11"/>
      <c r="J693" s="180" t="e">
        <f t="shared" si="55"/>
        <v>#DIV/0!</v>
      </c>
      <c r="K693" s="100"/>
      <c r="L693" s="100"/>
      <c r="M693" s="100"/>
      <c r="N693" s="100">
        <f t="shared" si="56"/>
        <v>0</v>
      </c>
      <c r="O693" s="100"/>
      <c r="P693" s="41">
        <v>880</v>
      </c>
      <c r="Q693" s="11"/>
      <c r="R693" s="41">
        <v>260</v>
      </c>
      <c r="S693" s="185"/>
      <c r="T693" s="185"/>
      <c r="U693" s="185"/>
      <c r="V693" s="185"/>
      <c r="W693" s="41">
        <f t="shared" si="57"/>
        <v>0</v>
      </c>
      <c r="X693" s="41">
        <f t="shared" si="53"/>
        <v>0</v>
      </c>
      <c r="Y693" s="11"/>
      <c r="Z693" s="11"/>
      <c r="AA693" s="11"/>
      <c r="AB693" s="11"/>
      <c r="AC693" s="24"/>
    </row>
    <row r="694" spans="1:29" x14ac:dyDescent="0.2">
      <c r="A694" s="11">
        <f>+'SERVICIO FAENA'!A694</f>
        <v>0</v>
      </c>
      <c r="B694" s="11">
        <f>+'SERVICIO FAENA'!B694</f>
        <v>0</v>
      </c>
      <c r="C694" s="11"/>
      <c r="D694" s="11"/>
      <c r="E694" s="18">
        <f>+'SERVICIO FAENA'!E694</f>
        <v>0</v>
      </c>
      <c r="F694" s="11"/>
      <c r="G694" s="180" t="e">
        <f t="shared" si="54"/>
        <v>#DIV/0!</v>
      </c>
      <c r="H694" s="11"/>
      <c r="I694" s="11"/>
      <c r="J694" s="180" t="e">
        <f t="shared" si="55"/>
        <v>#DIV/0!</v>
      </c>
      <c r="K694" s="100"/>
      <c r="L694" s="100"/>
      <c r="M694" s="100"/>
      <c r="N694" s="100">
        <f t="shared" si="56"/>
        <v>0</v>
      </c>
      <c r="O694" s="100"/>
      <c r="P694" s="41">
        <v>880</v>
      </c>
      <c r="Q694" s="11"/>
      <c r="R694" s="41">
        <v>260</v>
      </c>
      <c r="S694" s="185"/>
      <c r="T694" s="185"/>
      <c r="U694" s="185"/>
      <c r="V694" s="185"/>
      <c r="W694" s="41">
        <f t="shared" si="57"/>
        <v>0</v>
      </c>
      <c r="X694" s="41">
        <f t="shared" si="53"/>
        <v>0</v>
      </c>
      <c r="Y694" s="11"/>
      <c r="Z694" s="11"/>
      <c r="AA694" s="11"/>
      <c r="AB694" s="11"/>
      <c r="AC694" s="24"/>
    </row>
    <row r="695" spans="1:29" x14ac:dyDescent="0.2">
      <c r="A695" s="11">
        <f>+'SERVICIO FAENA'!A695</f>
        <v>0</v>
      </c>
      <c r="B695" s="11">
        <f>+'SERVICIO FAENA'!B695</f>
        <v>0</v>
      </c>
      <c r="C695" s="11"/>
      <c r="D695" s="11"/>
      <c r="E695" s="18">
        <f>+'SERVICIO FAENA'!E695</f>
        <v>0</v>
      </c>
      <c r="F695" s="11"/>
      <c r="G695" s="180" t="e">
        <f t="shared" si="54"/>
        <v>#DIV/0!</v>
      </c>
      <c r="H695" s="11"/>
      <c r="I695" s="11"/>
      <c r="J695" s="180" t="e">
        <f t="shared" si="55"/>
        <v>#DIV/0!</v>
      </c>
      <c r="K695" s="100"/>
      <c r="L695" s="100"/>
      <c r="M695" s="100"/>
      <c r="N695" s="100">
        <f t="shared" si="56"/>
        <v>0</v>
      </c>
      <c r="O695" s="100"/>
      <c r="P695" s="41">
        <v>880</v>
      </c>
      <c r="Q695" s="11"/>
      <c r="R695" s="41">
        <v>260</v>
      </c>
      <c r="S695" s="185"/>
      <c r="T695" s="185"/>
      <c r="U695" s="185"/>
      <c r="V695" s="185"/>
      <c r="W695" s="41">
        <f t="shared" si="57"/>
        <v>0</v>
      </c>
      <c r="X695" s="41">
        <f t="shared" si="53"/>
        <v>0</v>
      </c>
      <c r="Y695" s="11"/>
      <c r="Z695" s="11"/>
      <c r="AA695" s="11"/>
      <c r="AB695" s="11"/>
      <c r="AC695" s="24"/>
    </row>
    <row r="696" spans="1:29" x14ac:dyDescent="0.2">
      <c r="A696" s="11">
        <f>+'SERVICIO FAENA'!A696</f>
        <v>0</v>
      </c>
      <c r="B696" s="11">
        <f>+'SERVICIO FAENA'!B696</f>
        <v>0</v>
      </c>
      <c r="C696" s="11"/>
      <c r="D696" s="11"/>
      <c r="E696" s="18">
        <f>+'SERVICIO FAENA'!E696</f>
        <v>0</v>
      </c>
      <c r="F696" s="11"/>
      <c r="G696" s="180" t="e">
        <f t="shared" si="54"/>
        <v>#DIV/0!</v>
      </c>
      <c r="H696" s="11"/>
      <c r="I696" s="11"/>
      <c r="J696" s="180" t="e">
        <f t="shared" si="55"/>
        <v>#DIV/0!</v>
      </c>
      <c r="K696" s="100"/>
      <c r="L696" s="100"/>
      <c r="M696" s="100"/>
      <c r="N696" s="100">
        <f t="shared" si="56"/>
        <v>0</v>
      </c>
      <c r="O696" s="100"/>
      <c r="P696" s="41">
        <v>880</v>
      </c>
      <c r="Q696" s="11"/>
      <c r="R696" s="41">
        <v>260</v>
      </c>
      <c r="S696" s="185"/>
      <c r="T696" s="185"/>
      <c r="U696" s="185"/>
      <c r="V696" s="185"/>
      <c r="W696" s="41">
        <f t="shared" si="57"/>
        <v>0</v>
      </c>
      <c r="X696" s="41">
        <f t="shared" si="53"/>
        <v>0</v>
      </c>
      <c r="Y696" s="11"/>
      <c r="Z696" s="11"/>
      <c r="AA696" s="11"/>
      <c r="AB696" s="11"/>
      <c r="AC696" s="24"/>
    </row>
    <row r="697" spans="1:29" x14ac:dyDescent="0.2">
      <c r="A697" s="11">
        <f>+'SERVICIO FAENA'!A697</f>
        <v>0</v>
      </c>
      <c r="B697" s="11">
        <f>+'SERVICIO FAENA'!B697</f>
        <v>0</v>
      </c>
      <c r="C697" s="11"/>
      <c r="D697" s="11"/>
      <c r="E697" s="18">
        <f>+'SERVICIO FAENA'!E697</f>
        <v>0</v>
      </c>
      <c r="F697" s="11"/>
      <c r="G697" s="180" t="e">
        <f t="shared" si="54"/>
        <v>#DIV/0!</v>
      </c>
      <c r="H697" s="11"/>
      <c r="I697" s="11"/>
      <c r="J697" s="180" t="e">
        <f t="shared" si="55"/>
        <v>#DIV/0!</v>
      </c>
      <c r="K697" s="100"/>
      <c r="L697" s="100"/>
      <c r="M697" s="100"/>
      <c r="N697" s="100">
        <f t="shared" si="56"/>
        <v>0</v>
      </c>
      <c r="O697" s="100"/>
      <c r="P697" s="41">
        <v>880</v>
      </c>
      <c r="Q697" s="11"/>
      <c r="R697" s="41">
        <v>260</v>
      </c>
      <c r="S697" s="185"/>
      <c r="T697" s="185"/>
      <c r="U697" s="185"/>
      <c r="V697" s="185"/>
      <c r="W697" s="41">
        <f t="shared" si="57"/>
        <v>0</v>
      </c>
      <c r="X697" s="41">
        <f t="shared" si="53"/>
        <v>0</v>
      </c>
      <c r="Y697" s="11"/>
      <c r="Z697" s="11"/>
      <c r="AA697" s="11"/>
      <c r="AB697" s="11"/>
      <c r="AC697" s="24"/>
    </row>
    <row r="698" spans="1:29" x14ac:dyDescent="0.2">
      <c r="A698" s="11">
        <f>+'SERVICIO FAENA'!A698</f>
        <v>0</v>
      </c>
      <c r="B698" s="11">
        <f>+'SERVICIO FAENA'!B698</f>
        <v>0</v>
      </c>
      <c r="C698" s="11"/>
      <c r="D698" s="11"/>
      <c r="E698" s="18">
        <f>+'SERVICIO FAENA'!E698</f>
        <v>0</v>
      </c>
      <c r="F698" s="11"/>
      <c r="G698" s="180" t="e">
        <f t="shared" si="54"/>
        <v>#DIV/0!</v>
      </c>
      <c r="H698" s="11"/>
      <c r="I698" s="11"/>
      <c r="J698" s="180" t="e">
        <f t="shared" si="55"/>
        <v>#DIV/0!</v>
      </c>
      <c r="K698" s="100"/>
      <c r="L698" s="100"/>
      <c r="M698" s="100"/>
      <c r="N698" s="100">
        <f t="shared" si="56"/>
        <v>0</v>
      </c>
      <c r="O698" s="100"/>
      <c r="P698" s="41">
        <v>880</v>
      </c>
      <c r="Q698" s="11"/>
      <c r="R698" s="41">
        <v>260</v>
      </c>
      <c r="S698" s="185"/>
      <c r="T698" s="185"/>
      <c r="U698" s="185"/>
      <c r="V698" s="185"/>
      <c r="W698" s="41">
        <f t="shared" si="57"/>
        <v>0</v>
      </c>
      <c r="X698" s="41">
        <f t="shared" si="53"/>
        <v>0</v>
      </c>
      <c r="Y698" s="11"/>
      <c r="Z698" s="11"/>
      <c r="AA698" s="11"/>
      <c r="AB698" s="11"/>
      <c r="AC698" s="24"/>
    </row>
    <row r="699" spans="1:29" x14ac:dyDescent="0.2">
      <c r="A699" s="11">
        <f>+'SERVICIO FAENA'!A699</f>
        <v>0</v>
      </c>
      <c r="B699" s="11">
        <f>+'SERVICIO FAENA'!B699</f>
        <v>0</v>
      </c>
      <c r="C699" s="11"/>
      <c r="D699" s="11"/>
      <c r="E699" s="18">
        <f>+'SERVICIO FAENA'!E699</f>
        <v>0</v>
      </c>
      <c r="F699" s="11"/>
      <c r="G699" s="180" t="e">
        <f t="shared" si="54"/>
        <v>#DIV/0!</v>
      </c>
      <c r="H699" s="11"/>
      <c r="I699" s="11"/>
      <c r="J699" s="180" t="e">
        <f t="shared" si="55"/>
        <v>#DIV/0!</v>
      </c>
      <c r="K699" s="100"/>
      <c r="L699" s="100"/>
      <c r="M699" s="100"/>
      <c r="N699" s="100">
        <f t="shared" si="56"/>
        <v>0</v>
      </c>
      <c r="O699" s="100"/>
      <c r="P699" s="41">
        <v>880</v>
      </c>
      <c r="Q699" s="11"/>
      <c r="R699" s="41">
        <v>260</v>
      </c>
      <c r="S699" s="185"/>
      <c r="T699" s="185"/>
      <c r="U699" s="185"/>
      <c r="V699" s="185"/>
      <c r="W699" s="41">
        <f t="shared" si="57"/>
        <v>0</v>
      </c>
      <c r="X699" s="41">
        <f t="shared" si="53"/>
        <v>0</v>
      </c>
      <c r="Y699" s="11"/>
      <c r="Z699" s="11"/>
      <c r="AA699" s="11"/>
      <c r="AB699" s="11"/>
      <c r="AC699" s="24"/>
    </row>
    <row r="700" spans="1:29" x14ac:dyDescent="0.2">
      <c r="A700" s="11">
        <f>+'SERVICIO FAENA'!A700</f>
        <v>0</v>
      </c>
      <c r="B700" s="11">
        <f>+'SERVICIO FAENA'!B700</f>
        <v>0</v>
      </c>
      <c r="C700" s="11"/>
      <c r="D700" s="11"/>
      <c r="E700" s="18">
        <f>+'SERVICIO FAENA'!E700</f>
        <v>0</v>
      </c>
      <c r="F700" s="11"/>
      <c r="G700" s="180" t="e">
        <f t="shared" si="54"/>
        <v>#DIV/0!</v>
      </c>
      <c r="H700" s="11"/>
      <c r="I700" s="11"/>
      <c r="J700" s="180" t="e">
        <f t="shared" si="55"/>
        <v>#DIV/0!</v>
      </c>
      <c r="K700" s="100"/>
      <c r="L700" s="100"/>
      <c r="M700" s="100"/>
      <c r="N700" s="100">
        <f t="shared" si="56"/>
        <v>0</v>
      </c>
      <c r="O700" s="100"/>
      <c r="P700" s="41">
        <v>880</v>
      </c>
      <c r="Q700" s="11"/>
      <c r="R700" s="41">
        <v>260</v>
      </c>
      <c r="S700" s="185"/>
      <c r="T700" s="185"/>
      <c r="U700" s="185"/>
      <c r="V700" s="185"/>
      <c r="W700" s="41">
        <f t="shared" si="57"/>
        <v>0</v>
      </c>
      <c r="X700" s="41">
        <f t="shared" si="53"/>
        <v>0</v>
      </c>
      <c r="Y700" s="11"/>
      <c r="Z700" s="11"/>
      <c r="AA700" s="11"/>
      <c r="AB700" s="11"/>
      <c r="AC700" s="24"/>
    </row>
    <row r="701" spans="1:29" x14ac:dyDescent="0.2">
      <c r="A701" s="11">
        <f>+'SERVICIO FAENA'!A701</f>
        <v>0</v>
      </c>
      <c r="B701" s="11">
        <f>+'SERVICIO FAENA'!B701</f>
        <v>0</v>
      </c>
      <c r="C701" s="11"/>
      <c r="D701" s="11"/>
      <c r="E701" s="18">
        <f>+'SERVICIO FAENA'!E701</f>
        <v>0</v>
      </c>
      <c r="F701" s="11"/>
      <c r="G701" s="180" t="e">
        <f t="shared" si="54"/>
        <v>#DIV/0!</v>
      </c>
      <c r="H701" s="11"/>
      <c r="I701" s="11"/>
      <c r="J701" s="180" t="e">
        <f t="shared" si="55"/>
        <v>#DIV/0!</v>
      </c>
      <c r="K701" s="100"/>
      <c r="L701" s="100"/>
      <c r="M701" s="100"/>
      <c r="N701" s="100">
        <f t="shared" si="56"/>
        <v>0</v>
      </c>
      <c r="O701" s="100"/>
      <c r="P701" s="41">
        <v>880</v>
      </c>
      <c r="Q701" s="11"/>
      <c r="R701" s="41">
        <v>260</v>
      </c>
      <c r="S701" s="185"/>
      <c r="T701" s="185"/>
      <c r="U701" s="185"/>
      <c r="V701" s="185"/>
      <c r="W701" s="41">
        <f t="shared" si="57"/>
        <v>0</v>
      </c>
      <c r="X701" s="41">
        <f t="shared" si="53"/>
        <v>0</v>
      </c>
      <c r="Y701" s="11"/>
      <c r="Z701" s="11"/>
      <c r="AA701" s="11"/>
      <c r="AB701" s="11"/>
      <c r="AC701" s="24"/>
    </row>
    <row r="702" spans="1:29" x14ac:dyDescent="0.2">
      <c r="A702" s="11">
        <f>+'SERVICIO FAENA'!A702</f>
        <v>0</v>
      </c>
      <c r="B702" s="11">
        <f>+'SERVICIO FAENA'!B702</f>
        <v>0</v>
      </c>
      <c r="C702" s="11"/>
      <c r="D702" s="11"/>
      <c r="E702" s="18">
        <f>+'SERVICIO FAENA'!E702</f>
        <v>0</v>
      </c>
      <c r="F702" s="11"/>
      <c r="G702" s="180" t="e">
        <f t="shared" si="54"/>
        <v>#DIV/0!</v>
      </c>
      <c r="H702" s="11"/>
      <c r="I702" s="11"/>
      <c r="J702" s="180" t="e">
        <f t="shared" si="55"/>
        <v>#DIV/0!</v>
      </c>
      <c r="K702" s="100"/>
      <c r="L702" s="100"/>
      <c r="M702" s="100"/>
      <c r="N702" s="100">
        <f t="shared" si="56"/>
        <v>0</v>
      </c>
      <c r="O702" s="100"/>
      <c r="P702" s="41">
        <v>880</v>
      </c>
      <c r="Q702" s="11"/>
      <c r="R702" s="41">
        <v>260</v>
      </c>
      <c r="S702" s="185"/>
      <c r="T702" s="185"/>
      <c r="U702" s="185"/>
      <c r="V702" s="185"/>
      <c r="W702" s="41">
        <f t="shared" si="57"/>
        <v>0</v>
      </c>
      <c r="X702" s="41">
        <f t="shared" si="53"/>
        <v>0</v>
      </c>
      <c r="Y702" s="11"/>
      <c r="Z702" s="11"/>
      <c r="AA702" s="11"/>
      <c r="AB702" s="11"/>
      <c r="AC702" s="24"/>
    </row>
    <row r="703" spans="1:29" x14ac:dyDescent="0.2">
      <c r="A703" s="11">
        <f>+'SERVICIO FAENA'!A703</f>
        <v>0</v>
      </c>
      <c r="B703" s="11">
        <f>+'SERVICIO FAENA'!B703</f>
        <v>0</v>
      </c>
      <c r="C703" s="11"/>
      <c r="D703" s="11"/>
      <c r="E703" s="18">
        <f>+'SERVICIO FAENA'!E703</f>
        <v>0</v>
      </c>
      <c r="F703" s="11"/>
      <c r="G703" s="180" t="e">
        <f t="shared" si="54"/>
        <v>#DIV/0!</v>
      </c>
      <c r="H703" s="11"/>
      <c r="I703" s="11"/>
      <c r="J703" s="180" t="e">
        <f t="shared" si="55"/>
        <v>#DIV/0!</v>
      </c>
      <c r="K703" s="100"/>
      <c r="L703" s="100"/>
      <c r="M703" s="100"/>
      <c r="N703" s="100">
        <f t="shared" si="56"/>
        <v>0</v>
      </c>
      <c r="O703" s="100"/>
      <c r="P703" s="41">
        <v>880</v>
      </c>
      <c r="Q703" s="11"/>
      <c r="R703" s="41">
        <v>260</v>
      </c>
      <c r="S703" s="185"/>
      <c r="T703" s="185"/>
      <c r="U703" s="185"/>
      <c r="V703" s="185"/>
      <c r="W703" s="41">
        <f t="shared" si="57"/>
        <v>0</v>
      </c>
      <c r="X703" s="41">
        <f t="shared" si="53"/>
        <v>0</v>
      </c>
      <c r="Y703" s="11"/>
      <c r="Z703" s="11"/>
      <c r="AA703" s="11"/>
      <c r="AB703" s="11"/>
      <c r="AC703" s="24"/>
    </row>
    <row r="704" spans="1:29" x14ac:dyDescent="0.2">
      <c r="A704" s="11">
        <f>+'SERVICIO FAENA'!A704</f>
        <v>0</v>
      </c>
      <c r="B704" s="11">
        <f>+'SERVICIO FAENA'!B704</f>
        <v>0</v>
      </c>
      <c r="C704" s="11"/>
      <c r="D704" s="11"/>
      <c r="E704" s="18">
        <f>+'SERVICIO FAENA'!E704</f>
        <v>0</v>
      </c>
      <c r="F704" s="11"/>
      <c r="G704" s="180" t="e">
        <f t="shared" si="54"/>
        <v>#DIV/0!</v>
      </c>
      <c r="H704" s="11"/>
      <c r="I704" s="11"/>
      <c r="J704" s="180" t="e">
        <f t="shared" si="55"/>
        <v>#DIV/0!</v>
      </c>
      <c r="K704" s="100"/>
      <c r="L704" s="100"/>
      <c r="M704" s="100"/>
      <c r="N704" s="100">
        <f t="shared" si="56"/>
        <v>0</v>
      </c>
      <c r="O704" s="100"/>
      <c r="P704" s="41">
        <v>880</v>
      </c>
      <c r="Q704" s="11"/>
      <c r="R704" s="41">
        <v>260</v>
      </c>
      <c r="S704" s="185"/>
      <c r="T704" s="185"/>
      <c r="U704" s="185"/>
      <c r="V704" s="185"/>
      <c r="W704" s="41">
        <f t="shared" si="57"/>
        <v>0</v>
      </c>
      <c r="X704" s="41">
        <f t="shared" si="53"/>
        <v>0</v>
      </c>
      <c r="Y704" s="11"/>
      <c r="Z704" s="11"/>
      <c r="AA704" s="11"/>
      <c r="AB704" s="11"/>
      <c r="AC704" s="24"/>
    </row>
    <row r="705" spans="1:29" x14ac:dyDescent="0.2">
      <c r="A705" s="11">
        <f>+'SERVICIO FAENA'!A705</f>
        <v>0</v>
      </c>
      <c r="B705" s="11">
        <f>+'SERVICIO FAENA'!B705</f>
        <v>0</v>
      </c>
      <c r="C705" s="11"/>
      <c r="D705" s="11"/>
      <c r="E705" s="18">
        <f>+'SERVICIO FAENA'!E705</f>
        <v>0</v>
      </c>
      <c r="F705" s="11"/>
      <c r="G705" s="180" t="e">
        <f t="shared" si="54"/>
        <v>#DIV/0!</v>
      </c>
      <c r="H705" s="11"/>
      <c r="I705" s="11"/>
      <c r="J705" s="180" t="e">
        <f t="shared" si="55"/>
        <v>#DIV/0!</v>
      </c>
      <c r="K705" s="100"/>
      <c r="L705" s="100"/>
      <c r="M705" s="100"/>
      <c r="N705" s="100">
        <f t="shared" si="56"/>
        <v>0</v>
      </c>
      <c r="O705" s="100"/>
      <c r="P705" s="41">
        <v>880</v>
      </c>
      <c r="Q705" s="11"/>
      <c r="R705" s="41">
        <v>260</v>
      </c>
      <c r="S705" s="185"/>
      <c r="T705" s="185"/>
      <c r="U705" s="185"/>
      <c r="V705" s="185"/>
      <c r="W705" s="41">
        <f t="shared" si="57"/>
        <v>0</v>
      </c>
      <c r="X705" s="41">
        <f t="shared" si="53"/>
        <v>0</v>
      </c>
      <c r="Y705" s="11"/>
      <c r="Z705" s="11"/>
      <c r="AA705" s="11"/>
      <c r="AB705" s="11"/>
      <c r="AC705" s="24"/>
    </row>
    <row r="706" spans="1:29" x14ac:dyDescent="0.2">
      <c r="A706" s="11">
        <f>+'SERVICIO FAENA'!A706</f>
        <v>0</v>
      </c>
      <c r="B706" s="11">
        <f>+'SERVICIO FAENA'!B706</f>
        <v>0</v>
      </c>
      <c r="C706" s="11"/>
      <c r="D706" s="11"/>
      <c r="E706" s="18">
        <f>+'SERVICIO FAENA'!E706</f>
        <v>0</v>
      </c>
      <c r="F706" s="11"/>
      <c r="G706" s="180" t="e">
        <f t="shared" si="54"/>
        <v>#DIV/0!</v>
      </c>
      <c r="H706" s="11"/>
      <c r="I706" s="11"/>
      <c r="J706" s="180" t="e">
        <f t="shared" si="55"/>
        <v>#DIV/0!</v>
      </c>
      <c r="K706" s="100"/>
      <c r="L706" s="100"/>
      <c r="M706" s="100"/>
      <c r="N706" s="100">
        <f t="shared" si="56"/>
        <v>0</v>
      </c>
      <c r="O706" s="100"/>
      <c r="P706" s="41">
        <v>880</v>
      </c>
      <c r="Q706" s="11"/>
      <c r="R706" s="41">
        <v>260</v>
      </c>
      <c r="S706" s="185"/>
      <c r="T706" s="185"/>
      <c r="U706" s="185"/>
      <c r="V706" s="185"/>
      <c r="W706" s="41">
        <f t="shared" si="57"/>
        <v>0</v>
      </c>
      <c r="X706" s="41">
        <f t="shared" si="53"/>
        <v>0</v>
      </c>
      <c r="Y706" s="11"/>
      <c r="Z706" s="11"/>
      <c r="AA706" s="11"/>
      <c r="AB706" s="11"/>
      <c r="AC706" s="24"/>
    </row>
    <row r="707" spans="1:29" x14ac:dyDescent="0.2">
      <c r="A707" s="11">
        <f>+'SERVICIO FAENA'!A707</f>
        <v>0</v>
      </c>
      <c r="B707" s="11">
        <f>+'SERVICIO FAENA'!B707</f>
        <v>0</v>
      </c>
      <c r="C707" s="11"/>
      <c r="D707" s="11"/>
      <c r="E707" s="18">
        <f>+'SERVICIO FAENA'!E707</f>
        <v>0</v>
      </c>
      <c r="F707" s="11"/>
      <c r="G707" s="180" t="e">
        <f t="shared" si="54"/>
        <v>#DIV/0!</v>
      </c>
      <c r="H707" s="11"/>
      <c r="I707" s="11"/>
      <c r="J707" s="180" t="e">
        <f t="shared" si="55"/>
        <v>#DIV/0!</v>
      </c>
      <c r="K707" s="100"/>
      <c r="L707" s="100"/>
      <c r="M707" s="100"/>
      <c r="N707" s="100">
        <f t="shared" si="56"/>
        <v>0</v>
      </c>
      <c r="O707" s="100"/>
      <c r="P707" s="41">
        <v>880</v>
      </c>
      <c r="Q707" s="11"/>
      <c r="R707" s="41">
        <v>260</v>
      </c>
      <c r="S707" s="185"/>
      <c r="T707" s="185"/>
      <c r="U707" s="185"/>
      <c r="V707" s="185"/>
      <c r="W707" s="41">
        <f t="shared" si="57"/>
        <v>0</v>
      </c>
      <c r="X707" s="41">
        <f t="shared" ref="X707:X770" si="58">+((O707*P707)+(Q707*R707))*1.21</f>
        <v>0</v>
      </c>
      <c r="Y707" s="11"/>
      <c r="Z707" s="11"/>
      <c r="AA707" s="11"/>
      <c r="AB707" s="11"/>
      <c r="AC707" s="24"/>
    </row>
    <row r="708" spans="1:29" x14ac:dyDescent="0.2">
      <c r="A708" s="11">
        <f>+'SERVICIO FAENA'!A708</f>
        <v>0</v>
      </c>
      <c r="B708" s="11">
        <f>+'SERVICIO FAENA'!B708</f>
        <v>0</v>
      </c>
      <c r="C708" s="11"/>
      <c r="D708" s="11"/>
      <c r="E708" s="18">
        <f>+'SERVICIO FAENA'!E708</f>
        <v>0</v>
      </c>
      <c r="F708" s="11"/>
      <c r="G708" s="180" t="e">
        <f t="shared" ref="G708:G771" si="59">+F708/D708</f>
        <v>#DIV/0!</v>
      </c>
      <c r="H708" s="11"/>
      <c r="I708" s="11"/>
      <c r="J708" s="180" t="e">
        <f t="shared" si="55"/>
        <v>#DIV/0!</v>
      </c>
      <c r="K708" s="100"/>
      <c r="L708" s="100"/>
      <c r="M708" s="100"/>
      <c r="N708" s="100">
        <f t="shared" si="56"/>
        <v>0</v>
      </c>
      <c r="O708" s="100"/>
      <c r="P708" s="41">
        <v>880</v>
      </c>
      <c r="Q708" s="11"/>
      <c r="R708" s="41">
        <v>260</v>
      </c>
      <c r="S708" s="185"/>
      <c r="T708" s="185"/>
      <c r="U708" s="185"/>
      <c r="V708" s="185"/>
      <c r="W708" s="41">
        <f t="shared" si="57"/>
        <v>0</v>
      </c>
      <c r="X708" s="41">
        <f t="shared" si="58"/>
        <v>0</v>
      </c>
      <c r="Y708" s="11"/>
      <c r="Z708" s="11"/>
      <c r="AA708" s="11"/>
      <c r="AB708" s="11"/>
      <c r="AC708" s="24"/>
    </row>
    <row r="709" spans="1:29" x14ac:dyDescent="0.2">
      <c r="A709" s="11">
        <f>+'SERVICIO FAENA'!A709</f>
        <v>0</v>
      </c>
      <c r="B709" s="11">
        <f>+'SERVICIO FAENA'!B709</f>
        <v>0</v>
      </c>
      <c r="C709" s="11"/>
      <c r="D709" s="11"/>
      <c r="E709" s="18">
        <f>+'SERVICIO FAENA'!E709</f>
        <v>0</v>
      </c>
      <c r="F709" s="11"/>
      <c r="G709" s="180" t="e">
        <f t="shared" si="59"/>
        <v>#DIV/0!</v>
      </c>
      <c r="H709" s="11"/>
      <c r="I709" s="11"/>
      <c r="J709" s="180" t="e">
        <f t="shared" si="55"/>
        <v>#DIV/0!</v>
      </c>
      <c r="K709" s="100"/>
      <c r="L709" s="100"/>
      <c r="M709" s="100"/>
      <c r="N709" s="100">
        <f t="shared" si="56"/>
        <v>0</v>
      </c>
      <c r="O709" s="100"/>
      <c r="P709" s="41">
        <v>880</v>
      </c>
      <c r="Q709" s="11"/>
      <c r="R709" s="41">
        <v>260</v>
      </c>
      <c r="S709" s="185"/>
      <c r="T709" s="185"/>
      <c r="U709" s="185"/>
      <c r="V709" s="185"/>
      <c r="W709" s="41">
        <f t="shared" si="57"/>
        <v>0</v>
      </c>
      <c r="X709" s="41">
        <f t="shared" si="58"/>
        <v>0</v>
      </c>
      <c r="Y709" s="11"/>
      <c r="Z709" s="11"/>
      <c r="AA709" s="11"/>
      <c r="AB709" s="11"/>
      <c r="AC709" s="24"/>
    </row>
    <row r="710" spans="1:29" x14ac:dyDescent="0.2">
      <c r="A710" s="11">
        <f>+'SERVICIO FAENA'!A710</f>
        <v>0</v>
      </c>
      <c r="B710" s="11">
        <f>+'SERVICIO FAENA'!B710</f>
        <v>0</v>
      </c>
      <c r="C710" s="11"/>
      <c r="D710" s="11"/>
      <c r="E710" s="18">
        <f>+'SERVICIO FAENA'!E710</f>
        <v>0</v>
      </c>
      <c r="F710" s="11"/>
      <c r="G710" s="180" t="e">
        <f t="shared" si="59"/>
        <v>#DIV/0!</v>
      </c>
      <c r="H710" s="11"/>
      <c r="I710" s="11"/>
      <c r="J710" s="180" t="e">
        <f t="shared" si="55"/>
        <v>#DIV/0!</v>
      </c>
      <c r="K710" s="100"/>
      <c r="L710" s="100"/>
      <c r="M710" s="100"/>
      <c r="N710" s="100">
        <f t="shared" si="56"/>
        <v>0</v>
      </c>
      <c r="O710" s="100"/>
      <c r="P710" s="41">
        <v>880</v>
      </c>
      <c r="Q710" s="11"/>
      <c r="R710" s="41">
        <v>260</v>
      </c>
      <c r="S710" s="185"/>
      <c r="T710" s="185"/>
      <c r="U710" s="185"/>
      <c r="V710" s="185"/>
      <c r="W710" s="41">
        <f t="shared" si="57"/>
        <v>0</v>
      </c>
      <c r="X710" s="41">
        <f t="shared" si="58"/>
        <v>0</v>
      </c>
      <c r="Y710" s="11"/>
      <c r="Z710" s="11"/>
      <c r="AA710" s="11"/>
      <c r="AB710" s="11"/>
      <c r="AC710" s="24"/>
    </row>
    <row r="711" spans="1:29" x14ac:dyDescent="0.2">
      <c r="A711" s="11">
        <f>+'SERVICIO FAENA'!A711</f>
        <v>0</v>
      </c>
      <c r="B711" s="11">
        <f>+'SERVICIO FAENA'!B711</f>
        <v>0</v>
      </c>
      <c r="C711" s="11"/>
      <c r="D711" s="11"/>
      <c r="E711" s="18">
        <f>+'SERVICIO FAENA'!E711</f>
        <v>0</v>
      </c>
      <c r="F711" s="11"/>
      <c r="G711" s="180" t="e">
        <f t="shared" si="59"/>
        <v>#DIV/0!</v>
      </c>
      <c r="H711" s="11"/>
      <c r="I711" s="11"/>
      <c r="J711" s="180" t="e">
        <f t="shared" si="55"/>
        <v>#DIV/0!</v>
      </c>
      <c r="K711" s="100"/>
      <c r="L711" s="100"/>
      <c r="M711" s="100"/>
      <c r="N711" s="100">
        <f t="shared" si="56"/>
        <v>0</v>
      </c>
      <c r="O711" s="100"/>
      <c r="P711" s="41">
        <v>880</v>
      </c>
      <c r="Q711" s="11"/>
      <c r="R711" s="41">
        <v>260</v>
      </c>
      <c r="S711" s="185"/>
      <c r="T711" s="185"/>
      <c r="U711" s="185"/>
      <c r="V711" s="185"/>
      <c r="W711" s="41">
        <f t="shared" si="57"/>
        <v>0</v>
      </c>
      <c r="X711" s="41">
        <f t="shared" si="58"/>
        <v>0</v>
      </c>
      <c r="Y711" s="11"/>
      <c r="Z711" s="11"/>
      <c r="AA711" s="11"/>
      <c r="AB711" s="11"/>
      <c r="AC711" s="24"/>
    </row>
    <row r="712" spans="1:29" x14ac:dyDescent="0.2">
      <c r="A712" s="11">
        <f>+'SERVICIO FAENA'!A712</f>
        <v>0</v>
      </c>
      <c r="B712" s="11">
        <f>+'SERVICIO FAENA'!B712</f>
        <v>0</v>
      </c>
      <c r="C712" s="11"/>
      <c r="D712" s="11"/>
      <c r="E712" s="18">
        <f>+'SERVICIO FAENA'!E712</f>
        <v>0</v>
      </c>
      <c r="F712" s="11"/>
      <c r="G712" s="180" t="e">
        <f t="shared" si="59"/>
        <v>#DIV/0!</v>
      </c>
      <c r="H712" s="11"/>
      <c r="I712" s="11"/>
      <c r="J712" s="180" t="e">
        <f t="shared" si="55"/>
        <v>#DIV/0!</v>
      </c>
      <c r="K712" s="100"/>
      <c r="L712" s="100"/>
      <c r="M712" s="100"/>
      <c r="N712" s="100">
        <f t="shared" si="56"/>
        <v>0</v>
      </c>
      <c r="O712" s="100"/>
      <c r="P712" s="41">
        <v>880</v>
      </c>
      <c r="Q712" s="11"/>
      <c r="R712" s="41">
        <v>260</v>
      </c>
      <c r="S712" s="185"/>
      <c r="T712" s="185"/>
      <c r="U712" s="185"/>
      <c r="V712" s="185"/>
      <c r="W712" s="41">
        <f t="shared" si="57"/>
        <v>0</v>
      </c>
      <c r="X712" s="41">
        <f t="shared" si="58"/>
        <v>0</v>
      </c>
      <c r="Y712" s="11"/>
      <c r="Z712" s="11"/>
      <c r="AA712" s="11"/>
      <c r="AB712" s="11"/>
      <c r="AC712" s="24"/>
    </row>
    <row r="713" spans="1:29" x14ac:dyDescent="0.2">
      <c r="A713" s="11">
        <f>+'SERVICIO FAENA'!A713</f>
        <v>0</v>
      </c>
      <c r="B713" s="11">
        <f>+'SERVICIO FAENA'!B713</f>
        <v>0</v>
      </c>
      <c r="C713" s="11"/>
      <c r="D713" s="11"/>
      <c r="E713" s="18">
        <f>+'SERVICIO FAENA'!E713</f>
        <v>0</v>
      </c>
      <c r="F713" s="11"/>
      <c r="G713" s="180" t="e">
        <f t="shared" si="59"/>
        <v>#DIV/0!</v>
      </c>
      <c r="H713" s="11"/>
      <c r="I713" s="11"/>
      <c r="J713" s="180" t="e">
        <f t="shared" si="55"/>
        <v>#DIV/0!</v>
      </c>
      <c r="K713" s="100"/>
      <c r="L713" s="100"/>
      <c r="M713" s="100"/>
      <c r="N713" s="100">
        <f t="shared" si="56"/>
        <v>0</v>
      </c>
      <c r="O713" s="100"/>
      <c r="P713" s="41">
        <v>880</v>
      </c>
      <c r="Q713" s="11"/>
      <c r="R713" s="41">
        <v>260</v>
      </c>
      <c r="S713" s="185"/>
      <c r="T713" s="185"/>
      <c r="U713" s="185"/>
      <c r="V713" s="185"/>
      <c r="W713" s="41">
        <f t="shared" si="57"/>
        <v>0</v>
      </c>
      <c r="X713" s="41">
        <f t="shared" si="58"/>
        <v>0</v>
      </c>
      <c r="Y713" s="11"/>
      <c r="Z713" s="11"/>
      <c r="AA713" s="11"/>
      <c r="AB713" s="11"/>
      <c r="AC713" s="24"/>
    </row>
    <row r="714" spans="1:29" x14ac:dyDescent="0.2">
      <c r="A714" s="11">
        <f>+'SERVICIO FAENA'!A714</f>
        <v>0</v>
      </c>
      <c r="B714" s="11">
        <f>+'SERVICIO FAENA'!B714</f>
        <v>0</v>
      </c>
      <c r="C714" s="11"/>
      <c r="D714" s="11"/>
      <c r="E714" s="18">
        <f>+'SERVICIO FAENA'!E714</f>
        <v>0</v>
      </c>
      <c r="F714" s="11"/>
      <c r="G714" s="180" t="e">
        <f t="shared" si="59"/>
        <v>#DIV/0!</v>
      </c>
      <c r="H714" s="11"/>
      <c r="I714" s="11"/>
      <c r="J714" s="180" t="e">
        <f t="shared" si="55"/>
        <v>#DIV/0!</v>
      </c>
      <c r="K714" s="100"/>
      <c r="L714" s="100"/>
      <c r="M714" s="100"/>
      <c r="N714" s="100">
        <f t="shared" si="56"/>
        <v>0</v>
      </c>
      <c r="O714" s="100"/>
      <c r="P714" s="41">
        <v>880</v>
      </c>
      <c r="Q714" s="11"/>
      <c r="R714" s="41">
        <v>260</v>
      </c>
      <c r="S714" s="185"/>
      <c r="T714" s="185"/>
      <c r="U714" s="185"/>
      <c r="V714" s="185"/>
      <c r="W714" s="41">
        <f t="shared" si="57"/>
        <v>0</v>
      </c>
      <c r="X714" s="41">
        <f t="shared" si="58"/>
        <v>0</v>
      </c>
      <c r="Y714" s="11"/>
      <c r="Z714" s="11"/>
      <c r="AA714" s="11"/>
      <c r="AB714" s="11"/>
      <c r="AC714" s="24"/>
    </row>
    <row r="715" spans="1:29" x14ac:dyDescent="0.2">
      <c r="A715" s="11">
        <f>+'SERVICIO FAENA'!A715</f>
        <v>0</v>
      </c>
      <c r="B715" s="11">
        <f>+'SERVICIO FAENA'!B715</f>
        <v>0</v>
      </c>
      <c r="C715" s="11"/>
      <c r="D715" s="11"/>
      <c r="E715" s="18">
        <f>+'SERVICIO FAENA'!E715</f>
        <v>0</v>
      </c>
      <c r="F715" s="11"/>
      <c r="G715" s="180" t="e">
        <f t="shared" si="59"/>
        <v>#DIV/0!</v>
      </c>
      <c r="H715" s="11"/>
      <c r="I715" s="11"/>
      <c r="J715" s="180" t="e">
        <f t="shared" si="55"/>
        <v>#DIV/0!</v>
      </c>
      <c r="K715" s="100"/>
      <c r="L715" s="100"/>
      <c r="M715" s="100"/>
      <c r="N715" s="100">
        <f t="shared" si="56"/>
        <v>0</v>
      </c>
      <c r="O715" s="100"/>
      <c r="P715" s="41">
        <v>880</v>
      </c>
      <c r="Q715" s="11"/>
      <c r="R715" s="41">
        <v>260</v>
      </c>
      <c r="S715" s="185"/>
      <c r="T715" s="185"/>
      <c r="U715" s="185"/>
      <c r="V715" s="185"/>
      <c r="W715" s="41">
        <f t="shared" si="57"/>
        <v>0</v>
      </c>
      <c r="X715" s="41">
        <f t="shared" si="58"/>
        <v>0</v>
      </c>
      <c r="Y715" s="11"/>
      <c r="Z715" s="11"/>
      <c r="AA715" s="11"/>
      <c r="AB715" s="11"/>
      <c r="AC715" s="24"/>
    </row>
    <row r="716" spans="1:29" x14ac:dyDescent="0.2">
      <c r="A716" s="11">
        <f>+'SERVICIO FAENA'!A716</f>
        <v>0</v>
      </c>
      <c r="B716" s="11">
        <f>+'SERVICIO FAENA'!B716</f>
        <v>0</v>
      </c>
      <c r="C716" s="11"/>
      <c r="D716" s="11"/>
      <c r="E716" s="18">
        <f>+'SERVICIO FAENA'!E716</f>
        <v>0</v>
      </c>
      <c r="F716" s="11"/>
      <c r="G716" s="180" t="e">
        <f t="shared" si="59"/>
        <v>#DIV/0!</v>
      </c>
      <c r="H716" s="11"/>
      <c r="I716" s="11"/>
      <c r="J716" s="180" t="e">
        <f t="shared" si="55"/>
        <v>#DIV/0!</v>
      </c>
      <c r="K716" s="100"/>
      <c r="L716" s="100"/>
      <c r="M716" s="100"/>
      <c r="N716" s="100">
        <f t="shared" si="56"/>
        <v>0</v>
      </c>
      <c r="O716" s="100"/>
      <c r="P716" s="41">
        <v>880</v>
      </c>
      <c r="Q716" s="11"/>
      <c r="R716" s="41">
        <v>260</v>
      </c>
      <c r="S716" s="185"/>
      <c r="T716" s="185"/>
      <c r="U716" s="185"/>
      <c r="V716" s="185"/>
      <c r="W716" s="41">
        <f t="shared" si="57"/>
        <v>0</v>
      </c>
      <c r="X716" s="41">
        <f t="shared" si="58"/>
        <v>0</v>
      </c>
      <c r="Y716" s="11"/>
      <c r="Z716" s="11"/>
      <c r="AA716" s="11"/>
      <c r="AB716" s="11"/>
      <c r="AC716" s="24"/>
    </row>
    <row r="717" spans="1:29" x14ac:dyDescent="0.2">
      <c r="A717" s="11">
        <f>+'SERVICIO FAENA'!A717</f>
        <v>0</v>
      </c>
      <c r="B717" s="11">
        <f>+'SERVICIO FAENA'!B717</f>
        <v>0</v>
      </c>
      <c r="C717" s="11"/>
      <c r="D717" s="11"/>
      <c r="E717" s="18">
        <f>+'SERVICIO FAENA'!E717</f>
        <v>0</v>
      </c>
      <c r="F717" s="11"/>
      <c r="G717" s="180" t="e">
        <f t="shared" si="59"/>
        <v>#DIV/0!</v>
      </c>
      <c r="H717" s="11"/>
      <c r="I717" s="11"/>
      <c r="J717" s="180" t="e">
        <f t="shared" si="55"/>
        <v>#DIV/0!</v>
      </c>
      <c r="K717" s="100"/>
      <c r="L717" s="100"/>
      <c r="M717" s="100"/>
      <c r="N717" s="100">
        <f t="shared" si="56"/>
        <v>0</v>
      </c>
      <c r="O717" s="100"/>
      <c r="P717" s="41">
        <v>880</v>
      </c>
      <c r="Q717" s="11"/>
      <c r="R717" s="41">
        <v>260</v>
      </c>
      <c r="S717" s="185"/>
      <c r="T717" s="185"/>
      <c r="U717" s="185"/>
      <c r="V717" s="185"/>
      <c r="W717" s="41">
        <f t="shared" si="57"/>
        <v>0</v>
      </c>
      <c r="X717" s="41">
        <f t="shared" si="58"/>
        <v>0</v>
      </c>
      <c r="Y717" s="11"/>
      <c r="Z717" s="11"/>
      <c r="AA717" s="11"/>
      <c r="AB717" s="11"/>
      <c r="AC717" s="24"/>
    </row>
    <row r="718" spans="1:29" x14ac:dyDescent="0.2">
      <c r="A718" s="11">
        <f>+'SERVICIO FAENA'!A718</f>
        <v>0</v>
      </c>
      <c r="B718" s="11">
        <f>+'SERVICIO FAENA'!B718</f>
        <v>0</v>
      </c>
      <c r="C718" s="11"/>
      <c r="D718" s="11"/>
      <c r="E718" s="18">
        <f>+'SERVICIO FAENA'!E718</f>
        <v>0</v>
      </c>
      <c r="F718" s="11"/>
      <c r="G718" s="180" t="e">
        <f t="shared" si="59"/>
        <v>#DIV/0!</v>
      </c>
      <c r="H718" s="11"/>
      <c r="I718" s="11"/>
      <c r="J718" s="180" t="e">
        <f t="shared" si="55"/>
        <v>#DIV/0!</v>
      </c>
      <c r="K718" s="100"/>
      <c r="L718" s="100"/>
      <c r="M718" s="100"/>
      <c r="N718" s="100">
        <f t="shared" si="56"/>
        <v>0</v>
      </c>
      <c r="O718" s="100"/>
      <c r="P718" s="41">
        <v>880</v>
      </c>
      <c r="Q718" s="11"/>
      <c r="R718" s="41">
        <v>260</v>
      </c>
      <c r="S718" s="185"/>
      <c r="T718" s="185"/>
      <c r="U718" s="185"/>
      <c r="V718" s="185"/>
      <c r="W718" s="41">
        <f t="shared" si="57"/>
        <v>0</v>
      </c>
      <c r="X718" s="41">
        <f t="shared" si="58"/>
        <v>0</v>
      </c>
      <c r="Y718" s="11"/>
      <c r="Z718" s="11"/>
      <c r="AA718" s="11"/>
      <c r="AB718" s="11"/>
      <c r="AC718" s="24"/>
    </row>
    <row r="719" spans="1:29" x14ac:dyDescent="0.2">
      <c r="A719" s="11">
        <f>+'SERVICIO FAENA'!A719</f>
        <v>0</v>
      </c>
      <c r="B719" s="11">
        <f>+'SERVICIO FAENA'!B719</f>
        <v>0</v>
      </c>
      <c r="C719" s="11"/>
      <c r="D719" s="11"/>
      <c r="E719" s="18">
        <f>+'SERVICIO FAENA'!E719</f>
        <v>0</v>
      </c>
      <c r="F719" s="11"/>
      <c r="G719" s="180" t="e">
        <f t="shared" si="59"/>
        <v>#DIV/0!</v>
      </c>
      <c r="H719" s="11"/>
      <c r="I719" s="11"/>
      <c r="J719" s="180" t="e">
        <f t="shared" si="55"/>
        <v>#DIV/0!</v>
      </c>
      <c r="K719" s="100"/>
      <c r="L719" s="100"/>
      <c r="M719" s="100"/>
      <c r="N719" s="100">
        <f t="shared" si="56"/>
        <v>0</v>
      </c>
      <c r="O719" s="100"/>
      <c r="P719" s="41">
        <v>880</v>
      </c>
      <c r="Q719" s="11"/>
      <c r="R719" s="41">
        <v>260</v>
      </c>
      <c r="S719" s="185"/>
      <c r="T719" s="185"/>
      <c r="U719" s="185"/>
      <c r="V719" s="185"/>
      <c r="W719" s="41">
        <f t="shared" si="57"/>
        <v>0</v>
      </c>
      <c r="X719" s="41">
        <f t="shared" si="58"/>
        <v>0</v>
      </c>
      <c r="Y719" s="11"/>
      <c r="Z719" s="11"/>
      <c r="AA719" s="11"/>
      <c r="AB719" s="11"/>
      <c r="AC719" s="24"/>
    </row>
    <row r="720" spans="1:29" x14ac:dyDescent="0.2">
      <c r="A720" s="11">
        <f>+'SERVICIO FAENA'!A720</f>
        <v>0</v>
      </c>
      <c r="B720" s="11">
        <f>+'SERVICIO FAENA'!B720</f>
        <v>0</v>
      </c>
      <c r="C720" s="11"/>
      <c r="D720" s="11"/>
      <c r="E720" s="18">
        <f>+'SERVICIO FAENA'!E720</f>
        <v>0</v>
      </c>
      <c r="F720" s="11"/>
      <c r="G720" s="180" t="e">
        <f t="shared" si="59"/>
        <v>#DIV/0!</v>
      </c>
      <c r="H720" s="11"/>
      <c r="I720" s="11"/>
      <c r="J720" s="180" t="e">
        <f t="shared" si="55"/>
        <v>#DIV/0!</v>
      </c>
      <c r="K720" s="100"/>
      <c r="L720" s="100"/>
      <c r="M720" s="100"/>
      <c r="N720" s="100">
        <f t="shared" si="56"/>
        <v>0</v>
      </c>
      <c r="O720" s="100"/>
      <c r="P720" s="41">
        <v>880</v>
      </c>
      <c r="Q720" s="11"/>
      <c r="R720" s="41">
        <v>260</v>
      </c>
      <c r="S720" s="185"/>
      <c r="T720" s="185"/>
      <c r="U720" s="185"/>
      <c r="V720" s="185"/>
      <c r="W720" s="41">
        <f t="shared" si="57"/>
        <v>0</v>
      </c>
      <c r="X720" s="41">
        <f t="shared" si="58"/>
        <v>0</v>
      </c>
      <c r="Y720" s="11"/>
      <c r="Z720" s="11"/>
      <c r="AA720" s="11"/>
      <c r="AB720" s="11"/>
      <c r="AC720" s="24"/>
    </row>
    <row r="721" spans="1:29" x14ac:dyDescent="0.2">
      <c r="A721" s="11">
        <f>+'SERVICIO FAENA'!A721</f>
        <v>0</v>
      </c>
      <c r="B721" s="11">
        <f>+'SERVICIO FAENA'!B721</f>
        <v>0</v>
      </c>
      <c r="C721" s="11"/>
      <c r="D721" s="11"/>
      <c r="E721" s="18">
        <f>+'SERVICIO FAENA'!E721</f>
        <v>0</v>
      </c>
      <c r="F721" s="11"/>
      <c r="G721" s="180" t="e">
        <f t="shared" si="59"/>
        <v>#DIV/0!</v>
      </c>
      <c r="H721" s="11"/>
      <c r="I721" s="11"/>
      <c r="J721" s="180" t="e">
        <f t="shared" si="55"/>
        <v>#DIV/0!</v>
      </c>
      <c r="K721" s="100"/>
      <c r="L721" s="100"/>
      <c r="M721" s="100"/>
      <c r="N721" s="100">
        <f t="shared" si="56"/>
        <v>0</v>
      </c>
      <c r="O721" s="100"/>
      <c r="P721" s="41">
        <v>880</v>
      </c>
      <c r="Q721" s="11"/>
      <c r="R721" s="41">
        <v>260</v>
      </c>
      <c r="S721" s="185"/>
      <c r="T721" s="185"/>
      <c r="U721" s="185"/>
      <c r="V721" s="185"/>
      <c r="W721" s="41">
        <f t="shared" si="57"/>
        <v>0</v>
      </c>
      <c r="X721" s="41">
        <f t="shared" si="58"/>
        <v>0</v>
      </c>
      <c r="Y721" s="11"/>
      <c r="Z721" s="11"/>
      <c r="AA721" s="11"/>
      <c r="AB721" s="11"/>
      <c r="AC721" s="24"/>
    </row>
    <row r="722" spans="1:29" x14ac:dyDescent="0.2">
      <c r="A722" s="11">
        <f>+'SERVICIO FAENA'!A722</f>
        <v>0</v>
      </c>
      <c r="B722" s="11">
        <f>+'SERVICIO FAENA'!B722</f>
        <v>0</v>
      </c>
      <c r="C722" s="11"/>
      <c r="D722" s="11"/>
      <c r="E722" s="18">
        <f>+'SERVICIO FAENA'!E722</f>
        <v>0</v>
      </c>
      <c r="F722" s="11"/>
      <c r="G722" s="180" t="e">
        <f t="shared" si="59"/>
        <v>#DIV/0!</v>
      </c>
      <c r="H722" s="11"/>
      <c r="I722" s="11"/>
      <c r="J722" s="180" t="e">
        <f t="shared" si="55"/>
        <v>#DIV/0!</v>
      </c>
      <c r="K722" s="100"/>
      <c r="L722" s="100"/>
      <c r="M722" s="100"/>
      <c r="N722" s="100">
        <f t="shared" si="56"/>
        <v>0</v>
      </c>
      <c r="O722" s="100"/>
      <c r="P722" s="41">
        <v>880</v>
      </c>
      <c r="Q722" s="11"/>
      <c r="R722" s="41">
        <v>260</v>
      </c>
      <c r="S722" s="185"/>
      <c r="T722" s="185"/>
      <c r="U722" s="185"/>
      <c r="V722" s="185"/>
      <c r="W722" s="41">
        <f t="shared" si="57"/>
        <v>0</v>
      </c>
      <c r="X722" s="41">
        <f t="shared" si="58"/>
        <v>0</v>
      </c>
      <c r="Y722" s="11"/>
      <c r="Z722" s="11"/>
      <c r="AA722" s="11"/>
      <c r="AB722" s="11"/>
      <c r="AC722" s="24"/>
    </row>
    <row r="723" spans="1:29" x14ac:dyDescent="0.2">
      <c r="A723" s="11">
        <f>+'SERVICIO FAENA'!A723</f>
        <v>0</v>
      </c>
      <c r="B723" s="11">
        <f>+'SERVICIO FAENA'!B723</f>
        <v>0</v>
      </c>
      <c r="C723" s="11"/>
      <c r="D723" s="11"/>
      <c r="E723" s="18">
        <f>+'SERVICIO FAENA'!E723</f>
        <v>0</v>
      </c>
      <c r="F723" s="11"/>
      <c r="G723" s="180" t="e">
        <f t="shared" si="59"/>
        <v>#DIV/0!</v>
      </c>
      <c r="H723" s="11"/>
      <c r="I723" s="11"/>
      <c r="J723" s="180" t="e">
        <f t="shared" si="55"/>
        <v>#DIV/0!</v>
      </c>
      <c r="K723" s="100"/>
      <c r="L723" s="100"/>
      <c r="M723" s="100"/>
      <c r="N723" s="100">
        <f t="shared" si="56"/>
        <v>0</v>
      </c>
      <c r="O723" s="100"/>
      <c r="P723" s="41">
        <v>880</v>
      </c>
      <c r="Q723" s="11"/>
      <c r="R723" s="41">
        <v>260</v>
      </c>
      <c r="S723" s="185"/>
      <c r="T723" s="185"/>
      <c r="U723" s="185"/>
      <c r="V723" s="185"/>
      <c r="W723" s="41">
        <f t="shared" si="57"/>
        <v>0</v>
      </c>
      <c r="X723" s="41">
        <f t="shared" si="58"/>
        <v>0</v>
      </c>
      <c r="Y723" s="11"/>
      <c r="Z723" s="11"/>
      <c r="AA723" s="11"/>
      <c r="AB723" s="11"/>
      <c r="AC723" s="24"/>
    </row>
    <row r="724" spans="1:29" x14ac:dyDescent="0.2">
      <c r="A724" s="11">
        <f>+'SERVICIO FAENA'!A724</f>
        <v>0</v>
      </c>
      <c r="B724" s="11">
        <f>+'SERVICIO FAENA'!B724</f>
        <v>0</v>
      </c>
      <c r="C724" s="11"/>
      <c r="D724" s="11"/>
      <c r="E724" s="18">
        <f>+'SERVICIO FAENA'!E724</f>
        <v>0</v>
      </c>
      <c r="F724" s="11"/>
      <c r="G724" s="180" t="e">
        <f t="shared" si="59"/>
        <v>#DIV/0!</v>
      </c>
      <c r="H724" s="11"/>
      <c r="I724" s="11"/>
      <c r="J724" s="180" t="e">
        <f t="shared" si="55"/>
        <v>#DIV/0!</v>
      </c>
      <c r="K724" s="100"/>
      <c r="L724" s="100"/>
      <c r="M724" s="100"/>
      <c r="N724" s="100">
        <f t="shared" si="56"/>
        <v>0</v>
      </c>
      <c r="O724" s="100"/>
      <c r="P724" s="41">
        <v>880</v>
      </c>
      <c r="Q724" s="11"/>
      <c r="R724" s="41">
        <v>260</v>
      </c>
      <c r="S724" s="185"/>
      <c r="T724" s="185"/>
      <c r="U724" s="185"/>
      <c r="V724" s="185"/>
      <c r="W724" s="41">
        <f t="shared" si="57"/>
        <v>0</v>
      </c>
      <c r="X724" s="41">
        <f t="shared" si="58"/>
        <v>0</v>
      </c>
      <c r="Y724" s="11"/>
      <c r="Z724" s="11"/>
      <c r="AA724" s="11"/>
      <c r="AB724" s="11"/>
      <c r="AC724" s="24"/>
    </row>
    <row r="725" spans="1:29" x14ac:dyDescent="0.2">
      <c r="A725" s="11">
        <f>+'SERVICIO FAENA'!A725</f>
        <v>0</v>
      </c>
      <c r="B725" s="11">
        <f>+'SERVICIO FAENA'!B725</f>
        <v>0</v>
      </c>
      <c r="C725" s="11"/>
      <c r="D725" s="11"/>
      <c r="E725" s="18">
        <f>+'SERVICIO FAENA'!E725</f>
        <v>0</v>
      </c>
      <c r="F725" s="11"/>
      <c r="G725" s="180" t="e">
        <f t="shared" si="59"/>
        <v>#DIV/0!</v>
      </c>
      <c r="H725" s="11"/>
      <c r="I725" s="11"/>
      <c r="J725" s="180" t="e">
        <f t="shared" si="55"/>
        <v>#DIV/0!</v>
      </c>
      <c r="K725" s="100"/>
      <c r="L725" s="100"/>
      <c r="M725" s="100"/>
      <c r="N725" s="100">
        <f t="shared" si="56"/>
        <v>0</v>
      </c>
      <c r="O725" s="100"/>
      <c r="P725" s="41">
        <v>880</v>
      </c>
      <c r="Q725" s="11"/>
      <c r="R725" s="41">
        <v>260</v>
      </c>
      <c r="S725" s="185"/>
      <c r="T725" s="185"/>
      <c r="U725" s="185"/>
      <c r="V725" s="185"/>
      <c r="W725" s="41">
        <f t="shared" si="57"/>
        <v>0</v>
      </c>
      <c r="X725" s="41">
        <f t="shared" si="58"/>
        <v>0</v>
      </c>
      <c r="Y725" s="11"/>
      <c r="Z725" s="11"/>
      <c r="AA725" s="11"/>
      <c r="AB725" s="11"/>
      <c r="AC725" s="24"/>
    </row>
    <row r="726" spans="1:29" x14ac:dyDescent="0.2">
      <c r="A726" s="11">
        <f>+'SERVICIO FAENA'!A726</f>
        <v>0</v>
      </c>
      <c r="B726" s="11">
        <f>+'SERVICIO FAENA'!B726</f>
        <v>0</v>
      </c>
      <c r="C726" s="11"/>
      <c r="D726" s="11"/>
      <c r="E726" s="18">
        <f>+'SERVICIO FAENA'!E726</f>
        <v>0</v>
      </c>
      <c r="F726" s="11"/>
      <c r="G726" s="180" t="e">
        <f t="shared" si="59"/>
        <v>#DIV/0!</v>
      </c>
      <c r="H726" s="11"/>
      <c r="I726" s="11"/>
      <c r="J726" s="180" t="e">
        <f t="shared" si="55"/>
        <v>#DIV/0!</v>
      </c>
      <c r="K726" s="100"/>
      <c r="L726" s="100"/>
      <c r="M726" s="100"/>
      <c r="N726" s="100">
        <f t="shared" si="56"/>
        <v>0</v>
      </c>
      <c r="O726" s="100"/>
      <c r="P726" s="41">
        <v>880</v>
      </c>
      <c r="Q726" s="11"/>
      <c r="R726" s="41">
        <v>260</v>
      </c>
      <c r="S726" s="185"/>
      <c r="T726" s="185"/>
      <c r="U726" s="185"/>
      <c r="V726" s="185"/>
      <c r="W726" s="41">
        <f t="shared" si="57"/>
        <v>0</v>
      </c>
      <c r="X726" s="41">
        <f t="shared" si="58"/>
        <v>0</v>
      </c>
      <c r="Y726" s="11"/>
      <c r="Z726" s="11"/>
      <c r="AA726" s="11"/>
      <c r="AB726" s="11"/>
      <c r="AC726" s="24"/>
    </row>
    <row r="727" spans="1:29" x14ac:dyDescent="0.2">
      <c r="A727" s="11">
        <f>+'SERVICIO FAENA'!A727</f>
        <v>0</v>
      </c>
      <c r="B727" s="11">
        <f>+'SERVICIO FAENA'!B727</f>
        <v>0</v>
      </c>
      <c r="C727" s="11"/>
      <c r="D727" s="11"/>
      <c r="E727" s="18">
        <f>+'SERVICIO FAENA'!E727</f>
        <v>0</v>
      </c>
      <c r="F727" s="11"/>
      <c r="G727" s="180" t="e">
        <f t="shared" si="59"/>
        <v>#DIV/0!</v>
      </c>
      <c r="H727" s="11"/>
      <c r="I727" s="11"/>
      <c r="J727" s="180" t="e">
        <f t="shared" si="55"/>
        <v>#DIV/0!</v>
      </c>
      <c r="K727" s="100"/>
      <c r="L727" s="100"/>
      <c r="M727" s="100"/>
      <c r="N727" s="100">
        <f t="shared" si="56"/>
        <v>0</v>
      </c>
      <c r="O727" s="100"/>
      <c r="P727" s="41">
        <v>880</v>
      </c>
      <c r="Q727" s="11"/>
      <c r="R727" s="41">
        <v>260</v>
      </c>
      <c r="S727" s="185"/>
      <c r="T727" s="185"/>
      <c r="U727" s="185"/>
      <c r="V727" s="185"/>
      <c r="W727" s="41">
        <f t="shared" si="57"/>
        <v>0</v>
      </c>
      <c r="X727" s="41">
        <f t="shared" si="58"/>
        <v>0</v>
      </c>
      <c r="Y727" s="11"/>
      <c r="Z727" s="11"/>
      <c r="AA727" s="11"/>
      <c r="AB727" s="11"/>
      <c r="AC727" s="24"/>
    </row>
    <row r="728" spans="1:29" x14ac:dyDescent="0.2">
      <c r="A728" s="11">
        <f>+'SERVICIO FAENA'!A728</f>
        <v>0</v>
      </c>
      <c r="B728" s="11">
        <f>+'SERVICIO FAENA'!B728</f>
        <v>0</v>
      </c>
      <c r="C728" s="11"/>
      <c r="D728" s="11"/>
      <c r="E728" s="18">
        <f>+'SERVICIO FAENA'!E728</f>
        <v>0</v>
      </c>
      <c r="F728" s="11"/>
      <c r="G728" s="180" t="e">
        <f t="shared" si="59"/>
        <v>#DIV/0!</v>
      </c>
      <c r="H728" s="11"/>
      <c r="I728" s="11"/>
      <c r="J728" s="180" t="e">
        <f t="shared" si="55"/>
        <v>#DIV/0!</v>
      </c>
      <c r="K728" s="100"/>
      <c r="L728" s="100"/>
      <c r="M728" s="100"/>
      <c r="N728" s="100">
        <f t="shared" si="56"/>
        <v>0</v>
      </c>
      <c r="O728" s="100"/>
      <c r="P728" s="41">
        <v>880</v>
      </c>
      <c r="Q728" s="11"/>
      <c r="R728" s="41">
        <v>260</v>
      </c>
      <c r="S728" s="185"/>
      <c r="T728" s="185"/>
      <c r="U728" s="185"/>
      <c r="V728" s="185"/>
      <c r="W728" s="41">
        <f t="shared" si="57"/>
        <v>0</v>
      </c>
      <c r="X728" s="41">
        <f t="shared" si="58"/>
        <v>0</v>
      </c>
      <c r="Y728" s="11"/>
      <c r="Z728" s="11"/>
      <c r="AA728" s="11"/>
      <c r="AB728" s="11"/>
      <c r="AC728" s="24"/>
    </row>
    <row r="729" spans="1:29" x14ac:dyDescent="0.2">
      <c r="A729" s="11">
        <f>+'SERVICIO FAENA'!A729</f>
        <v>0</v>
      </c>
      <c r="B729" s="11">
        <f>+'SERVICIO FAENA'!B729</f>
        <v>0</v>
      </c>
      <c r="C729" s="11"/>
      <c r="D729" s="11"/>
      <c r="E729" s="18">
        <f>+'SERVICIO FAENA'!E729</f>
        <v>0</v>
      </c>
      <c r="F729" s="11"/>
      <c r="G729" s="180" t="e">
        <f t="shared" si="59"/>
        <v>#DIV/0!</v>
      </c>
      <c r="H729" s="11"/>
      <c r="I729" s="11"/>
      <c r="J729" s="180" t="e">
        <f t="shared" si="55"/>
        <v>#DIV/0!</v>
      </c>
      <c r="K729" s="100"/>
      <c r="L729" s="100"/>
      <c r="M729" s="100"/>
      <c r="N729" s="100">
        <f t="shared" si="56"/>
        <v>0</v>
      </c>
      <c r="O729" s="100"/>
      <c r="P729" s="41">
        <v>880</v>
      </c>
      <c r="Q729" s="11"/>
      <c r="R729" s="41">
        <v>260</v>
      </c>
      <c r="S729" s="185"/>
      <c r="T729" s="185"/>
      <c r="U729" s="185"/>
      <c r="V729" s="185"/>
      <c r="W729" s="41">
        <f t="shared" si="57"/>
        <v>0</v>
      </c>
      <c r="X729" s="41">
        <f t="shared" si="58"/>
        <v>0</v>
      </c>
      <c r="Y729" s="11"/>
      <c r="Z729" s="11"/>
      <c r="AA729" s="11"/>
      <c r="AB729" s="11"/>
      <c r="AC729" s="24"/>
    </row>
    <row r="730" spans="1:29" x14ac:dyDescent="0.2">
      <c r="A730" s="11">
        <f>+'SERVICIO FAENA'!A730</f>
        <v>0</v>
      </c>
      <c r="B730" s="11">
        <f>+'SERVICIO FAENA'!B730</f>
        <v>0</v>
      </c>
      <c r="C730" s="11"/>
      <c r="D730" s="11"/>
      <c r="E730" s="18">
        <f>+'SERVICIO FAENA'!E730</f>
        <v>0</v>
      </c>
      <c r="F730" s="11"/>
      <c r="G730" s="180" t="e">
        <f t="shared" si="59"/>
        <v>#DIV/0!</v>
      </c>
      <c r="H730" s="11"/>
      <c r="I730" s="11"/>
      <c r="J730" s="180" t="e">
        <f t="shared" si="55"/>
        <v>#DIV/0!</v>
      </c>
      <c r="K730" s="100"/>
      <c r="L730" s="100"/>
      <c r="M730" s="100"/>
      <c r="N730" s="100">
        <f t="shared" si="56"/>
        <v>0</v>
      </c>
      <c r="O730" s="100"/>
      <c r="P730" s="41">
        <v>880</v>
      </c>
      <c r="Q730" s="11"/>
      <c r="R730" s="41">
        <v>260</v>
      </c>
      <c r="S730" s="185"/>
      <c r="T730" s="185"/>
      <c r="U730" s="185"/>
      <c r="V730" s="185"/>
      <c r="W730" s="41">
        <f t="shared" si="57"/>
        <v>0</v>
      </c>
      <c r="X730" s="41">
        <f t="shared" si="58"/>
        <v>0</v>
      </c>
      <c r="Y730" s="11"/>
      <c r="Z730" s="11"/>
      <c r="AA730" s="11"/>
      <c r="AB730" s="11"/>
      <c r="AC730" s="24"/>
    </row>
    <row r="731" spans="1:29" x14ac:dyDescent="0.2">
      <c r="A731" s="11">
        <f>+'SERVICIO FAENA'!A731</f>
        <v>0</v>
      </c>
      <c r="B731" s="11">
        <f>+'SERVICIO FAENA'!B731</f>
        <v>0</v>
      </c>
      <c r="C731" s="11"/>
      <c r="D731" s="11"/>
      <c r="E731" s="18">
        <f>+'SERVICIO FAENA'!E731</f>
        <v>0</v>
      </c>
      <c r="F731" s="11"/>
      <c r="G731" s="180" t="e">
        <f t="shared" si="59"/>
        <v>#DIV/0!</v>
      </c>
      <c r="H731" s="11"/>
      <c r="I731" s="11"/>
      <c r="J731" s="180" t="e">
        <f t="shared" si="55"/>
        <v>#DIV/0!</v>
      </c>
      <c r="K731" s="100"/>
      <c r="L731" s="100"/>
      <c r="M731" s="100"/>
      <c r="N731" s="100">
        <f t="shared" si="56"/>
        <v>0</v>
      </c>
      <c r="O731" s="100"/>
      <c r="P731" s="41">
        <v>880</v>
      </c>
      <c r="Q731" s="11"/>
      <c r="R731" s="41">
        <v>260</v>
      </c>
      <c r="S731" s="185"/>
      <c r="T731" s="185"/>
      <c r="U731" s="185"/>
      <c r="V731" s="185"/>
      <c r="W731" s="41">
        <f t="shared" si="57"/>
        <v>0</v>
      </c>
      <c r="X731" s="41">
        <f t="shared" si="58"/>
        <v>0</v>
      </c>
      <c r="Y731" s="11"/>
      <c r="Z731" s="11"/>
      <c r="AA731" s="11"/>
      <c r="AB731" s="11"/>
      <c r="AC731" s="24"/>
    </row>
    <row r="732" spans="1:29" x14ac:dyDescent="0.2">
      <c r="A732" s="11">
        <f>+'SERVICIO FAENA'!A732</f>
        <v>0</v>
      </c>
      <c r="B732" s="11">
        <f>+'SERVICIO FAENA'!B732</f>
        <v>0</v>
      </c>
      <c r="C732" s="11"/>
      <c r="D732" s="11"/>
      <c r="E732" s="18">
        <f>+'SERVICIO FAENA'!E732</f>
        <v>0</v>
      </c>
      <c r="F732" s="11"/>
      <c r="G732" s="180" t="e">
        <f t="shared" si="59"/>
        <v>#DIV/0!</v>
      </c>
      <c r="H732" s="11"/>
      <c r="I732" s="11"/>
      <c r="J732" s="180" t="e">
        <f t="shared" si="55"/>
        <v>#DIV/0!</v>
      </c>
      <c r="K732" s="100"/>
      <c r="L732" s="100"/>
      <c r="M732" s="100"/>
      <c r="N732" s="100">
        <f t="shared" si="56"/>
        <v>0</v>
      </c>
      <c r="O732" s="100"/>
      <c r="P732" s="41">
        <v>880</v>
      </c>
      <c r="Q732" s="11"/>
      <c r="R732" s="41">
        <v>260</v>
      </c>
      <c r="S732" s="185"/>
      <c r="T732" s="185"/>
      <c r="U732" s="185"/>
      <c r="V732" s="185"/>
      <c r="W732" s="41">
        <f t="shared" si="57"/>
        <v>0</v>
      </c>
      <c r="X732" s="41">
        <f t="shared" si="58"/>
        <v>0</v>
      </c>
      <c r="Y732" s="11"/>
      <c r="Z732" s="11"/>
      <c r="AA732" s="11"/>
      <c r="AB732" s="11"/>
      <c r="AC732" s="24"/>
    </row>
    <row r="733" spans="1:29" x14ac:dyDescent="0.2">
      <c r="A733" s="11">
        <f>+'SERVICIO FAENA'!A733</f>
        <v>0</v>
      </c>
      <c r="B733" s="11">
        <f>+'SERVICIO FAENA'!B733</f>
        <v>0</v>
      </c>
      <c r="C733" s="11"/>
      <c r="D733" s="11"/>
      <c r="E733" s="18">
        <f>+'SERVICIO FAENA'!E733</f>
        <v>0</v>
      </c>
      <c r="F733" s="11"/>
      <c r="G733" s="180" t="e">
        <f t="shared" si="59"/>
        <v>#DIV/0!</v>
      </c>
      <c r="H733" s="11"/>
      <c r="I733" s="11"/>
      <c r="J733" s="180" t="e">
        <f t="shared" si="55"/>
        <v>#DIV/0!</v>
      </c>
      <c r="K733" s="100"/>
      <c r="L733" s="100"/>
      <c r="M733" s="100"/>
      <c r="N733" s="100">
        <f t="shared" si="56"/>
        <v>0</v>
      </c>
      <c r="O733" s="100"/>
      <c r="P733" s="41">
        <v>880</v>
      </c>
      <c r="Q733" s="11"/>
      <c r="R733" s="41">
        <v>260</v>
      </c>
      <c r="S733" s="185"/>
      <c r="T733" s="185"/>
      <c r="U733" s="185"/>
      <c r="V733" s="185"/>
      <c r="W733" s="41">
        <f t="shared" si="57"/>
        <v>0</v>
      </c>
      <c r="X733" s="41">
        <f t="shared" si="58"/>
        <v>0</v>
      </c>
      <c r="Y733" s="11"/>
      <c r="Z733" s="11"/>
      <c r="AA733" s="11"/>
      <c r="AB733" s="11"/>
      <c r="AC733" s="24"/>
    </row>
    <row r="734" spans="1:29" x14ac:dyDescent="0.2">
      <c r="A734" s="11">
        <f>+'SERVICIO FAENA'!A734</f>
        <v>0</v>
      </c>
      <c r="B734" s="11">
        <f>+'SERVICIO FAENA'!B734</f>
        <v>0</v>
      </c>
      <c r="C734" s="11"/>
      <c r="D734" s="11"/>
      <c r="E734" s="18">
        <f>+'SERVICIO FAENA'!E734</f>
        <v>0</v>
      </c>
      <c r="F734" s="11"/>
      <c r="G734" s="180" t="e">
        <f t="shared" si="59"/>
        <v>#DIV/0!</v>
      </c>
      <c r="H734" s="11"/>
      <c r="I734" s="11"/>
      <c r="J734" s="180" t="e">
        <f t="shared" si="55"/>
        <v>#DIV/0!</v>
      </c>
      <c r="K734" s="100"/>
      <c r="L734" s="100"/>
      <c r="M734" s="100"/>
      <c r="N734" s="100">
        <f t="shared" si="56"/>
        <v>0</v>
      </c>
      <c r="O734" s="100"/>
      <c r="P734" s="41">
        <v>880</v>
      </c>
      <c r="Q734" s="11"/>
      <c r="R734" s="41">
        <v>260</v>
      </c>
      <c r="S734" s="185"/>
      <c r="T734" s="185"/>
      <c r="U734" s="185"/>
      <c r="V734" s="185"/>
      <c r="W734" s="41">
        <f t="shared" si="57"/>
        <v>0</v>
      </c>
      <c r="X734" s="41">
        <f t="shared" si="58"/>
        <v>0</v>
      </c>
      <c r="Y734" s="11"/>
      <c r="Z734" s="11"/>
      <c r="AA734" s="11"/>
      <c r="AB734" s="11"/>
      <c r="AC734" s="24"/>
    </row>
    <row r="735" spans="1:29" x14ac:dyDescent="0.2">
      <c r="A735" s="11">
        <f>+'SERVICIO FAENA'!A735</f>
        <v>0</v>
      </c>
      <c r="B735" s="11">
        <f>+'SERVICIO FAENA'!B735</f>
        <v>0</v>
      </c>
      <c r="C735" s="11"/>
      <c r="D735" s="11"/>
      <c r="E735" s="18">
        <f>+'SERVICIO FAENA'!E735</f>
        <v>0</v>
      </c>
      <c r="F735" s="11"/>
      <c r="G735" s="180" t="e">
        <f t="shared" si="59"/>
        <v>#DIV/0!</v>
      </c>
      <c r="H735" s="11"/>
      <c r="I735" s="11"/>
      <c r="J735" s="180" t="e">
        <f t="shared" si="55"/>
        <v>#DIV/0!</v>
      </c>
      <c r="K735" s="100"/>
      <c r="L735" s="100"/>
      <c r="M735" s="100"/>
      <c r="N735" s="100">
        <f t="shared" si="56"/>
        <v>0</v>
      </c>
      <c r="O735" s="100"/>
      <c r="P735" s="41">
        <v>880</v>
      </c>
      <c r="Q735" s="11"/>
      <c r="R735" s="41">
        <v>260</v>
      </c>
      <c r="S735" s="185"/>
      <c r="T735" s="185"/>
      <c r="U735" s="185"/>
      <c r="V735" s="185"/>
      <c r="W735" s="41">
        <f t="shared" si="57"/>
        <v>0</v>
      </c>
      <c r="X735" s="41">
        <f t="shared" si="58"/>
        <v>0</v>
      </c>
      <c r="Y735" s="11"/>
      <c r="Z735" s="11"/>
      <c r="AA735" s="11"/>
      <c r="AB735" s="11"/>
      <c r="AC735" s="24"/>
    </row>
    <row r="736" spans="1:29" x14ac:dyDescent="0.2">
      <c r="A736" s="11">
        <f>+'SERVICIO FAENA'!A736</f>
        <v>0</v>
      </c>
      <c r="B736" s="11">
        <f>+'SERVICIO FAENA'!B736</f>
        <v>0</v>
      </c>
      <c r="C736" s="11"/>
      <c r="D736" s="11"/>
      <c r="E736" s="18">
        <f>+'SERVICIO FAENA'!E736</f>
        <v>0</v>
      </c>
      <c r="F736" s="11"/>
      <c r="G736" s="180" t="e">
        <f t="shared" si="59"/>
        <v>#DIV/0!</v>
      </c>
      <c r="H736" s="11"/>
      <c r="I736" s="11"/>
      <c r="J736" s="180" t="e">
        <f t="shared" si="55"/>
        <v>#DIV/0!</v>
      </c>
      <c r="K736" s="100"/>
      <c r="L736" s="100"/>
      <c r="M736" s="100"/>
      <c r="N736" s="100">
        <f t="shared" si="56"/>
        <v>0</v>
      </c>
      <c r="O736" s="100"/>
      <c r="P736" s="41">
        <v>880</v>
      </c>
      <c r="Q736" s="11"/>
      <c r="R736" s="41">
        <v>260</v>
      </c>
      <c r="S736" s="185"/>
      <c r="T736" s="185"/>
      <c r="U736" s="185"/>
      <c r="V736" s="185"/>
      <c r="W736" s="41">
        <f t="shared" si="57"/>
        <v>0</v>
      </c>
      <c r="X736" s="41">
        <f t="shared" si="58"/>
        <v>0</v>
      </c>
      <c r="Y736" s="11"/>
      <c r="Z736" s="11"/>
      <c r="AA736" s="11"/>
      <c r="AB736" s="11"/>
      <c r="AC736" s="24"/>
    </row>
    <row r="737" spans="1:29" x14ac:dyDescent="0.2">
      <c r="A737" s="11">
        <f>+'SERVICIO FAENA'!A737</f>
        <v>0</v>
      </c>
      <c r="B737" s="11">
        <f>+'SERVICIO FAENA'!B737</f>
        <v>0</v>
      </c>
      <c r="C737" s="11"/>
      <c r="D737" s="11"/>
      <c r="E737" s="18">
        <f>+'SERVICIO FAENA'!E737</f>
        <v>0</v>
      </c>
      <c r="F737" s="11"/>
      <c r="G737" s="180" t="e">
        <f t="shared" si="59"/>
        <v>#DIV/0!</v>
      </c>
      <c r="H737" s="11"/>
      <c r="I737" s="11"/>
      <c r="J737" s="180" t="e">
        <f t="shared" si="55"/>
        <v>#DIV/0!</v>
      </c>
      <c r="K737" s="100"/>
      <c r="L737" s="100"/>
      <c r="M737" s="100"/>
      <c r="N737" s="100">
        <f t="shared" si="56"/>
        <v>0</v>
      </c>
      <c r="O737" s="100"/>
      <c r="P737" s="41">
        <v>880</v>
      </c>
      <c r="Q737" s="11"/>
      <c r="R737" s="41">
        <v>260</v>
      </c>
      <c r="S737" s="185"/>
      <c r="T737" s="185"/>
      <c r="U737" s="185"/>
      <c r="V737" s="185"/>
      <c r="W737" s="41">
        <f t="shared" si="57"/>
        <v>0</v>
      </c>
      <c r="X737" s="41">
        <f t="shared" si="58"/>
        <v>0</v>
      </c>
      <c r="Y737" s="11"/>
      <c r="Z737" s="11"/>
      <c r="AA737" s="11"/>
      <c r="AB737" s="11"/>
      <c r="AC737" s="24"/>
    </row>
    <row r="738" spans="1:29" x14ac:dyDescent="0.2">
      <c r="A738" s="11">
        <f>+'SERVICIO FAENA'!A738</f>
        <v>0</v>
      </c>
      <c r="B738" s="11">
        <f>+'SERVICIO FAENA'!B738</f>
        <v>0</v>
      </c>
      <c r="C738" s="11"/>
      <c r="D738" s="11"/>
      <c r="E738" s="18">
        <f>+'SERVICIO FAENA'!E738</f>
        <v>0</v>
      </c>
      <c r="F738" s="11"/>
      <c r="G738" s="180" t="e">
        <f t="shared" si="59"/>
        <v>#DIV/0!</v>
      </c>
      <c r="H738" s="11"/>
      <c r="I738" s="11"/>
      <c r="J738" s="180" t="e">
        <f t="shared" si="55"/>
        <v>#DIV/0!</v>
      </c>
      <c r="K738" s="100"/>
      <c r="L738" s="100"/>
      <c r="M738" s="100"/>
      <c r="N738" s="100">
        <f t="shared" si="56"/>
        <v>0</v>
      </c>
      <c r="O738" s="100"/>
      <c r="P738" s="41">
        <v>880</v>
      </c>
      <c r="Q738" s="11"/>
      <c r="R738" s="41">
        <v>260</v>
      </c>
      <c r="S738" s="185"/>
      <c r="T738" s="185"/>
      <c r="U738" s="185"/>
      <c r="V738" s="185"/>
      <c r="W738" s="41">
        <f t="shared" si="57"/>
        <v>0</v>
      </c>
      <c r="X738" s="41">
        <f t="shared" si="58"/>
        <v>0</v>
      </c>
      <c r="Y738" s="11"/>
      <c r="Z738" s="11"/>
      <c r="AA738" s="11"/>
      <c r="AB738" s="11"/>
      <c r="AC738" s="24"/>
    </row>
    <row r="739" spans="1:29" x14ac:dyDescent="0.2">
      <c r="A739" s="11">
        <f>+'SERVICIO FAENA'!A739</f>
        <v>0</v>
      </c>
      <c r="B739" s="11">
        <f>+'SERVICIO FAENA'!B739</f>
        <v>0</v>
      </c>
      <c r="C739" s="11"/>
      <c r="D739" s="11"/>
      <c r="E739" s="18">
        <f>+'SERVICIO FAENA'!E739</f>
        <v>0</v>
      </c>
      <c r="F739" s="11"/>
      <c r="G739" s="180" t="e">
        <f t="shared" si="59"/>
        <v>#DIV/0!</v>
      </c>
      <c r="H739" s="11"/>
      <c r="I739" s="11"/>
      <c r="J739" s="180" t="e">
        <f t="shared" si="55"/>
        <v>#DIV/0!</v>
      </c>
      <c r="K739" s="100"/>
      <c r="L739" s="100"/>
      <c r="M739" s="100"/>
      <c r="N739" s="100">
        <f t="shared" si="56"/>
        <v>0</v>
      </c>
      <c r="O739" s="100"/>
      <c r="P739" s="41">
        <v>880</v>
      </c>
      <c r="Q739" s="11"/>
      <c r="R739" s="41">
        <v>260</v>
      </c>
      <c r="S739" s="185"/>
      <c r="T739" s="185"/>
      <c r="U739" s="185"/>
      <c r="V739" s="185"/>
      <c r="W739" s="41">
        <f t="shared" si="57"/>
        <v>0</v>
      </c>
      <c r="X739" s="41">
        <f t="shared" si="58"/>
        <v>0</v>
      </c>
      <c r="Y739" s="11"/>
      <c r="Z739" s="11"/>
      <c r="AA739" s="11"/>
      <c r="AB739" s="11"/>
      <c r="AC739" s="24"/>
    </row>
    <row r="740" spans="1:29" x14ac:dyDescent="0.2">
      <c r="A740" s="11">
        <f>+'SERVICIO FAENA'!A740</f>
        <v>0</v>
      </c>
      <c r="B740" s="11">
        <f>+'SERVICIO FAENA'!B740</f>
        <v>0</v>
      </c>
      <c r="C740" s="11"/>
      <c r="D740" s="11"/>
      <c r="E740" s="18">
        <f>+'SERVICIO FAENA'!E740</f>
        <v>0</v>
      </c>
      <c r="F740" s="11"/>
      <c r="G740" s="180" t="e">
        <f t="shared" si="59"/>
        <v>#DIV/0!</v>
      </c>
      <c r="H740" s="11"/>
      <c r="I740" s="11"/>
      <c r="J740" s="180" t="e">
        <f t="shared" si="55"/>
        <v>#DIV/0!</v>
      </c>
      <c r="K740" s="100"/>
      <c r="L740" s="100"/>
      <c r="M740" s="100"/>
      <c r="N740" s="100">
        <f t="shared" si="56"/>
        <v>0</v>
      </c>
      <c r="O740" s="100"/>
      <c r="P740" s="41">
        <v>880</v>
      </c>
      <c r="Q740" s="11"/>
      <c r="R740" s="41">
        <v>260</v>
      </c>
      <c r="S740" s="185"/>
      <c r="T740" s="185"/>
      <c r="U740" s="185"/>
      <c r="V740" s="185"/>
      <c r="W740" s="41">
        <f t="shared" si="57"/>
        <v>0</v>
      </c>
      <c r="X740" s="41">
        <f t="shared" si="58"/>
        <v>0</v>
      </c>
      <c r="Y740" s="11"/>
      <c r="Z740" s="11"/>
      <c r="AA740" s="11"/>
      <c r="AB740" s="11"/>
      <c r="AC740" s="24"/>
    </row>
    <row r="741" spans="1:29" x14ac:dyDescent="0.2">
      <c r="A741" s="11">
        <f>+'SERVICIO FAENA'!A741</f>
        <v>0</v>
      </c>
      <c r="B741" s="11">
        <f>+'SERVICIO FAENA'!B741</f>
        <v>0</v>
      </c>
      <c r="C741" s="11"/>
      <c r="D741" s="11"/>
      <c r="E741" s="18">
        <f>+'SERVICIO FAENA'!E741</f>
        <v>0</v>
      </c>
      <c r="F741" s="11"/>
      <c r="G741" s="180" t="e">
        <f t="shared" si="59"/>
        <v>#DIV/0!</v>
      </c>
      <c r="H741" s="11"/>
      <c r="I741" s="11"/>
      <c r="J741" s="180" t="e">
        <f t="shared" si="55"/>
        <v>#DIV/0!</v>
      </c>
      <c r="K741" s="100"/>
      <c r="L741" s="100"/>
      <c r="M741" s="100"/>
      <c r="N741" s="100">
        <f t="shared" si="56"/>
        <v>0</v>
      </c>
      <c r="O741" s="100"/>
      <c r="P741" s="41">
        <v>880</v>
      </c>
      <c r="Q741" s="11"/>
      <c r="R741" s="41">
        <v>260</v>
      </c>
      <c r="S741" s="185"/>
      <c r="T741" s="185"/>
      <c r="U741" s="185"/>
      <c r="V741" s="185"/>
      <c r="W741" s="41">
        <f t="shared" si="57"/>
        <v>0</v>
      </c>
      <c r="X741" s="41">
        <f t="shared" si="58"/>
        <v>0</v>
      </c>
      <c r="Y741" s="11"/>
      <c r="Z741" s="11"/>
      <c r="AA741" s="11"/>
      <c r="AB741" s="11"/>
      <c r="AC741" s="24"/>
    </row>
    <row r="742" spans="1:29" x14ac:dyDescent="0.2">
      <c r="A742" s="11">
        <f>+'SERVICIO FAENA'!A742</f>
        <v>0</v>
      </c>
      <c r="B742" s="11">
        <f>+'SERVICIO FAENA'!B742</f>
        <v>0</v>
      </c>
      <c r="C742" s="11"/>
      <c r="D742" s="11"/>
      <c r="E742" s="18">
        <f>+'SERVICIO FAENA'!E742</f>
        <v>0</v>
      </c>
      <c r="F742" s="11"/>
      <c r="G742" s="180" t="e">
        <f t="shared" si="59"/>
        <v>#DIV/0!</v>
      </c>
      <c r="H742" s="11"/>
      <c r="I742" s="11"/>
      <c r="J742" s="180" t="e">
        <f t="shared" si="55"/>
        <v>#DIV/0!</v>
      </c>
      <c r="K742" s="100"/>
      <c r="L742" s="100"/>
      <c r="M742" s="100"/>
      <c r="N742" s="100">
        <f t="shared" si="56"/>
        <v>0</v>
      </c>
      <c r="O742" s="100"/>
      <c r="P742" s="41">
        <v>880</v>
      </c>
      <c r="Q742" s="11"/>
      <c r="R742" s="41">
        <v>260</v>
      </c>
      <c r="S742" s="185"/>
      <c r="T742" s="185"/>
      <c r="U742" s="185"/>
      <c r="V742" s="185"/>
      <c r="W742" s="41">
        <f t="shared" si="57"/>
        <v>0</v>
      </c>
      <c r="X742" s="41">
        <f t="shared" si="58"/>
        <v>0</v>
      </c>
      <c r="Y742" s="11"/>
      <c r="Z742" s="11"/>
      <c r="AA742" s="11"/>
      <c r="AB742" s="11"/>
      <c r="AC742" s="24"/>
    </row>
    <row r="743" spans="1:29" x14ac:dyDescent="0.2">
      <c r="A743" s="11">
        <f>+'SERVICIO FAENA'!A743</f>
        <v>0</v>
      </c>
      <c r="B743" s="11">
        <f>+'SERVICIO FAENA'!B743</f>
        <v>0</v>
      </c>
      <c r="C743" s="11"/>
      <c r="D743" s="11"/>
      <c r="E743" s="18">
        <f>+'SERVICIO FAENA'!E743</f>
        <v>0</v>
      </c>
      <c r="F743" s="11"/>
      <c r="G743" s="180" t="e">
        <f t="shared" si="59"/>
        <v>#DIV/0!</v>
      </c>
      <c r="H743" s="11"/>
      <c r="I743" s="11"/>
      <c r="J743" s="180" t="e">
        <f t="shared" si="55"/>
        <v>#DIV/0!</v>
      </c>
      <c r="K743" s="100"/>
      <c r="L743" s="100"/>
      <c r="M743" s="100"/>
      <c r="N743" s="100">
        <f t="shared" si="56"/>
        <v>0</v>
      </c>
      <c r="O743" s="100"/>
      <c r="P743" s="41">
        <v>880</v>
      </c>
      <c r="Q743" s="11"/>
      <c r="R743" s="41">
        <v>260</v>
      </c>
      <c r="S743" s="185"/>
      <c r="T743" s="185"/>
      <c r="U743" s="185"/>
      <c r="V743" s="185"/>
      <c r="W743" s="41">
        <f t="shared" si="57"/>
        <v>0</v>
      </c>
      <c r="X743" s="41">
        <f t="shared" si="58"/>
        <v>0</v>
      </c>
      <c r="Y743" s="11"/>
      <c r="Z743" s="11"/>
      <c r="AA743" s="11"/>
      <c r="AB743" s="11"/>
      <c r="AC743" s="24"/>
    </row>
    <row r="744" spans="1:29" x14ac:dyDescent="0.2">
      <c r="A744" s="11">
        <f>+'SERVICIO FAENA'!A744</f>
        <v>0</v>
      </c>
      <c r="B744" s="11">
        <f>+'SERVICIO FAENA'!B744</f>
        <v>0</v>
      </c>
      <c r="C744" s="11"/>
      <c r="D744" s="11"/>
      <c r="E744" s="18">
        <f>+'SERVICIO FAENA'!E744</f>
        <v>0</v>
      </c>
      <c r="F744" s="11"/>
      <c r="G744" s="180" t="e">
        <f t="shared" si="59"/>
        <v>#DIV/0!</v>
      </c>
      <c r="H744" s="11"/>
      <c r="I744" s="11"/>
      <c r="J744" s="180" t="e">
        <f t="shared" si="55"/>
        <v>#DIV/0!</v>
      </c>
      <c r="K744" s="100"/>
      <c r="L744" s="100"/>
      <c r="M744" s="100"/>
      <c r="N744" s="100">
        <f t="shared" si="56"/>
        <v>0</v>
      </c>
      <c r="O744" s="100"/>
      <c r="P744" s="41">
        <v>880</v>
      </c>
      <c r="Q744" s="11"/>
      <c r="R744" s="41">
        <v>260</v>
      </c>
      <c r="S744" s="185"/>
      <c r="T744" s="185"/>
      <c r="U744" s="185"/>
      <c r="V744" s="185"/>
      <c r="W744" s="41">
        <f t="shared" si="57"/>
        <v>0</v>
      </c>
      <c r="X744" s="41">
        <f t="shared" si="58"/>
        <v>0</v>
      </c>
      <c r="Y744" s="11"/>
      <c r="Z744" s="11"/>
      <c r="AA744" s="11"/>
      <c r="AB744" s="11"/>
      <c r="AC744" s="24"/>
    </row>
    <row r="745" spans="1:29" x14ac:dyDescent="0.2">
      <c r="A745" s="11">
        <f>+'SERVICIO FAENA'!A745</f>
        <v>0</v>
      </c>
      <c r="B745" s="11">
        <f>+'SERVICIO FAENA'!B745</f>
        <v>0</v>
      </c>
      <c r="C745" s="11"/>
      <c r="D745" s="11"/>
      <c r="E745" s="18">
        <f>+'SERVICIO FAENA'!E745</f>
        <v>0</v>
      </c>
      <c r="F745" s="11"/>
      <c r="G745" s="180" t="e">
        <f t="shared" si="59"/>
        <v>#DIV/0!</v>
      </c>
      <c r="H745" s="11"/>
      <c r="I745" s="11"/>
      <c r="J745" s="180" t="e">
        <f t="shared" si="55"/>
        <v>#DIV/0!</v>
      </c>
      <c r="K745" s="100"/>
      <c r="L745" s="100"/>
      <c r="M745" s="100"/>
      <c r="N745" s="100">
        <f t="shared" si="56"/>
        <v>0</v>
      </c>
      <c r="O745" s="100"/>
      <c r="P745" s="41">
        <v>880</v>
      </c>
      <c r="Q745" s="11"/>
      <c r="R745" s="41">
        <v>260</v>
      </c>
      <c r="S745" s="185"/>
      <c r="T745" s="185"/>
      <c r="U745" s="185"/>
      <c r="V745" s="185"/>
      <c r="W745" s="41">
        <f t="shared" si="57"/>
        <v>0</v>
      </c>
      <c r="X745" s="41">
        <f t="shared" si="58"/>
        <v>0</v>
      </c>
      <c r="Y745" s="11"/>
      <c r="Z745" s="11"/>
      <c r="AA745" s="11"/>
      <c r="AB745" s="11"/>
      <c r="AC745" s="24"/>
    </row>
    <row r="746" spans="1:29" x14ac:dyDescent="0.2">
      <c r="A746" s="11">
        <f>+'SERVICIO FAENA'!A746</f>
        <v>0</v>
      </c>
      <c r="B746" s="11">
        <f>+'SERVICIO FAENA'!B746</f>
        <v>0</v>
      </c>
      <c r="C746" s="11"/>
      <c r="D746" s="11"/>
      <c r="E746" s="18">
        <f>+'SERVICIO FAENA'!E746</f>
        <v>0</v>
      </c>
      <c r="F746" s="11"/>
      <c r="G746" s="180" t="e">
        <f t="shared" si="59"/>
        <v>#DIV/0!</v>
      </c>
      <c r="H746" s="11"/>
      <c r="I746" s="11"/>
      <c r="J746" s="180" t="e">
        <f t="shared" ref="J746:J809" si="60">+((F746-(H746+I746))/F746)</f>
        <v>#DIV/0!</v>
      </c>
      <c r="K746" s="100"/>
      <c r="L746" s="100"/>
      <c r="M746" s="100"/>
      <c r="N746" s="100">
        <f t="shared" ref="N746:N809" si="61">SUM(K746:M746)</f>
        <v>0</v>
      </c>
      <c r="O746" s="100"/>
      <c r="P746" s="41">
        <v>880</v>
      </c>
      <c r="Q746" s="11"/>
      <c r="R746" s="41">
        <v>260</v>
      </c>
      <c r="S746" s="185"/>
      <c r="T746" s="185"/>
      <c r="U746" s="185"/>
      <c r="V746" s="185"/>
      <c r="W746" s="41">
        <f t="shared" ref="W746:W809" si="62">+(P746*O746)+(R746*Q746)</f>
        <v>0</v>
      </c>
      <c r="X746" s="41">
        <f t="shared" si="58"/>
        <v>0</v>
      </c>
      <c r="Y746" s="11"/>
      <c r="Z746" s="11"/>
      <c r="AA746" s="11"/>
      <c r="AB746" s="11"/>
      <c r="AC746" s="24"/>
    </row>
    <row r="747" spans="1:29" x14ac:dyDescent="0.2">
      <c r="A747" s="11">
        <f>+'SERVICIO FAENA'!A747</f>
        <v>0</v>
      </c>
      <c r="B747" s="11">
        <f>+'SERVICIO FAENA'!B747</f>
        <v>0</v>
      </c>
      <c r="C747" s="11"/>
      <c r="D747" s="11"/>
      <c r="E747" s="18">
        <f>+'SERVICIO FAENA'!E747</f>
        <v>0</v>
      </c>
      <c r="F747" s="11"/>
      <c r="G747" s="180" t="e">
        <f t="shared" si="59"/>
        <v>#DIV/0!</v>
      </c>
      <c r="H747" s="11"/>
      <c r="I747" s="11"/>
      <c r="J747" s="180" t="e">
        <f t="shared" si="60"/>
        <v>#DIV/0!</v>
      </c>
      <c r="K747" s="100"/>
      <c r="L747" s="100"/>
      <c r="M747" s="100"/>
      <c r="N747" s="100">
        <f t="shared" si="61"/>
        <v>0</v>
      </c>
      <c r="O747" s="100"/>
      <c r="P747" s="41">
        <v>880</v>
      </c>
      <c r="Q747" s="11"/>
      <c r="R747" s="41">
        <v>260</v>
      </c>
      <c r="S747" s="185"/>
      <c r="T747" s="185"/>
      <c r="U747" s="185"/>
      <c r="V747" s="185"/>
      <c r="W747" s="41">
        <f t="shared" si="62"/>
        <v>0</v>
      </c>
      <c r="X747" s="41">
        <f t="shared" si="58"/>
        <v>0</v>
      </c>
      <c r="Y747" s="11"/>
      <c r="Z747" s="11"/>
      <c r="AA747" s="11"/>
      <c r="AB747" s="11"/>
      <c r="AC747" s="24"/>
    </row>
    <row r="748" spans="1:29" x14ac:dyDescent="0.2">
      <c r="A748" s="11">
        <f>+'SERVICIO FAENA'!A748</f>
        <v>0</v>
      </c>
      <c r="B748" s="11">
        <f>+'SERVICIO FAENA'!B748</f>
        <v>0</v>
      </c>
      <c r="C748" s="11"/>
      <c r="D748" s="11"/>
      <c r="E748" s="18">
        <f>+'SERVICIO FAENA'!E748</f>
        <v>0</v>
      </c>
      <c r="F748" s="11"/>
      <c r="G748" s="180" t="e">
        <f t="shared" si="59"/>
        <v>#DIV/0!</v>
      </c>
      <c r="H748" s="11"/>
      <c r="I748" s="11"/>
      <c r="J748" s="180" t="e">
        <f t="shared" si="60"/>
        <v>#DIV/0!</v>
      </c>
      <c r="K748" s="100"/>
      <c r="L748" s="100"/>
      <c r="M748" s="100"/>
      <c r="N748" s="100">
        <f t="shared" si="61"/>
        <v>0</v>
      </c>
      <c r="O748" s="100"/>
      <c r="P748" s="41">
        <v>880</v>
      </c>
      <c r="Q748" s="11"/>
      <c r="R748" s="41">
        <v>260</v>
      </c>
      <c r="S748" s="185"/>
      <c r="T748" s="185"/>
      <c r="U748" s="185"/>
      <c r="V748" s="185"/>
      <c r="W748" s="41">
        <f t="shared" si="62"/>
        <v>0</v>
      </c>
      <c r="X748" s="41">
        <f t="shared" si="58"/>
        <v>0</v>
      </c>
      <c r="Y748" s="11"/>
      <c r="Z748" s="11"/>
      <c r="AA748" s="11"/>
      <c r="AB748" s="11"/>
      <c r="AC748" s="24"/>
    </row>
    <row r="749" spans="1:29" x14ac:dyDescent="0.2">
      <c r="A749" s="11">
        <f>+'SERVICIO FAENA'!A749</f>
        <v>0</v>
      </c>
      <c r="B749" s="11">
        <f>+'SERVICIO FAENA'!B749</f>
        <v>0</v>
      </c>
      <c r="C749" s="11"/>
      <c r="D749" s="11"/>
      <c r="E749" s="18">
        <f>+'SERVICIO FAENA'!E749</f>
        <v>0</v>
      </c>
      <c r="F749" s="11"/>
      <c r="G749" s="180" t="e">
        <f t="shared" si="59"/>
        <v>#DIV/0!</v>
      </c>
      <c r="H749" s="11"/>
      <c r="I749" s="11"/>
      <c r="J749" s="180" t="e">
        <f t="shared" si="60"/>
        <v>#DIV/0!</v>
      </c>
      <c r="K749" s="100"/>
      <c r="L749" s="100"/>
      <c r="M749" s="100"/>
      <c r="N749" s="100">
        <f t="shared" si="61"/>
        <v>0</v>
      </c>
      <c r="O749" s="100"/>
      <c r="P749" s="41">
        <v>880</v>
      </c>
      <c r="Q749" s="11"/>
      <c r="R749" s="41">
        <v>260</v>
      </c>
      <c r="S749" s="185"/>
      <c r="T749" s="185"/>
      <c r="U749" s="185"/>
      <c r="V749" s="185"/>
      <c r="W749" s="41">
        <f t="shared" si="62"/>
        <v>0</v>
      </c>
      <c r="X749" s="41">
        <f t="shared" si="58"/>
        <v>0</v>
      </c>
      <c r="Y749" s="11"/>
      <c r="Z749" s="11"/>
      <c r="AA749" s="11"/>
      <c r="AB749" s="11"/>
      <c r="AC749" s="24"/>
    </row>
    <row r="750" spans="1:29" x14ac:dyDescent="0.2">
      <c r="A750" s="11">
        <f>+'SERVICIO FAENA'!A750</f>
        <v>0</v>
      </c>
      <c r="B750" s="11">
        <f>+'SERVICIO FAENA'!B750</f>
        <v>0</v>
      </c>
      <c r="C750" s="11"/>
      <c r="D750" s="11"/>
      <c r="E750" s="18">
        <f>+'SERVICIO FAENA'!E750</f>
        <v>0</v>
      </c>
      <c r="F750" s="11"/>
      <c r="G750" s="180" t="e">
        <f t="shared" si="59"/>
        <v>#DIV/0!</v>
      </c>
      <c r="H750" s="11"/>
      <c r="I750" s="11"/>
      <c r="J750" s="180" t="e">
        <f t="shared" si="60"/>
        <v>#DIV/0!</v>
      </c>
      <c r="K750" s="100"/>
      <c r="L750" s="100"/>
      <c r="M750" s="100"/>
      <c r="N750" s="100">
        <f t="shared" si="61"/>
        <v>0</v>
      </c>
      <c r="O750" s="100"/>
      <c r="P750" s="41">
        <v>880</v>
      </c>
      <c r="Q750" s="11"/>
      <c r="R750" s="41">
        <v>260</v>
      </c>
      <c r="S750" s="185"/>
      <c r="T750" s="185"/>
      <c r="U750" s="185"/>
      <c r="V750" s="185"/>
      <c r="W750" s="41">
        <f t="shared" si="62"/>
        <v>0</v>
      </c>
      <c r="X750" s="41">
        <f t="shared" si="58"/>
        <v>0</v>
      </c>
      <c r="Y750" s="11"/>
      <c r="Z750" s="11"/>
      <c r="AA750" s="11"/>
      <c r="AB750" s="11"/>
      <c r="AC750" s="24"/>
    </row>
    <row r="751" spans="1:29" x14ac:dyDescent="0.2">
      <c r="A751" s="11">
        <f>+'SERVICIO FAENA'!A751</f>
        <v>0</v>
      </c>
      <c r="B751" s="11">
        <f>+'SERVICIO FAENA'!B751</f>
        <v>0</v>
      </c>
      <c r="C751" s="11"/>
      <c r="D751" s="11"/>
      <c r="E751" s="18">
        <f>+'SERVICIO FAENA'!E751</f>
        <v>0</v>
      </c>
      <c r="F751" s="11"/>
      <c r="G751" s="180" t="e">
        <f t="shared" si="59"/>
        <v>#DIV/0!</v>
      </c>
      <c r="H751" s="11"/>
      <c r="I751" s="11"/>
      <c r="J751" s="180" t="e">
        <f t="shared" si="60"/>
        <v>#DIV/0!</v>
      </c>
      <c r="K751" s="100"/>
      <c r="L751" s="100"/>
      <c r="M751" s="100"/>
      <c r="N751" s="100">
        <f t="shared" si="61"/>
        <v>0</v>
      </c>
      <c r="O751" s="100"/>
      <c r="P751" s="41">
        <v>880</v>
      </c>
      <c r="Q751" s="11"/>
      <c r="R751" s="41">
        <v>260</v>
      </c>
      <c r="S751" s="185"/>
      <c r="T751" s="185"/>
      <c r="U751" s="185"/>
      <c r="V751" s="185"/>
      <c r="W751" s="41">
        <f t="shared" si="62"/>
        <v>0</v>
      </c>
      <c r="X751" s="41">
        <f t="shared" si="58"/>
        <v>0</v>
      </c>
      <c r="Y751" s="11"/>
      <c r="Z751" s="11"/>
      <c r="AA751" s="11"/>
      <c r="AB751" s="11"/>
      <c r="AC751" s="24"/>
    </row>
    <row r="752" spans="1:29" x14ac:dyDescent="0.2">
      <c r="A752" s="11">
        <f>+'SERVICIO FAENA'!A752</f>
        <v>0</v>
      </c>
      <c r="B752" s="11">
        <f>+'SERVICIO FAENA'!B752</f>
        <v>0</v>
      </c>
      <c r="C752" s="11"/>
      <c r="D752" s="11"/>
      <c r="E752" s="18">
        <f>+'SERVICIO FAENA'!E752</f>
        <v>0</v>
      </c>
      <c r="F752" s="11"/>
      <c r="G752" s="180" t="e">
        <f t="shared" si="59"/>
        <v>#DIV/0!</v>
      </c>
      <c r="H752" s="11"/>
      <c r="I752" s="11"/>
      <c r="J752" s="180" t="e">
        <f t="shared" si="60"/>
        <v>#DIV/0!</v>
      </c>
      <c r="K752" s="100"/>
      <c r="L752" s="100"/>
      <c r="M752" s="100"/>
      <c r="N752" s="100">
        <f t="shared" si="61"/>
        <v>0</v>
      </c>
      <c r="O752" s="100"/>
      <c r="P752" s="41">
        <v>880</v>
      </c>
      <c r="Q752" s="11"/>
      <c r="R752" s="41">
        <v>260</v>
      </c>
      <c r="S752" s="185"/>
      <c r="T752" s="185"/>
      <c r="U752" s="185"/>
      <c r="V752" s="185"/>
      <c r="W752" s="41">
        <f t="shared" si="62"/>
        <v>0</v>
      </c>
      <c r="X752" s="41">
        <f t="shared" si="58"/>
        <v>0</v>
      </c>
      <c r="Y752" s="11"/>
      <c r="Z752" s="11"/>
      <c r="AA752" s="11"/>
      <c r="AB752" s="11"/>
      <c r="AC752" s="24"/>
    </row>
    <row r="753" spans="1:29" x14ac:dyDescent="0.2">
      <c r="A753" s="11">
        <f>+'SERVICIO FAENA'!A753</f>
        <v>0</v>
      </c>
      <c r="B753" s="11">
        <f>+'SERVICIO FAENA'!B753</f>
        <v>0</v>
      </c>
      <c r="C753" s="11"/>
      <c r="D753" s="11"/>
      <c r="E753" s="18">
        <f>+'SERVICIO FAENA'!E753</f>
        <v>0</v>
      </c>
      <c r="F753" s="11"/>
      <c r="G753" s="180" t="e">
        <f t="shared" si="59"/>
        <v>#DIV/0!</v>
      </c>
      <c r="H753" s="11"/>
      <c r="I753" s="11"/>
      <c r="J753" s="180" t="e">
        <f t="shared" si="60"/>
        <v>#DIV/0!</v>
      </c>
      <c r="K753" s="100"/>
      <c r="L753" s="100"/>
      <c r="M753" s="100"/>
      <c r="N753" s="100">
        <f t="shared" si="61"/>
        <v>0</v>
      </c>
      <c r="O753" s="100"/>
      <c r="P753" s="41">
        <v>880</v>
      </c>
      <c r="Q753" s="11"/>
      <c r="R753" s="41">
        <v>260</v>
      </c>
      <c r="S753" s="185"/>
      <c r="T753" s="185"/>
      <c r="U753" s="185"/>
      <c r="V753" s="185"/>
      <c r="W753" s="41">
        <f t="shared" si="62"/>
        <v>0</v>
      </c>
      <c r="X753" s="41">
        <f t="shared" si="58"/>
        <v>0</v>
      </c>
      <c r="Y753" s="11"/>
      <c r="Z753" s="11"/>
      <c r="AA753" s="11"/>
      <c r="AB753" s="11"/>
      <c r="AC753" s="24"/>
    </row>
    <row r="754" spans="1:29" x14ac:dyDescent="0.2">
      <c r="A754" s="11">
        <f>+'SERVICIO FAENA'!A754</f>
        <v>0</v>
      </c>
      <c r="B754" s="11">
        <f>+'SERVICIO FAENA'!B754</f>
        <v>0</v>
      </c>
      <c r="C754" s="11"/>
      <c r="D754" s="11"/>
      <c r="E754" s="18">
        <f>+'SERVICIO FAENA'!E754</f>
        <v>0</v>
      </c>
      <c r="F754" s="11"/>
      <c r="G754" s="180" t="e">
        <f t="shared" si="59"/>
        <v>#DIV/0!</v>
      </c>
      <c r="H754" s="11"/>
      <c r="I754" s="11"/>
      <c r="J754" s="180" t="e">
        <f t="shared" si="60"/>
        <v>#DIV/0!</v>
      </c>
      <c r="K754" s="100"/>
      <c r="L754" s="100"/>
      <c r="M754" s="100"/>
      <c r="N754" s="100">
        <f t="shared" si="61"/>
        <v>0</v>
      </c>
      <c r="O754" s="100"/>
      <c r="P754" s="41">
        <v>880</v>
      </c>
      <c r="Q754" s="11"/>
      <c r="R754" s="41">
        <v>260</v>
      </c>
      <c r="S754" s="185"/>
      <c r="T754" s="185"/>
      <c r="U754" s="185"/>
      <c r="V754" s="185"/>
      <c r="W754" s="41">
        <f t="shared" si="62"/>
        <v>0</v>
      </c>
      <c r="X754" s="41">
        <f t="shared" si="58"/>
        <v>0</v>
      </c>
      <c r="Y754" s="11"/>
      <c r="Z754" s="11"/>
      <c r="AA754" s="11"/>
      <c r="AB754" s="11"/>
      <c r="AC754" s="24"/>
    </row>
    <row r="755" spans="1:29" x14ac:dyDescent="0.2">
      <c r="A755" s="11">
        <f>+'SERVICIO FAENA'!A755</f>
        <v>0</v>
      </c>
      <c r="B755" s="11">
        <f>+'SERVICIO FAENA'!B755</f>
        <v>0</v>
      </c>
      <c r="C755" s="11"/>
      <c r="D755" s="11"/>
      <c r="E755" s="18">
        <f>+'SERVICIO FAENA'!E755</f>
        <v>0</v>
      </c>
      <c r="F755" s="11"/>
      <c r="G755" s="180" t="e">
        <f t="shared" si="59"/>
        <v>#DIV/0!</v>
      </c>
      <c r="H755" s="11"/>
      <c r="I755" s="11"/>
      <c r="J755" s="180" t="e">
        <f t="shared" si="60"/>
        <v>#DIV/0!</v>
      </c>
      <c r="K755" s="100"/>
      <c r="L755" s="100"/>
      <c r="M755" s="100"/>
      <c r="N755" s="100">
        <f t="shared" si="61"/>
        <v>0</v>
      </c>
      <c r="O755" s="100"/>
      <c r="P755" s="41">
        <v>880</v>
      </c>
      <c r="Q755" s="11"/>
      <c r="R755" s="41">
        <v>260</v>
      </c>
      <c r="S755" s="185"/>
      <c r="T755" s="185"/>
      <c r="U755" s="185"/>
      <c r="V755" s="185"/>
      <c r="W755" s="41">
        <f t="shared" si="62"/>
        <v>0</v>
      </c>
      <c r="X755" s="41">
        <f t="shared" si="58"/>
        <v>0</v>
      </c>
      <c r="Y755" s="11"/>
      <c r="Z755" s="11"/>
      <c r="AA755" s="11"/>
      <c r="AB755" s="11"/>
      <c r="AC755" s="24"/>
    </row>
    <row r="756" spans="1:29" x14ac:dyDescent="0.2">
      <c r="A756" s="11">
        <f>+'SERVICIO FAENA'!A756</f>
        <v>0</v>
      </c>
      <c r="B756" s="11">
        <f>+'SERVICIO FAENA'!B756</f>
        <v>0</v>
      </c>
      <c r="C756" s="11"/>
      <c r="D756" s="11"/>
      <c r="E756" s="18">
        <f>+'SERVICIO FAENA'!E756</f>
        <v>0</v>
      </c>
      <c r="F756" s="11"/>
      <c r="G756" s="180" t="e">
        <f t="shared" si="59"/>
        <v>#DIV/0!</v>
      </c>
      <c r="H756" s="11"/>
      <c r="I756" s="11"/>
      <c r="J756" s="180" t="e">
        <f t="shared" si="60"/>
        <v>#DIV/0!</v>
      </c>
      <c r="K756" s="100"/>
      <c r="L756" s="100"/>
      <c r="M756" s="100"/>
      <c r="N756" s="100">
        <f t="shared" si="61"/>
        <v>0</v>
      </c>
      <c r="O756" s="100"/>
      <c r="P756" s="41">
        <v>880</v>
      </c>
      <c r="Q756" s="11"/>
      <c r="R756" s="41">
        <v>260</v>
      </c>
      <c r="S756" s="185"/>
      <c r="T756" s="185"/>
      <c r="U756" s="185"/>
      <c r="V756" s="185"/>
      <c r="W756" s="41">
        <f t="shared" si="62"/>
        <v>0</v>
      </c>
      <c r="X756" s="41">
        <f t="shared" si="58"/>
        <v>0</v>
      </c>
      <c r="Y756" s="11"/>
      <c r="Z756" s="11"/>
      <c r="AA756" s="11"/>
      <c r="AB756" s="11"/>
      <c r="AC756" s="24"/>
    </row>
    <row r="757" spans="1:29" x14ac:dyDescent="0.2">
      <c r="A757" s="11">
        <f>+'SERVICIO FAENA'!A757</f>
        <v>0</v>
      </c>
      <c r="B757" s="11">
        <f>+'SERVICIO FAENA'!B757</f>
        <v>0</v>
      </c>
      <c r="C757" s="11"/>
      <c r="D757" s="11"/>
      <c r="E757" s="18">
        <f>+'SERVICIO FAENA'!E757</f>
        <v>0</v>
      </c>
      <c r="F757" s="11"/>
      <c r="G757" s="180" t="e">
        <f t="shared" si="59"/>
        <v>#DIV/0!</v>
      </c>
      <c r="H757" s="11"/>
      <c r="I757" s="11"/>
      <c r="J757" s="180" t="e">
        <f t="shared" si="60"/>
        <v>#DIV/0!</v>
      </c>
      <c r="K757" s="100"/>
      <c r="L757" s="100"/>
      <c r="M757" s="100"/>
      <c r="N757" s="100">
        <f t="shared" si="61"/>
        <v>0</v>
      </c>
      <c r="O757" s="100"/>
      <c r="P757" s="41">
        <v>880</v>
      </c>
      <c r="Q757" s="11"/>
      <c r="R757" s="41">
        <v>260</v>
      </c>
      <c r="S757" s="185"/>
      <c r="T757" s="185"/>
      <c r="U757" s="185"/>
      <c r="V757" s="185"/>
      <c r="W757" s="41">
        <f t="shared" si="62"/>
        <v>0</v>
      </c>
      <c r="X757" s="41">
        <f t="shared" si="58"/>
        <v>0</v>
      </c>
      <c r="Y757" s="11"/>
      <c r="Z757" s="11"/>
      <c r="AA757" s="11"/>
      <c r="AB757" s="11"/>
      <c r="AC757" s="24"/>
    </row>
    <row r="758" spans="1:29" x14ac:dyDescent="0.2">
      <c r="A758" s="11">
        <f>+'SERVICIO FAENA'!A758</f>
        <v>0</v>
      </c>
      <c r="B758" s="11">
        <f>+'SERVICIO FAENA'!B758</f>
        <v>0</v>
      </c>
      <c r="C758" s="11"/>
      <c r="D758" s="11"/>
      <c r="E758" s="18">
        <f>+'SERVICIO FAENA'!E758</f>
        <v>0</v>
      </c>
      <c r="F758" s="11"/>
      <c r="G758" s="180" t="e">
        <f t="shared" si="59"/>
        <v>#DIV/0!</v>
      </c>
      <c r="H758" s="11"/>
      <c r="I758" s="11"/>
      <c r="J758" s="180" t="e">
        <f t="shared" si="60"/>
        <v>#DIV/0!</v>
      </c>
      <c r="K758" s="100"/>
      <c r="L758" s="100"/>
      <c r="M758" s="100"/>
      <c r="N758" s="100">
        <f t="shared" si="61"/>
        <v>0</v>
      </c>
      <c r="O758" s="100"/>
      <c r="P758" s="41">
        <v>880</v>
      </c>
      <c r="Q758" s="11"/>
      <c r="R758" s="41">
        <v>260</v>
      </c>
      <c r="S758" s="185"/>
      <c r="T758" s="185"/>
      <c r="U758" s="185"/>
      <c r="V758" s="185"/>
      <c r="W758" s="41">
        <f t="shared" si="62"/>
        <v>0</v>
      </c>
      <c r="X758" s="41">
        <f t="shared" si="58"/>
        <v>0</v>
      </c>
      <c r="Y758" s="11"/>
      <c r="Z758" s="11"/>
      <c r="AA758" s="11"/>
      <c r="AB758" s="11"/>
      <c r="AC758" s="24"/>
    </row>
    <row r="759" spans="1:29" x14ac:dyDescent="0.2">
      <c r="A759" s="11">
        <f>+'SERVICIO FAENA'!A759</f>
        <v>0</v>
      </c>
      <c r="B759" s="11">
        <f>+'SERVICIO FAENA'!B759</f>
        <v>0</v>
      </c>
      <c r="C759" s="11"/>
      <c r="D759" s="11"/>
      <c r="E759" s="18">
        <f>+'SERVICIO FAENA'!E759</f>
        <v>0</v>
      </c>
      <c r="F759" s="11"/>
      <c r="G759" s="180" t="e">
        <f t="shared" si="59"/>
        <v>#DIV/0!</v>
      </c>
      <c r="H759" s="11"/>
      <c r="I759" s="11"/>
      <c r="J759" s="180" t="e">
        <f t="shared" si="60"/>
        <v>#DIV/0!</v>
      </c>
      <c r="K759" s="100"/>
      <c r="L759" s="100"/>
      <c r="M759" s="100"/>
      <c r="N759" s="100">
        <f t="shared" si="61"/>
        <v>0</v>
      </c>
      <c r="O759" s="100"/>
      <c r="P759" s="41">
        <v>880</v>
      </c>
      <c r="Q759" s="11"/>
      <c r="R759" s="41">
        <v>260</v>
      </c>
      <c r="S759" s="185"/>
      <c r="T759" s="185"/>
      <c r="U759" s="185"/>
      <c r="V759" s="185"/>
      <c r="W759" s="41">
        <f t="shared" si="62"/>
        <v>0</v>
      </c>
      <c r="X759" s="41">
        <f t="shared" si="58"/>
        <v>0</v>
      </c>
      <c r="Y759" s="11"/>
      <c r="Z759" s="11"/>
      <c r="AA759" s="11"/>
      <c r="AB759" s="11"/>
      <c r="AC759" s="24"/>
    </row>
    <row r="760" spans="1:29" x14ac:dyDescent="0.2">
      <c r="A760" s="11">
        <f>+'SERVICIO FAENA'!A760</f>
        <v>0</v>
      </c>
      <c r="B760" s="11">
        <f>+'SERVICIO FAENA'!B760</f>
        <v>0</v>
      </c>
      <c r="C760" s="11"/>
      <c r="D760" s="11"/>
      <c r="E760" s="18">
        <f>+'SERVICIO FAENA'!E760</f>
        <v>0</v>
      </c>
      <c r="F760" s="11"/>
      <c r="G760" s="180" t="e">
        <f t="shared" si="59"/>
        <v>#DIV/0!</v>
      </c>
      <c r="H760" s="11"/>
      <c r="I760" s="11"/>
      <c r="J760" s="180" t="e">
        <f t="shared" si="60"/>
        <v>#DIV/0!</v>
      </c>
      <c r="K760" s="100"/>
      <c r="L760" s="100"/>
      <c r="M760" s="100"/>
      <c r="N760" s="100">
        <f t="shared" si="61"/>
        <v>0</v>
      </c>
      <c r="O760" s="100"/>
      <c r="P760" s="41">
        <v>880</v>
      </c>
      <c r="Q760" s="11"/>
      <c r="R760" s="41">
        <v>260</v>
      </c>
      <c r="S760" s="185"/>
      <c r="T760" s="185"/>
      <c r="U760" s="185"/>
      <c r="V760" s="185"/>
      <c r="W760" s="41">
        <f t="shared" si="62"/>
        <v>0</v>
      </c>
      <c r="X760" s="41">
        <f t="shared" si="58"/>
        <v>0</v>
      </c>
      <c r="Y760" s="11"/>
      <c r="Z760" s="11"/>
      <c r="AA760" s="11"/>
      <c r="AB760" s="11"/>
      <c r="AC760" s="24"/>
    </row>
    <row r="761" spans="1:29" x14ac:dyDescent="0.2">
      <c r="A761" s="11">
        <f>+'SERVICIO FAENA'!A761</f>
        <v>0</v>
      </c>
      <c r="B761" s="11">
        <f>+'SERVICIO FAENA'!B761</f>
        <v>0</v>
      </c>
      <c r="C761" s="11"/>
      <c r="D761" s="11"/>
      <c r="E761" s="18">
        <f>+'SERVICIO FAENA'!E761</f>
        <v>0</v>
      </c>
      <c r="F761" s="11"/>
      <c r="G761" s="180" t="e">
        <f t="shared" si="59"/>
        <v>#DIV/0!</v>
      </c>
      <c r="H761" s="11"/>
      <c r="I761" s="11"/>
      <c r="J761" s="180" t="e">
        <f t="shared" si="60"/>
        <v>#DIV/0!</v>
      </c>
      <c r="K761" s="100"/>
      <c r="L761" s="100"/>
      <c r="M761" s="100"/>
      <c r="N761" s="100">
        <f t="shared" si="61"/>
        <v>0</v>
      </c>
      <c r="O761" s="100"/>
      <c r="P761" s="41">
        <v>880</v>
      </c>
      <c r="Q761" s="11"/>
      <c r="R761" s="41">
        <v>260</v>
      </c>
      <c r="S761" s="185"/>
      <c r="T761" s="185"/>
      <c r="U761" s="185"/>
      <c r="V761" s="185"/>
      <c r="W761" s="41">
        <f t="shared" si="62"/>
        <v>0</v>
      </c>
      <c r="X761" s="41">
        <f t="shared" si="58"/>
        <v>0</v>
      </c>
      <c r="Y761" s="11"/>
      <c r="Z761" s="11"/>
      <c r="AA761" s="11"/>
      <c r="AB761" s="11"/>
      <c r="AC761" s="24"/>
    </row>
    <row r="762" spans="1:29" x14ac:dyDescent="0.2">
      <c r="A762" s="11">
        <f>+'SERVICIO FAENA'!A762</f>
        <v>0</v>
      </c>
      <c r="B762" s="11">
        <f>+'SERVICIO FAENA'!B762</f>
        <v>0</v>
      </c>
      <c r="C762" s="11"/>
      <c r="D762" s="11"/>
      <c r="E762" s="18">
        <f>+'SERVICIO FAENA'!E762</f>
        <v>0</v>
      </c>
      <c r="F762" s="11"/>
      <c r="G762" s="180" t="e">
        <f t="shared" si="59"/>
        <v>#DIV/0!</v>
      </c>
      <c r="H762" s="11"/>
      <c r="I762" s="11"/>
      <c r="J762" s="180" t="e">
        <f t="shared" si="60"/>
        <v>#DIV/0!</v>
      </c>
      <c r="K762" s="100"/>
      <c r="L762" s="100"/>
      <c r="M762" s="100"/>
      <c r="N762" s="100">
        <f t="shared" si="61"/>
        <v>0</v>
      </c>
      <c r="O762" s="100"/>
      <c r="P762" s="41">
        <v>880</v>
      </c>
      <c r="Q762" s="11"/>
      <c r="R762" s="41">
        <v>260</v>
      </c>
      <c r="S762" s="185"/>
      <c r="T762" s="185"/>
      <c r="U762" s="185"/>
      <c r="V762" s="185"/>
      <c r="W762" s="41">
        <f t="shared" si="62"/>
        <v>0</v>
      </c>
      <c r="X762" s="41">
        <f t="shared" si="58"/>
        <v>0</v>
      </c>
      <c r="Y762" s="11"/>
      <c r="Z762" s="11"/>
      <c r="AA762" s="11"/>
      <c r="AB762" s="11"/>
      <c r="AC762" s="24"/>
    </row>
    <row r="763" spans="1:29" x14ac:dyDescent="0.2">
      <c r="A763" s="11">
        <f>+'SERVICIO FAENA'!A763</f>
        <v>0</v>
      </c>
      <c r="B763" s="11">
        <f>+'SERVICIO FAENA'!B763</f>
        <v>0</v>
      </c>
      <c r="C763" s="11"/>
      <c r="D763" s="11"/>
      <c r="E763" s="18">
        <f>+'SERVICIO FAENA'!E763</f>
        <v>0</v>
      </c>
      <c r="F763" s="11"/>
      <c r="G763" s="180" t="e">
        <f t="shared" si="59"/>
        <v>#DIV/0!</v>
      </c>
      <c r="H763" s="11"/>
      <c r="I763" s="11"/>
      <c r="J763" s="180" t="e">
        <f t="shared" si="60"/>
        <v>#DIV/0!</v>
      </c>
      <c r="K763" s="100"/>
      <c r="L763" s="100"/>
      <c r="M763" s="100"/>
      <c r="N763" s="100">
        <f t="shared" si="61"/>
        <v>0</v>
      </c>
      <c r="O763" s="100"/>
      <c r="P763" s="41">
        <v>880</v>
      </c>
      <c r="Q763" s="11"/>
      <c r="R763" s="41">
        <v>260</v>
      </c>
      <c r="S763" s="185"/>
      <c r="T763" s="185"/>
      <c r="U763" s="185"/>
      <c r="V763" s="185"/>
      <c r="W763" s="41">
        <f t="shared" si="62"/>
        <v>0</v>
      </c>
      <c r="X763" s="41">
        <f t="shared" si="58"/>
        <v>0</v>
      </c>
      <c r="Y763" s="11"/>
      <c r="Z763" s="11"/>
      <c r="AA763" s="11"/>
      <c r="AB763" s="11"/>
      <c r="AC763" s="24"/>
    </row>
    <row r="764" spans="1:29" x14ac:dyDescent="0.2">
      <c r="A764" s="11">
        <f>+'SERVICIO FAENA'!A764</f>
        <v>0</v>
      </c>
      <c r="B764" s="11">
        <f>+'SERVICIO FAENA'!B764</f>
        <v>0</v>
      </c>
      <c r="C764" s="11"/>
      <c r="D764" s="11"/>
      <c r="E764" s="18">
        <f>+'SERVICIO FAENA'!E764</f>
        <v>0</v>
      </c>
      <c r="F764" s="11"/>
      <c r="G764" s="180" t="e">
        <f t="shared" si="59"/>
        <v>#DIV/0!</v>
      </c>
      <c r="H764" s="11"/>
      <c r="I764" s="11"/>
      <c r="J764" s="180" t="e">
        <f t="shared" si="60"/>
        <v>#DIV/0!</v>
      </c>
      <c r="K764" s="100"/>
      <c r="L764" s="100"/>
      <c r="M764" s="100"/>
      <c r="N764" s="100">
        <f t="shared" si="61"/>
        <v>0</v>
      </c>
      <c r="O764" s="100"/>
      <c r="P764" s="41">
        <v>880</v>
      </c>
      <c r="Q764" s="11"/>
      <c r="R764" s="41">
        <v>260</v>
      </c>
      <c r="S764" s="185"/>
      <c r="T764" s="185"/>
      <c r="U764" s="185"/>
      <c r="V764" s="185"/>
      <c r="W764" s="41">
        <f t="shared" si="62"/>
        <v>0</v>
      </c>
      <c r="X764" s="41">
        <f t="shared" si="58"/>
        <v>0</v>
      </c>
      <c r="Y764" s="11"/>
      <c r="Z764" s="11"/>
      <c r="AA764" s="11"/>
      <c r="AB764" s="11"/>
      <c r="AC764" s="24"/>
    </row>
    <row r="765" spans="1:29" x14ac:dyDescent="0.2">
      <c r="A765" s="11">
        <f>+'SERVICIO FAENA'!A765</f>
        <v>0</v>
      </c>
      <c r="B765" s="11">
        <f>+'SERVICIO FAENA'!B765</f>
        <v>0</v>
      </c>
      <c r="C765" s="11"/>
      <c r="D765" s="11"/>
      <c r="E765" s="18">
        <f>+'SERVICIO FAENA'!E765</f>
        <v>0</v>
      </c>
      <c r="F765" s="11"/>
      <c r="G765" s="180" t="e">
        <f t="shared" si="59"/>
        <v>#DIV/0!</v>
      </c>
      <c r="H765" s="11"/>
      <c r="I765" s="11"/>
      <c r="J765" s="180" t="e">
        <f t="shared" si="60"/>
        <v>#DIV/0!</v>
      </c>
      <c r="K765" s="100"/>
      <c r="L765" s="100"/>
      <c r="M765" s="100"/>
      <c r="N765" s="100">
        <f t="shared" si="61"/>
        <v>0</v>
      </c>
      <c r="O765" s="100"/>
      <c r="P765" s="41">
        <v>880</v>
      </c>
      <c r="Q765" s="11"/>
      <c r="R765" s="41">
        <v>260</v>
      </c>
      <c r="S765" s="185"/>
      <c r="T765" s="185"/>
      <c r="U765" s="185"/>
      <c r="V765" s="185"/>
      <c r="W765" s="41">
        <f t="shared" si="62"/>
        <v>0</v>
      </c>
      <c r="X765" s="41">
        <f t="shared" si="58"/>
        <v>0</v>
      </c>
      <c r="Y765" s="11"/>
      <c r="Z765" s="11"/>
      <c r="AA765" s="11"/>
      <c r="AB765" s="11"/>
      <c r="AC765" s="24"/>
    </row>
    <row r="766" spans="1:29" x14ac:dyDescent="0.2">
      <c r="A766" s="11">
        <f>+'SERVICIO FAENA'!A766</f>
        <v>0</v>
      </c>
      <c r="B766" s="11">
        <f>+'SERVICIO FAENA'!B766</f>
        <v>0</v>
      </c>
      <c r="C766" s="11"/>
      <c r="D766" s="11"/>
      <c r="E766" s="18">
        <f>+'SERVICIO FAENA'!E766</f>
        <v>0</v>
      </c>
      <c r="F766" s="11"/>
      <c r="G766" s="180" t="e">
        <f t="shared" si="59"/>
        <v>#DIV/0!</v>
      </c>
      <c r="H766" s="11"/>
      <c r="I766" s="11"/>
      <c r="J766" s="180" t="e">
        <f t="shared" si="60"/>
        <v>#DIV/0!</v>
      </c>
      <c r="K766" s="100"/>
      <c r="L766" s="100"/>
      <c r="M766" s="100"/>
      <c r="N766" s="100">
        <f t="shared" si="61"/>
        <v>0</v>
      </c>
      <c r="O766" s="100"/>
      <c r="P766" s="41">
        <v>880</v>
      </c>
      <c r="Q766" s="11"/>
      <c r="R766" s="41">
        <v>260</v>
      </c>
      <c r="S766" s="185"/>
      <c r="T766" s="185"/>
      <c r="U766" s="185"/>
      <c r="V766" s="185"/>
      <c r="W766" s="41">
        <f t="shared" si="62"/>
        <v>0</v>
      </c>
      <c r="X766" s="41">
        <f t="shared" si="58"/>
        <v>0</v>
      </c>
      <c r="Y766" s="11"/>
      <c r="Z766" s="11"/>
      <c r="AA766" s="11"/>
      <c r="AB766" s="11"/>
      <c r="AC766" s="24"/>
    </row>
    <row r="767" spans="1:29" x14ac:dyDescent="0.2">
      <c r="A767" s="11">
        <f>+'SERVICIO FAENA'!A767</f>
        <v>0</v>
      </c>
      <c r="B767" s="11">
        <f>+'SERVICIO FAENA'!B767</f>
        <v>0</v>
      </c>
      <c r="C767" s="11"/>
      <c r="D767" s="11"/>
      <c r="E767" s="18">
        <f>+'SERVICIO FAENA'!E767</f>
        <v>0</v>
      </c>
      <c r="F767" s="11"/>
      <c r="G767" s="180" t="e">
        <f t="shared" si="59"/>
        <v>#DIV/0!</v>
      </c>
      <c r="H767" s="11"/>
      <c r="I767" s="11"/>
      <c r="J767" s="180" t="e">
        <f t="shared" si="60"/>
        <v>#DIV/0!</v>
      </c>
      <c r="K767" s="100"/>
      <c r="L767" s="100"/>
      <c r="M767" s="100"/>
      <c r="N767" s="100">
        <f t="shared" si="61"/>
        <v>0</v>
      </c>
      <c r="O767" s="100"/>
      <c r="P767" s="41">
        <v>880</v>
      </c>
      <c r="Q767" s="11"/>
      <c r="R767" s="41">
        <v>260</v>
      </c>
      <c r="S767" s="185"/>
      <c r="T767" s="185"/>
      <c r="U767" s="185"/>
      <c r="V767" s="185"/>
      <c r="W767" s="41">
        <f t="shared" si="62"/>
        <v>0</v>
      </c>
      <c r="X767" s="41">
        <f t="shared" si="58"/>
        <v>0</v>
      </c>
      <c r="Y767" s="11"/>
      <c r="Z767" s="11"/>
      <c r="AA767" s="11"/>
      <c r="AB767" s="11"/>
      <c r="AC767" s="24"/>
    </row>
    <row r="768" spans="1:29" x14ac:dyDescent="0.2">
      <c r="A768" s="11">
        <f>+'SERVICIO FAENA'!A768</f>
        <v>0</v>
      </c>
      <c r="B768" s="11">
        <f>+'SERVICIO FAENA'!B768</f>
        <v>0</v>
      </c>
      <c r="C768" s="11"/>
      <c r="D768" s="11"/>
      <c r="E768" s="18">
        <f>+'SERVICIO FAENA'!E768</f>
        <v>0</v>
      </c>
      <c r="F768" s="11"/>
      <c r="G768" s="180" t="e">
        <f t="shared" si="59"/>
        <v>#DIV/0!</v>
      </c>
      <c r="H768" s="11"/>
      <c r="I768" s="11"/>
      <c r="J768" s="180" t="e">
        <f t="shared" si="60"/>
        <v>#DIV/0!</v>
      </c>
      <c r="K768" s="100"/>
      <c r="L768" s="100"/>
      <c r="M768" s="100"/>
      <c r="N768" s="100">
        <f t="shared" si="61"/>
        <v>0</v>
      </c>
      <c r="O768" s="100"/>
      <c r="P768" s="41">
        <v>880</v>
      </c>
      <c r="Q768" s="11"/>
      <c r="R768" s="41">
        <v>260</v>
      </c>
      <c r="S768" s="185"/>
      <c r="T768" s="185"/>
      <c r="U768" s="185"/>
      <c r="V768" s="185"/>
      <c r="W768" s="41">
        <f t="shared" si="62"/>
        <v>0</v>
      </c>
      <c r="X768" s="41">
        <f t="shared" si="58"/>
        <v>0</v>
      </c>
      <c r="Y768" s="11"/>
      <c r="Z768" s="11"/>
      <c r="AA768" s="11"/>
      <c r="AB768" s="11"/>
      <c r="AC768" s="24"/>
    </row>
    <row r="769" spans="1:29" x14ac:dyDescent="0.2">
      <c r="A769" s="11">
        <f>+'SERVICIO FAENA'!A769</f>
        <v>0</v>
      </c>
      <c r="B769" s="11">
        <f>+'SERVICIO FAENA'!B769</f>
        <v>0</v>
      </c>
      <c r="C769" s="11"/>
      <c r="D769" s="11"/>
      <c r="E769" s="18">
        <f>+'SERVICIO FAENA'!E769</f>
        <v>0</v>
      </c>
      <c r="F769" s="11"/>
      <c r="G769" s="180" t="e">
        <f t="shared" si="59"/>
        <v>#DIV/0!</v>
      </c>
      <c r="H769" s="11"/>
      <c r="I769" s="11"/>
      <c r="J769" s="180" t="e">
        <f t="shared" si="60"/>
        <v>#DIV/0!</v>
      </c>
      <c r="K769" s="100"/>
      <c r="L769" s="100"/>
      <c r="M769" s="100"/>
      <c r="N769" s="100">
        <f t="shared" si="61"/>
        <v>0</v>
      </c>
      <c r="O769" s="100"/>
      <c r="P769" s="41">
        <v>880</v>
      </c>
      <c r="Q769" s="11"/>
      <c r="R769" s="41">
        <v>260</v>
      </c>
      <c r="S769" s="185"/>
      <c r="T769" s="185"/>
      <c r="U769" s="185"/>
      <c r="V769" s="185"/>
      <c r="W769" s="41">
        <f t="shared" si="62"/>
        <v>0</v>
      </c>
      <c r="X769" s="41">
        <f t="shared" si="58"/>
        <v>0</v>
      </c>
      <c r="Y769" s="11"/>
      <c r="Z769" s="11"/>
      <c r="AA769" s="11"/>
      <c r="AB769" s="11"/>
      <c r="AC769" s="24"/>
    </row>
    <row r="770" spans="1:29" x14ac:dyDescent="0.2">
      <c r="A770" s="11">
        <f>+'SERVICIO FAENA'!A770</f>
        <v>0</v>
      </c>
      <c r="B770" s="11">
        <f>+'SERVICIO FAENA'!B770</f>
        <v>0</v>
      </c>
      <c r="C770" s="11"/>
      <c r="D770" s="11"/>
      <c r="E770" s="18">
        <f>+'SERVICIO FAENA'!E770</f>
        <v>0</v>
      </c>
      <c r="F770" s="11"/>
      <c r="G770" s="180" t="e">
        <f t="shared" si="59"/>
        <v>#DIV/0!</v>
      </c>
      <c r="H770" s="11"/>
      <c r="I770" s="11"/>
      <c r="J770" s="180" t="e">
        <f t="shared" si="60"/>
        <v>#DIV/0!</v>
      </c>
      <c r="K770" s="100"/>
      <c r="L770" s="100"/>
      <c r="M770" s="100"/>
      <c r="N770" s="100">
        <f t="shared" si="61"/>
        <v>0</v>
      </c>
      <c r="O770" s="100"/>
      <c r="P770" s="41">
        <v>880</v>
      </c>
      <c r="Q770" s="11"/>
      <c r="R770" s="41">
        <v>260</v>
      </c>
      <c r="S770" s="185"/>
      <c r="T770" s="185"/>
      <c r="U770" s="185"/>
      <c r="V770" s="185"/>
      <c r="W770" s="41">
        <f t="shared" si="62"/>
        <v>0</v>
      </c>
      <c r="X770" s="41">
        <f t="shared" si="58"/>
        <v>0</v>
      </c>
      <c r="Y770" s="11"/>
      <c r="Z770" s="11"/>
      <c r="AA770" s="11"/>
      <c r="AB770" s="11"/>
      <c r="AC770" s="24"/>
    </row>
    <row r="771" spans="1:29" x14ac:dyDescent="0.2">
      <c r="A771" s="11">
        <f>+'SERVICIO FAENA'!A771</f>
        <v>0</v>
      </c>
      <c r="B771" s="11">
        <f>+'SERVICIO FAENA'!B771</f>
        <v>0</v>
      </c>
      <c r="C771" s="11"/>
      <c r="D771" s="11"/>
      <c r="E771" s="18">
        <f>+'SERVICIO FAENA'!E771</f>
        <v>0</v>
      </c>
      <c r="F771" s="11"/>
      <c r="G771" s="180" t="e">
        <f t="shared" si="59"/>
        <v>#DIV/0!</v>
      </c>
      <c r="H771" s="11"/>
      <c r="I771" s="11"/>
      <c r="J771" s="180" t="e">
        <f t="shared" si="60"/>
        <v>#DIV/0!</v>
      </c>
      <c r="K771" s="100"/>
      <c r="L771" s="100"/>
      <c r="M771" s="100"/>
      <c r="N771" s="100">
        <f t="shared" si="61"/>
        <v>0</v>
      </c>
      <c r="O771" s="100"/>
      <c r="P771" s="41">
        <v>880</v>
      </c>
      <c r="Q771" s="11"/>
      <c r="R771" s="41">
        <v>260</v>
      </c>
      <c r="S771" s="185"/>
      <c r="T771" s="185"/>
      <c r="U771" s="185"/>
      <c r="V771" s="185"/>
      <c r="W771" s="41">
        <f t="shared" si="62"/>
        <v>0</v>
      </c>
      <c r="X771" s="41">
        <f t="shared" ref="X771:X834" si="63">+((O771*P771)+(Q771*R771))*1.21</f>
        <v>0</v>
      </c>
      <c r="Y771" s="11"/>
      <c r="Z771" s="11"/>
      <c r="AA771" s="11"/>
      <c r="AB771" s="11"/>
      <c r="AC771" s="24"/>
    </row>
    <row r="772" spans="1:29" x14ac:dyDescent="0.2">
      <c r="A772" s="11">
        <f>+'SERVICIO FAENA'!A772</f>
        <v>0</v>
      </c>
      <c r="B772" s="11">
        <f>+'SERVICIO FAENA'!B772</f>
        <v>0</v>
      </c>
      <c r="C772" s="11"/>
      <c r="D772" s="11"/>
      <c r="E772" s="18">
        <f>+'SERVICIO FAENA'!E772</f>
        <v>0</v>
      </c>
      <c r="F772" s="11"/>
      <c r="G772" s="180" t="e">
        <f t="shared" ref="G772:G835" si="64">+F772/D772</f>
        <v>#DIV/0!</v>
      </c>
      <c r="H772" s="11"/>
      <c r="I772" s="11"/>
      <c r="J772" s="180" t="e">
        <f t="shared" si="60"/>
        <v>#DIV/0!</v>
      </c>
      <c r="K772" s="100"/>
      <c r="L772" s="100"/>
      <c r="M772" s="100"/>
      <c r="N772" s="100">
        <f t="shared" si="61"/>
        <v>0</v>
      </c>
      <c r="O772" s="100"/>
      <c r="P772" s="41">
        <v>880</v>
      </c>
      <c r="Q772" s="11"/>
      <c r="R772" s="41">
        <v>260</v>
      </c>
      <c r="S772" s="185"/>
      <c r="T772" s="185"/>
      <c r="U772" s="185"/>
      <c r="V772" s="185"/>
      <c r="W772" s="41">
        <f t="shared" si="62"/>
        <v>0</v>
      </c>
      <c r="X772" s="41">
        <f t="shared" si="63"/>
        <v>0</v>
      </c>
      <c r="Y772" s="11"/>
      <c r="Z772" s="11"/>
      <c r="AA772" s="11"/>
      <c r="AB772" s="11"/>
      <c r="AC772" s="24"/>
    </row>
    <row r="773" spans="1:29" x14ac:dyDescent="0.2">
      <c r="A773" s="11">
        <f>+'SERVICIO FAENA'!A773</f>
        <v>0</v>
      </c>
      <c r="B773" s="11">
        <f>+'SERVICIO FAENA'!B773</f>
        <v>0</v>
      </c>
      <c r="C773" s="11"/>
      <c r="D773" s="11"/>
      <c r="E773" s="18">
        <f>+'SERVICIO FAENA'!E773</f>
        <v>0</v>
      </c>
      <c r="F773" s="11"/>
      <c r="G773" s="180" t="e">
        <f t="shared" si="64"/>
        <v>#DIV/0!</v>
      </c>
      <c r="H773" s="11"/>
      <c r="I773" s="11"/>
      <c r="J773" s="180" t="e">
        <f t="shared" si="60"/>
        <v>#DIV/0!</v>
      </c>
      <c r="K773" s="100"/>
      <c r="L773" s="100"/>
      <c r="M773" s="100"/>
      <c r="N773" s="100">
        <f t="shared" si="61"/>
        <v>0</v>
      </c>
      <c r="O773" s="100"/>
      <c r="P773" s="41">
        <v>880</v>
      </c>
      <c r="Q773" s="11"/>
      <c r="R773" s="41">
        <v>260</v>
      </c>
      <c r="S773" s="185"/>
      <c r="T773" s="185"/>
      <c r="U773" s="185"/>
      <c r="V773" s="185"/>
      <c r="W773" s="41">
        <f t="shared" si="62"/>
        <v>0</v>
      </c>
      <c r="X773" s="41">
        <f t="shared" si="63"/>
        <v>0</v>
      </c>
      <c r="Y773" s="11"/>
      <c r="Z773" s="11"/>
      <c r="AA773" s="11"/>
      <c r="AB773" s="11"/>
      <c r="AC773" s="24"/>
    </row>
    <row r="774" spans="1:29" x14ac:dyDescent="0.2">
      <c r="A774" s="11">
        <f>+'SERVICIO FAENA'!A774</f>
        <v>0</v>
      </c>
      <c r="B774" s="11">
        <f>+'SERVICIO FAENA'!B774</f>
        <v>0</v>
      </c>
      <c r="C774" s="11"/>
      <c r="D774" s="11"/>
      <c r="E774" s="18">
        <f>+'SERVICIO FAENA'!E774</f>
        <v>0</v>
      </c>
      <c r="F774" s="11"/>
      <c r="G774" s="180" t="e">
        <f t="shared" si="64"/>
        <v>#DIV/0!</v>
      </c>
      <c r="H774" s="11"/>
      <c r="I774" s="11"/>
      <c r="J774" s="180" t="e">
        <f t="shared" si="60"/>
        <v>#DIV/0!</v>
      </c>
      <c r="K774" s="100"/>
      <c r="L774" s="100"/>
      <c r="M774" s="100"/>
      <c r="N774" s="100">
        <f t="shared" si="61"/>
        <v>0</v>
      </c>
      <c r="O774" s="100"/>
      <c r="P774" s="41">
        <v>880</v>
      </c>
      <c r="Q774" s="11"/>
      <c r="R774" s="41">
        <v>260</v>
      </c>
      <c r="S774" s="185"/>
      <c r="T774" s="185"/>
      <c r="U774" s="185"/>
      <c r="V774" s="185"/>
      <c r="W774" s="41">
        <f t="shared" si="62"/>
        <v>0</v>
      </c>
      <c r="X774" s="41">
        <f t="shared" si="63"/>
        <v>0</v>
      </c>
      <c r="Y774" s="11"/>
      <c r="Z774" s="11"/>
      <c r="AA774" s="11"/>
      <c r="AB774" s="11"/>
      <c r="AC774" s="24"/>
    </row>
    <row r="775" spans="1:29" x14ac:dyDescent="0.2">
      <c r="A775" s="11">
        <f>+'SERVICIO FAENA'!A775</f>
        <v>0</v>
      </c>
      <c r="B775" s="11">
        <f>+'SERVICIO FAENA'!B775</f>
        <v>0</v>
      </c>
      <c r="C775" s="11"/>
      <c r="D775" s="11"/>
      <c r="E775" s="18">
        <f>+'SERVICIO FAENA'!E775</f>
        <v>0</v>
      </c>
      <c r="F775" s="11"/>
      <c r="G775" s="180" t="e">
        <f t="shared" si="64"/>
        <v>#DIV/0!</v>
      </c>
      <c r="H775" s="11"/>
      <c r="I775" s="11"/>
      <c r="J775" s="180" t="e">
        <f t="shared" si="60"/>
        <v>#DIV/0!</v>
      </c>
      <c r="K775" s="100"/>
      <c r="L775" s="100"/>
      <c r="M775" s="100"/>
      <c r="N775" s="100">
        <f t="shared" si="61"/>
        <v>0</v>
      </c>
      <c r="O775" s="100"/>
      <c r="P775" s="41">
        <v>880</v>
      </c>
      <c r="Q775" s="11"/>
      <c r="R775" s="41">
        <v>260</v>
      </c>
      <c r="S775" s="185"/>
      <c r="T775" s="185"/>
      <c r="U775" s="185"/>
      <c r="V775" s="185"/>
      <c r="W775" s="41">
        <f t="shared" si="62"/>
        <v>0</v>
      </c>
      <c r="X775" s="41">
        <f t="shared" si="63"/>
        <v>0</v>
      </c>
      <c r="Y775" s="11"/>
      <c r="Z775" s="11"/>
      <c r="AA775" s="11"/>
      <c r="AB775" s="11"/>
      <c r="AC775" s="24"/>
    </row>
    <row r="776" spans="1:29" x14ac:dyDescent="0.2">
      <c r="A776" s="11">
        <f>+'SERVICIO FAENA'!A776</f>
        <v>0</v>
      </c>
      <c r="B776" s="11">
        <f>+'SERVICIO FAENA'!B776</f>
        <v>0</v>
      </c>
      <c r="C776" s="11"/>
      <c r="D776" s="11"/>
      <c r="E776" s="18">
        <f>+'SERVICIO FAENA'!E776</f>
        <v>0</v>
      </c>
      <c r="F776" s="11"/>
      <c r="G776" s="180" t="e">
        <f t="shared" si="64"/>
        <v>#DIV/0!</v>
      </c>
      <c r="H776" s="11"/>
      <c r="I776" s="11"/>
      <c r="J776" s="180" t="e">
        <f t="shared" si="60"/>
        <v>#DIV/0!</v>
      </c>
      <c r="K776" s="100"/>
      <c r="L776" s="100"/>
      <c r="M776" s="100"/>
      <c r="N776" s="100">
        <f t="shared" si="61"/>
        <v>0</v>
      </c>
      <c r="O776" s="100"/>
      <c r="P776" s="41">
        <v>880</v>
      </c>
      <c r="Q776" s="11"/>
      <c r="R776" s="41">
        <v>260</v>
      </c>
      <c r="S776" s="185"/>
      <c r="T776" s="185"/>
      <c r="U776" s="185"/>
      <c r="V776" s="185"/>
      <c r="W776" s="41">
        <f t="shared" si="62"/>
        <v>0</v>
      </c>
      <c r="X776" s="41">
        <f t="shared" si="63"/>
        <v>0</v>
      </c>
      <c r="Y776" s="11"/>
      <c r="Z776" s="11"/>
      <c r="AA776" s="11"/>
      <c r="AB776" s="11"/>
      <c r="AC776" s="24"/>
    </row>
    <row r="777" spans="1:29" x14ac:dyDescent="0.2">
      <c r="A777" s="11">
        <f>+'SERVICIO FAENA'!A777</f>
        <v>0</v>
      </c>
      <c r="B777" s="11">
        <f>+'SERVICIO FAENA'!B777</f>
        <v>0</v>
      </c>
      <c r="C777" s="11"/>
      <c r="D777" s="11"/>
      <c r="E777" s="18">
        <f>+'SERVICIO FAENA'!E777</f>
        <v>0</v>
      </c>
      <c r="F777" s="11"/>
      <c r="G777" s="180" t="e">
        <f t="shared" si="64"/>
        <v>#DIV/0!</v>
      </c>
      <c r="H777" s="11"/>
      <c r="I777" s="11"/>
      <c r="J777" s="180" t="e">
        <f t="shared" si="60"/>
        <v>#DIV/0!</v>
      </c>
      <c r="K777" s="100"/>
      <c r="L777" s="100"/>
      <c r="M777" s="100"/>
      <c r="N777" s="100">
        <f t="shared" si="61"/>
        <v>0</v>
      </c>
      <c r="O777" s="100"/>
      <c r="P777" s="41">
        <v>880</v>
      </c>
      <c r="Q777" s="11"/>
      <c r="R777" s="41">
        <v>260</v>
      </c>
      <c r="S777" s="185"/>
      <c r="T777" s="185"/>
      <c r="U777" s="185"/>
      <c r="V777" s="185"/>
      <c r="W777" s="41">
        <f t="shared" si="62"/>
        <v>0</v>
      </c>
      <c r="X777" s="41">
        <f t="shared" si="63"/>
        <v>0</v>
      </c>
      <c r="Y777" s="11"/>
      <c r="Z777" s="11"/>
      <c r="AA777" s="11"/>
      <c r="AB777" s="11"/>
      <c r="AC777" s="24"/>
    </row>
    <row r="778" spans="1:29" x14ac:dyDescent="0.2">
      <c r="A778" s="11">
        <f>+'SERVICIO FAENA'!A778</f>
        <v>0</v>
      </c>
      <c r="B778" s="11">
        <f>+'SERVICIO FAENA'!B778</f>
        <v>0</v>
      </c>
      <c r="C778" s="11"/>
      <c r="D778" s="11"/>
      <c r="E778" s="18">
        <f>+'SERVICIO FAENA'!E778</f>
        <v>0</v>
      </c>
      <c r="F778" s="11"/>
      <c r="G778" s="180" t="e">
        <f t="shared" si="64"/>
        <v>#DIV/0!</v>
      </c>
      <c r="H778" s="11"/>
      <c r="I778" s="11"/>
      <c r="J778" s="180" t="e">
        <f t="shared" si="60"/>
        <v>#DIV/0!</v>
      </c>
      <c r="K778" s="100"/>
      <c r="L778" s="100"/>
      <c r="M778" s="100"/>
      <c r="N778" s="100">
        <f t="shared" si="61"/>
        <v>0</v>
      </c>
      <c r="O778" s="100"/>
      <c r="P778" s="41">
        <v>880</v>
      </c>
      <c r="Q778" s="11"/>
      <c r="R778" s="41">
        <v>260</v>
      </c>
      <c r="S778" s="185"/>
      <c r="T778" s="185"/>
      <c r="U778" s="185"/>
      <c r="V778" s="185"/>
      <c r="W778" s="41">
        <f t="shared" si="62"/>
        <v>0</v>
      </c>
      <c r="X778" s="41">
        <f t="shared" si="63"/>
        <v>0</v>
      </c>
      <c r="Y778" s="11"/>
      <c r="Z778" s="11"/>
      <c r="AA778" s="11"/>
      <c r="AB778" s="11"/>
      <c r="AC778" s="24"/>
    </row>
    <row r="779" spans="1:29" x14ac:dyDescent="0.2">
      <c r="A779" s="11">
        <f>+'SERVICIO FAENA'!A779</f>
        <v>0</v>
      </c>
      <c r="B779" s="11">
        <f>+'SERVICIO FAENA'!B779</f>
        <v>0</v>
      </c>
      <c r="C779" s="11"/>
      <c r="D779" s="11"/>
      <c r="E779" s="18">
        <f>+'SERVICIO FAENA'!E779</f>
        <v>0</v>
      </c>
      <c r="F779" s="11"/>
      <c r="G779" s="180" t="e">
        <f t="shared" si="64"/>
        <v>#DIV/0!</v>
      </c>
      <c r="H779" s="11"/>
      <c r="I779" s="11"/>
      <c r="J779" s="180" t="e">
        <f t="shared" si="60"/>
        <v>#DIV/0!</v>
      </c>
      <c r="K779" s="100"/>
      <c r="L779" s="100"/>
      <c r="M779" s="100"/>
      <c r="N779" s="100">
        <f t="shared" si="61"/>
        <v>0</v>
      </c>
      <c r="O779" s="100"/>
      <c r="P779" s="41">
        <v>880</v>
      </c>
      <c r="Q779" s="11"/>
      <c r="R779" s="41">
        <v>260</v>
      </c>
      <c r="S779" s="185"/>
      <c r="T779" s="185"/>
      <c r="U779" s="185"/>
      <c r="V779" s="185"/>
      <c r="W779" s="41">
        <f t="shared" si="62"/>
        <v>0</v>
      </c>
      <c r="X779" s="41">
        <f t="shared" si="63"/>
        <v>0</v>
      </c>
      <c r="Y779" s="11"/>
      <c r="Z779" s="11"/>
      <c r="AA779" s="11"/>
      <c r="AB779" s="11"/>
      <c r="AC779" s="24"/>
    </row>
    <row r="780" spans="1:29" x14ac:dyDescent="0.2">
      <c r="A780" s="11">
        <f>+'SERVICIO FAENA'!A780</f>
        <v>0</v>
      </c>
      <c r="B780" s="11">
        <f>+'SERVICIO FAENA'!B780</f>
        <v>0</v>
      </c>
      <c r="C780" s="11"/>
      <c r="D780" s="11"/>
      <c r="E780" s="18">
        <f>+'SERVICIO FAENA'!E780</f>
        <v>0</v>
      </c>
      <c r="F780" s="11"/>
      <c r="G780" s="180" t="e">
        <f t="shared" si="64"/>
        <v>#DIV/0!</v>
      </c>
      <c r="H780" s="11"/>
      <c r="I780" s="11"/>
      <c r="J780" s="180" t="e">
        <f t="shared" si="60"/>
        <v>#DIV/0!</v>
      </c>
      <c r="K780" s="100"/>
      <c r="L780" s="100"/>
      <c r="M780" s="100"/>
      <c r="N780" s="100">
        <f t="shared" si="61"/>
        <v>0</v>
      </c>
      <c r="O780" s="100"/>
      <c r="P780" s="41">
        <v>880</v>
      </c>
      <c r="Q780" s="11"/>
      <c r="R780" s="41">
        <v>260</v>
      </c>
      <c r="S780" s="185"/>
      <c r="T780" s="185"/>
      <c r="U780" s="185"/>
      <c r="V780" s="185"/>
      <c r="W780" s="41">
        <f t="shared" si="62"/>
        <v>0</v>
      </c>
      <c r="X780" s="41">
        <f t="shared" si="63"/>
        <v>0</v>
      </c>
      <c r="Y780" s="11"/>
      <c r="Z780" s="11"/>
      <c r="AA780" s="11"/>
      <c r="AB780" s="11"/>
      <c r="AC780" s="24"/>
    </row>
    <row r="781" spans="1:29" x14ac:dyDescent="0.2">
      <c r="A781" s="11">
        <f>+'SERVICIO FAENA'!A781</f>
        <v>0</v>
      </c>
      <c r="B781" s="11">
        <f>+'SERVICIO FAENA'!B781</f>
        <v>0</v>
      </c>
      <c r="C781" s="11"/>
      <c r="D781" s="11"/>
      <c r="E781" s="18">
        <f>+'SERVICIO FAENA'!E781</f>
        <v>0</v>
      </c>
      <c r="F781" s="11"/>
      <c r="G781" s="180" t="e">
        <f t="shared" si="64"/>
        <v>#DIV/0!</v>
      </c>
      <c r="H781" s="11"/>
      <c r="I781" s="11"/>
      <c r="J781" s="180" t="e">
        <f t="shared" si="60"/>
        <v>#DIV/0!</v>
      </c>
      <c r="K781" s="100"/>
      <c r="L781" s="100"/>
      <c r="M781" s="100"/>
      <c r="N781" s="100">
        <f t="shared" si="61"/>
        <v>0</v>
      </c>
      <c r="O781" s="100"/>
      <c r="P781" s="41">
        <v>880</v>
      </c>
      <c r="Q781" s="11"/>
      <c r="R781" s="41">
        <v>260</v>
      </c>
      <c r="S781" s="185"/>
      <c r="T781" s="185"/>
      <c r="U781" s="185"/>
      <c r="V781" s="185"/>
      <c r="W781" s="41">
        <f t="shared" si="62"/>
        <v>0</v>
      </c>
      <c r="X781" s="41">
        <f t="shared" si="63"/>
        <v>0</v>
      </c>
      <c r="Y781" s="11"/>
      <c r="Z781" s="11"/>
      <c r="AA781" s="11"/>
      <c r="AB781" s="11"/>
      <c r="AC781" s="24"/>
    </row>
    <row r="782" spans="1:29" x14ac:dyDescent="0.2">
      <c r="A782" s="11">
        <f>+'SERVICIO FAENA'!A782</f>
        <v>0</v>
      </c>
      <c r="B782" s="11">
        <f>+'SERVICIO FAENA'!B782</f>
        <v>0</v>
      </c>
      <c r="C782" s="11"/>
      <c r="D782" s="11"/>
      <c r="E782" s="18">
        <f>+'SERVICIO FAENA'!E782</f>
        <v>0</v>
      </c>
      <c r="F782" s="11"/>
      <c r="G782" s="180" t="e">
        <f t="shared" si="64"/>
        <v>#DIV/0!</v>
      </c>
      <c r="H782" s="11"/>
      <c r="I782" s="11"/>
      <c r="J782" s="180" t="e">
        <f t="shared" si="60"/>
        <v>#DIV/0!</v>
      </c>
      <c r="K782" s="100"/>
      <c r="L782" s="100"/>
      <c r="M782" s="100"/>
      <c r="N782" s="100">
        <f t="shared" si="61"/>
        <v>0</v>
      </c>
      <c r="O782" s="100"/>
      <c r="P782" s="41">
        <v>880</v>
      </c>
      <c r="Q782" s="11"/>
      <c r="R782" s="41">
        <v>260</v>
      </c>
      <c r="S782" s="185"/>
      <c r="T782" s="185"/>
      <c r="U782" s="185"/>
      <c r="V782" s="185"/>
      <c r="W782" s="41">
        <f t="shared" si="62"/>
        <v>0</v>
      </c>
      <c r="X782" s="41">
        <f t="shared" si="63"/>
        <v>0</v>
      </c>
      <c r="Y782" s="11"/>
      <c r="Z782" s="11"/>
      <c r="AA782" s="11"/>
      <c r="AB782" s="11"/>
      <c r="AC782" s="24"/>
    </row>
    <row r="783" spans="1:29" x14ac:dyDescent="0.2">
      <c r="A783" s="11">
        <f>+'SERVICIO FAENA'!A783</f>
        <v>0</v>
      </c>
      <c r="B783" s="11">
        <f>+'SERVICIO FAENA'!B783</f>
        <v>0</v>
      </c>
      <c r="C783" s="11"/>
      <c r="D783" s="11"/>
      <c r="E783" s="18">
        <f>+'SERVICIO FAENA'!E783</f>
        <v>0</v>
      </c>
      <c r="F783" s="11"/>
      <c r="G783" s="180" t="e">
        <f t="shared" si="64"/>
        <v>#DIV/0!</v>
      </c>
      <c r="H783" s="11"/>
      <c r="I783" s="11"/>
      <c r="J783" s="180" t="e">
        <f t="shared" si="60"/>
        <v>#DIV/0!</v>
      </c>
      <c r="K783" s="100"/>
      <c r="L783" s="100"/>
      <c r="M783" s="100"/>
      <c r="N783" s="100">
        <f t="shared" si="61"/>
        <v>0</v>
      </c>
      <c r="O783" s="100"/>
      <c r="P783" s="41">
        <v>880</v>
      </c>
      <c r="Q783" s="11"/>
      <c r="R783" s="41">
        <v>260</v>
      </c>
      <c r="S783" s="185"/>
      <c r="T783" s="185"/>
      <c r="U783" s="185"/>
      <c r="V783" s="185"/>
      <c r="W783" s="41">
        <f t="shared" si="62"/>
        <v>0</v>
      </c>
      <c r="X783" s="41">
        <f t="shared" si="63"/>
        <v>0</v>
      </c>
      <c r="Y783" s="11"/>
      <c r="Z783" s="11"/>
      <c r="AA783" s="11"/>
      <c r="AB783" s="11"/>
      <c r="AC783" s="24"/>
    </row>
    <row r="784" spans="1:29" x14ac:dyDescent="0.2">
      <c r="A784" s="11">
        <f>+'SERVICIO FAENA'!A784</f>
        <v>0</v>
      </c>
      <c r="B784" s="11">
        <f>+'SERVICIO FAENA'!B784</f>
        <v>0</v>
      </c>
      <c r="C784" s="11"/>
      <c r="D784" s="11"/>
      <c r="E784" s="18">
        <f>+'SERVICIO FAENA'!E784</f>
        <v>0</v>
      </c>
      <c r="F784" s="11"/>
      <c r="G784" s="180" t="e">
        <f t="shared" si="64"/>
        <v>#DIV/0!</v>
      </c>
      <c r="H784" s="11"/>
      <c r="I784" s="11"/>
      <c r="J784" s="180" t="e">
        <f t="shared" si="60"/>
        <v>#DIV/0!</v>
      </c>
      <c r="K784" s="100"/>
      <c r="L784" s="100"/>
      <c r="M784" s="100"/>
      <c r="N784" s="100">
        <f t="shared" si="61"/>
        <v>0</v>
      </c>
      <c r="O784" s="100"/>
      <c r="P784" s="41">
        <v>880</v>
      </c>
      <c r="Q784" s="11"/>
      <c r="R784" s="41">
        <v>260</v>
      </c>
      <c r="S784" s="185"/>
      <c r="T784" s="185"/>
      <c r="U784" s="185"/>
      <c r="V784" s="185"/>
      <c r="W784" s="41">
        <f t="shared" si="62"/>
        <v>0</v>
      </c>
      <c r="X784" s="41">
        <f t="shared" si="63"/>
        <v>0</v>
      </c>
      <c r="Y784" s="11"/>
      <c r="Z784" s="11"/>
      <c r="AA784" s="11"/>
      <c r="AB784" s="11"/>
      <c r="AC784" s="24"/>
    </row>
    <row r="785" spans="1:29" x14ac:dyDescent="0.2">
      <c r="A785" s="11">
        <f>+'SERVICIO FAENA'!A785</f>
        <v>0</v>
      </c>
      <c r="B785" s="11">
        <f>+'SERVICIO FAENA'!B785</f>
        <v>0</v>
      </c>
      <c r="C785" s="11"/>
      <c r="D785" s="11"/>
      <c r="E785" s="18">
        <f>+'SERVICIO FAENA'!E785</f>
        <v>0</v>
      </c>
      <c r="F785" s="11"/>
      <c r="G785" s="180" t="e">
        <f t="shared" si="64"/>
        <v>#DIV/0!</v>
      </c>
      <c r="H785" s="11"/>
      <c r="I785" s="11"/>
      <c r="J785" s="180" t="e">
        <f t="shared" si="60"/>
        <v>#DIV/0!</v>
      </c>
      <c r="K785" s="100"/>
      <c r="L785" s="100"/>
      <c r="M785" s="100"/>
      <c r="N785" s="100">
        <f t="shared" si="61"/>
        <v>0</v>
      </c>
      <c r="O785" s="100"/>
      <c r="P785" s="41">
        <v>880</v>
      </c>
      <c r="Q785" s="11"/>
      <c r="R785" s="41">
        <v>260</v>
      </c>
      <c r="S785" s="185"/>
      <c r="T785" s="185"/>
      <c r="U785" s="185"/>
      <c r="V785" s="185"/>
      <c r="W785" s="41">
        <f t="shared" si="62"/>
        <v>0</v>
      </c>
      <c r="X785" s="41">
        <f t="shared" si="63"/>
        <v>0</v>
      </c>
      <c r="Y785" s="11"/>
      <c r="Z785" s="11"/>
      <c r="AA785" s="11"/>
      <c r="AB785" s="11"/>
      <c r="AC785" s="24"/>
    </row>
    <row r="786" spans="1:29" x14ac:dyDescent="0.2">
      <c r="A786" s="11">
        <f>+'SERVICIO FAENA'!A786</f>
        <v>0</v>
      </c>
      <c r="B786" s="11">
        <f>+'SERVICIO FAENA'!B786</f>
        <v>0</v>
      </c>
      <c r="C786" s="11"/>
      <c r="D786" s="11"/>
      <c r="E786" s="18">
        <f>+'SERVICIO FAENA'!E786</f>
        <v>0</v>
      </c>
      <c r="F786" s="11"/>
      <c r="G786" s="180" t="e">
        <f t="shared" si="64"/>
        <v>#DIV/0!</v>
      </c>
      <c r="H786" s="11"/>
      <c r="I786" s="11"/>
      <c r="J786" s="180" t="e">
        <f t="shared" si="60"/>
        <v>#DIV/0!</v>
      </c>
      <c r="K786" s="100"/>
      <c r="L786" s="100"/>
      <c r="M786" s="100"/>
      <c r="N786" s="100">
        <f t="shared" si="61"/>
        <v>0</v>
      </c>
      <c r="O786" s="100"/>
      <c r="P786" s="41">
        <v>880</v>
      </c>
      <c r="Q786" s="11"/>
      <c r="R786" s="41">
        <v>260</v>
      </c>
      <c r="S786" s="185"/>
      <c r="T786" s="185"/>
      <c r="U786" s="185"/>
      <c r="V786" s="185"/>
      <c r="W786" s="41">
        <f t="shared" si="62"/>
        <v>0</v>
      </c>
      <c r="X786" s="41">
        <f t="shared" si="63"/>
        <v>0</v>
      </c>
      <c r="Y786" s="11"/>
      <c r="Z786" s="11"/>
      <c r="AA786" s="11"/>
      <c r="AB786" s="11"/>
      <c r="AC786" s="24"/>
    </row>
    <row r="787" spans="1:29" x14ac:dyDescent="0.2">
      <c r="A787" s="11">
        <f>+'SERVICIO FAENA'!A787</f>
        <v>0</v>
      </c>
      <c r="B787" s="11">
        <f>+'SERVICIO FAENA'!B787</f>
        <v>0</v>
      </c>
      <c r="C787" s="11"/>
      <c r="D787" s="11"/>
      <c r="E787" s="18">
        <f>+'SERVICIO FAENA'!E787</f>
        <v>0</v>
      </c>
      <c r="F787" s="11"/>
      <c r="G787" s="180" t="e">
        <f t="shared" si="64"/>
        <v>#DIV/0!</v>
      </c>
      <c r="H787" s="11"/>
      <c r="I787" s="11"/>
      <c r="J787" s="180" t="e">
        <f t="shared" si="60"/>
        <v>#DIV/0!</v>
      </c>
      <c r="K787" s="100"/>
      <c r="L787" s="100"/>
      <c r="M787" s="100"/>
      <c r="N787" s="100">
        <f t="shared" si="61"/>
        <v>0</v>
      </c>
      <c r="O787" s="100"/>
      <c r="P787" s="41">
        <v>880</v>
      </c>
      <c r="Q787" s="11"/>
      <c r="R787" s="41">
        <v>260</v>
      </c>
      <c r="S787" s="185"/>
      <c r="T787" s="185"/>
      <c r="U787" s="185"/>
      <c r="V787" s="185"/>
      <c r="W787" s="41">
        <f t="shared" si="62"/>
        <v>0</v>
      </c>
      <c r="X787" s="41">
        <f t="shared" si="63"/>
        <v>0</v>
      </c>
      <c r="Y787" s="11"/>
      <c r="Z787" s="11"/>
      <c r="AA787" s="11"/>
      <c r="AB787" s="11"/>
      <c r="AC787" s="24"/>
    </row>
    <row r="788" spans="1:29" x14ac:dyDescent="0.2">
      <c r="A788" s="11">
        <f>+'SERVICIO FAENA'!A788</f>
        <v>0</v>
      </c>
      <c r="B788" s="11">
        <f>+'SERVICIO FAENA'!B788</f>
        <v>0</v>
      </c>
      <c r="C788" s="11"/>
      <c r="D788" s="11"/>
      <c r="E788" s="18">
        <f>+'SERVICIO FAENA'!E788</f>
        <v>0</v>
      </c>
      <c r="F788" s="11"/>
      <c r="G788" s="180" t="e">
        <f t="shared" si="64"/>
        <v>#DIV/0!</v>
      </c>
      <c r="H788" s="11"/>
      <c r="I788" s="11"/>
      <c r="J788" s="180" t="e">
        <f t="shared" si="60"/>
        <v>#DIV/0!</v>
      </c>
      <c r="K788" s="100"/>
      <c r="L788" s="100"/>
      <c r="M788" s="100"/>
      <c r="N788" s="100">
        <f t="shared" si="61"/>
        <v>0</v>
      </c>
      <c r="O788" s="100"/>
      <c r="P788" s="41">
        <v>880</v>
      </c>
      <c r="Q788" s="11"/>
      <c r="R788" s="41">
        <v>260</v>
      </c>
      <c r="S788" s="185"/>
      <c r="T788" s="185"/>
      <c r="U788" s="185"/>
      <c r="V788" s="185"/>
      <c r="W788" s="41">
        <f t="shared" si="62"/>
        <v>0</v>
      </c>
      <c r="X788" s="41">
        <f t="shared" si="63"/>
        <v>0</v>
      </c>
      <c r="Y788" s="11"/>
      <c r="Z788" s="11"/>
      <c r="AA788" s="11"/>
      <c r="AB788" s="11"/>
      <c r="AC788" s="24"/>
    </row>
    <row r="789" spans="1:29" x14ac:dyDescent="0.2">
      <c r="A789" s="11">
        <f>+'SERVICIO FAENA'!A789</f>
        <v>0</v>
      </c>
      <c r="B789" s="11">
        <f>+'SERVICIO FAENA'!B789</f>
        <v>0</v>
      </c>
      <c r="C789" s="11"/>
      <c r="D789" s="11"/>
      <c r="E789" s="18">
        <f>+'SERVICIO FAENA'!E789</f>
        <v>0</v>
      </c>
      <c r="F789" s="11"/>
      <c r="G789" s="180" t="e">
        <f t="shared" si="64"/>
        <v>#DIV/0!</v>
      </c>
      <c r="H789" s="11"/>
      <c r="I789" s="11"/>
      <c r="J789" s="180" t="e">
        <f t="shared" si="60"/>
        <v>#DIV/0!</v>
      </c>
      <c r="K789" s="100"/>
      <c r="L789" s="100"/>
      <c r="M789" s="100"/>
      <c r="N789" s="100">
        <f t="shared" si="61"/>
        <v>0</v>
      </c>
      <c r="O789" s="100"/>
      <c r="P789" s="41">
        <v>880</v>
      </c>
      <c r="Q789" s="11"/>
      <c r="R789" s="41">
        <v>260</v>
      </c>
      <c r="S789" s="185"/>
      <c r="T789" s="185"/>
      <c r="U789" s="185"/>
      <c r="V789" s="185"/>
      <c r="W789" s="41">
        <f t="shared" si="62"/>
        <v>0</v>
      </c>
      <c r="X789" s="41">
        <f t="shared" si="63"/>
        <v>0</v>
      </c>
      <c r="Y789" s="11"/>
      <c r="Z789" s="11"/>
      <c r="AA789" s="11"/>
      <c r="AB789" s="11"/>
      <c r="AC789" s="24"/>
    </row>
    <row r="790" spans="1:29" x14ac:dyDescent="0.2">
      <c r="A790" s="11">
        <f>+'SERVICIO FAENA'!A790</f>
        <v>0</v>
      </c>
      <c r="B790" s="11">
        <f>+'SERVICIO FAENA'!B790</f>
        <v>0</v>
      </c>
      <c r="C790" s="11"/>
      <c r="D790" s="11"/>
      <c r="E790" s="18">
        <f>+'SERVICIO FAENA'!E790</f>
        <v>0</v>
      </c>
      <c r="F790" s="11"/>
      <c r="G790" s="180" t="e">
        <f t="shared" si="64"/>
        <v>#DIV/0!</v>
      </c>
      <c r="H790" s="11"/>
      <c r="I790" s="11"/>
      <c r="J790" s="180" t="e">
        <f t="shared" si="60"/>
        <v>#DIV/0!</v>
      </c>
      <c r="K790" s="100"/>
      <c r="L790" s="100"/>
      <c r="M790" s="100"/>
      <c r="N790" s="100">
        <f t="shared" si="61"/>
        <v>0</v>
      </c>
      <c r="O790" s="100"/>
      <c r="P790" s="41">
        <v>880</v>
      </c>
      <c r="Q790" s="11"/>
      <c r="R790" s="41">
        <v>260</v>
      </c>
      <c r="S790" s="185"/>
      <c r="T790" s="185"/>
      <c r="U790" s="185"/>
      <c r="V790" s="185"/>
      <c r="W790" s="41">
        <f t="shared" si="62"/>
        <v>0</v>
      </c>
      <c r="X790" s="41">
        <f t="shared" si="63"/>
        <v>0</v>
      </c>
      <c r="Y790" s="11"/>
      <c r="Z790" s="11"/>
      <c r="AA790" s="11"/>
      <c r="AB790" s="11"/>
      <c r="AC790" s="24"/>
    </row>
    <row r="791" spans="1:29" x14ac:dyDescent="0.2">
      <c r="A791" s="11">
        <f>+'SERVICIO FAENA'!A791</f>
        <v>0</v>
      </c>
      <c r="B791" s="11">
        <f>+'SERVICIO FAENA'!B791</f>
        <v>0</v>
      </c>
      <c r="C791" s="11"/>
      <c r="D791" s="11"/>
      <c r="E791" s="18">
        <f>+'SERVICIO FAENA'!E791</f>
        <v>0</v>
      </c>
      <c r="F791" s="11"/>
      <c r="G791" s="180" t="e">
        <f t="shared" si="64"/>
        <v>#DIV/0!</v>
      </c>
      <c r="H791" s="11"/>
      <c r="I791" s="11"/>
      <c r="J791" s="180" t="e">
        <f t="shared" si="60"/>
        <v>#DIV/0!</v>
      </c>
      <c r="K791" s="100"/>
      <c r="L791" s="100"/>
      <c r="M791" s="100"/>
      <c r="N791" s="100">
        <f t="shared" si="61"/>
        <v>0</v>
      </c>
      <c r="O791" s="100"/>
      <c r="P791" s="41">
        <v>880</v>
      </c>
      <c r="Q791" s="11"/>
      <c r="R791" s="41">
        <v>260</v>
      </c>
      <c r="S791" s="185"/>
      <c r="T791" s="185"/>
      <c r="U791" s="185"/>
      <c r="V791" s="185"/>
      <c r="W791" s="41">
        <f t="shared" si="62"/>
        <v>0</v>
      </c>
      <c r="X791" s="41">
        <f t="shared" si="63"/>
        <v>0</v>
      </c>
      <c r="Y791" s="11"/>
      <c r="Z791" s="11"/>
      <c r="AA791" s="11"/>
      <c r="AB791" s="11"/>
      <c r="AC791" s="24"/>
    </row>
    <row r="792" spans="1:29" x14ac:dyDescent="0.2">
      <c r="A792" s="11">
        <f>+'SERVICIO FAENA'!A792</f>
        <v>0</v>
      </c>
      <c r="B792" s="11">
        <f>+'SERVICIO FAENA'!B792</f>
        <v>0</v>
      </c>
      <c r="C792" s="11"/>
      <c r="D792" s="11"/>
      <c r="E792" s="18">
        <f>+'SERVICIO FAENA'!E792</f>
        <v>0</v>
      </c>
      <c r="F792" s="11"/>
      <c r="G792" s="180" t="e">
        <f t="shared" si="64"/>
        <v>#DIV/0!</v>
      </c>
      <c r="H792" s="11"/>
      <c r="I792" s="11"/>
      <c r="J792" s="180" t="e">
        <f t="shared" si="60"/>
        <v>#DIV/0!</v>
      </c>
      <c r="K792" s="100"/>
      <c r="L792" s="100"/>
      <c r="M792" s="100"/>
      <c r="N792" s="100">
        <f t="shared" si="61"/>
        <v>0</v>
      </c>
      <c r="O792" s="100"/>
      <c r="P792" s="41">
        <v>880</v>
      </c>
      <c r="Q792" s="11"/>
      <c r="R792" s="41">
        <v>260</v>
      </c>
      <c r="S792" s="185"/>
      <c r="T792" s="185"/>
      <c r="U792" s="185"/>
      <c r="V792" s="185"/>
      <c r="W792" s="41">
        <f t="shared" si="62"/>
        <v>0</v>
      </c>
      <c r="X792" s="41">
        <f t="shared" si="63"/>
        <v>0</v>
      </c>
      <c r="Y792" s="11"/>
      <c r="Z792" s="11"/>
      <c r="AA792" s="11"/>
      <c r="AB792" s="11"/>
      <c r="AC792" s="24"/>
    </row>
    <row r="793" spans="1:29" x14ac:dyDescent="0.2">
      <c r="A793" s="11">
        <f>+'SERVICIO FAENA'!A793</f>
        <v>0</v>
      </c>
      <c r="B793" s="11">
        <f>+'SERVICIO FAENA'!B793</f>
        <v>0</v>
      </c>
      <c r="C793" s="11"/>
      <c r="D793" s="11"/>
      <c r="E793" s="18">
        <f>+'SERVICIO FAENA'!E793</f>
        <v>0</v>
      </c>
      <c r="F793" s="11"/>
      <c r="G793" s="180" t="e">
        <f t="shared" si="64"/>
        <v>#DIV/0!</v>
      </c>
      <c r="H793" s="11"/>
      <c r="I793" s="11"/>
      <c r="J793" s="180" t="e">
        <f t="shared" si="60"/>
        <v>#DIV/0!</v>
      </c>
      <c r="K793" s="100"/>
      <c r="L793" s="100"/>
      <c r="M793" s="100"/>
      <c r="N793" s="100">
        <f t="shared" si="61"/>
        <v>0</v>
      </c>
      <c r="O793" s="100"/>
      <c r="P793" s="41">
        <v>880</v>
      </c>
      <c r="Q793" s="11"/>
      <c r="R793" s="41">
        <v>260</v>
      </c>
      <c r="S793" s="185"/>
      <c r="T793" s="185"/>
      <c r="U793" s="185"/>
      <c r="V793" s="185"/>
      <c r="W793" s="41">
        <f t="shared" si="62"/>
        <v>0</v>
      </c>
      <c r="X793" s="41">
        <f t="shared" si="63"/>
        <v>0</v>
      </c>
      <c r="Y793" s="11"/>
      <c r="Z793" s="11"/>
      <c r="AA793" s="11"/>
      <c r="AB793" s="11"/>
      <c r="AC793" s="24"/>
    </row>
    <row r="794" spans="1:29" x14ac:dyDescent="0.2">
      <c r="A794" s="11">
        <f>+'SERVICIO FAENA'!A794</f>
        <v>0</v>
      </c>
      <c r="B794" s="11">
        <f>+'SERVICIO FAENA'!B794</f>
        <v>0</v>
      </c>
      <c r="C794" s="11"/>
      <c r="D794" s="11"/>
      <c r="E794" s="18">
        <f>+'SERVICIO FAENA'!E794</f>
        <v>0</v>
      </c>
      <c r="F794" s="11"/>
      <c r="G794" s="180" t="e">
        <f t="shared" si="64"/>
        <v>#DIV/0!</v>
      </c>
      <c r="H794" s="11"/>
      <c r="I794" s="11"/>
      <c r="J794" s="180" t="e">
        <f t="shared" si="60"/>
        <v>#DIV/0!</v>
      </c>
      <c r="K794" s="100"/>
      <c r="L794" s="100"/>
      <c r="M794" s="100"/>
      <c r="N794" s="100">
        <f t="shared" si="61"/>
        <v>0</v>
      </c>
      <c r="O794" s="100"/>
      <c r="P794" s="41">
        <v>880</v>
      </c>
      <c r="Q794" s="11"/>
      <c r="R794" s="41">
        <v>260</v>
      </c>
      <c r="S794" s="185"/>
      <c r="T794" s="185"/>
      <c r="U794" s="185"/>
      <c r="V794" s="185"/>
      <c r="W794" s="41">
        <f t="shared" si="62"/>
        <v>0</v>
      </c>
      <c r="X794" s="41">
        <f t="shared" si="63"/>
        <v>0</v>
      </c>
      <c r="Y794" s="11"/>
      <c r="Z794" s="11"/>
      <c r="AA794" s="11"/>
      <c r="AB794" s="11"/>
      <c r="AC794" s="24"/>
    </row>
    <row r="795" spans="1:29" x14ac:dyDescent="0.2">
      <c r="A795" s="11">
        <f>+'SERVICIO FAENA'!A795</f>
        <v>0</v>
      </c>
      <c r="B795" s="11">
        <f>+'SERVICIO FAENA'!B795</f>
        <v>0</v>
      </c>
      <c r="C795" s="11"/>
      <c r="D795" s="11"/>
      <c r="E795" s="18">
        <f>+'SERVICIO FAENA'!E795</f>
        <v>0</v>
      </c>
      <c r="F795" s="11"/>
      <c r="G795" s="180" t="e">
        <f t="shared" si="64"/>
        <v>#DIV/0!</v>
      </c>
      <c r="H795" s="11"/>
      <c r="I795" s="11"/>
      <c r="J795" s="180" t="e">
        <f t="shared" si="60"/>
        <v>#DIV/0!</v>
      </c>
      <c r="K795" s="100"/>
      <c r="L795" s="100"/>
      <c r="M795" s="100"/>
      <c r="N795" s="100">
        <f t="shared" si="61"/>
        <v>0</v>
      </c>
      <c r="O795" s="100"/>
      <c r="P795" s="41">
        <v>880</v>
      </c>
      <c r="Q795" s="11"/>
      <c r="R795" s="41">
        <v>260</v>
      </c>
      <c r="S795" s="185"/>
      <c r="T795" s="185"/>
      <c r="U795" s="185"/>
      <c r="V795" s="185"/>
      <c r="W795" s="41">
        <f t="shared" si="62"/>
        <v>0</v>
      </c>
      <c r="X795" s="41">
        <f t="shared" si="63"/>
        <v>0</v>
      </c>
      <c r="Y795" s="11"/>
      <c r="Z795" s="11"/>
      <c r="AA795" s="11"/>
      <c r="AB795" s="11"/>
      <c r="AC795" s="24"/>
    </row>
    <row r="796" spans="1:29" x14ac:dyDescent="0.2">
      <c r="A796" s="11">
        <f>+'SERVICIO FAENA'!A796</f>
        <v>0</v>
      </c>
      <c r="B796" s="11">
        <f>+'SERVICIO FAENA'!B796</f>
        <v>0</v>
      </c>
      <c r="C796" s="11"/>
      <c r="D796" s="11"/>
      <c r="E796" s="18">
        <f>+'SERVICIO FAENA'!E796</f>
        <v>0</v>
      </c>
      <c r="F796" s="11"/>
      <c r="G796" s="180" t="e">
        <f t="shared" si="64"/>
        <v>#DIV/0!</v>
      </c>
      <c r="H796" s="11"/>
      <c r="I796" s="11"/>
      <c r="J796" s="180" t="e">
        <f t="shared" si="60"/>
        <v>#DIV/0!</v>
      </c>
      <c r="K796" s="100"/>
      <c r="L796" s="100"/>
      <c r="M796" s="100"/>
      <c r="N796" s="100">
        <f t="shared" si="61"/>
        <v>0</v>
      </c>
      <c r="O796" s="100"/>
      <c r="P796" s="41">
        <v>880</v>
      </c>
      <c r="Q796" s="11"/>
      <c r="R796" s="41">
        <v>260</v>
      </c>
      <c r="S796" s="185"/>
      <c r="T796" s="185"/>
      <c r="U796" s="185"/>
      <c r="V796" s="185"/>
      <c r="W796" s="41">
        <f t="shared" si="62"/>
        <v>0</v>
      </c>
      <c r="X796" s="41">
        <f t="shared" si="63"/>
        <v>0</v>
      </c>
      <c r="Y796" s="11"/>
      <c r="Z796" s="11"/>
      <c r="AA796" s="11"/>
      <c r="AB796" s="11"/>
      <c r="AC796" s="24"/>
    </row>
    <row r="797" spans="1:29" x14ac:dyDescent="0.2">
      <c r="A797" s="11">
        <f>+'SERVICIO FAENA'!A797</f>
        <v>0</v>
      </c>
      <c r="B797" s="11">
        <f>+'SERVICIO FAENA'!B797</f>
        <v>0</v>
      </c>
      <c r="C797" s="11"/>
      <c r="D797" s="11"/>
      <c r="E797" s="18">
        <f>+'SERVICIO FAENA'!E797</f>
        <v>0</v>
      </c>
      <c r="F797" s="11"/>
      <c r="G797" s="180" t="e">
        <f t="shared" si="64"/>
        <v>#DIV/0!</v>
      </c>
      <c r="H797" s="11"/>
      <c r="I797" s="11"/>
      <c r="J797" s="180" t="e">
        <f t="shared" si="60"/>
        <v>#DIV/0!</v>
      </c>
      <c r="K797" s="100"/>
      <c r="L797" s="100"/>
      <c r="M797" s="100"/>
      <c r="N797" s="100">
        <f t="shared" si="61"/>
        <v>0</v>
      </c>
      <c r="O797" s="100"/>
      <c r="P797" s="41">
        <v>880</v>
      </c>
      <c r="Q797" s="11"/>
      <c r="R797" s="41">
        <v>260</v>
      </c>
      <c r="S797" s="185"/>
      <c r="T797" s="185"/>
      <c r="U797" s="185"/>
      <c r="V797" s="185"/>
      <c r="W797" s="41">
        <f t="shared" si="62"/>
        <v>0</v>
      </c>
      <c r="X797" s="41">
        <f t="shared" si="63"/>
        <v>0</v>
      </c>
      <c r="Y797" s="11"/>
      <c r="Z797" s="11"/>
      <c r="AA797" s="11"/>
      <c r="AB797" s="11"/>
      <c r="AC797" s="24"/>
    </row>
    <row r="798" spans="1:29" x14ac:dyDescent="0.2">
      <c r="A798" s="11">
        <f>+'SERVICIO FAENA'!A798</f>
        <v>0</v>
      </c>
      <c r="B798" s="11">
        <f>+'SERVICIO FAENA'!B798</f>
        <v>0</v>
      </c>
      <c r="C798" s="11"/>
      <c r="D798" s="11"/>
      <c r="E798" s="18">
        <f>+'SERVICIO FAENA'!E798</f>
        <v>0</v>
      </c>
      <c r="F798" s="11"/>
      <c r="G798" s="180" t="e">
        <f t="shared" si="64"/>
        <v>#DIV/0!</v>
      </c>
      <c r="H798" s="11"/>
      <c r="I798" s="11"/>
      <c r="J798" s="180" t="e">
        <f t="shared" si="60"/>
        <v>#DIV/0!</v>
      </c>
      <c r="K798" s="100"/>
      <c r="L798" s="100"/>
      <c r="M798" s="100"/>
      <c r="N798" s="100">
        <f t="shared" si="61"/>
        <v>0</v>
      </c>
      <c r="O798" s="100"/>
      <c r="P798" s="41">
        <v>880</v>
      </c>
      <c r="Q798" s="11"/>
      <c r="R798" s="41">
        <v>260</v>
      </c>
      <c r="S798" s="185"/>
      <c r="T798" s="185"/>
      <c r="U798" s="185"/>
      <c r="V798" s="185"/>
      <c r="W798" s="41">
        <f t="shared" si="62"/>
        <v>0</v>
      </c>
      <c r="X798" s="41">
        <f t="shared" si="63"/>
        <v>0</v>
      </c>
      <c r="Y798" s="11"/>
      <c r="Z798" s="11"/>
      <c r="AA798" s="11"/>
      <c r="AB798" s="11"/>
      <c r="AC798" s="24"/>
    </row>
    <row r="799" spans="1:29" x14ac:dyDescent="0.2">
      <c r="A799" s="11">
        <f>+'SERVICIO FAENA'!A799</f>
        <v>0</v>
      </c>
      <c r="B799" s="11">
        <f>+'SERVICIO FAENA'!B799</f>
        <v>0</v>
      </c>
      <c r="C799" s="11"/>
      <c r="D799" s="11"/>
      <c r="E799" s="18">
        <f>+'SERVICIO FAENA'!E799</f>
        <v>0</v>
      </c>
      <c r="F799" s="11"/>
      <c r="G799" s="180" t="e">
        <f t="shared" si="64"/>
        <v>#DIV/0!</v>
      </c>
      <c r="H799" s="11"/>
      <c r="I799" s="11"/>
      <c r="J799" s="180" t="e">
        <f t="shared" si="60"/>
        <v>#DIV/0!</v>
      </c>
      <c r="K799" s="100"/>
      <c r="L799" s="100"/>
      <c r="M799" s="100"/>
      <c r="N799" s="100">
        <f t="shared" si="61"/>
        <v>0</v>
      </c>
      <c r="O799" s="100"/>
      <c r="P799" s="41">
        <v>880</v>
      </c>
      <c r="Q799" s="11"/>
      <c r="R799" s="41">
        <v>260</v>
      </c>
      <c r="S799" s="185"/>
      <c r="T799" s="185"/>
      <c r="U799" s="185"/>
      <c r="V799" s="185"/>
      <c r="W799" s="41">
        <f t="shared" si="62"/>
        <v>0</v>
      </c>
      <c r="X799" s="41">
        <f t="shared" si="63"/>
        <v>0</v>
      </c>
      <c r="Y799" s="11"/>
      <c r="Z799" s="11"/>
      <c r="AA799" s="11"/>
      <c r="AB799" s="11"/>
      <c r="AC799" s="24"/>
    </row>
    <row r="800" spans="1:29" x14ac:dyDescent="0.2">
      <c r="A800" s="11">
        <f>+'SERVICIO FAENA'!A800</f>
        <v>0</v>
      </c>
      <c r="B800" s="11">
        <f>+'SERVICIO FAENA'!B800</f>
        <v>0</v>
      </c>
      <c r="C800" s="11"/>
      <c r="D800" s="11"/>
      <c r="E800" s="18">
        <f>+'SERVICIO FAENA'!E800</f>
        <v>0</v>
      </c>
      <c r="F800" s="11"/>
      <c r="G800" s="180" t="e">
        <f t="shared" si="64"/>
        <v>#DIV/0!</v>
      </c>
      <c r="H800" s="11"/>
      <c r="I800" s="11"/>
      <c r="J800" s="180" t="e">
        <f t="shared" si="60"/>
        <v>#DIV/0!</v>
      </c>
      <c r="K800" s="100"/>
      <c r="L800" s="100"/>
      <c r="M800" s="100"/>
      <c r="N800" s="100">
        <f t="shared" si="61"/>
        <v>0</v>
      </c>
      <c r="O800" s="100"/>
      <c r="P800" s="41">
        <v>880</v>
      </c>
      <c r="Q800" s="11"/>
      <c r="R800" s="41">
        <v>260</v>
      </c>
      <c r="S800" s="185"/>
      <c r="T800" s="185"/>
      <c r="U800" s="185"/>
      <c r="V800" s="185"/>
      <c r="W800" s="41">
        <f t="shared" si="62"/>
        <v>0</v>
      </c>
      <c r="X800" s="41">
        <f t="shared" si="63"/>
        <v>0</v>
      </c>
      <c r="Y800" s="11"/>
      <c r="Z800" s="11"/>
      <c r="AA800" s="11"/>
      <c r="AB800" s="11"/>
      <c r="AC800" s="24"/>
    </row>
    <row r="801" spans="1:29" x14ac:dyDescent="0.2">
      <c r="A801" s="11">
        <f>+'SERVICIO FAENA'!A801</f>
        <v>0</v>
      </c>
      <c r="B801" s="11">
        <f>+'SERVICIO FAENA'!B801</f>
        <v>0</v>
      </c>
      <c r="C801" s="11"/>
      <c r="D801" s="11"/>
      <c r="E801" s="18">
        <f>+'SERVICIO FAENA'!E801</f>
        <v>0</v>
      </c>
      <c r="F801" s="11"/>
      <c r="G801" s="180" t="e">
        <f t="shared" si="64"/>
        <v>#DIV/0!</v>
      </c>
      <c r="H801" s="11"/>
      <c r="I801" s="11"/>
      <c r="J801" s="180" t="e">
        <f t="shared" si="60"/>
        <v>#DIV/0!</v>
      </c>
      <c r="K801" s="100"/>
      <c r="L801" s="100"/>
      <c r="M801" s="100"/>
      <c r="N801" s="100">
        <f t="shared" si="61"/>
        <v>0</v>
      </c>
      <c r="O801" s="100"/>
      <c r="P801" s="41">
        <v>880</v>
      </c>
      <c r="Q801" s="11"/>
      <c r="R801" s="41">
        <v>260</v>
      </c>
      <c r="S801" s="185"/>
      <c r="T801" s="185"/>
      <c r="U801" s="185"/>
      <c r="V801" s="185"/>
      <c r="W801" s="41">
        <f t="shared" si="62"/>
        <v>0</v>
      </c>
      <c r="X801" s="41">
        <f t="shared" si="63"/>
        <v>0</v>
      </c>
      <c r="Y801" s="11"/>
      <c r="Z801" s="11"/>
      <c r="AA801" s="11"/>
      <c r="AB801" s="11"/>
      <c r="AC801" s="24"/>
    </row>
    <row r="802" spans="1:29" x14ac:dyDescent="0.2">
      <c r="A802" s="11">
        <f>+'SERVICIO FAENA'!A802</f>
        <v>0</v>
      </c>
      <c r="B802" s="11">
        <f>+'SERVICIO FAENA'!B802</f>
        <v>0</v>
      </c>
      <c r="C802" s="11"/>
      <c r="D802" s="11"/>
      <c r="E802" s="18">
        <f>+'SERVICIO FAENA'!E802</f>
        <v>0</v>
      </c>
      <c r="F802" s="11"/>
      <c r="G802" s="180" t="e">
        <f t="shared" si="64"/>
        <v>#DIV/0!</v>
      </c>
      <c r="H802" s="11"/>
      <c r="I802" s="11"/>
      <c r="J802" s="180" t="e">
        <f t="shared" si="60"/>
        <v>#DIV/0!</v>
      </c>
      <c r="K802" s="100"/>
      <c r="L802" s="100"/>
      <c r="M802" s="100"/>
      <c r="N802" s="100">
        <f t="shared" si="61"/>
        <v>0</v>
      </c>
      <c r="O802" s="100"/>
      <c r="P802" s="41">
        <v>880</v>
      </c>
      <c r="Q802" s="11"/>
      <c r="R802" s="41">
        <v>260</v>
      </c>
      <c r="S802" s="185"/>
      <c r="T802" s="185"/>
      <c r="U802" s="185"/>
      <c r="V802" s="185"/>
      <c r="W802" s="41">
        <f t="shared" si="62"/>
        <v>0</v>
      </c>
      <c r="X802" s="41">
        <f t="shared" si="63"/>
        <v>0</v>
      </c>
      <c r="Y802" s="11"/>
      <c r="Z802" s="11"/>
      <c r="AA802" s="11"/>
      <c r="AB802" s="11"/>
      <c r="AC802" s="24"/>
    </row>
    <row r="803" spans="1:29" x14ac:dyDescent="0.2">
      <c r="A803" s="11">
        <f>+'SERVICIO FAENA'!A803</f>
        <v>0</v>
      </c>
      <c r="B803" s="11">
        <f>+'SERVICIO FAENA'!B803</f>
        <v>0</v>
      </c>
      <c r="C803" s="11"/>
      <c r="D803" s="11"/>
      <c r="E803" s="18">
        <f>+'SERVICIO FAENA'!E803</f>
        <v>0</v>
      </c>
      <c r="F803" s="11"/>
      <c r="G803" s="180" t="e">
        <f t="shared" si="64"/>
        <v>#DIV/0!</v>
      </c>
      <c r="H803" s="11"/>
      <c r="I803" s="11"/>
      <c r="J803" s="180" t="e">
        <f t="shared" si="60"/>
        <v>#DIV/0!</v>
      </c>
      <c r="K803" s="100"/>
      <c r="L803" s="100"/>
      <c r="M803" s="100"/>
      <c r="N803" s="100">
        <f t="shared" si="61"/>
        <v>0</v>
      </c>
      <c r="O803" s="100"/>
      <c r="P803" s="41">
        <v>880</v>
      </c>
      <c r="Q803" s="11"/>
      <c r="R803" s="41">
        <v>260</v>
      </c>
      <c r="S803" s="185"/>
      <c r="T803" s="185"/>
      <c r="U803" s="185"/>
      <c r="V803" s="185"/>
      <c r="W803" s="41">
        <f t="shared" si="62"/>
        <v>0</v>
      </c>
      <c r="X803" s="41">
        <f t="shared" si="63"/>
        <v>0</v>
      </c>
      <c r="Y803" s="11"/>
      <c r="Z803" s="11"/>
      <c r="AA803" s="11"/>
      <c r="AB803" s="11"/>
      <c r="AC803" s="24"/>
    </row>
    <row r="804" spans="1:29" x14ac:dyDescent="0.2">
      <c r="A804" s="11">
        <f>+'SERVICIO FAENA'!A804</f>
        <v>0</v>
      </c>
      <c r="B804" s="11">
        <f>+'SERVICIO FAENA'!B804</f>
        <v>0</v>
      </c>
      <c r="C804" s="11"/>
      <c r="D804" s="11"/>
      <c r="E804" s="18">
        <f>+'SERVICIO FAENA'!E804</f>
        <v>0</v>
      </c>
      <c r="F804" s="11"/>
      <c r="G804" s="180" t="e">
        <f t="shared" si="64"/>
        <v>#DIV/0!</v>
      </c>
      <c r="H804" s="11"/>
      <c r="I804" s="11"/>
      <c r="J804" s="180" t="e">
        <f t="shared" si="60"/>
        <v>#DIV/0!</v>
      </c>
      <c r="K804" s="100"/>
      <c r="L804" s="100"/>
      <c r="M804" s="100"/>
      <c r="N804" s="100">
        <f t="shared" si="61"/>
        <v>0</v>
      </c>
      <c r="O804" s="100"/>
      <c r="P804" s="41">
        <v>880</v>
      </c>
      <c r="Q804" s="11"/>
      <c r="R804" s="41">
        <v>260</v>
      </c>
      <c r="S804" s="185"/>
      <c r="T804" s="185"/>
      <c r="U804" s="185"/>
      <c r="V804" s="185"/>
      <c r="W804" s="41">
        <f t="shared" si="62"/>
        <v>0</v>
      </c>
      <c r="X804" s="41">
        <f t="shared" si="63"/>
        <v>0</v>
      </c>
      <c r="Y804" s="11"/>
      <c r="Z804" s="11"/>
      <c r="AA804" s="11"/>
      <c r="AB804" s="11"/>
      <c r="AC804" s="24"/>
    </row>
    <row r="805" spans="1:29" x14ac:dyDescent="0.2">
      <c r="A805" s="11">
        <f>+'SERVICIO FAENA'!A805</f>
        <v>0</v>
      </c>
      <c r="B805" s="11">
        <f>+'SERVICIO FAENA'!B805</f>
        <v>0</v>
      </c>
      <c r="C805" s="11"/>
      <c r="D805" s="11"/>
      <c r="E805" s="18">
        <f>+'SERVICIO FAENA'!E805</f>
        <v>0</v>
      </c>
      <c r="F805" s="11"/>
      <c r="G805" s="180" t="e">
        <f t="shared" si="64"/>
        <v>#DIV/0!</v>
      </c>
      <c r="H805" s="11"/>
      <c r="I805" s="11"/>
      <c r="J805" s="180" t="e">
        <f t="shared" si="60"/>
        <v>#DIV/0!</v>
      </c>
      <c r="K805" s="100"/>
      <c r="L805" s="100"/>
      <c r="M805" s="100"/>
      <c r="N805" s="100">
        <f t="shared" si="61"/>
        <v>0</v>
      </c>
      <c r="O805" s="100"/>
      <c r="P805" s="41">
        <v>880</v>
      </c>
      <c r="Q805" s="11"/>
      <c r="R805" s="41">
        <v>260</v>
      </c>
      <c r="S805" s="185"/>
      <c r="T805" s="185"/>
      <c r="U805" s="185"/>
      <c r="V805" s="185"/>
      <c r="W805" s="41">
        <f t="shared" si="62"/>
        <v>0</v>
      </c>
      <c r="X805" s="41">
        <f t="shared" si="63"/>
        <v>0</v>
      </c>
      <c r="Y805" s="11"/>
      <c r="Z805" s="11"/>
      <c r="AA805" s="11"/>
      <c r="AB805" s="11"/>
      <c r="AC805" s="24"/>
    </row>
    <row r="806" spans="1:29" x14ac:dyDescent="0.2">
      <c r="A806" s="11">
        <f>+'SERVICIO FAENA'!A806</f>
        <v>0</v>
      </c>
      <c r="B806" s="11">
        <f>+'SERVICIO FAENA'!B806</f>
        <v>0</v>
      </c>
      <c r="C806" s="11"/>
      <c r="D806" s="11"/>
      <c r="E806" s="18">
        <f>+'SERVICIO FAENA'!E806</f>
        <v>0</v>
      </c>
      <c r="F806" s="11"/>
      <c r="G806" s="180" t="e">
        <f t="shared" si="64"/>
        <v>#DIV/0!</v>
      </c>
      <c r="H806" s="11"/>
      <c r="I806" s="11"/>
      <c r="J806" s="180" t="e">
        <f t="shared" si="60"/>
        <v>#DIV/0!</v>
      </c>
      <c r="K806" s="100"/>
      <c r="L806" s="100"/>
      <c r="M806" s="100"/>
      <c r="N806" s="100">
        <f t="shared" si="61"/>
        <v>0</v>
      </c>
      <c r="O806" s="100"/>
      <c r="P806" s="41">
        <v>880</v>
      </c>
      <c r="Q806" s="11"/>
      <c r="R806" s="41">
        <v>260</v>
      </c>
      <c r="S806" s="185"/>
      <c r="T806" s="185"/>
      <c r="U806" s="185"/>
      <c r="V806" s="185"/>
      <c r="W806" s="41">
        <f t="shared" si="62"/>
        <v>0</v>
      </c>
      <c r="X806" s="41">
        <f t="shared" si="63"/>
        <v>0</v>
      </c>
      <c r="Y806" s="11"/>
      <c r="Z806" s="11"/>
      <c r="AA806" s="11"/>
      <c r="AB806" s="11"/>
      <c r="AC806" s="24"/>
    </row>
    <row r="807" spans="1:29" x14ac:dyDescent="0.2">
      <c r="A807" s="11">
        <f>+'SERVICIO FAENA'!A807</f>
        <v>0</v>
      </c>
      <c r="B807" s="11">
        <f>+'SERVICIO FAENA'!B807</f>
        <v>0</v>
      </c>
      <c r="C807" s="11"/>
      <c r="D807" s="11"/>
      <c r="E807" s="18">
        <f>+'SERVICIO FAENA'!E807</f>
        <v>0</v>
      </c>
      <c r="F807" s="11"/>
      <c r="G807" s="180" t="e">
        <f t="shared" si="64"/>
        <v>#DIV/0!</v>
      </c>
      <c r="H807" s="11"/>
      <c r="I807" s="11"/>
      <c r="J807" s="180" t="e">
        <f t="shared" si="60"/>
        <v>#DIV/0!</v>
      </c>
      <c r="K807" s="100"/>
      <c r="L807" s="100"/>
      <c r="M807" s="100"/>
      <c r="N807" s="100">
        <f t="shared" si="61"/>
        <v>0</v>
      </c>
      <c r="O807" s="100"/>
      <c r="P807" s="41">
        <v>880</v>
      </c>
      <c r="Q807" s="11"/>
      <c r="R807" s="41">
        <v>260</v>
      </c>
      <c r="S807" s="185"/>
      <c r="T807" s="185"/>
      <c r="U807" s="185"/>
      <c r="V807" s="185"/>
      <c r="W807" s="41">
        <f t="shared" si="62"/>
        <v>0</v>
      </c>
      <c r="X807" s="41">
        <f t="shared" si="63"/>
        <v>0</v>
      </c>
      <c r="Y807" s="11"/>
      <c r="Z807" s="11"/>
      <c r="AA807" s="11"/>
      <c r="AB807" s="11"/>
      <c r="AC807" s="24"/>
    </row>
    <row r="808" spans="1:29" x14ac:dyDescent="0.2">
      <c r="A808" s="11">
        <f>+'SERVICIO FAENA'!A808</f>
        <v>0</v>
      </c>
      <c r="B808" s="11">
        <f>+'SERVICIO FAENA'!B808</f>
        <v>0</v>
      </c>
      <c r="C808" s="11"/>
      <c r="D808" s="11"/>
      <c r="E808" s="18">
        <f>+'SERVICIO FAENA'!E808</f>
        <v>0</v>
      </c>
      <c r="F808" s="11"/>
      <c r="G808" s="180" t="e">
        <f t="shared" si="64"/>
        <v>#DIV/0!</v>
      </c>
      <c r="H808" s="11"/>
      <c r="I808" s="11"/>
      <c r="J808" s="180" t="e">
        <f t="shared" si="60"/>
        <v>#DIV/0!</v>
      </c>
      <c r="K808" s="100"/>
      <c r="L808" s="100"/>
      <c r="M808" s="100"/>
      <c r="N808" s="100">
        <f t="shared" si="61"/>
        <v>0</v>
      </c>
      <c r="O808" s="100"/>
      <c r="P808" s="41">
        <v>880</v>
      </c>
      <c r="Q808" s="11"/>
      <c r="R808" s="41">
        <v>260</v>
      </c>
      <c r="S808" s="185"/>
      <c r="T808" s="185"/>
      <c r="U808" s="185"/>
      <c r="V808" s="185"/>
      <c r="W808" s="41">
        <f t="shared" si="62"/>
        <v>0</v>
      </c>
      <c r="X808" s="41">
        <f t="shared" si="63"/>
        <v>0</v>
      </c>
      <c r="Y808" s="11"/>
      <c r="Z808" s="11"/>
      <c r="AA808" s="11"/>
      <c r="AB808" s="11"/>
      <c r="AC808" s="24"/>
    </row>
    <row r="809" spans="1:29" x14ac:dyDescent="0.2">
      <c r="A809" s="11">
        <f>+'SERVICIO FAENA'!A809</f>
        <v>0</v>
      </c>
      <c r="B809" s="11">
        <f>+'SERVICIO FAENA'!B809</f>
        <v>0</v>
      </c>
      <c r="C809" s="11"/>
      <c r="D809" s="11"/>
      <c r="E809" s="18">
        <f>+'SERVICIO FAENA'!E809</f>
        <v>0</v>
      </c>
      <c r="F809" s="11"/>
      <c r="G809" s="180" t="e">
        <f t="shared" si="64"/>
        <v>#DIV/0!</v>
      </c>
      <c r="H809" s="11"/>
      <c r="I809" s="11"/>
      <c r="J809" s="180" t="e">
        <f t="shared" si="60"/>
        <v>#DIV/0!</v>
      </c>
      <c r="K809" s="100"/>
      <c r="L809" s="100"/>
      <c r="M809" s="100"/>
      <c r="N809" s="100">
        <f t="shared" si="61"/>
        <v>0</v>
      </c>
      <c r="O809" s="100"/>
      <c r="P809" s="41">
        <v>880</v>
      </c>
      <c r="Q809" s="11"/>
      <c r="R809" s="41">
        <v>260</v>
      </c>
      <c r="S809" s="185"/>
      <c r="T809" s="185"/>
      <c r="U809" s="185"/>
      <c r="V809" s="185"/>
      <c r="W809" s="41">
        <f t="shared" si="62"/>
        <v>0</v>
      </c>
      <c r="X809" s="41">
        <f t="shared" si="63"/>
        <v>0</v>
      </c>
      <c r="Y809" s="11"/>
      <c r="Z809" s="11"/>
      <c r="AA809" s="11"/>
      <c r="AB809" s="11"/>
      <c r="AC809" s="24"/>
    </row>
    <row r="810" spans="1:29" x14ac:dyDescent="0.2">
      <c r="A810" s="11">
        <f>+'SERVICIO FAENA'!A810</f>
        <v>0</v>
      </c>
      <c r="B810" s="11">
        <f>+'SERVICIO FAENA'!B810</f>
        <v>0</v>
      </c>
      <c r="C810" s="11"/>
      <c r="D810" s="11"/>
      <c r="E810" s="18">
        <f>+'SERVICIO FAENA'!E810</f>
        <v>0</v>
      </c>
      <c r="F810" s="11"/>
      <c r="G810" s="180" t="e">
        <f t="shared" si="64"/>
        <v>#DIV/0!</v>
      </c>
      <c r="H810" s="11"/>
      <c r="I810" s="11"/>
      <c r="J810" s="180" t="e">
        <f t="shared" ref="J810:J873" si="65">+((F810-(H810+I810))/F810)</f>
        <v>#DIV/0!</v>
      </c>
      <c r="K810" s="100"/>
      <c r="L810" s="100"/>
      <c r="M810" s="100"/>
      <c r="N810" s="100">
        <f t="shared" ref="N810:N873" si="66">SUM(K810:M810)</f>
        <v>0</v>
      </c>
      <c r="O810" s="100"/>
      <c r="P810" s="41">
        <v>880</v>
      </c>
      <c r="Q810" s="11"/>
      <c r="R810" s="41">
        <v>260</v>
      </c>
      <c r="S810" s="185"/>
      <c r="T810" s="185"/>
      <c r="U810" s="185"/>
      <c r="V810" s="185"/>
      <c r="W810" s="41">
        <f t="shared" ref="W810:W873" si="67">+(P810*O810)+(R810*Q810)</f>
        <v>0</v>
      </c>
      <c r="X810" s="41">
        <f t="shared" si="63"/>
        <v>0</v>
      </c>
      <c r="Y810" s="11"/>
      <c r="Z810" s="11"/>
      <c r="AA810" s="11"/>
      <c r="AB810" s="11"/>
      <c r="AC810" s="24"/>
    </row>
    <row r="811" spans="1:29" x14ac:dyDescent="0.2">
      <c r="A811" s="11">
        <f>+'SERVICIO FAENA'!A811</f>
        <v>0</v>
      </c>
      <c r="B811" s="11">
        <f>+'SERVICIO FAENA'!B811</f>
        <v>0</v>
      </c>
      <c r="C811" s="11"/>
      <c r="D811" s="11"/>
      <c r="E811" s="18">
        <f>+'SERVICIO FAENA'!E811</f>
        <v>0</v>
      </c>
      <c r="F811" s="11"/>
      <c r="G811" s="180" t="e">
        <f t="shared" si="64"/>
        <v>#DIV/0!</v>
      </c>
      <c r="H811" s="11"/>
      <c r="I811" s="11"/>
      <c r="J811" s="180" t="e">
        <f t="shared" si="65"/>
        <v>#DIV/0!</v>
      </c>
      <c r="K811" s="100"/>
      <c r="L811" s="100"/>
      <c r="M811" s="100"/>
      <c r="N811" s="100">
        <f t="shared" si="66"/>
        <v>0</v>
      </c>
      <c r="O811" s="100"/>
      <c r="P811" s="41">
        <v>880</v>
      </c>
      <c r="Q811" s="11"/>
      <c r="R811" s="41">
        <v>260</v>
      </c>
      <c r="S811" s="185"/>
      <c r="T811" s="185"/>
      <c r="U811" s="185"/>
      <c r="V811" s="185"/>
      <c r="W811" s="41">
        <f t="shared" si="67"/>
        <v>0</v>
      </c>
      <c r="X811" s="41">
        <f t="shared" si="63"/>
        <v>0</v>
      </c>
      <c r="Y811" s="11"/>
      <c r="Z811" s="11"/>
      <c r="AA811" s="11"/>
      <c r="AB811" s="11"/>
      <c r="AC811" s="24"/>
    </row>
    <row r="812" spans="1:29" x14ac:dyDescent="0.2">
      <c r="A812" s="11">
        <f>+'SERVICIO FAENA'!A812</f>
        <v>0</v>
      </c>
      <c r="B812" s="11">
        <f>+'SERVICIO FAENA'!B812</f>
        <v>0</v>
      </c>
      <c r="C812" s="11"/>
      <c r="D812" s="11"/>
      <c r="E812" s="18">
        <f>+'SERVICIO FAENA'!E812</f>
        <v>0</v>
      </c>
      <c r="F812" s="11"/>
      <c r="G812" s="180" t="e">
        <f t="shared" si="64"/>
        <v>#DIV/0!</v>
      </c>
      <c r="H812" s="11"/>
      <c r="I812" s="11"/>
      <c r="J812" s="180" t="e">
        <f t="shared" si="65"/>
        <v>#DIV/0!</v>
      </c>
      <c r="K812" s="100"/>
      <c r="L812" s="100"/>
      <c r="M812" s="100"/>
      <c r="N812" s="100">
        <f t="shared" si="66"/>
        <v>0</v>
      </c>
      <c r="O812" s="100"/>
      <c r="P812" s="41">
        <v>880</v>
      </c>
      <c r="Q812" s="11"/>
      <c r="R812" s="41">
        <v>260</v>
      </c>
      <c r="S812" s="185"/>
      <c r="T812" s="185"/>
      <c r="U812" s="185"/>
      <c r="V812" s="185"/>
      <c r="W812" s="41">
        <f t="shared" si="67"/>
        <v>0</v>
      </c>
      <c r="X812" s="41">
        <f t="shared" si="63"/>
        <v>0</v>
      </c>
      <c r="Y812" s="11"/>
      <c r="Z812" s="11"/>
      <c r="AA812" s="11"/>
      <c r="AB812" s="11"/>
      <c r="AC812" s="24"/>
    </row>
    <row r="813" spans="1:29" x14ac:dyDescent="0.2">
      <c r="A813" s="11">
        <f>+'SERVICIO FAENA'!A813</f>
        <v>0</v>
      </c>
      <c r="B813" s="11">
        <f>+'SERVICIO FAENA'!B813</f>
        <v>0</v>
      </c>
      <c r="C813" s="11"/>
      <c r="D813" s="11"/>
      <c r="E813" s="18">
        <f>+'SERVICIO FAENA'!E813</f>
        <v>0</v>
      </c>
      <c r="F813" s="11"/>
      <c r="G813" s="180" t="e">
        <f t="shared" si="64"/>
        <v>#DIV/0!</v>
      </c>
      <c r="H813" s="11"/>
      <c r="I813" s="11"/>
      <c r="J813" s="180" t="e">
        <f t="shared" si="65"/>
        <v>#DIV/0!</v>
      </c>
      <c r="K813" s="100"/>
      <c r="L813" s="100"/>
      <c r="M813" s="100"/>
      <c r="N813" s="100">
        <f t="shared" si="66"/>
        <v>0</v>
      </c>
      <c r="O813" s="100"/>
      <c r="P813" s="41">
        <v>880</v>
      </c>
      <c r="Q813" s="11"/>
      <c r="R813" s="41">
        <v>260</v>
      </c>
      <c r="S813" s="185"/>
      <c r="T813" s="185"/>
      <c r="U813" s="185"/>
      <c r="V813" s="185"/>
      <c r="W813" s="41">
        <f t="shared" si="67"/>
        <v>0</v>
      </c>
      <c r="X813" s="41">
        <f t="shared" si="63"/>
        <v>0</v>
      </c>
      <c r="Y813" s="11"/>
      <c r="Z813" s="11"/>
      <c r="AA813" s="11"/>
      <c r="AB813" s="11"/>
      <c r="AC813" s="24"/>
    </row>
    <row r="814" spans="1:29" x14ac:dyDescent="0.2">
      <c r="A814" s="11">
        <f>+'SERVICIO FAENA'!A814</f>
        <v>0</v>
      </c>
      <c r="B814" s="11">
        <f>+'SERVICIO FAENA'!B814</f>
        <v>0</v>
      </c>
      <c r="C814" s="11"/>
      <c r="D814" s="11"/>
      <c r="E814" s="18">
        <f>+'SERVICIO FAENA'!E814</f>
        <v>0</v>
      </c>
      <c r="F814" s="11"/>
      <c r="G814" s="180" t="e">
        <f t="shared" si="64"/>
        <v>#DIV/0!</v>
      </c>
      <c r="H814" s="11"/>
      <c r="I814" s="11"/>
      <c r="J814" s="180" t="e">
        <f t="shared" si="65"/>
        <v>#DIV/0!</v>
      </c>
      <c r="K814" s="100"/>
      <c r="L814" s="100"/>
      <c r="M814" s="100"/>
      <c r="N814" s="100">
        <f t="shared" si="66"/>
        <v>0</v>
      </c>
      <c r="O814" s="100"/>
      <c r="P814" s="41">
        <v>880</v>
      </c>
      <c r="Q814" s="11"/>
      <c r="R814" s="41">
        <v>260</v>
      </c>
      <c r="S814" s="185"/>
      <c r="T814" s="185"/>
      <c r="U814" s="185"/>
      <c r="V814" s="185"/>
      <c r="W814" s="41">
        <f t="shared" si="67"/>
        <v>0</v>
      </c>
      <c r="X814" s="41">
        <f t="shared" si="63"/>
        <v>0</v>
      </c>
      <c r="Y814" s="11"/>
      <c r="Z814" s="11"/>
      <c r="AA814" s="11"/>
      <c r="AB814" s="11"/>
      <c r="AC814" s="24"/>
    </row>
    <row r="815" spans="1:29" x14ac:dyDescent="0.2">
      <c r="A815" s="11">
        <f>+'SERVICIO FAENA'!A815</f>
        <v>0</v>
      </c>
      <c r="B815" s="11">
        <f>+'SERVICIO FAENA'!B815</f>
        <v>0</v>
      </c>
      <c r="C815" s="11"/>
      <c r="D815" s="11"/>
      <c r="E815" s="18">
        <f>+'SERVICIO FAENA'!E815</f>
        <v>0</v>
      </c>
      <c r="F815" s="11"/>
      <c r="G815" s="180" t="e">
        <f t="shared" si="64"/>
        <v>#DIV/0!</v>
      </c>
      <c r="H815" s="11"/>
      <c r="I815" s="11"/>
      <c r="J815" s="180" t="e">
        <f t="shared" si="65"/>
        <v>#DIV/0!</v>
      </c>
      <c r="K815" s="100"/>
      <c r="L815" s="100"/>
      <c r="M815" s="100"/>
      <c r="N815" s="100">
        <f t="shared" si="66"/>
        <v>0</v>
      </c>
      <c r="O815" s="100"/>
      <c r="P815" s="41">
        <v>880</v>
      </c>
      <c r="Q815" s="11"/>
      <c r="R815" s="41">
        <v>260</v>
      </c>
      <c r="S815" s="185"/>
      <c r="T815" s="185"/>
      <c r="U815" s="185"/>
      <c r="V815" s="185"/>
      <c r="W815" s="41">
        <f t="shared" si="67"/>
        <v>0</v>
      </c>
      <c r="X815" s="41">
        <f t="shared" si="63"/>
        <v>0</v>
      </c>
      <c r="Y815" s="11"/>
      <c r="Z815" s="11"/>
      <c r="AA815" s="11"/>
      <c r="AB815" s="11"/>
      <c r="AC815" s="24"/>
    </row>
    <row r="816" spans="1:29" x14ac:dyDescent="0.2">
      <c r="A816" s="11">
        <f>+'SERVICIO FAENA'!A816</f>
        <v>0</v>
      </c>
      <c r="B816" s="11">
        <f>+'SERVICIO FAENA'!B816</f>
        <v>0</v>
      </c>
      <c r="C816" s="11"/>
      <c r="D816" s="11"/>
      <c r="E816" s="18">
        <f>+'SERVICIO FAENA'!E816</f>
        <v>0</v>
      </c>
      <c r="F816" s="11"/>
      <c r="G816" s="180" t="e">
        <f t="shared" si="64"/>
        <v>#DIV/0!</v>
      </c>
      <c r="H816" s="11"/>
      <c r="I816" s="11"/>
      <c r="J816" s="180" t="e">
        <f t="shared" si="65"/>
        <v>#DIV/0!</v>
      </c>
      <c r="K816" s="100"/>
      <c r="L816" s="100"/>
      <c r="M816" s="100"/>
      <c r="N816" s="100">
        <f t="shared" si="66"/>
        <v>0</v>
      </c>
      <c r="O816" s="100"/>
      <c r="P816" s="41">
        <v>880</v>
      </c>
      <c r="Q816" s="11"/>
      <c r="R816" s="41">
        <v>260</v>
      </c>
      <c r="S816" s="185"/>
      <c r="T816" s="185"/>
      <c r="U816" s="185"/>
      <c r="V816" s="185"/>
      <c r="W816" s="41">
        <f t="shared" si="67"/>
        <v>0</v>
      </c>
      <c r="X816" s="41">
        <f t="shared" si="63"/>
        <v>0</v>
      </c>
      <c r="Y816" s="11"/>
      <c r="Z816" s="11"/>
      <c r="AA816" s="11"/>
      <c r="AB816" s="11"/>
      <c r="AC816" s="24"/>
    </row>
    <row r="817" spans="1:29" x14ac:dyDescent="0.2">
      <c r="A817" s="11">
        <f>+'SERVICIO FAENA'!A817</f>
        <v>0</v>
      </c>
      <c r="B817" s="11">
        <f>+'SERVICIO FAENA'!B817</f>
        <v>0</v>
      </c>
      <c r="C817" s="11"/>
      <c r="D817" s="11"/>
      <c r="E817" s="18">
        <f>+'SERVICIO FAENA'!E817</f>
        <v>0</v>
      </c>
      <c r="F817" s="11"/>
      <c r="G817" s="180" t="e">
        <f t="shared" si="64"/>
        <v>#DIV/0!</v>
      </c>
      <c r="H817" s="11"/>
      <c r="I817" s="11"/>
      <c r="J817" s="180" t="e">
        <f t="shared" si="65"/>
        <v>#DIV/0!</v>
      </c>
      <c r="K817" s="100"/>
      <c r="L817" s="100"/>
      <c r="M817" s="100"/>
      <c r="N817" s="100">
        <f t="shared" si="66"/>
        <v>0</v>
      </c>
      <c r="O817" s="100"/>
      <c r="P817" s="41">
        <v>880</v>
      </c>
      <c r="Q817" s="11"/>
      <c r="R817" s="41">
        <v>260</v>
      </c>
      <c r="S817" s="185"/>
      <c r="T817" s="185"/>
      <c r="U817" s="185"/>
      <c r="V817" s="185"/>
      <c r="W817" s="41">
        <f t="shared" si="67"/>
        <v>0</v>
      </c>
      <c r="X817" s="41">
        <f t="shared" si="63"/>
        <v>0</v>
      </c>
      <c r="Y817" s="11"/>
      <c r="Z817" s="11"/>
      <c r="AA817" s="11"/>
      <c r="AB817" s="11"/>
      <c r="AC817" s="24"/>
    </row>
    <row r="818" spans="1:29" x14ac:dyDescent="0.2">
      <c r="A818" s="11">
        <f>+'SERVICIO FAENA'!A818</f>
        <v>0</v>
      </c>
      <c r="B818" s="11">
        <f>+'SERVICIO FAENA'!B818</f>
        <v>0</v>
      </c>
      <c r="C818" s="11"/>
      <c r="D818" s="11"/>
      <c r="E818" s="18">
        <f>+'SERVICIO FAENA'!E818</f>
        <v>0</v>
      </c>
      <c r="F818" s="11"/>
      <c r="G818" s="180" t="e">
        <f t="shared" si="64"/>
        <v>#DIV/0!</v>
      </c>
      <c r="H818" s="11"/>
      <c r="I818" s="11"/>
      <c r="J818" s="180" t="e">
        <f t="shared" si="65"/>
        <v>#DIV/0!</v>
      </c>
      <c r="K818" s="100"/>
      <c r="L818" s="100"/>
      <c r="M818" s="100"/>
      <c r="N818" s="100">
        <f t="shared" si="66"/>
        <v>0</v>
      </c>
      <c r="O818" s="100"/>
      <c r="P818" s="41">
        <v>880</v>
      </c>
      <c r="Q818" s="11"/>
      <c r="R818" s="41">
        <v>260</v>
      </c>
      <c r="S818" s="185"/>
      <c r="T818" s="185"/>
      <c r="U818" s="185"/>
      <c r="V818" s="185"/>
      <c r="W818" s="41">
        <f t="shared" si="67"/>
        <v>0</v>
      </c>
      <c r="X818" s="41">
        <f t="shared" si="63"/>
        <v>0</v>
      </c>
      <c r="Y818" s="11"/>
      <c r="Z818" s="11"/>
      <c r="AA818" s="11"/>
      <c r="AB818" s="11"/>
      <c r="AC818" s="24"/>
    </row>
    <row r="819" spans="1:29" x14ac:dyDescent="0.2">
      <c r="A819" s="11">
        <f>+'SERVICIO FAENA'!A819</f>
        <v>0</v>
      </c>
      <c r="B819" s="11">
        <f>+'SERVICIO FAENA'!B819</f>
        <v>0</v>
      </c>
      <c r="C819" s="11"/>
      <c r="D819" s="11"/>
      <c r="E819" s="18">
        <f>+'SERVICIO FAENA'!E819</f>
        <v>0</v>
      </c>
      <c r="F819" s="11"/>
      <c r="G819" s="180" t="e">
        <f t="shared" si="64"/>
        <v>#DIV/0!</v>
      </c>
      <c r="H819" s="11"/>
      <c r="I819" s="11"/>
      <c r="J819" s="180" t="e">
        <f t="shared" si="65"/>
        <v>#DIV/0!</v>
      </c>
      <c r="K819" s="100"/>
      <c r="L819" s="100"/>
      <c r="M819" s="100"/>
      <c r="N819" s="100">
        <f t="shared" si="66"/>
        <v>0</v>
      </c>
      <c r="O819" s="100"/>
      <c r="P819" s="41">
        <v>880</v>
      </c>
      <c r="Q819" s="11"/>
      <c r="R819" s="41">
        <v>260</v>
      </c>
      <c r="S819" s="185"/>
      <c r="T819" s="185"/>
      <c r="U819" s="185"/>
      <c r="V819" s="185"/>
      <c r="W819" s="41">
        <f t="shared" si="67"/>
        <v>0</v>
      </c>
      <c r="X819" s="41">
        <f t="shared" si="63"/>
        <v>0</v>
      </c>
      <c r="Y819" s="11"/>
      <c r="Z819" s="11"/>
      <c r="AA819" s="11"/>
      <c r="AB819" s="11"/>
      <c r="AC819" s="24"/>
    </row>
    <row r="820" spans="1:29" x14ac:dyDescent="0.2">
      <c r="A820" s="11">
        <f>+'SERVICIO FAENA'!A820</f>
        <v>0</v>
      </c>
      <c r="B820" s="11">
        <f>+'SERVICIO FAENA'!B820</f>
        <v>0</v>
      </c>
      <c r="C820" s="11"/>
      <c r="D820" s="11"/>
      <c r="E820" s="18">
        <f>+'SERVICIO FAENA'!E820</f>
        <v>0</v>
      </c>
      <c r="F820" s="11"/>
      <c r="G820" s="180" t="e">
        <f t="shared" si="64"/>
        <v>#DIV/0!</v>
      </c>
      <c r="H820" s="11"/>
      <c r="I820" s="11"/>
      <c r="J820" s="180" t="e">
        <f t="shared" si="65"/>
        <v>#DIV/0!</v>
      </c>
      <c r="K820" s="100"/>
      <c r="L820" s="100"/>
      <c r="M820" s="100"/>
      <c r="N820" s="100">
        <f t="shared" si="66"/>
        <v>0</v>
      </c>
      <c r="O820" s="100"/>
      <c r="P820" s="41">
        <v>880</v>
      </c>
      <c r="Q820" s="11"/>
      <c r="R820" s="41">
        <v>260</v>
      </c>
      <c r="S820" s="185"/>
      <c r="T820" s="185"/>
      <c r="U820" s="185"/>
      <c r="V820" s="185"/>
      <c r="W820" s="41">
        <f t="shared" si="67"/>
        <v>0</v>
      </c>
      <c r="X820" s="41">
        <f t="shared" si="63"/>
        <v>0</v>
      </c>
      <c r="Y820" s="11"/>
      <c r="Z820" s="11"/>
      <c r="AA820" s="11"/>
      <c r="AB820" s="11"/>
      <c r="AC820" s="24"/>
    </row>
    <row r="821" spans="1:29" x14ac:dyDescent="0.2">
      <c r="A821" s="11">
        <f>+'SERVICIO FAENA'!A821</f>
        <v>0</v>
      </c>
      <c r="B821" s="11">
        <f>+'SERVICIO FAENA'!B821</f>
        <v>0</v>
      </c>
      <c r="C821" s="11"/>
      <c r="D821" s="11"/>
      <c r="E821" s="18">
        <f>+'SERVICIO FAENA'!E821</f>
        <v>0</v>
      </c>
      <c r="F821" s="11"/>
      <c r="G821" s="180" t="e">
        <f t="shared" si="64"/>
        <v>#DIV/0!</v>
      </c>
      <c r="H821" s="11"/>
      <c r="I821" s="11"/>
      <c r="J821" s="180" t="e">
        <f t="shared" si="65"/>
        <v>#DIV/0!</v>
      </c>
      <c r="K821" s="100"/>
      <c r="L821" s="100"/>
      <c r="M821" s="100"/>
      <c r="N821" s="100">
        <f t="shared" si="66"/>
        <v>0</v>
      </c>
      <c r="O821" s="100"/>
      <c r="P821" s="41">
        <v>880</v>
      </c>
      <c r="Q821" s="11"/>
      <c r="R821" s="41">
        <v>260</v>
      </c>
      <c r="S821" s="185"/>
      <c r="T821" s="185"/>
      <c r="U821" s="185"/>
      <c r="V821" s="185"/>
      <c r="W821" s="41">
        <f t="shared" si="67"/>
        <v>0</v>
      </c>
      <c r="X821" s="41">
        <f t="shared" si="63"/>
        <v>0</v>
      </c>
      <c r="Y821" s="11"/>
      <c r="Z821" s="11"/>
      <c r="AA821" s="11"/>
      <c r="AB821" s="11"/>
      <c r="AC821" s="24"/>
    </row>
    <row r="822" spans="1:29" x14ac:dyDescent="0.2">
      <c r="A822" s="11">
        <f>+'SERVICIO FAENA'!A822</f>
        <v>0</v>
      </c>
      <c r="B822" s="11">
        <f>+'SERVICIO FAENA'!B822</f>
        <v>0</v>
      </c>
      <c r="C822" s="11"/>
      <c r="D822" s="11"/>
      <c r="E822" s="18">
        <f>+'SERVICIO FAENA'!E822</f>
        <v>0</v>
      </c>
      <c r="F822" s="11"/>
      <c r="G822" s="180" t="e">
        <f t="shared" si="64"/>
        <v>#DIV/0!</v>
      </c>
      <c r="H822" s="11"/>
      <c r="I822" s="11"/>
      <c r="J822" s="180" t="e">
        <f t="shared" si="65"/>
        <v>#DIV/0!</v>
      </c>
      <c r="K822" s="100"/>
      <c r="L822" s="100"/>
      <c r="M822" s="100"/>
      <c r="N822" s="100">
        <f t="shared" si="66"/>
        <v>0</v>
      </c>
      <c r="O822" s="100"/>
      <c r="P822" s="41">
        <v>880</v>
      </c>
      <c r="Q822" s="11"/>
      <c r="R822" s="41">
        <v>260</v>
      </c>
      <c r="S822" s="185"/>
      <c r="T822" s="185"/>
      <c r="U822" s="185"/>
      <c r="V822" s="185"/>
      <c r="W822" s="41">
        <f t="shared" si="67"/>
        <v>0</v>
      </c>
      <c r="X822" s="41">
        <f t="shared" si="63"/>
        <v>0</v>
      </c>
      <c r="Y822" s="11"/>
      <c r="Z822" s="11"/>
      <c r="AA822" s="11"/>
      <c r="AB822" s="11"/>
      <c r="AC822" s="24"/>
    </row>
    <row r="823" spans="1:29" x14ac:dyDescent="0.2">
      <c r="A823" s="11">
        <f>+'SERVICIO FAENA'!A823</f>
        <v>0</v>
      </c>
      <c r="B823" s="11">
        <f>+'SERVICIO FAENA'!B823</f>
        <v>0</v>
      </c>
      <c r="C823" s="11"/>
      <c r="D823" s="11"/>
      <c r="E823" s="18">
        <f>+'SERVICIO FAENA'!E823</f>
        <v>0</v>
      </c>
      <c r="F823" s="11"/>
      <c r="G823" s="180" t="e">
        <f t="shared" si="64"/>
        <v>#DIV/0!</v>
      </c>
      <c r="H823" s="11"/>
      <c r="I823" s="11"/>
      <c r="J823" s="180" t="e">
        <f t="shared" si="65"/>
        <v>#DIV/0!</v>
      </c>
      <c r="K823" s="100"/>
      <c r="L823" s="100"/>
      <c r="M823" s="100"/>
      <c r="N823" s="100">
        <f t="shared" si="66"/>
        <v>0</v>
      </c>
      <c r="O823" s="100"/>
      <c r="P823" s="41">
        <v>880</v>
      </c>
      <c r="Q823" s="11"/>
      <c r="R823" s="41">
        <v>260</v>
      </c>
      <c r="S823" s="185"/>
      <c r="T823" s="185"/>
      <c r="U823" s="185"/>
      <c r="V823" s="185"/>
      <c r="W823" s="41">
        <f t="shared" si="67"/>
        <v>0</v>
      </c>
      <c r="X823" s="41">
        <f t="shared" si="63"/>
        <v>0</v>
      </c>
      <c r="Y823" s="11"/>
      <c r="Z823" s="11"/>
      <c r="AA823" s="11"/>
      <c r="AB823" s="11"/>
      <c r="AC823" s="24"/>
    </row>
    <row r="824" spans="1:29" x14ac:dyDescent="0.2">
      <c r="A824" s="11">
        <f>+'SERVICIO FAENA'!A824</f>
        <v>0</v>
      </c>
      <c r="B824" s="11">
        <f>+'SERVICIO FAENA'!B824</f>
        <v>0</v>
      </c>
      <c r="C824" s="11"/>
      <c r="D824" s="11"/>
      <c r="E824" s="18">
        <f>+'SERVICIO FAENA'!E824</f>
        <v>0</v>
      </c>
      <c r="F824" s="11"/>
      <c r="G824" s="180" t="e">
        <f t="shared" si="64"/>
        <v>#DIV/0!</v>
      </c>
      <c r="H824" s="11"/>
      <c r="I824" s="11"/>
      <c r="J824" s="180" t="e">
        <f t="shared" si="65"/>
        <v>#DIV/0!</v>
      </c>
      <c r="K824" s="100"/>
      <c r="L824" s="100"/>
      <c r="M824" s="100"/>
      <c r="N824" s="100">
        <f t="shared" si="66"/>
        <v>0</v>
      </c>
      <c r="O824" s="100"/>
      <c r="P824" s="41">
        <v>880</v>
      </c>
      <c r="Q824" s="11"/>
      <c r="R824" s="41">
        <v>260</v>
      </c>
      <c r="S824" s="185"/>
      <c r="T824" s="185"/>
      <c r="U824" s="185"/>
      <c r="V824" s="185"/>
      <c r="W824" s="41">
        <f t="shared" si="67"/>
        <v>0</v>
      </c>
      <c r="X824" s="41">
        <f t="shared" si="63"/>
        <v>0</v>
      </c>
      <c r="Y824" s="11"/>
      <c r="Z824" s="11"/>
      <c r="AA824" s="11"/>
      <c r="AB824" s="11"/>
      <c r="AC824" s="24"/>
    </row>
    <row r="825" spans="1:29" x14ac:dyDescent="0.2">
      <c r="A825" s="11">
        <f>+'SERVICIO FAENA'!A825</f>
        <v>0</v>
      </c>
      <c r="B825" s="11">
        <f>+'SERVICIO FAENA'!B825</f>
        <v>0</v>
      </c>
      <c r="C825" s="11"/>
      <c r="D825" s="11"/>
      <c r="E825" s="18">
        <f>+'SERVICIO FAENA'!E825</f>
        <v>0</v>
      </c>
      <c r="F825" s="11"/>
      <c r="G825" s="180" t="e">
        <f t="shared" si="64"/>
        <v>#DIV/0!</v>
      </c>
      <c r="H825" s="11"/>
      <c r="I825" s="11"/>
      <c r="J825" s="180" t="e">
        <f t="shared" si="65"/>
        <v>#DIV/0!</v>
      </c>
      <c r="K825" s="100"/>
      <c r="L825" s="100"/>
      <c r="M825" s="100"/>
      <c r="N825" s="100">
        <f t="shared" si="66"/>
        <v>0</v>
      </c>
      <c r="O825" s="100"/>
      <c r="P825" s="41">
        <v>880</v>
      </c>
      <c r="Q825" s="11"/>
      <c r="R825" s="41">
        <v>260</v>
      </c>
      <c r="S825" s="185"/>
      <c r="T825" s="185"/>
      <c r="U825" s="185"/>
      <c r="V825" s="185"/>
      <c r="W825" s="41">
        <f t="shared" si="67"/>
        <v>0</v>
      </c>
      <c r="X825" s="41">
        <f t="shared" si="63"/>
        <v>0</v>
      </c>
      <c r="Y825" s="11"/>
      <c r="Z825" s="11"/>
      <c r="AA825" s="11"/>
      <c r="AB825" s="11"/>
      <c r="AC825" s="24"/>
    </row>
    <row r="826" spans="1:29" x14ac:dyDescent="0.2">
      <c r="A826" s="11">
        <f>+'SERVICIO FAENA'!A826</f>
        <v>0</v>
      </c>
      <c r="B826" s="11">
        <f>+'SERVICIO FAENA'!B826</f>
        <v>0</v>
      </c>
      <c r="C826" s="11"/>
      <c r="D826" s="11"/>
      <c r="E826" s="18">
        <f>+'SERVICIO FAENA'!E826</f>
        <v>0</v>
      </c>
      <c r="F826" s="11"/>
      <c r="G826" s="180" t="e">
        <f t="shared" si="64"/>
        <v>#DIV/0!</v>
      </c>
      <c r="H826" s="11"/>
      <c r="I826" s="11"/>
      <c r="J826" s="180" t="e">
        <f t="shared" si="65"/>
        <v>#DIV/0!</v>
      </c>
      <c r="K826" s="100"/>
      <c r="L826" s="100"/>
      <c r="M826" s="100"/>
      <c r="N826" s="100">
        <f t="shared" si="66"/>
        <v>0</v>
      </c>
      <c r="O826" s="100"/>
      <c r="P826" s="41">
        <v>880</v>
      </c>
      <c r="Q826" s="11"/>
      <c r="R826" s="41">
        <v>260</v>
      </c>
      <c r="S826" s="185"/>
      <c r="T826" s="185"/>
      <c r="U826" s="185"/>
      <c r="V826" s="185"/>
      <c r="W826" s="41">
        <f t="shared" si="67"/>
        <v>0</v>
      </c>
      <c r="X826" s="41">
        <f t="shared" si="63"/>
        <v>0</v>
      </c>
      <c r="Y826" s="11"/>
      <c r="Z826" s="11"/>
      <c r="AA826" s="11"/>
      <c r="AB826" s="11"/>
      <c r="AC826" s="24"/>
    </row>
    <row r="827" spans="1:29" x14ac:dyDescent="0.2">
      <c r="A827" s="11">
        <f>+'SERVICIO FAENA'!A827</f>
        <v>0</v>
      </c>
      <c r="B827" s="11">
        <f>+'SERVICIO FAENA'!B827</f>
        <v>0</v>
      </c>
      <c r="C827" s="11"/>
      <c r="D827" s="11"/>
      <c r="E827" s="18">
        <f>+'SERVICIO FAENA'!E827</f>
        <v>0</v>
      </c>
      <c r="F827" s="11"/>
      <c r="G827" s="180" t="e">
        <f t="shared" si="64"/>
        <v>#DIV/0!</v>
      </c>
      <c r="H827" s="11"/>
      <c r="I827" s="11"/>
      <c r="J827" s="180" t="e">
        <f t="shared" si="65"/>
        <v>#DIV/0!</v>
      </c>
      <c r="K827" s="100"/>
      <c r="L827" s="100"/>
      <c r="M827" s="100"/>
      <c r="N827" s="100">
        <f t="shared" si="66"/>
        <v>0</v>
      </c>
      <c r="O827" s="100"/>
      <c r="P827" s="41">
        <v>880</v>
      </c>
      <c r="Q827" s="11"/>
      <c r="R827" s="41">
        <v>260</v>
      </c>
      <c r="S827" s="185"/>
      <c r="T827" s="185"/>
      <c r="U827" s="185"/>
      <c r="V827" s="185"/>
      <c r="W827" s="41">
        <f t="shared" si="67"/>
        <v>0</v>
      </c>
      <c r="X827" s="41">
        <f t="shared" si="63"/>
        <v>0</v>
      </c>
      <c r="Y827" s="11"/>
      <c r="Z827" s="11"/>
      <c r="AA827" s="11"/>
      <c r="AB827" s="11"/>
      <c r="AC827" s="24"/>
    </row>
    <row r="828" spans="1:29" x14ac:dyDescent="0.2">
      <c r="A828" s="11">
        <f>+'SERVICIO FAENA'!A828</f>
        <v>0</v>
      </c>
      <c r="B828" s="11">
        <f>+'SERVICIO FAENA'!B828</f>
        <v>0</v>
      </c>
      <c r="C828" s="11"/>
      <c r="D828" s="11"/>
      <c r="E828" s="18">
        <f>+'SERVICIO FAENA'!E828</f>
        <v>0</v>
      </c>
      <c r="F828" s="11"/>
      <c r="G828" s="180" t="e">
        <f t="shared" si="64"/>
        <v>#DIV/0!</v>
      </c>
      <c r="H828" s="11"/>
      <c r="I828" s="11"/>
      <c r="J828" s="180" t="e">
        <f t="shared" si="65"/>
        <v>#DIV/0!</v>
      </c>
      <c r="K828" s="100"/>
      <c r="L828" s="100"/>
      <c r="M828" s="100"/>
      <c r="N828" s="100">
        <f t="shared" si="66"/>
        <v>0</v>
      </c>
      <c r="O828" s="100"/>
      <c r="P828" s="41">
        <v>880</v>
      </c>
      <c r="Q828" s="11"/>
      <c r="R828" s="41">
        <v>260</v>
      </c>
      <c r="S828" s="185"/>
      <c r="T828" s="185"/>
      <c r="U828" s="185"/>
      <c r="V828" s="185"/>
      <c r="W828" s="41">
        <f t="shared" si="67"/>
        <v>0</v>
      </c>
      <c r="X828" s="41">
        <f t="shared" si="63"/>
        <v>0</v>
      </c>
      <c r="Y828" s="11"/>
      <c r="Z828" s="11"/>
      <c r="AA828" s="11"/>
      <c r="AB828" s="11"/>
      <c r="AC828" s="24"/>
    </row>
    <row r="829" spans="1:29" x14ac:dyDescent="0.2">
      <c r="A829" s="11">
        <f>+'SERVICIO FAENA'!A829</f>
        <v>0</v>
      </c>
      <c r="B829" s="11">
        <f>+'SERVICIO FAENA'!B829</f>
        <v>0</v>
      </c>
      <c r="C829" s="11"/>
      <c r="D829" s="11"/>
      <c r="E829" s="18">
        <f>+'SERVICIO FAENA'!E829</f>
        <v>0</v>
      </c>
      <c r="F829" s="11"/>
      <c r="G829" s="180" t="e">
        <f t="shared" si="64"/>
        <v>#DIV/0!</v>
      </c>
      <c r="H829" s="11"/>
      <c r="I829" s="11"/>
      <c r="J829" s="180" t="e">
        <f t="shared" si="65"/>
        <v>#DIV/0!</v>
      </c>
      <c r="K829" s="100"/>
      <c r="L829" s="100"/>
      <c r="M829" s="100"/>
      <c r="N829" s="100">
        <f t="shared" si="66"/>
        <v>0</v>
      </c>
      <c r="O829" s="100"/>
      <c r="P829" s="41">
        <v>880</v>
      </c>
      <c r="Q829" s="11"/>
      <c r="R829" s="41">
        <v>260</v>
      </c>
      <c r="S829" s="185"/>
      <c r="T829" s="185"/>
      <c r="U829" s="185"/>
      <c r="V829" s="185"/>
      <c r="W829" s="41">
        <f t="shared" si="67"/>
        <v>0</v>
      </c>
      <c r="X829" s="41">
        <f t="shared" si="63"/>
        <v>0</v>
      </c>
      <c r="Y829" s="11"/>
      <c r="Z829" s="11"/>
      <c r="AA829" s="11"/>
      <c r="AB829" s="11"/>
      <c r="AC829" s="24"/>
    </row>
    <row r="830" spans="1:29" x14ac:dyDescent="0.2">
      <c r="A830" s="11">
        <f>+'SERVICIO FAENA'!A830</f>
        <v>0</v>
      </c>
      <c r="B830" s="11">
        <f>+'SERVICIO FAENA'!B830</f>
        <v>0</v>
      </c>
      <c r="C830" s="11"/>
      <c r="D830" s="11"/>
      <c r="E830" s="18">
        <f>+'SERVICIO FAENA'!E830</f>
        <v>0</v>
      </c>
      <c r="F830" s="11"/>
      <c r="G830" s="180" t="e">
        <f t="shared" si="64"/>
        <v>#DIV/0!</v>
      </c>
      <c r="H830" s="11"/>
      <c r="I830" s="11"/>
      <c r="J830" s="180" t="e">
        <f t="shared" si="65"/>
        <v>#DIV/0!</v>
      </c>
      <c r="K830" s="100"/>
      <c r="L830" s="100"/>
      <c r="M830" s="100"/>
      <c r="N830" s="100">
        <f t="shared" si="66"/>
        <v>0</v>
      </c>
      <c r="O830" s="100"/>
      <c r="P830" s="41">
        <v>880</v>
      </c>
      <c r="Q830" s="11"/>
      <c r="R830" s="41">
        <v>260</v>
      </c>
      <c r="S830" s="185"/>
      <c r="T830" s="185"/>
      <c r="U830" s="185"/>
      <c r="V830" s="185"/>
      <c r="W830" s="41">
        <f t="shared" si="67"/>
        <v>0</v>
      </c>
      <c r="X830" s="41">
        <f t="shared" si="63"/>
        <v>0</v>
      </c>
      <c r="Y830" s="11"/>
      <c r="Z830" s="11"/>
      <c r="AA830" s="11"/>
      <c r="AB830" s="11"/>
      <c r="AC830" s="24"/>
    </row>
    <row r="831" spans="1:29" x14ac:dyDescent="0.2">
      <c r="A831" s="11">
        <f>+'SERVICIO FAENA'!A831</f>
        <v>0</v>
      </c>
      <c r="B831" s="11">
        <f>+'SERVICIO FAENA'!B831</f>
        <v>0</v>
      </c>
      <c r="C831" s="11"/>
      <c r="D831" s="11"/>
      <c r="E831" s="18">
        <f>+'SERVICIO FAENA'!E831</f>
        <v>0</v>
      </c>
      <c r="F831" s="11"/>
      <c r="G831" s="180" t="e">
        <f t="shared" si="64"/>
        <v>#DIV/0!</v>
      </c>
      <c r="H831" s="11"/>
      <c r="I831" s="11"/>
      <c r="J831" s="180" t="e">
        <f t="shared" si="65"/>
        <v>#DIV/0!</v>
      </c>
      <c r="K831" s="100"/>
      <c r="L831" s="100"/>
      <c r="M831" s="100"/>
      <c r="N831" s="100">
        <f t="shared" si="66"/>
        <v>0</v>
      </c>
      <c r="O831" s="100"/>
      <c r="P831" s="41">
        <v>880</v>
      </c>
      <c r="Q831" s="11"/>
      <c r="R831" s="41">
        <v>260</v>
      </c>
      <c r="S831" s="185"/>
      <c r="T831" s="185"/>
      <c r="U831" s="185"/>
      <c r="V831" s="185"/>
      <c r="W831" s="41">
        <f t="shared" si="67"/>
        <v>0</v>
      </c>
      <c r="X831" s="41">
        <f t="shared" si="63"/>
        <v>0</v>
      </c>
      <c r="Y831" s="11"/>
      <c r="Z831" s="11"/>
      <c r="AA831" s="11"/>
      <c r="AB831" s="11"/>
      <c r="AC831" s="24"/>
    </row>
    <row r="832" spans="1:29" x14ac:dyDescent="0.2">
      <c r="A832" s="11">
        <f>+'SERVICIO FAENA'!A832</f>
        <v>0</v>
      </c>
      <c r="B832" s="11">
        <f>+'SERVICIO FAENA'!B832</f>
        <v>0</v>
      </c>
      <c r="C832" s="11"/>
      <c r="D832" s="11"/>
      <c r="E832" s="18">
        <f>+'SERVICIO FAENA'!E832</f>
        <v>0</v>
      </c>
      <c r="F832" s="11"/>
      <c r="G832" s="180" t="e">
        <f t="shared" si="64"/>
        <v>#DIV/0!</v>
      </c>
      <c r="H832" s="11"/>
      <c r="I832" s="11"/>
      <c r="J832" s="180" t="e">
        <f t="shared" si="65"/>
        <v>#DIV/0!</v>
      </c>
      <c r="K832" s="100"/>
      <c r="L832" s="100"/>
      <c r="M832" s="100"/>
      <c r="N832" s="100">
        <f t="shared" si="66"/>
        <v>0</v>
      </c>
      <c r="O832" s="100"/>
      <c r="P832" s="41">
        <v>880</v>
      </c>
      <c r="Q832" s="11"/>
      <c r="R832" s="41">
        <v>260</v>
      </c>
      <c r="S832" s="185"/>
      <c r="T832" s="185"/>
      <c r="U832" s="185"/>
      <c r="V832" s="185"/>
      <c r="W832" s="41">
        <f t="shared" si="67"/>
        <v>0</v>
      </c>
      <c r="X832" s="41">
        <f t="shared" si="63"/>
        <v>0</v>
      </c>
      <c r="Y832" s="11"/>
      <c r="Z832" s="11"/>
      <c r="AA832" s="11"/>
      <c r="AB832" s="11"/>
      <c r="AC832" s="24"/>
    </row>
    <row r="833" spans="1:29" x14ac:dyDescent="0.2">
      <c r="A833" s="11">
        <f>+'SERVICIO FAENA'!A833</f>
        <v>0</v>
      </c>
      <c r="B833" s="11">
        <f>+'SERVICIO FAENA'!B833</f>
        <v>0</v>
      </c>
      <c r="C833" s="11"/>
      <c r="D833" s="11"/>
      <c r="E833" s="18">
        <f>+'SERVICIO FAENA'!E833</f>
        <v>0</v>
      </c>
      <c r="F833" s="11"/>
      <c r="G833" s="180" t="e">
        <f t="shared" si="64"/>
        <v>#DIV/0!</v>
      </c>
      <c r="H833" s="11"/>
      <c r="I833" s="11"/>
      <c r="J833" s="180" t="e">
        <f t="shared" si="65"/>
        <v>#DIV/0!</v>
      </c>
      <c r="K833" s="100"/>
      <c r="L833" s="100"/>
      <c r="M833" s="100"/>
      <c r="N833" s="100">
        <f t="shared" si="66"/>
        <v>0</v>
      </c>
      <c r="O833" s="100"/>
      <c r="P833" s="41">
        <v>880</v>
      </c>
      <c r="Q833" s="11"/>
      <c r="R833" s="41">
        <v>260</v>
      </c>
      <c r="S833" s="185"/>
      <c r="T833" s="185"/>
      <c r="U833" s="185"/>
      <c r="V833" s="185"/>
      <c r="W833" s="41">
        <f t="shared" si="67"/>
        <v>0</v>
      </c>
      <c r="X833" s="41">
        <f t="shared" si="63"/>
        <v>0</v>
      </c>
      <c r="Y833" s="11"/>
      <c r="Z833" s="11"/>
      <c r="AA833" s="11"/>
      <c r="AB833" s="11"/>
      <c r="AC833" s="24"/>
    </row>
    <row r="834" spans="1:29" x14ac:dyDescent="0.2">
      <c r="A834" s="11">
        <f>+'SERVICIO FAENA'!A834</f>
        <v>0</v>
      </c>
      <c r="B834" s="11">
        <f>+'SERVICIO FAENA'!B834</f>
        <v>0</v>
      </c>
      <c r="C834" s="11"/>
      <c r="D834" s="11"/>
      <c r="E834" s="18">
        <f>+'SERVICIO FAENA'!E834</f>
        <v>0</v>
      </c>
      <c r="F834" s="11"/>
      <c r="G834" s="180" t="e">
        <f t="shared" si="64"/>
        <v>#DIV/0!</v>
      </c>
      <c r="H834" s="11"/>
      <c r="I834" s="11"/>
      <c r="J834" s="180" t="e">
        <f t="shared" si="65"/>
        <v>#DIV/0!</v>
      </c>
      <c r="K834" s="100"/>
      <c r="L834" s="100"/>
      <c r="M834" s="100"/>
      <c r="N834" s="100">
        <f t="shared" si="66"/>
        <v>0</v>
      </c>
      <c r="O834" s="100"/>
      <c r="P834" s="41">
        <v>880</v>
      </c>
      <c r="Q834" s="11"/>
      <c r="R834" s="41">
        <v>260</v>
      </c>
      <c r="S834" s="185"/>
      <c r="T834" s="185"/>
      <c r="U834" s="185"/>
      <c r="V834" s="185"/>
      <c r="W834" s="41">
        <f t="shared" si="67"/>
        <v>0</v>
      </c>
      <c r="X834" s="41">
        <f t="shared" si="63"/>
        <v>0</v>
      </c>
      <c r="Y834" s="11"/>
      <c r="Z834" s="11"/>
      <c r="AA834" s="11"/>
      <c r="AB834" s="11"/>
      <c r="AC834" s="24"/>
    </row>
    <row r="835" spans="1:29" x14ac:dyDescent="0.2">
      <c r="A835" s="11">
        <f>+'SERVICIO FAENA'!A835</f>
        <v>0</v>
      </c>
      <c r="B835" s="11">
        <f>+'SERVICIO FAENA'!B835</f>
        <v>0</v>
      </c>
      <c r="C835" s="11"/>
      <c r="D835" s="11"/>
      <c r="E835" s="18">
        <f>+'SERVICIO FAENA'!E835</f>
        <v>0</v>
      </c>
      <c r="F835" s="11"/>
      <c r="G835" s="180" t="e">
        <f t="shared" si="64"/>
        <v>#DIV/0!</v>
      </c>
      <c r="H835" s="11"/>
      <c r="I835" s="11"/>
      <c r="J835" s="180" t="e">
        <f t="shared" si="65"/>
        <v>#DIV/0!</v>
      </c>
      <c r="K835" s="100"/>
      <c r="L835" s="100"/>
      <c r="M835" s="100"/>
      <c r="N835" s="100">
        <f t="shared" si="66"/>
        <v>0</v>
      </c>
      <c r="O835" s="100"/>
      <c r="P835" s="41">
        <v>880</v>
      </c>
      <c r="Q835" s="11"/>
      <c r="R835" s="41">
        <v>260</v>
      </c>
      <c r="S835" s="185"/>
      <c r="T835" s="185"/>
      <c r="U835" s="185"/>
      <c r="V835" s="185"/>
      <c r="W835" s="41">
        <f t="shared" si="67"/>
        <v>0</v>
      </c>
      <c r="X835" s="41">
        <f t="shared" ref="X835:X893" si="68">+((O835*P835)+(Q835*R835))*1.21</f>
        <v>0</v>
      </c>
      <c r="Y835" s="11"/>
      <c r="Z835" s="11"/>
      <c r="AA835" s="11"/>
      <c r="AB835" s="11"/>
      <c r="AC835" s="24"/>
    </row>
    <row r="836" spans="1:29" x14ac:dyDescent="0.2">
      <c r="A836" s="11">
        <f>+'SERVICIO FAENA'!A836</f>
        <v>0</v>
      </c>
      <c r="B836" s="11">
        <f>+'SERVICIO FAENA'!B836</f>
        <v>0</v>
      </c>
      <c r="C836" s="11"/>
      <c r="D836" s="11"/>
      <c r="E836" s="18">
        <f>+'SERVICIO FAENA'!E836</f>
        <v>0</v>
      </c>
      <c r="F836" s="11"/>
      <c r="G836" s="180" t="e">
        <f t="shared" ref="G836:G893" si="69">+F836/D836</f>
        <v>#DIV/0!</v>
      </c>
      <c r="H836" s="11"/>
      <c r="I836" s="11"/>
      <c r="J836" s="180" t="e">
        <f t="shared" si="65"/>
        <v>#DIV/0!</v>
      </c>
      <c r="K836" s="100"/>
      <c r="L836" s="100"/>
      <c r="M836" s="100"/>
      <c r="N836" s="100">
        <f t="shared" si="66"/>
        <v>0</v>
      </c>
      <c r="O836" s="100"/>
      <c r="P836" s="41">
        <v>880</v>
      </c>
      <c r="Q836" s="11"/>
      <c r="R836" s="41">
        <v>260</v>
      </c>
      <c r="S836" s="185"/>
      <c r="T836" s="185"/>
      <c r="U836" s="185"/>
      <c r="V836" s="185"/>
      <c r="W836" s="41">
        <f t="shared" si="67"/>
        <v>0</v>
      </c>
      <c r="X836" s="41">
        <f t="shared" si="68"/>
        <v>0</v>
      </c>
      <c r="Y836" s="11"/>
      <c r="Z836" s="11"/>
      <c r="AA836" s="11"/>
      <c r="AB836" s="11"/>
      <c r="AC836" s="24"/>
    </row>
    <row r="837" spans="1:29" x14ac:dyDescent="0.2">
      <c r="A837" s="11">
        <f>+'SERVICIO FAENA'!A837</f>
        <v>0</v>
      </c>
      <c r="B837" s="11">
        <f>+'SERVICIO FAENA'!B837</f>
        <v>0</v>
      </c>
      <c r="C837" s="11"/>
      <c r="D837" s="11"/>
      <c r="E837" s="18">
        <f>+'SERVICIO FAENA'!E837</f>
        <v>0</v>
      </c>
      <c r="F837" s="11"/>
      <c r="G837" s="180" t="e">
        <f t="shared" si="69"/>
        <v>#DIV/0!</v>
      </c>
      <c r="H837" s="11"/>
      <c r="I837" s="11"/>
      <c r="J837" s="180" t="e">
        <f t="shared" si="65"/>
        <v>#DIV/0!</v>
      </c>
      <c r="K837" s="100"/>
      <c r="L837" s="100"/>
      <c r="M837" s="100"/>
      <c r="N837" s="100">
        <f t="shared" si="66"/>
        <v>0</v>
      </c>
      <c r="O837" s="100"/>
      <c r="P837" s="41">
        <v>880</v>
      </c>
      <c r="Q837" s="11"/>
      <c r="R837" s="41">
        <v>260</v>
      </c>
      <c r="S837" s="185"/>
      <c r="T837" s="185"/>
      <c r="U837" s="185"/>
      <c r="V837" s="185"/>
      <c r="W837" s="41">
        <f t="shared" si="67"/>
        <v>0</v>
      </c>
      <c r="X837" s="41">
        <f t="shared" si="68"/>
        <v>0</v>
      </c>
      <c r="Y837" s="11"/>
      <c r="Z837" s="11"/>
      <c r="AA837" s="11"/>
      <c r="AB837" s="11"/>
      <c r="AC837" s="24"/>
    </row>
    <row r="838" spans="1:29" x14ac:dyDescent="0.2">
      <c r="A838" s="11">
        <f>+'SERVICIO FAENA'!A838</f>
        <v>0</v>
      </c>
      <c r="B838" s="11">
        <f>+'SERVICIO FAENA'!B838</f>
        <v>0</v>
      </c>
      <c r="C838" s="11"/>
      <c r="D838" s="11"/>
      <c r="E838" s="18">
        <f>+'SERVICIO FAENA'!E838</f>
        <v>0</v>
      </c>
      <c r="F838" s="11"/>
      <c r="G838" s="180" t="e">
        <f t="shared" si="69"/>
        <v>#DIV/0!</v>
      </c>
      <c r="H838" s="11"/>
      <c r="I838" s="11"/>
      <c r="J838" s="180" t="e">
        <f t="shared" si="65"/>
        <v>#DIV/0!</v>
      </c>
      <c r="K838" s="100"/>
      <c r="L838" s="100"/>
      <c r="M838" s="100"/>
      <c r="N838" s="100">
        <f t="shared" si="66"/>
        <v>0</v>
      </c>
      <c r="O838" s="100"/>
      <c r="P838" s="41">
        <v>880</v>
      </c>
      <c r="Q838" s="11"/>
      <c r="R838" s="41">
        <v>260</v>
      </c>
      <c r="S838" s="185"/>
      <c r="T838" s="185"/>
      <c r="U838" s="185"/>
      <c r="V838" s="185"/>
      <c r="W838" s="41">
        <f t="shared" si="67"/>
        <v>0</v>
      </c>
      <c r="X838" s="41">
        <f t="shared" si="68"/>
        <v>0</v>
      </c>
      <c r="Y838" s="11"/>
      <c r="Z838" s="11"/>
      <c r="AA838" s="11"/>
      <c r="AB838" s="11"/>
      <c r="AC838" s="24"/>
    </row>
    <row r="839" spans="1:29" x14ac:dyDescent="0.2">
      <c r="A839" s="11">
        <f>+'SERVICIO FAENA'!A839</f>
        <v>0</v>
      </c>
      <c r="B839" s="11">
        <f>+'SERVICIO FAENA'!B839</f>
        <v>0</v>
      </c>
      <c r="C839" s="11"/>
      <c r="D839" s="11"/>
      <c r="E839" s="18">
        <f>+'SERVICIO FAENA'!E839</f>
        <v>0</v>
      </c>
      <c r="F839" s="11"/>
      <c r="G839" s="180" t="e">
        <f t="shared" si="69"/>
        <v>#DIV/0!</v>
      </c>
      <c r="H839" s="11"/>
      <c r="I839" s="11"/>
      <c r="J839" s="180" t="e">
        <f t="shared" si="65"/>
        <v>#DIV/0!</v>
      </c>
      <c r="K839" s="100"/>
      <c r="L839" s="100"/>
      <c r="M839" s="100"/>
      <c r="N839" s="100">
        <f t="shared" si="66"/>
        <v>0</v>
      </c>
      <c r="O839" s="100"/>
      <c r="P839" s="41">
        <v>880</v>
      </c>
      <c r="Q839" s="11"/>
      <c r="R839" s="41">
        <v>260</v>
      </c>
      <c r="S839" s="185"/>
      <c r="T839" s="185"/>
      <c r="U839" s="185"/>
      <c r="V839" s="185"/>
      <c r="W839" s="41">
        <f t="shared" si="67"/>
        <v>0</v>
      </c>
      <c r="X839" s="41">
        <f t="shared" si="68"/>
        <v>0</v>
      </c>
      <c r="Y839" s="11"/>
      <c r="Z839" s="11"/>
      <c r="AA839" s="11"/>
      <c r="AB839" s="11"/>
      <c r="AC839" s="24"/>
    </row>
    <row r="840" spans="1:29" x14ac:dyDescent="0.2">
      <c r="A840" s="11">
        <f>+'SERVICIO FAENA'!A840</f>
        <v>0</v>
      </c>
      <c r="B840" s="11">
        <f>+'SERVICIO FAENA'!B840</f>
        <v>0</v>
      </c>
      <c r="C840" s="11"/>
      <c r="D840" s="11"/>
      <c r="E840" s="18">
        <f>+'SERVICIO FAENA'!E840</f>
        <v>0</v>
      </c>
      <c r="F840" s="11"/>
      <c r="G840" s="180" t="e">
        <f t="shared" si="69"/>
        <v>#DIV/0!</v>
      </c>
      <c r="H840" s="11"/>
      <c r="I840" s="11"/>
      <c r="J840" s="180" t="e">
        <f t="shared" si="65"/>
        <v>#DIV/0!</v>
      </c>
      <c r="K840" s="100"/>
      <c r="L840" s="100"/>
      <c r="M840" s="100"/>
      <c r="N840" s="100">
        <f t="shared" si="66"/>
        <v>0</v>
      </c>
      <c r="O840" s="100"/>
      <c r="P840" s="41">
        <v>880</v>
      </c>
      <c r="Q840" s="11"/>
      <c r="R840" s="41">
        <v>260</v>
      </c>
      <c r="S840" s="185"/>
      <c r="T840" s="185"/>
      <c r="U840" s="185"/>
      <c r="V840" s="185"/>
      <c r="W840" s="41">
        <f t="shared" si="67"/>
        <v>0</v>
      </c>
      <c r="X840" s="41">
        <f t="shared" si="68"/>
        <v>0</v>
      </c>
      <c r="Y840" s="11"/>
      <c r="Z840" s="11"/>
      <c r="AA840" s="11"/>
      <c r="AB840" s="11"/>
      <c r="AC840" s="24"/>
    </row>
    <row r="841" spans="1:29" x14ac:dyDescent="0.2">
      <c r="A841" s="11">
        <f>+'SERVICIO FAENA'!A841</f>
        <v>0</v>
      </c>
      <c r="B841" s="11">
        <f>+'SERVICIO FAENA'!B841</f>
        <v>0</v>
      </c>
      <c r="C841" s="11"/>
      <c r="D841" s="11"/>
      <c r="E841" s="18">
        <f>+'SERVICIO FAENA'!E841</f>
        <v>0</v>
      </c>
      <c r="F841" s="11"/>
      <c r="G841" s="180" t="e">
        <f t="shared" si="69"/>
        <v>#DIV/0!</v>
      </c>
      <c r="H841" s="11"/>
      <c r="I841" s="11"/>
      <c r="J841" s="180" t="e">
        <f t="shared" si="65"/>
        <v>#DIV/0!</v>
      </c>
      <c r="K841" s="100"/>
      <c r="L841" s="100"/>
      <c r="M841" s="100"/>
      <c r="N841" s="100">
        <f t="shared" si="66"/>
        <v>0</v>
      </c>
      <c r="O841" s="100"/>
      <c r="P841" s="41">
        <v>880</v>
      </c>
      <c r="Q841" s="11"/>
      <c r="R841" s="41">
        <v>260</v>
      </c>
      <c r="S841" s="185"/>
      <c r="T841" s="185"/>
      <c r="U841" s="185"/>
      <c r="V841" s="185"/>
      <c r="W841" s="41">
        <f t="shared" si="67"/>
        <v>0</v>
      </c>
      <c r="X841" s="41">
        <f t="shared" si="68"/>
        <v>0</v>
      </c>
      <c r="Y841" s="11"/>
      <c r="Z841" s="11"/>
      <c r="AA841" s="11"/>
      <c r="AB841" s="11"/>
      <c r="AC841" s="24"/>
    </row>
    <row r="842" spans="1:29" x14ac:dyDescent="0.2">
      <c r="A842" s="11">
        <f>+'SERVICIO FAENA'!A842</f>
        <v>0</v>
      </c>
      <c r="B842" s="11">
        <f>+'SERVICIO FAENA'!B842</f>
        <v>0</v>
      </c>
      <c r="C842" s="11"/>
      <c r="D842" s="11"/>
      <c r="E842" s="18">
        <f>+'SERVICIO FAENA'!E842</f>
        <v>0</v>
      </c>
      <c r="F842" s="11"/>
      <c r="G842" s="180" t="e">
        <f t="shared" si="69"/>
        <v>#DIV/0!</v>
      </c>
      <c r="H842" s="11"/>
      <c r="I842" s="11"/>
      <c r="J842" s="180" t="e">
        <f t="shared" si="65"/>
        <v>#DIV/0!</v>
      </c>
      <c r="K842" s="100"/>
      <c r="L842" s="100"/>
      <c r="M842" s="100"/>
      <c r="N842" s="100">
        <f t="shared" si="66"/>
        <v>0</v>
      </c>
      <c r="O842" s="100"/>
      <c r="P842" s="41">
        <v>880</v>
      </c>
      <c r="Q842" s="11"/>
      <c r="R842" s="41">
        <v>260</v>
      </c>
      <c r="S842" s="185"/>
      <c r="T842" s="185"/>
      <c r="U842" s="185"/>
      <c r="V842" s="185"/>
      <c r="W842" s="41">
        <f t="shared" si="67"/>
        <v>0</v>
      </c>
      <c r="X842" s="41">
        <f t="shared" si="68"/>
        <v>0</v>
      </c>
      <c r="Y842" s="11"/>
      <c r="Z842" s="11"/>
      <c r="AA842" s="11"/>
      <c r="AB842" s="11"/>
      <c r="AC842" s="24"/>
    </row>
    <row r="843" spans="1:29" x14ac:dyDescent="0.2">
      <c r="A843" s="11">
        <f>+'SERVICIO FAENA'!A843</f>
        <v>0</v>
      </c>
      <c r="B843" s="11">
        <f>+'SERVICIO FAENA'!B843</f>
        <v>0</v>
      </c>
      <c r="C843" s="11"/>
      <c r="D843" s="11"/>
      <c r="E843" s="18">
        <f>+'SERVICIO FAENA'!E843</f>
        <v>0</v>
      </c>
      <c r="F843" s="11"/>
      <c r="G843" s="180" t="e">
        <f t="shared" si="69"/>
        <v>#DIV/0!</v>
      </c>
      <c r="H843" s="11"/>
      <c r="I843" s="11"/>
      <c r="J843" s="180" t="e">
        <f t="shared" si="65"/>
        <v>#DIV/0!</v>
      </c>
      <c r="K843" s="100"/>
      <c r="L843" s="100"/>
      <c r="M843" s="100"/>
      <c r="N843" s="100">
        <f t="shared" si="66"/>
        <v>0</v>
      </c>
      <c r="O843" s="100"/>
      <c r="P843" s="41">
        <v>880</v>
      </c>
      <c r="Q843" s="11"/>
      <c r="R843" s="41">
        <v>260</v>
      </c>
      <c r="S843" s="185"/>
      <c r="T843" s="185"/>
      <c r="U843" s="185"/>
      <c r="V843" s="185"/>
      <c r="W843" s="41">
        <f t="shared" si="67"/>
        <v>0</v>
      </c>
      <c r="X843" s="41">
        <f t="shared" si="68"/>
        <v>0</v>
      </c>
      <c r="Y843" s="11"/>
      <c r="Z843" s="11"/>
      <c r="AA843" s="11"/>
      <c r="AB843" s="11"/>
      <c r="AC843" s="24"/>
    </row>
    <row r="844" spans="1:29" x14ac:dyDescent="0.2">
      <c r="A844" s="11">
        <f>+'SERVICIO FAENA'!A844</f>
        <v>0</v>
      </c>
      <c r="B844" s="11">
        <f>+'SERVICIO FAENA'!B844</f>
        <v>0</v>
      </c>
      <c r="C844" s="11"/>
      <c r="D844" s="11"/>
      <c r="E844" s="18">
        <f>+'SERVICIO FAENA'!E844</f>
        <v>0</v>
      </c>
      <c r="F844" s="11"/>
      <c r="G844" s="180" t="e">
        <f t="shared" si="69"/>
        <v>#DIV/0!</v>
      </c>
      <c r="H844" s="11"/>
      <c r="I844" s="11"/>
      <c r="J844" s="180" t="e">
        <f t="shared" si="65"/>
        <v>#DIV/0!</v>
      </c>
      <c r="K844" s="100"/>
      <c r="L844" s="100"/>
      <c r="M844" s="100"/>
      <c r="N844" s="100">
        <f t="shared" si="66"/>
        <v>0</v>
      </c>
      <c r="O844" s="100"/>
      <c r="P844" s="41">
        <v>880</v>
      </c>
      <c r="Q844" s="11"/>
      <c r="R844" s="41">
        <v>260</v>
      </c>
      <c r="S844" s="185"/>
      <c r="T844" s="185"/>
      <c r="U844" s="185"/>
      <c r="V844" s="185"/>
      <c r="W844" s="41">
        <f t="shared" si="67"/>
        <v>0</v>
      </c>
      <c r="X844" s="41">
        <f t="shared" si="68"/>
        <v>0</v>
      </c>
      <c r="Y844" s="11"/>
      <c r="Z844" s="11"/>
      <c r="AA844" s="11"/>
      <c r="AB844" s="11"/>
      <c r="AC844" s="24"/>
    </row>
    <row r="845" spans="1:29" x14ac:dyDescent="0.2">
      <c r="A845" s="11">
        <f>+'SERVICIO FAENA'!A845</f>
        <v>0</v>
      </c>
      <c r="B845" s="11">
        <f>+'SERVICIO FAENA'!B845</f>
        <v>0</v>
      </c>
      <c r="C845" s="11"/>
      <c r="D845" s="11"/>
      <c r="E845" s="18">
        <f>+'SERVICIO FAENA'!E845</f>
        <v>0</v>
      </c>
      <c r="F845" s="11"/>
      <c r="G845" s="180" t="e">
        <f t="shared" si="69"/>
        <v>#DIV/0!</v>
      </c>
      <c r="H845" s="11"/>
      <c r="I845" s="11"/>
      <c r="J845" s="180" t="e">
        <f t="shared" si="65"/>
        <v>#DIV/0!</v>
      </c>
      <c r="K845" s="100"/>
      <c r="L845" s="100"/>
      <c r="M845" s="100"/>
      <c r="N845" s="100">
        <f t="shared" si="66"/>
        <v>0</v>
      </c>
      <c r="O845" s="100"/>
      <c r="P845" s="41">
        <v>880</v>
      </c>
      <c r="Q845" s="11"/>
      <c r="R845" s="41">
        <v>260</v>
      </c>
      <c r="S845" s="185"/>
      <c r="T845" s="185"/>
      <c r="U845" s="185"/>
      <c r="V845" s="185"/>
      <c r="W845" s="41">
        <f t="shared" si="67"/>
        <v>0</v>
      </c>
      <c r="X845" s="41">
        <f t="shared" si="68"/>
        <v>0</v>
      </c>
      <c r="Y845" s="11"/>
      <c r="Z845" s="11"/>
      <c r="AA845" s="11"/>
      <c r="AB845" s="11"/>
      <c r="AC845" s="24"/>
    </row>
    <row r="846" spans="1:29" x14ac:dyDescent="0.2">
      <c r="A846" s="11">
        <f>+'SERVICIO FAENA'!A846</f>
        <v>0</v>
      </c>
      <c r="B846" s="11">
        <f>+'SERVICIO FAENA'!B846</f>
        <v>0</v>
      </c>
      <c r="C846" s="11"/>
      <c r="D846" s="11"/>
      <c r="E846" s="18">
        <f>+'SERVICIO FAENA'!E846</f>
        <v>0</v>
      </c>
      <c r="F846" s="11"/>
      <c r="G846" s="180" t="e">
        <f t="shared" si="69"/>
        <v>#DIV/0!</v>
      </c>
      <c r="H846" s="11"/>
      <c r="I846" s="11"/>
      <c r="J846" s="180" t="e">
        <f t="shared" si="65"/>
        <v>#DIV/0!</v>
      </c>
      <c r="K846" s="100"/>
      <c r="L846" s="100"/>
      <c r="M846" s="100"/>
      <c r="N846" s="100">
        <f t="shared" si="66"/>
        <v>0</v>
      </c>
      <c r="O846" s="100"/>
      <c r="P846" s="41">
        <v>880</v>
      </c>
      <c r="Q846" s="11"/>
      <c r="R846" s="41">
        <v>260</v>
      </c>
      <c r="S846" s="185"/>
      <c r="T846" s="185"/>
      <c r="U846" s="185"/>
      <c r="V846" s="185"/>
      <c r="W846" s="41">
        <f t="shared" si="67"/>
        <v>0</v>
      </c>
      <c r="X846" s="41">
        <f t="shared" si="68"/>
        <v>0</v>
      </c>
      <c r="Y846" s="11"/>
      <c r="Z846" s="11"/>
      <c r="AA846" s="11"/>
      <c r="AB846" s="11"/>
      <c r="AC846" s="24"/>
    </row>
    <row r="847" spans="1:29" x14ac:dyDescent="0.2">
      <c r="A847" s="11">
        <f>+'SERVICIO FAENA'!A847</f>
        <v>0</v>
      </c>
      <c r="B847" s="11">
        <f>+'SERVICIO FAENA'!B847</f>
        <v>0</v>
      </c>
      <c r="C847" s="11"/>
      <c r="D847" s="11"/>
      <c r="E847" s="18">
        <f>+'SERVICIO FAENA'!E847</f>
        <v>0</v>
      </c>
      <c r="F847" s="11"/>
      <c r="G847" s="180" t="e">
        <f t="shared" si="69"/>
        <v>#DIV/0!</v>
      </c>
      <c r="H847" s="11"/>
      <c r="I847" s="11"/>
      <c r="J847" s="180" t="e">
        <f t="shared" si="65"/>
        <v>#DIV/0!</v>
      </c>
      <c r="K847" s="100"/>
      <c r="L847" s="100"/>
      <c r="M847" s="100"/>
      <c r="N847" s="100">
        <f t="shared" si="66"/>
        <v>0</v>
      </c>
      <c r="O847" s="100"/>
      <c r="P847" s="41">
        <v>880</v>
      </c>
      <c r="Q847" s="11"/>
      <c r="R847" s="41">
        <v>260</v>
      </c>
      <c r="S847" s="185"/>
      <c r="T847" s="185"/>
      <c r="U847" s="185"/>
      <c r="V847" s="185"/>
      <c r="W847" s="41">
        <f t="shared" si="67"/>
        <v>0</v>
      </c>
      <c r="X847" s="41">
        <f t="shared" si="68"/>
        <v>0</v>
      </c>
      <c r="Y847" s="11"/>
      <c r="Z847" s="11"/>
      <c r="AA847" s="11"/>
      <c r="AB847" s="11"/>
      <c r="AC847" s="24"/>
    </row>
    <row r="848" spans="1:29" x14ac:dyDescent="0.2">
      <c r="A848" s="11">
        <f>+'SERVICIO FAENA'!A848</f>
        <v>0</v>
      </c>
      <c r="B848" s="11">
        <f>+'SERVICIO FAENA'!B848</f>
        <v>0</v>
      </c>
      <c r="C848" s="11"/>
      <c r="D848" s="11"/>
      <c r="E848" s="18">
        <f>+'SERVICIO FAENA'!E848</f>
        <v>0</v>
      </c>
      <c r="F848" s="11"/>
      <c r="G848" s="180" t="e">
        <f t="shared" si="69"/>
        <v>#DIV/0!</v>
      </c>
      <c r="H848" s="11"/>
      <c r="I848" s="11"/>
      <c r="J848" s="180" t="e">
        <f t="shared" si="65"/>
        <v>#DIV/0!</v>
      </c>
      <c r="K848" s="100"/>
      <c r="L848" s="100"/>
      <c r="M848" s="100"/>
      <c r="N848" s="100">
        <f t="shared" si="66"/>
        <v>0</v>
      </c>
      <c r="O848" s="100"/>
      <c r="P848" s="41">
        <v>880</v>
      </c>
      <c r="Q848" s="11"/>
      <c r="R848" s="41">
        <v>260</v>
      </c>
      <c r="S848" s="185"/>
      <c r="T848" s="185"/>
      <c r="U848" s="185"/>
      <c r="V848" s="185"/>
      <c r="W848" s="41">
        <f t="shared" si="67"/>
        <v>0</v>
      </c>
      <c r="X848" s="41">
        <f t="shared" si="68"/>
        <v>0</v>
      </c>
      <c r="Y848" s="11"/>
      <c r="Z848" s="11"/>
      <c r="AA848" s="11"/>
      <c r="AB848" s="11"/>
      <c r="AC848" s="24"/>
    </row>
    <row r="849" spans="1:29" x14ac:dyDescent="0.2">
      <c r="A849" s="11">
        <f>+'SERVICIO FAENA'!A849</f>
        <v>0</v>
      </c>
      <c r="B849" s="11">
        <f>+'SERVICIO FAENA'!B849</f>
        <v>0</v>
      </c>
      <c r="C849" s="11"/>
      <c r="D849" s="11"/>
      <c r="E849" s="18">
        <f>+'SERVICIO FAENA'!E849</f>
        <v>0</v>
      </c>
      <c r="F849" s="11"/>
      <c r="G849" s="180" t="e">
        <f t="shared" si="69"/>
        <v>#DIV/0!</v>
      </c>
      <c r="H849" s="11"/>
      <c r="I849" s="11"/>
      <c r="J849" s="180" t="e">
        <f t="shared" si="65"/>
        <v>#DIV/0!</v>
      </c>
      <c r="K849" s="100"/>
      <c r="L849" s="100"/>
      <c r="M849" s="100"/>
      <c r="N849" s="100">
        <f t="shared" si="66"/>
        <v>0</v>
      </c>
      <c r="O849" s="100"/>
      <c r="P849" s="41">
        <v>880</v>
      </c>
      <c r="Q849" s="11"/>
      <c r="R849" s="41">
        <v>260</v>
      </c>
      <c r="S849" s="185"/>
      <c r="T849" s="185"/>
      <c r="U849" s="185"/>
      <c r="V849" s="185"/>
      <c r="W849" s="41">
        <f t="shared" si="67"/>
        <v>0</v>
      </c>
      <c r="X849" s="41">
        <f t="shared" si="68"/>
        <v>0</v>
      </c>
      <c r="Y849" s="11"/>
      <c r="Z849" s="11"/>
      <c r="AA849" s="11"/>
      <c r="AB849" s="11"/>
      <c r="AC849" s="24"/>
    </row>
    <row r="850" spans="1:29" x14ac:dyDescent="0.2">
      <c r="A850" s="11">
        <f>+'SERVICIO FAENA'!A850</f>
        <v>0</v>
      </c>
      <c r="B850" s="11">
        <f>+'SERVICIO FAENA'!B850</f>
        <v>0</v>
      </c>
      <c r="C850" s="11"/>
      <c r="D850" s="11"/>
      <c r="E850" s="18">
        <f>+'SERVICIO FAENA'!E850</f>
        <v>0</v>
      </c>
      <c r="F850" s="11"/>
      <c r="G850" s="180" t="e">
        <f t="shared" si="69"/>
        <v>#DIV/0!</v>
      </c>
      <c r="H850" s="11"/>
      <c r="I850" s="11"/>
      <c r="J850" s="180" t="e">
        <f t="shared" si="65"/>
        <v>#DIV/0!</v>
      </c>
      <c r="K850" s="100"/>
      <c r="L850" s="100"/>
      <c r="M850" s="100"/>
      <c r="N850" s="100">
        <f t="shared" si="66"/>
        <v>0</v>
      </c>
      <c r="O850" s="100"/>
      <c r="P850" s="41">
        <v>880</v>
      </c>
      <c r="Q850" s="11"/>
      <c r="R850" s="41">
        <v>260</v>
      </c>
      <c r="S850" s="185"/>
      <c r="T850" s="185"/>
      <c r="U850" s="185"/>
      <c r="V850" s="185"/>
      <c r="W850" s="41">
        <f t="shared" si="67"/>
        <v>0</v>
      </c>
      <c r="X850" s="41">
        <f t="shared" si="68"/>
        <v>0</v>
      </c>
      <c r="Y850" s="11"/>
      <c r="Z850" s="11"/>
      <c r="AA850" s="11"/>
      <c r="AB850" s="11"/>
      <c r="AC850" s="24"/>
    </row>
    <row r="851" spans="1:29" x14ac:dyDescent="0.2">
      <c r="A851" s="11">
        <f>+'SERVICIO FAENA'!A851</f>
        <v>0</v>
      </c>
      <c r="B851" s="11">
        <f>+'SERVICIO FAENA'!B851</f>
        <v>0</v>
      </c>
      <c r="C851" s="11"/>
      <c r="D851" s="11"/>
      <c r="E851" s="18">
        <f>+'SERVICIO FAENA'!E851</f>
        <v>0</v>
      </c>
      <c r="F851" s="11"/>
      <c r="G851" s="180" t="e">
        <f t="shared" si="69"/>
        <v>#DIV/0!</v>
      </c>
      <c r="H851" s="11"/>
      <c r="I851" s="11"/>
      <c r="J851" s="180" t="e">
        <f t="shared" si="65"/>
        <v>#DIV/0!</v>
      </c>
      <c r="K851" s="100"/>
      <c r="L851" s="100"/>
      <c r="M851" s="100"/>
      <c r="N851" s="100">
        <f t="shared" si="66"/>
        <v>0</v>
      </c>
      <c r="O851" s="100"/>
      <c r="P851" s="41">
        <v>880</v>
      </c>
      <c r="Q851" s="11"/>
      <c r="R851" s="41">
        <v>260</v>
      </c>
      <c r="S851" s="185"/>
      <c r="T851" s="185"/>
      <c r="U851" s="185"/>
      <c r="V851" s="185"/>
      <c r="W851" s="41">
        <f t="shared" si="67"/>
        <v>0</v>
      </c>
      <c r="X851" s="41">
        <f t="shared" si="68"/>
        <v>0</v>
      </c>
      <c r="Y851" s="11"/>
      <c r="Z851" s="11"/>
      <c r="AA851" s="11"/>
      <c r="AB851" s="11"/>
      <c r="AC851" s="24"/>
    </row>
    <row r="852" spans="1:29" x14ac:dyDescent="0.2">
      <c r="A852" s="11">
        <f>+'SERVICIO FAENA'!A852</f>
        <v>0</v>
      </c>
      <c r="B852" s="11">
        <f>+'SERVICIO FAENA'!B852</f>
        <v>0</v>
      </c>
      <c r="C852" s="11"/>
      <c r="D852" s="11"/>
      <c r="E852" s="18">
        <f>+'SERVICIO FAENA'!E852</f>
        <v>0</v>
      </c>
      <c r="F852" s="11"/>
      <c r="G852" s="180" t="e">
        <f t="shared" si="69"/>
        <v>#DIV/0!</v>
      </c>
      <c r="H852" s="11"/>
      <c r="I852" s="11"/>
      <c r="J852" s="180" t="e">
        <f t="shared" si="65"/>
        <v>#DIV/0!</v>
      </c>
      <c r="K852" s="100"/>
      <c r="L852" s="100"/>
      <c r="M852" s="100"/>
      <c r="N852" s="100">
        <f t="shared" si="66"/>
        <v>0</v>
      </c>
      <c r="O852" s="100"/>
      <c r="P852" s="41">
        <v>880</v>
      </c>
      <c r="Q852" s="11"/>
      <c r="R852" s="41">
        <v>260</v>
      </c>
      <c r="S852" s="185"/>
      <c r="T852" s="185"/>
      <c r="U852" s="185"/>
      <c r="V852" s="185"/>
      <c r="W852" s="41">
        <f t="shared" si="67"/>
        <v>0</v>
      </c>
      <c r="X852" s="41">
        <f t="shared" si="68"/>
        <v>0</v>
      </c>
      <c r="Y852" s="11"/>
      <c r="Z852" s="11"/>
      <c r="AA852" s="11"/>
      <c r="AB852" s="11"/>
      <c r="AC852" s="24"/>
    </row>
    <row r="853" spans="1:29" x14ac:dyDescent="0.2">
      <c r="A853" s="11">
        <f>+'SERVICIO FAENA'!A853</f>
        <v>0</v>
      </c>
      <c r="B853" s="11">
        <f>+'SERVICIO FAENA'!B853</f>
        <v>0</v>
      </c>
      <c r="C853" s="11"/>
      <c r="D853" s="11"/>
      <c r="E853" s="18">
        <f>+'SERVICIO FAENA'!E853</f>
        <v>0</v>
      </c>
      <c r="F853" s="11"/>
      <c r="G853" s="180" t="e">
        <f t="shared" si="69"/>
        <v>#DIV/0!</v>
      </c>
      <c r="H853" s="11"/>
      <c r="I853" s="11"/>
      <c r="J853" s="180" t="e">
        <f t="shared" si="65"/>
        <v>#DIV/0!</v>
      </c>
      <c r="K853" s="100"/>
      <c r="L853" s="100"/>
      <c r="M853" s="100"/>
      <c r="N853" s="100">
        <f t="shared" si="66"/>
        <v>0</v>
      </c>
      <c r="O853" s="100"/>
      <c r="P853" s="41">
        <v>880</v>
      </c>
      <c r="Q853" s="11"/>
      <c r="R853" s="41">
        <v>260</v>
      </c>
      <c r="S853" s="185"/>
      <c r="T853" s="185"/>
      <c r="U853" s="185"/>
      <c r="V853" s="185"/>
      <c r="W853" s="41">
        <f t="shared" si="67"/>
        <v>0</v>
      </c>
      <c r="X853" s="41">
        <f t="shared" si="68"/>
        <v>0</v>
      </c>
      <c r="Y853" s="11"/>
      <c r="Z853" s="11"/>
      <c r="AA853" s="11"/>
      <c r="AB853" s="11"/>
      <c r="AC853" s="24"/>
    </row>
    <row r="854" spans="1:29" x14ac:dyDescent="0.2">
      <c r="A854" s="11">
        <f>+'SERVICIO FAENA'!A854</f>
        <v>0</v>
      </c>
      <c r="B854" s="11">
        <f>+'SERVICIO FAENA'!B854</f>
        <v>0</v>
      </c>
      <c r="C854" s="11"/>
      <c r="D854" s="11"/>
      <c r="E854" s="18">
        <f>+'SERVICIO FAENA'!E854</f>
        <v>0</v>
      </c>
      <c r="F854" s="11"/>
      <c r="G854" s="180" t="e">
        <f t="shared" si="69"/>
        <v>#DIV/0!</v>
      </c>
      <c r="H854" s="11"/>
      <c r="I854" s="11"/>
      <c r="J854" s="180" t="e">
        <f t="shared" si="65"/>
        <v>#DIV/0!</v>
      </c>
      <c r="K854" s="100"/>
      <c r="L854" s="100"/>
      <c r="M854" s="100"/>
      <c r="N854" s="100">
        <f t="shared" si="66"/>
        <v>0</v>
      </c>
      <c r="O854" s="100"/>
      <c r="P854" s="41">
        <v>880</v>
      </c>
      <c r="Q854" s="11"/>
      <c r="R854" s="41">
        <v>260</v>
      </c>
      <c r="S854" s="185"/>
      <c r="T854" s="185"/>
      <c r="U854" s="185"/>
      <c r="V854" s="185"/>
      <c r="W854" s="41">
        <f t="shared" si="67"/>
        <v>0</v>
      </c>
      <c r="X854" s="41">
        <f t="shared" si="68"/>
        <v>0</v>
      </c>
      <c r="Y854" s="11"/>
      <c r="Z854" s="11"/>
      <c r="AA854" s="11"/>
      <c r="AB854" s="11"/>
      <c r="AC854" s="24"/>
    </row>
    <row r="855" spans="1:29" x14ac:dyDescent="0.2">
      <c r="A855" s="11">
        <f>+'SERVICIO FAENA'!A855</f>
        <v>0</v>
      </c>
      <c r="B855" s="11">
        <f>+'SERVICIO FAENA'!B855</f>
        <v>0</v>
      </c>
      <c r="C855" s="11"/>
      <c r="D855" s="11"/>
      <c r="E855" s="18">
        <f>+'SERVICIO FAENA'!E855</f>
        <v>0</v>
      </c>
      <c r="F855" s="11"/>
      <c r="G855" s="180" t="e">
        <f t="shared" si="69"/>
        <v>#DIV/0!</v>
      </c>
      <c r="H855" s="11"/>
      <c r="I855" s="11"/>
      <c r="J855" s="180" t="e">
        <f t="shared" si="65"/>
        <v>#DIV/0!</v>
      </c>
      <c r="K855" s="100"/>
      <c r="L855" s="100"/>
      <c r="M855" s="100"/>
      <c r="N855" s="100">
        <f t="shared" si="66"/>
        <v>0</v>
      </c>
      <c r="O855" s="100"/>
      <c r="P855" s="41">
        <v>880</v>
      </c>
      <c r="Q855" s="11"/>
      <c r="R855" s="41">
        <v>260</v>
      </c>
      <c r="S855" s="185"/>
      <c r="T855" s="185"/>
      <c r="U855" s="185"/>
      <c r="V855" s="185"/>
      <c r="W855" s="41">
        <f t="shared" si="67"/>
        <v>0</v>
      </c>
      <c r="X855" s="41">
        <f t="shared" si="68"/>
        <v>0</v>
      </c>
      <c r="Y855" s="11"/>
      <c r="Z855" s="11"/>
      <c r="AA855" s="11"/>
      <c r="AB855" s="11"/>
      <c r="AC855" s="24"/>
    </row>
    <row r="856" spans="1:29" x14ac:dyDescent="0.2">
      <c r="A856" s="11">
        <f>+'SERVICIO FAENA'!A856</f>
        <v>0</v>
      </c>
      <c r="B856" s="11">
        <f>+'SERVICIO FAENA'!B856</f>
        <v>0</v>
      </c>
      <c r="C856" s="11"/>
      <c r="D856" s="11"/>
      <c r="E856" s="18">
        <f>+'SERVICIO FAENA'!E856</f>
        <v>0</v>
      </c>
      <c r="F856" s="11"/>
      <c r="G856" s="180" t="e">
        <f t="shared" si="69"/>
        <v>#DIV/0!</v>
      </c>
      <c r="H856" s="11"/>
      <c r="I856" s="11"/>
      <c r="J856" s="180" t="e">
        <f t="shared" si="65"/>
        <v>#DIV/0!</v>
      </c>
      <c r="K856" s="100"/>
      <c r="L856" s="100"/>
      <c r="M856" s="100"/>
      <c r="N856" s="100">
        <f t="shared" si="66"/>
        <v>0</v>
      </c>
      <c r="O856" s="100"/>
      <c r="P856" s="41">
        <v>880</v>
      </c>
      <c r="Q856" s="11"/>
      <c r="R856" s="41">
        <v>260</v>
      </c>
      <c r="S856" s="185"/>
      <c r="T856" s="185"/>
      <c r="U856" s="185"/>
      <c r="V856" s="185"/>
      <c r="W856" s="41">
        <f t="shared" si="67"/>
        <v>0</v>
      </c>
      <c r="X856" s="41">
        <f t="shared" si="68"/>
        <v>0</v>
      </c>
      <c r="Y856" s="11"/>
      <c r="Z856" s="11"/>
      <c r="AA856" s="11"/>
      <c r="AB856" s="11"/>
      <c r="AC856" s="24"/>
    </row>
    <row r="857" spans="1:29" x14ac:dyDescent="0.2">
      <c r="A857" s="11">
        <f>+'SERVICIO FAENA'!A857</f>
        <v>0</v>
      </c>
      <c r="B857" s="11">
        <f>+'SERVICIO FAENA'!B857</f>
        <v>0</v>
      </c>
      <c r="C857" s="11"/>
      <c r="D857" s="11"/>
      <c r="E857" s="18">
        <f>+'SERVICIO FAENA'!E857</f>
        <v>0</v>
      </c>
      <c r="F857" s="11"/>
      <c r="G857" s="180" t="e">
        <f t="shared" si="69"/>
        <v>#DIV/0!</v>
      </c>
      <c r="H857" s="11"/>
      <c r="I857" s="11"/>
      <c r="J857" s="180" t="e">
        <f t="shared" si="65"/>
        <v>#DIV/0!</v>
      </c>
      <c r="K857" s="100"/>
      <c r="L857" s="100"/>
      <c r="M857" s="100"/>
      <c r="N857" s="100">
        <f t="shared" si="66"/>
        <v>0</v>
      </c>
      <c r="O857" s="100"/>
      <c r="P857" s="41">
        <v>880</v>
      </c>
      <c r="Q857" s="11"/>
      <c r="R857" s="41">
        <v>260</v>
      </c>
      <c r="S857" s="185"/>
      <c r="T857" s="185"/>
      <c r="U857" s="185"/>
      <c r="V857" s="185"/>
      <c r="W857" s="41">
        <f t="shared" si="67"/>
        <v>0</v>
      </c>
      <c r="X857" s="41">
        <f t="shared" si="68"/>
        <v>0</v>
      </c>
      <c r="Y857" s="11"/>
      <c r="Z857" s="11"/>
      <c r="AA857" s="11"/>
      <c r="AB857" s="11"/>
      <c r="AC857" s="24"/>
    </row>
    <row r="858" spans="1:29" x14ac:dyDescent="0.2">
      <c r="A858" s="11">
        <f>+'SERVICIO FAENA'!A858</f>
        <v>0</v>
      </c>
      <c r="B858" s="11">
        <f>+'SERVICIO FAENA'!B858</f>
        <v>0</v>
      </c>
      <c r="C858" s="11"/>
      <c r="D858" s="11"/>
      <c r="E858" s="18">
        <f>+'SERVICIO FAENA'!E858</f>
        <v>0</v>
      </c>
      <c r="F858" s="11"/>
      <c r="G858" s="180" t="e">
        <f t="shared" si="69"/>
        <v>#DIV/0!</v>
      </c>
      <c r="H858" s="11"/>
      <c r="I858" s="11"/>
      <c r="J858" s="180" t="e">
        <f t="shared" si="65"/>
        <v>#DIV/0!</v>
      </c>
      <c r="K858" s="100"/>
      <c r="L858" s="100"/>
      <c r="M858" s="100"/>
      <c r="N858" s="100">
        <f t="shared" si="66"/>
        <v>0</v>
      </c>
      <c r="O858" s="100"/>
      <c r="P858" s="41">
        <v>880</v>
      </c>
      <c r="Q858" s="11"/>
      <c r="R858" s="41">
        <v>260</v>
      </c>
      <c r="S858" s="185"/>
      <c r="T858" s="185"/>
      <c r="U858" s="185"/>
      <c r="V858" s="185"/>
      <c r="W858" s="41">
        <f t="shared" si="67"/>
        <v>0</v>
      </c>
      <c r="X858" s="41">
        <f t="shared" si="68"/>
        <v>0</v>
      </c>
      <c r="Y858" s="11"/>
      <c r="Z858" s="11"/>
      <c r="AA858" s="11"/>
      <c r="AB858" s="11"/>
      <c r="AC858" s="24"/>
    </row>
    <row r="859" spans="1:29" x14ac:dyDescent="0.2">
      <c r="A859" s="11">
        <f>+'SERVICIO FAENA'!A859</f>
        <v>0</v>
      </c>
      <c r="B859" s="11">
        <f>+'SERVICIO FAENA'!B859</f>
        <v>0</v>
      </c>
      <c r="C859" s="11"/>
      <c r="D859" s="11"/>
      <c r="E859" s="18">
        <f>+'SERVICIO FAENA'!E859</f>
        <v>0</v>
      </c>
      <c r="F859" s="11"/>
      <c r="G859" s="180" t="e">
        <f t="shared" si="69"/>
        <v>#DIV/0!</v>
      </c>
      <c r="H859" s="11"/>
      <c r="I859" s="11"/>
      <c r="J859" s="180" t="e">
        <f t="shared" si="65"/>
        <v>#DIV/0!</v>
      </c>
      <c r="K859" s="100"/>
      <c r="L859" s="100"/>
      <c r="M859" s="100"/>
      <c r="N859" s="100">
        <f t="shared" si="66"/>
        <v>0</v>
      </c>
      <c r="O859" s="100"/>
      <c r="P859" s="41">
        <v>880</v>
      </c>
      <c r="Q859" s="11"/>
      <c r="R859" s="41">
        <v>260</v>
      </c>
      <c r="S859" s="185"/>
      <c r="T859" s="185"/>
      <c r="U859" s="185"/>
      <c r="V859" s="185"/>
      <c r="W859" s="41">
        <f t="shared" si="67"/>
        <v>0</v>
      </c>
      <c r="X859" s="41">
        <f t="shared" si="68"/>
        <v>0</v>
      </c>
      <c r="Y859" s="11"/>
      <c r="Z859" s="11"/>
      <c r="AA859" s="11"/>
      <c r="AB859" s="11"/>
      <c r="AC859" s="24"/>
    </row>
    <row r="860" spans="1:29" x14ac:dyDescent="0.2">
      <c r="A860" s="11">
        <f>+'SERVICIO FAENA'!A860</f>
        <v>0</v>
      </c>
      <c r="B860" s="11">
        <f>+'SERVICIO FAENA'!B860</f>
        <v>0</v>
      </c>
      <c r="C860" s="11"/>
      <c r="D860" s="11"/>
      <c r="E860" s="18">
        <f>+'SERVICIO FAENA'!E860</f>
        <v>0</v>
      </c>
      <c r="F860" s="11"/>
      <c r="G860" s="180" t="e">
        <f t="shared" si="69"/>
        <v>#DIV/0!</v>
      </c>
      <c r="H860" s="11"/>
      <c r="I860" s="11"/>
      <c r="J860" s="180" t="e">
        <f t="shared" si="65"/>
        <v>#DIV/0!</v>
      </c>
      <c r="K860" s="100"/>
      <c r="L860" s="100"/>
      <c r="M860" s="100"/>
      <c r="N860" s="100">
        <f t="shared" si="66"/>
        <v>0</v>
      </c>
      <c r="O860" s="100"/>
      <c r="P860" s="41">
        <v>880</v>
      </c>
      <c r="Q860" s="11"/>
      <c r="R860" s="41">
        <v>260</v>
      </c>
      <c r="S860" s="185"/>
      <c r="T860" s="185"/>
      <c r="U860" s="185"/>
      <c r="V860" s="185"/>
      <c r="W860" s="41">
        <f t="shared" si="67"/>
        <v>0</v>
      </c>
      <c r="X860" s="41">
        <f t="shared" si="68"/>
        <v>0</v>
      </c>
      <c r="Y860" s="11"/>
      <c r="Z860" s="11"/>
      <c r="AA860" s="11"/>
      <c r="AB860" s="11"/>
      <c r="AC860" s="24"/>
    </row>
    <row r="861" spans="1:29" x14ac:dyDescent="0.2">
      <c r="A861" s="11">
        <f>+'SERVICIO FAENA'!A861</f>
        <v>0</v>
      </c>
      <c r="B861" s="11">
        <f>+'SERVICIO FAENA'!B861</f>
        <v>0</v>
      </c>
      <c r="C861" s="11"/>
      <c r="D861" s="11"/>
      <c r="E861" s="18">
        <f>+'SERVICIO FAENA'!E861</f>
        <v>0</v>
      </c>
      <c r="F861" s="11"/>
      <c r="G861" s="180" t="e">
        <f t="shared" si="69"/>
        <v>#DIV/0!</v>
      </c>
      <c r="H861" s="11"/>
      <c r="I861" s="11"/>
      <c r="J861" s="180" t="e">
        <f t="shared" si="65"/>
        <v>#DIV/0!</v>
      </c>
      <c r="K861" s="100"/>
      <c r="L861" s="100"/>
      <c r="M861" s="100"/>
      <c r="N861" s="100">
        <f t="shared" si="66"/>
        <v>0</v>
      </c>
      <c r="O861" s="100"/>
      <c r="P861" s="41">
        <v>880</v>
      </c>
      <c r="Q861" s="11"/>
      <c r="R861" s="41">
        <v>260</v>
      </c>
      <c r="S861" s="185"/>
      <c r="T861" s="185"/>
      <c r="U861" s="185"/>
      <c r="V861" s="185"/>
      <c r="W861" s="41">
        <f t="shared" si="67"/>
        <v>0</v>
      </c>
      <c r="X861" s="41">
        <f t="shared" si="68"/>
        <v>0</v>
      </c>
      <c r="Y861" s="11"/>
      <c r="Z861" s="11"/>
      <c r="AA861" s="11"/>
      <c r="AB861" s="11"/>
      <c r="AC861" s="24"/>
    </row>
    <row r="862" spans="1:29" x14ac:dyDescent="0.2">
      <c r="A862" s="11">
        <f>+'SERVICIO FAENA'!A862</f>
        <v>0</v>
      </c>
      <c r="B862" s="11">
        <f>+'SERVICIO FAENA'!B862</f>
        <v>0</v>
      </c>
      <c r="C862" s="11"/>
      <c r="D862" s="11"/>
      <c r="E862" s="18">
        <f>+'SERVICIO FAENA'!E862</f>
        <v>0</v>
      </c>
      <c r="F862" s="11"/>
      <c r="G862" s="180" t="e">
        <f t="shared" si="69"/>
        <v>#DIV/0!</v>
      </c>
      <c r="H862" s="11"/>
      <c r="I862" s="11"/>
      <c r="J862" s="180" t="e">
        <f t="shared" si="65"/>
        <v>#DIV/0!</v>
      </c>
      <c r="K862" s="100"/>
      <c r="L862" s="100"/>
      <c r="M862" s="100"/>
      <c r="N862" s="100">
        <f t="shared" si="66"/>
        <v>0</v>
      </c>
      <c r="O862" s="100"/>
      <c r="P862" s="41">
        <v>880</v>
      </c>
      <c r="Q862" s="11"/>
      <c r="R862" s="41">
        <v>260</v>
      </c>
      <c r="S862" s="185"/>
      <c r="T862" s="185"/>
      <c r="U862" s="185"/>
      <c r="V862" s="185"/>
      <c r="W862" s="41">
        <f t="shared" si="67"/>
        <v>0</v>
      </c>
      <c r="X862" s="41">
        <f t="shared" si="68"/>
        <v>0</v>
      </c>
      <c r="Y862" s="11"/>
      <c r="Z862" s="11"/>
      <c r="AA862" s="11"/>
      <c r="AB862" s="11"/>
      <c r="AC862" s="24"/>
    </row>
    <row r="863" spans="1:29" x14ac:dyDescent="0.2">
      <c r="A863" s="11">
        <f>+'SERVICIO FAENA'!A863</f>
        <v>0</v>
      </c>
      <c r="B863" s="11">
        <f>+'SERVICIO FAENA'!B863</f>
        <v>0</v>
      </c>
      <c r="C863" s="11"/>
      <c r="D863" s="11"/>
      <c r="E863" s="18">
        <f>+'SERVICIO FAENA'!E863</f>
        <v>0</v>
      </c>
      <c r="F863" s="11"/>
      <c r="G863" s="180" t="e">
        <f t="shared" si="69"/>
        <v>#DIV/0!</v>
      </c>
      <c r="H863" s="11"/>
      <c r="I863" s="11"/>
      <c r="J863" s="180" t="e">
        <f t="shared" si="65"/>
        <v>#DIV/0!</v>
      </c>
      <c r="K863" s="100"/>
      <c r="L863" s="100"/>
      <c r="M863" s="100"/>
      <c r="N863" s="100">
        <f t="shared" si="66"/>
        <v>0</v>
      </c>
      <c r="O863" s="100"/>
      <c r="P863" s="41">
        <v>880</v>
      </c>
      <c r="Q863" s="11"/>
      <c r="R863" s="41">
        <v>260</v>
      </c>
      <c r="S863" s="185"/>
      <c r="T863" s="185"/>
      <c r="U863" s="185"/>
      <c r="V863" s="185"/>
      <c r="W863" s="41">
        <f t="shared" si="67"/>
        <v>0</v>
      </c>
      <c r="X863" s="41">
        <f t="shared" si="68"/>
        <v>0</v>
      </c>
      <c r="Y863" s="11"/>
      <c r="Z863" s="11"/>
      <c r="AA863" s="11"/>
      <c r="AB863" s="11"/>
      <c r="AC863" s="24"/>
    </row>
    <row r="864" spans="1:29" x14ac:dyDescent="0.2">
      <c r="A864" s="11">
        <f>+'SERVICIO FAENA'!A864</f>
        <v>0</v>
      </c>
      <c r="B864" s="11">
        <f>+'SERVICIO FAENA'!B864</f>
        <v>0</v>
      </c>
      <c r="C864" s="11"/>
      <c r="D864" s="11"/>
      <c r="E864" s="18">
        <f>+'SERVICIO FAENA'!E864</f>
        <v>0</v>
      </c>
      <c r="F864" s="11"/>
      <c r="G864" s="180" t="e">
        <f t="shared" si="69"/>
        <v>#DIV/0!</v>
      </c>
      <c r="H864" s="11"/>
      <c r="I864" s="11"/>
      <c r="J864" s="180" t="e">
        <f t="shared" si="65"/>
        <v>#DIV/0!</v>
      </c>
      <c r="K864" s="100"/>
      <c r="L864" s="100"/>
      <c r="M864" s="100"/>
      <c r="N864" s="100">
        <f t="shared" si="66"/>
        <v>0</v>
      </c>
      <c r="O864" s="100"/>
      <c r="P864" s="41">
        <v>880</v>
      </c>
      <c r="Q864" s="11"/>
      <c r="R864" s="41">
        <v>260</v>
      </c>
      <c r="S864" s="185"/>
      <c r="T864" s="185"/>
      <c r="U864" s="185"/>
      <c r="V864" s="185"/>
      <c r="W864" s="41">
        <f t="shared" si="67"/>
        <v>0</v>
      </c>
      <c r="X864" s="41">
        <f t="shared" si="68"/>
        <v>0</v>
      </c>
      <c r="Y864" s="11"/>
      <c r="Z864" s="11"/>
      <c r="AA864" s="11"/>
      <c r="AB864" s="11"/>
      <c r="AC864" s="24"/>
    </row>
    <row r="865" spans="1:29" x14ac:dyDescent="0.2">
      <c r="A865" s="11">
        <f>+'SERVICIO FAENA'!A865</f>
        <v>0</v>
      </c>
      <c r="B865" s="11">
        <f>+'SERVICIO FAENA'!B865</f>
        <v>0</v>
      </c>
      <c r="C865" s="11"/>
      <c r="D865" s="11"/>
      <c r="E865" s="18">
        <f>+'SERVICIO FAENA'!E865</f>
        <v>0</v>
      </c>
      <c r="F865" s="11"/>
      <c r="G865" s="180" t="e">
        <f t="shared" si="69"/>
        <v>#DIV/0!</v>
      </c>
      <c r="H865" s="11"/>
      <c r="I865" s="11"/>
      <c r="J865" s="180" t="e">
        <f t="shared" si="65"/>
        <v>#DIV/0!</v>
      </c>
      <c r="K865" s="100"/>
      <c r="L865" s="100"/>
      <c r="M865" s="100"/>
      <c r="N865" s="100">
        <f t="shared" si="66"/>
        <v>0</v>
      </c>
      <c r="O865" s="100"/>
      <c r="P865" s="41">
        <v>880</v>
      </c>
      <c r="Q865" s="11"/>
      <c r="R865" s="41">
        <v>260</v>
      </c>
      <c r="S865" s="185"/>
      <c r="T865" s="185"/>
      <c r="U865" s="185"/>
      <c r="V865" s="185"/>
      <c r="W865" s="41">
        <f t="shared" si="67"/>
        <v>0</v>
      </c>
      <c r="X865" s="41">
        <f t="shared" si="68"/>
        <v>0</v>
      </c>
      <c r="Y865" s="11"/>
      <c r="Z865" s="11"/>
      <c r="AA865" s="11"/>
      <c r="AB865" s="11"/>
      <c r="AC865" s="24"/>
    </row>
    <row r="866" spans="1:29" x14ac:dyDescent="0.2">
      <c r="A866" s="11">
        <f>+'SERVICIO FAENA'!A866</f>
        <v>0</v>
      </c>
      <c r="B866" s="11">
        <f>+'SERVICIO FAENA'!B866</f>
        <v>0</v>
      </c>
      <c r="C866" s="11"/>
      <c r="D866" s="11"/>
      <c r="E866" s="18">
        <f>+'SERVICIO FAENA'!E866</f>
        <v>0</v>
      </c>
      <c r="F866" s="11"/>
      <c r="G866" s="180" t="e">
        <f t="shared" si="69"/>
        <v>#DIV/0!</v>
      </c>
      <c r="H866" s="11"/>
      <c r="I866" s="11"/>
      <c r="J866" s="180" t="e">
        <f t="shared" si="65"/>
        <v>#DIV/0!</v>
      </c>
      <c r="K866" s="100"/>
      <c r="L866" s="100"/>
      <c r="M866" s="100"/>
      <c r="N866" s="100">
        <f t="shared" si="66"/>
        <v>0</v>
      </c>
      <c r="O866" s="100"/>
      <c r="P866" s="41">
        <v>880</v>
      </c>
      <c r="Q866" s="11"/>
      <c r="R866" s="41">
        <v>260</v>
      </c>
      <c r="S866" s="185"/>
      <c r="T866" s="185"/>
      <c r="U866" s="185"/>
      <c r="V866" s="185"/>
      <c r="W866" s="41">
        <f t="shared" si="67"/>
        <v>0</v>
      </c>
      <c r="X866" s="41">
        <f t="shared" si="68"/>
        <v>0</v>
      </c>
      <c r="Y866" s="11"/>
      <c r="Z866" s="11"/>
      <c r="AA866" s="11"/>
      <c r="AB866" s="11"/>
      <c r="AC866" s="24"/>
    </row>
    <row r="867" spans="1:29" x14ac:dyDescent="0.2">
      <c r="A867" s="11">
        <f>+'SERVICIO FAENA'!A867</f>
        <v>0</v>
      </c>
      <c r="B867" s="11">
        <f>+'SERVICIO FAENA'!B867</f>
        <v>0</v>
      </c>
      <c r="C867" s="11"/>
      <c r="D867" s="11"/>
      <c r="E867" s="18">
        <f>+'SERVICIO FAENA'!E867</f>
        <v>0</v>
      </c>
      <c r="F867" s="11"/>
      <c r="G867" s="180" t="e">
        <f t="shared" si="69"/>
        <v>#DIV/0!</v>
      </c>
      <c r="H867" s="11"/>
      <c r="I867" s="11"/>
      <c r="J867" s="180" t="e">
        <f t="shared" si="65"/>
        <v>#DIV/0!</v>
      </c>
      <c r="K867" s="100"/>
      <c r="L867" s="100"/>
      <c r="M867" s="100"/>
      <c r="N867" s="100">
        <f t="shared" si="66"/>
        <v>0</v>
      </c>
      <c r="O867" s="100"/>
      <c r="P867" s="41">
        <v>880</v>
      </c>
      <c r="Q867" s="11"/>
      <c r="R867" s="41">
        <v>260</v>
      </c>
      <c r="S867" s="185"/>
      <c r="T867" s="185"/>
      <c r="U867" s="185"/>
      <c r="V867" s="185"/>
      <c r="W867" s="41">
        <f t="shared" si="67"/>
        <v>0</v>
      </c>
      <c r="X867" s="41">
        <f t="shared" si="68"/>
        <v>0</v>
      </c>
      <c r="Y867" s="11"/>
      <c r="Z867" s="11"/>
      <c r="AA867" s="11"/>
      <c r="AB867" s="11"/>
      <c r="AC867" s="24"/>
    </row>
    <row r="868" spans="1:29" x14ac:dyDescent="0.2">
      <c r="A868" s="11">
        <f>+'SERVICIO FAENA'!A868</f>
        <v>0</v>
      </c>
      <c r="B868" s="11">
        <f>+'SERVICIO FAENA'!B868</f>
        <v>0</v>
      </c>
      <c r="C868" s="11"/>
      <c r="D868" s="11"/>
      <c r="E868" s="18">
        <f>+'SERVICIO FAENA'!E868</f>
        <v>0</v>
      </c>
      <c r="F868" s="11"/>
      <c r="G868" s="180" t="e">
        <f t="shared" si="69"/>
        <v>#DIV/0!</v>
      </c>
      <c r="H868" s="11"/>
      <c r="I868" s="11"/>
      <c r="J868" s="180" t="e">
        <f t="shared" si="65"/>
        <v>#DIV/0!</v>
      </c>
      <c r="K868" s="100"/>
      <c r="L868" s="100"/>
      <c r="M868" s="100"/>
      <c r="N868" s="100">
        <f t="shared" si="66"/>
        <v>0</v>
      </c>
      <c r="O868" s="100"/>
      <c r="P868" s="41">
        <v>880</v>
      </c>
      <c r="Q868" s="11"/>
      <c r="R868" s="41">
        <v>260</v>
      </c>
      <c r="S868" s="185"/>
      <c r="T868" s="185"/>
      <c r="U868" s="185"/>
      <c r="V868" s="185"/>
      <c r="W868" s="41">
        <f t="shared" si="67"/>
        <v>0</v>
      </c>
      <c r="X868" s="41">
        <f t="shared" si="68"/>
        <v>0</v>
      </c>
      <c r="Y868" s="11"/>
      <c r="Z868" s="11"/>
      <c r="AA868" s="11"/>
      <c r="AB868" s="11"/>
      <c r="AC868" s="24"/>
    </row>
    <row r="869" spans="1:29" x14ac:dyDescent="0.2">
      <c r="A869" s="11">
        <f>+'SERVICIO FAENA'!A869</f>
        <v>0</v>
      </c>
      <c r="B869" s="11">
        <f>+'SERVICIO FAENA'!B869</f>
        <v>0</v>
      </c>
      <c r="C869" s="11"/>
      <c r="D869" s="11"/>
      <c r="E869" s="18">
        <f>+'SERVICIO FAENA'!E869</f>
        <v>0</v>
      </c>
      <c r="F869" s="11"/>
      <c r="G869" s="180" t="e">
        <f t="shared" si="69"/>
        <v>#DIV/0!</v>
      </c>
      <c r="H869" s="11"/>
      <c r="I869" s="11"/>
      <c r="J869" s="180" t="e">
        <f t="shared" si="65"/>
        <v>#DIV/0!</v>
      </c>
      <c r="K869" s="100"/>
      <c r="L869" s="100"/>
      <c r="M869" s="100"/>
      <c r="N869" s="100">
        <f t="shared" si="66"/>
        <v>0</v>
      </c>
      <c r="O869" s="100"/>
      <c r="P869" s="41">
        <v>880</v>
      </c>
      <c r="Q869" s="11"/>
      <c r="R869" s="41">
        <v>260</v>
      </c>
      <c r="S869" s="185"/>
      <c r="T869" s="185"/>
      <c r="U869" s="185"/>
      <c r="V869" s="185"/>
      <c r="W869" s="41">
        <f t="shared" si="67"/>
        <v>0</v>
      </c>
      <c r="X869" s="41">
        <f t="shared" si="68"/>
        <v>0</v>
      </c>
      <c r="Y869" s="11"/>
      <c r="Z869" s="11"/>
      <c r="AA869" s="11"/>
      <c r="AB869" s="11"/>
      <c r="AC869" s="24"/>
    </row>
    <row r="870" spans="1:29" x14ac:dyDescent="0.2">
      <c r="A870" s="11">
        <f>+'SERVICIO FAENA'!A870</f>
        <v>0</v>
      </c>
      <c r="B870" s="11">
        <f>+'SERVICIO FAENA'!B870</f>
        <v>0</v>
      </c>
      <c r="C870" s="11"/>
      <c r="D870" s="11"/>
      <c r="E870" s="18">
        <f>+'SERVICIO FAENA'!E870</f>
        <v>0</v>
      </c>
      <c r="F870" s="11"/>
      <c r="G870" s="180" t="e">
        <f t="shared" si="69"/>
        <v>#DIV/0!</v>
      </c>
      <c r="H870" s="11"/>
      <c r="I870" s="11"/>
      <c r="J870" s="180" t="e">
        <f t="shared" si="65"/>
        <v>#DIV/0!</v>
      </c>
      <c r="K870" s="100"/>
      <c r="L870" s="100"/>
      <c r="M870" s="100"/>
      <c r="N870" s="100">
        <f t="shared" si="66"/>
        <v>0</v>
      </c>
      <c r="O870" s="100"/>
      <c r="P870" s="41">
        <v>880</v>
      </c>
      <c r="Q870" s="11"/>
      <c r="R870" s="41">
        <v>260</v>
      </c>
      <c r="S870" s="185"/>
      <c r="T870" s="185"/>
      <c r="U870" s="185"/>
      <c r="V870" s="185"/>
      <c r="W870" s="41">
        <f t="shared" si="67"/>
        <v>0</v>
      </c>
      <c r="X870" s="41">
        <f t="shared" si="68"/>
        <v>0</v>
      </c>
      <c r="Y870" s="11"/>
      <c r="Z870" s="11"/>
      <c r="AA870" s="11"/>
      <c r="AB870" s="11"/>
      <c r="AC870" s="24"/>
    </row>
    <row r="871" spans="1:29" x14ac:dyDescent="0.2">
      <c r="A871" s="11">
        <f>+'SERVICIO FAENA'!A871</f>
        <v>0</v>
      </c>
      <c r="B871" s="11">
        <f>+'SERVICIO FAENA'!B871</f>
        <v>0</v>
      </c>
      <c r="C871" s="11"/>
      <c r="D871" s="11"/>
      <c r="E871" s="18">
        <f>+'SERVICIO FAENA'!E871</f>
        <v>0</v>
      </c>
      <c r="F871" s="11"/>
      <c r="G871" s="180" t="e">
        <f t="shared" si="69"/>
        <v>#DIV/0!</v>
      </c>
      <c r="H871" s="11"/>
      <c r="I871" s="11"/>
      <c r="J871" s="180" t="e">
        <f t="shared" si="65"/>
        <v>#DIV/0!</v>
      </c>
      <c r="K871" s="100"/>
      <c r="L871" s="100"/>
      <c r="M871" s="100"/>
      <c r="N871" s="100">
        <f t="shared" si="66"/>
        <v>0</v>
      </c>
      <c r="O871" s="100"/>
      <c r="P871" s="41">
        <v>880</v>
      </c>
      <c r="Q871" s="11"/>
      <c r="R871" s="41">
        <v>260</v>
      </c>
      <c r="S871" s="185"/>
      <c r="T871" s="185"/>
      <c r="U871" s="185"/>
      <c r="V871" s="185"/>
      <c r="W871" s="41">
        <f t="shared" si="67"/>
        <v>0</v>
      </c>
      <c r="X871" s="41">
        <f t="shared" si="68"/>
        <v>0</v>
      </c>
      <c r="Y871" s="11"/>
      <c r="Z871" s="11"/>
      <c r="AA871" s="11"/>
      <c r="AB871" s="11"/>
      <c r="AC871" s="24"/>
    </row>
    <row r="872" spans="1:29" x14ac:dyDescent="0.2">
      <c r="A872" s="11">
        <f>+'SERVICIO FAENA'!A872</f>
        <v>0</v>
      </c>
      <c r="B872" s="11">
        <f>+'SERVICIO FAENA'!B872</f>
        <v>0</v>
      </c>
      <c r="C872" s="11"/>
      <c r="D872" s="11"/>
      <c r="E872" s="18">
        <f>+'SERVICIO FAENA'!E872</f>
        <v>0</v>
      </c>
      <c r="F872" s="11"/>
      <c r="G872" s="180" t="e">
        <f t="shared" si="69"/>
        <v>#DIV/0!</v>
      </c>
      <c r="H872" s="11"/>
      <c r="I872" s="11"/>
      <c r="J872" s="180" t="e">
        <f t="shared" si="65"/>
        <v>#DIV/0!</v>
      </c>
      <c r="K872" s="100"/>
      <c r="L872" s="100"/>
      <c r="M872" s="100"/>
      <c r="N872" s="100">
        <f t="shared" si="66"/>
        <v>0</v>
      </c>
      <c r="O872" s="100"/>
      <c r="P872" s="41">
        <v>880</v>
      </c>
      <c r="Q872" s="11"/>
      <c r="R872" s="41">
        <v>260</v>
      </c>
      <c r="S872" s="185"/>
      <c r="T872" s="185"/>
      <c r="U872" s="185"/>
      <c r="V872" s="185"/>
      <c r="W872" s="41">
        <f t="shared" si="67"/>
        <v>0</v>
      </c>
      <c r="X872" s="41">
        <f t="shared" si="68"/>
        <v>0</v>
      </c>
      <c r="Y872" s="11"/>
      <c r="Z872" s="11"/>
      <c r="AA872" s="11"/>
      <c r="AB872" s="11"/>
      <c r="AC872" s="24"/>
    </row>
    <row r="873" spans="1:29" x14ac:dyDescent="0.2">
      <c r="A873" s="11">
        <f>+'SERVICIO FAENA'!A873</f>
        <v>0</v>
      </c>
      <c r="B873" s="11">
        <f>+'SERVICIO FAENA'!B873</f>
        <v>0</v>
      </c>
      <c r="C873" s="11"/>
      <c r="D873" s="11"/>
      <c r="E873" s="18">
        <f>+'SERVICIO FAENA'!E873</f>
        <v>0</v>
      </c>
      <c r="F873" s="11"/>
      <c r="G873" s="180" t="e">
        <f t="shared" si="69"/>
        <v>#DIV/0!</v>
      </c>
      <c r="H873" s="11"/>
      <c r="I873" s="11"/>
      <c r="J873" s="180" t="e">
        <f t="shared" si="65"/>
        <v>#DIV/0!</v>
      </c>
      <c r="K873" s="100"/>
      <c r="L873" s="100"/>
      <c r="M873" s="100"/>
      <c r="N873" s="100">
        <f t="shared" si="66"/>
        <v>0</v>
      </c>
      <c r="O873" s="100"/>
      <c r="P873" s="41">
        <v>880</v>
      </c>
      <c r="Q873" s="11"/>
      <c r="R873" s="41">
        <v>260</v>
      </c>
      <c r="S873" s="185"/>
      <c r="T873" s="185"/>
      <c r="U873" s="185"/>
      <c r="V873" s="185"/>
      <c r="W873" s="41">
        <f t="shared" si="67"/>
        <v>0</v>
      </c>
      <c r="X873" s="41">
        <f t="shared" si="68"/>
        <v>0</v>
      </c>
      <c r="Y873" s="11"/>
      <c r="Z873" s="11"/>
      <c r="AA873" s="11"/>
      <c r="AB873" s="11"/>
      <c r="AC873" s="24"/>
    </row>
    <row r="874" spans="1:29" x14ac:dyDescent="0.2">
      <c r="A874" s="11">
        <f>+'SERVICIO FAENA'!A874</f>
        <v>0</v>
      </c>
      <c r="B874" s="11">
        <f>+'SERVICIO FAENA'!B874</f>
        <v>0</v>
      </c>
      <c r="C874" s="11"/>
      <c r="D874" s="11"/>
      <c r="E874" s="18">
        <f>+'SERVICIO FAENA'!E874</f>
        <v>0</v>
      </c>
      <c r="F874" s="11"/>
      <c r="G874" s="180" t="e">
        <f t="shared" si="69"/>
        <v>#DIV/0!</v>
      </c>
      <c r="H874" s="11"/>
      <c r="I874" s="11"/>
      <c r="J874" s="180" t="e">
        <f t="shared" ref="J874:J893" si="70">+((F874-(H874+I874))/F874)</f>
        <v>#DIV/0!</v>
      </c>
      <c r="K874" s="100"/>
      <c r="L874" s="100"/>
      <c r="M874" s="100"/>
      <c r="N874" s="100">
        <f t="shared" ref="N874:N893" si="71">SUM(K874:M874)</f>
        <v>0</v>
      </c>
      <c r="O874" s="100"/>
      <c r="P874" s="41">
        <v>880</v>
      </c>
      <c r="Q874" s="11"/>
      <c r="R874" s="41">
        <v>260</v>
      </c>
      <c r="S874" s="185"/>
      <c r="T874" s="185"/>
      <c r="U874" s="185"/>
      <c r="V874" s="185"/>
      <c r="W874" s="41">
        <f t="shared" ref="W874:W893" si="72">+(P874*O874)+(R874*Q874)</f>
        <v>0</v>
      </c>
      <c r="X874" s="41">
        <f t="shared" si="68"/>
        <v>0</v>
      </c>
      <c r="Y874" s="11"/>
      <c r="Z874" s="11"/>
      <c r="AA874" s="11"/>
      <c r="AB874" s="11"/>
      <c r="AC874" s="24"/>
    </row>
    <row r="875" spans="1:29" x14ac:dyDescent="0.2">
      <c r="A875" s="11">
        <f>+'SERVICIO FAENA'!A875</f>
        <v>0</v>
      </c>
      <c r="B875" s="11">
        <f>+'SERVICIO FAENA'!B875</f>
        <v>0</v>
      </c>
      <c r="C875" s="11"/>
      <c r="D875" s="11"/>
      <c r="E875" s="18">
        <f>+'SERVICIO FAENA'!E875</f>
        <v>0</v>
      </c>
      <c r="F875" s="11"/>
      <c r="G875" s="180" t="e">
        <f t="shared" si="69"/>
        <v>#DIV/0!</v>
      </c>
      <c r="H875" s="11"/>
      <c r="I875" s="11"/>
      <c r="J875" s="180" t="e">
        <f t="shared" si="70"/>
        <v>#DIV/0!</v>
      </c>
      <c r="K875" s="100"/>
      <c r="L875" s="100"/>
      <c r="M875" s="100"/>
      <c r="N875" s="100">
        <f t="shared" si="71"/>
        <v>0</v>
      </c>
      <c r="O875" s="100"/>
      <c r="P875" s="41">
        <v>880</v>
      </c>
      <c r="Q875" s="11"/>
      <c r="R875" s="41">
        <v>260</v>
      </c>
      <c r="S875" s="185"/>
      <c r="T875" s="185"/>
      <c r="U875" s="185"/>
      <c r="V875" s="185"/>
      <c r="W875" s="41">
        <f t="shared" si="72"/>
        <v>0</v>
      </c>
      <c r="X875" s="41">
        <f t="shared" si="68"/>
        <v>0</v>
      </c>
      <c r="Y875" s="11"/>
      <c r="Z875" s="11"/>
      <c r="AA875" s="11"/>
      <c r="AB875" s="11"/>
      <c r="AC875" s="24"/>
    </row>
    <row r="876" spans="1:29" x14ac:dyDescent="0.2">
      <c r="A876" s="11">
        <f>+'SERVICIO FAENA'!A876</f>
        <v>0</v>
      </c>
      <c r="B876" s="11">
        <f>+'SERVICIO FAENA'!B876</f>
        <v>0</v>
      </c>
      <c r="C876" s="11"/>
      <c r="D876" s="11"/>
      <c r="E876" s="18">
        <f>+'SERVICIO FAENA'!E876</f>
        <v>0</v>
      </c>
      <c r="F876" s="11"/>
      <c r="G876" s="180" t="e">
        <f t="shared" si="69"/>
        <v>#DIV/0!</v>
      </c>
      <c r="H876" s="11"/>
      <c r="I876" s="11"/>
      <c r="J876" s="180" t="e">
        <f t="shared" si="70"/>
        <v>#DIV/0!</v>
      </c>
      <c r="K876" s="100"/>
      <c r="L876" s="100"/>
      <c r="M876" s="100"/>
      <c r="N876" s="100">
        <f t="shared" si="71"/>
        <v>0</v>
      </c>
      <c r="O876" s="100"/>
      <c r="P876" s="41">
        <v>880</v>
      </c>
      <c r="Q876" s="11"/>
      <c r="R876" s="41">
        <v>260</v>
      </c>
      <c r="S876" s="185"/>
      <c r="T876" s="185"/>
      <c r="U876" s="185"/>
      <c r="V876" s="185"/>
      <c r="W876" s="41">
        <f t="shared" si="72"/>
        <v>0</v>
      </c>
      <c r="X876" s="41">
        <f t="shared" si="68"/>
        <v>0</v>
      </c>
      <c r="Y876" s="11"/>
      <c r="Z876" s="11"/>
      <c r="AA876" s="11"/>
      <c r="AB876" s="11"/>
      <c r="AC876" s="24"/>
    </row>
    <row r="877" spans="1:29" x14ac:dyDescent="0.2">
      <c r="A877" s="11">
        <f>+'SERVICIO FAENA'!A877</f>
        <v>0</v>
      </c>
      <c r="B877" s="11">
        <f>+'SERVICIO FAENA'!B877</f>
        <v>0</v>
      </c>
      <c r="C877" s="11"/>
      <c r="D877" s="11"/>
      <c r="E877" s="18">
        <f>+'SERVICIO FAENA'!E877</f>
        <v>0</v>
      </c>
      <c r="F877" s="11"/>
      <c r="G877" s="180" t="e">
        <f t="shared" si="69"/>
        <v>#DIV/0!</v>
      </c>
      <c r="H877" s="11"/>
      <c r="I877" s="11"/>
      <c r="J877" s="180" t="e">
        <f t="shared" si="70"/>
        <v>#DIV/0!</v>
      </c>
      <c r="K877" s="100"/>
      <c r="L877" s="100"/>
      <c r="M877" s="100"/>
      <c r="N877" s="100">
        <f t="shared" si="71"/>
        <v>0</v>
      </c>
      <c r="O877" s="100"/>
      <c r="P877" s="41">
        <v>880</v>
      </c>
      <c r="Q877" s="11"/>
      <c r="R877" s="41">
        <v>260</v>
      </c>
      <c r="S877" s="185"/>
      <c r="T877" s="185"/>
      <c r="U877" s="185"/>
      <c r="V877" s="185"/>
      <c r="W877" s="41">
        <f t="shared" si="72"/>
        <v>0</v>
      </c>
      <c r="X877" s="41">
        <f t="shared" si="68"/>
        <v>0</v>
      </c>
      <c r="Y877" s="11"/>
      <c r="Z877" s="11"/>
      <c r="AA877" s="11"/>
      <c r="AB877" s="11"/>
      <c r="AC877" s="24"/>
    </row>
    <row r="878" spans="1:29" x14ac:dyDescent="0.2">
      <c r="A878" s="11">
        <f>+'SERVICIO FAENA'!A878</f>
        <v>0</v>
      </c>
      <c r="B878" s="11">
        <f>+'SERVICIO FAENA'!B878</f>
        <v>0</v>
      </c>
      <c r="C878" s="11"/>
      <c r="D878" s="11"/>
      <c r="E878" s="18">
        <f>+'SERVICIO FAENA'!E878</f>
        <v>0</v>
      </c>
      <c r="F878" s="11"/>
      <c r="G878" s="180" t="e">
        <f t="shared" si="69"/>
        <v>#DIV/0!</v>
      </c>
      <c r="H878" s="11"/>
      <c r="I878" s="11"/>
      <c r="J878" s="180" t="e">
        <f t="shared" si="70"/>
        <v>#DIV/0!</v>
      </c>
      <c r="K878" s="100"/>
      <c r="L878" s="100"/>
      <c r="M878" s="100"/>
      <c r="N878" s="100">
        <f t="shared" si="71"/>
        <v>0</v>
      </c>
      <c r="O878" s="100"/>
      <c r="P878" s="41">
        <v>880</v>
      </c>
      <c r="Q878" s="11"/>
      <c r="R878" s="41">
        <v>260</v>
      </c>
      <c r="S878" s="185"/>
      <c r="T878" s="185"/>
      <c r="U878" s="185"/>
      <c r="V878" s="185"/>
      <c r="W878" s="41">
        <f t="shared" si="72"/>
        <v>0</v>
      </c>
      <c r="X878" s="41">
        <f t="shared" si="68"/>
        <v>0</v>
      </c>
      <c r="Y878" s="11"/>
      <c r="Z878" s="11"/>
      <c r="AA878" s="11"/>
      <c r="AB878" s="11"/>
      <c r="AC878" s="24"/>
    </row>
    <row r="879" spans="1:29" x14ac:dyDescent="0.2">
      <c r="A879" s="11">
        <f>+'SERVICIO FAENA'!A879</f>
        <v>0</v>
      </c>
      <c r="B879" s="11">
        <f>+'SERVICIO FAENA'!B879</f>
        <v>0</v>
      </c>
      <c r="C879" s="11"/>
      <c r="D879" s="11"/>
      <c r="E879" s="18">
        <f>+'SERVICIO FAENA'!E879</f>
        <v>0</v>
      </c>
      <c r="F879" s="11"/>
      <c r="G879" s="180" t="e">
        <f t="shared" si="69"/>
        <v>#DIV/0!</v>
      </c>
      <c r="H879" s="11"/>
      <c r="I879" s="11"/>
      <c r="J879" s="180" t="e">
        <f t="shared" si="70"/>
        <v>#DIV/0!</v>
      </c>
      <c r="K879" s="100"/>
      <c r="L879" s="100"/>
      <c r="M879" s="100"/>
      <c r="N879" s="100">
        <f t="shared" si="71"/>
        <v>0</v>
      </c>
      <c r="O879" s="100"/>
      <c r="P879" s="41">
        <v>880</v>
      </c>
      <c r="Q879" s="11"/>
      <c r="R879" s="41">
        <v>260</v>
      </c>
      <c r="S879" s="185"/>
      <c r="T879" s="185"/>
      <c r="U879" s="185"/>
      <c r="V879" s="185"/>
      <c r="W879" s="41">
        <f t="shared" si="72"/>
        <v>0</v>
      </c>
      <c r="X879" s="41">
        <f t="shared" si="68"/>
        <v>0</v>
      </c>
      <c r="Y879" s="11"/>
      <c r="Z879" s="11"/>
      <c r="AA879" s="11"/>
      <c r="AB879" s="11"/>
      <c r="AC879" s="24"/>
    </row>
    <row r="880" spans="1:29" x14ac:dyDescent="0.2">
      <c r="A880" s="11">
        <f>+'SERVICIO FAENA'!A880</f>
        <v>0</v>
      </c>
      <c r="B880" s="11">
        <f>+'SERVICIO FAENA'!B880</f>
        <v>0</v>
      </c>
      <c r="C880" s="11"/>
      <c r="D880" s="11"/>
      <c r="E880" s="18">
        <f>+'SERVICIO FAENA'!E880</f>
        <v>0</v>
      </c>
      <c r="F880" s="11"/>
      <c r="G880" s="180" t="e">
        <f t="shared" si="69"/>
        <v>#DIV/0!</v>
      </c>
      <c r="H880" s="11"/>
      <c r="I880" s="11"/>
      <c r="J880" s="180" t="e">
        <f t="shared" si="70"/>
        <v>#DIV/0!</v>
      </c>
      <c r="K880" s="100"/>
      <c r="L880" s="100"/>
      <c r="M880" s="100"/>
      <c r="N880" s="100">
        <f t="shared" si="71"/>
        <v>0</v>
      </c>
      <c r="O880" s="100"/>
      <c r="P880" s="41">
        <v>880</v>
      </c>
      <c r="Q880" s="11"/>
      <c r="R880" s="41">
        <v>260</v>
      </c>
      <c r="S880" s="185"/>
      <c r="T880" s="185"/>
      <c r="U880" s="185"/>
      <c r="V880" s="185"/>
      <c r="W880" s="41">
        <f t="shared" si="72"/>
        <v>0</v>
      </c>
      <c r="X880" s="41">
        <f t="shared" si="68"/>
        <v>0</v>
      </c>
      <c r="Y880" s="11"/>
      <c r="Z880" s="11"/>
      <c r="AA880" s="11"/>
      <c r="AB880" s="11"/>
      <c r="AC880" s="24"/>
    </row>
    <row r="881" spans="1:29" x14ac:dyDescent="0.2">
      <c r="A881" s="11">
        <f>+'SERVICIO FAENA'!A881</f>
        <v>0</v>
      </c>
      <c r="B881" s="11">
        <f>+'SERVICIO FAENA'!B881</f>
        <v>0</v>
      </c>
      <c r="C881" s="11"/>
      <c r="D881" s="11"/>
      <c r="E881" s="18">
        <f>+'SERVICIO FAENA'!E881</f>
        <v>0</v>
      </c>
      <c r="F881" s="11"/>
      <c r="G881" s="180" t="e">
        <f t="shared" si="69"/>
        <v>#DIV/0!</v>
      </c>
      <c r="H881" s="11"/>
      <c r="I881" s="11"/>
      <c r="J881" s="180" t="e">
        <f t="shared" si="70"/>
        <v>#DIV/0!</v>
      </c>
      <c r="K881" s="100"/>
      <c r="L881" s="100"/>
      <c r="M881" s="100"/>
      <c r="N881" s="100">
        <f t="shared" si="71"/>
        <v>0</v>
      </c>
      <c r="O881" s="100"/>
      <c r="P881" s="41">
        <v>880</v>
      </c>
      <c r="Q881" s="11"/>
      <c r="R881" s="41">
        <v>260</v>
      </c>
      <c r="S881" s="185"/>
      <c r="T881" s="185"/>
      <c r="U881" s="185"/>
      <c r="V881" s="185"/>
      <c r="W881" s="41">
        <f t="shared" si="72"/>
        <v>0</v>
      </c>
      <c r="X881" s="41">
        <f t="shared" si="68"/>
        <v>0</v>
      </c>
      <c r="Y881" s="11"/>
      <c r="Z881" s="11"/>
      <c r="AA881" s="11"/>
      <c r="AB881" s="11"/>
      <c r="AC881" s="24"/>
    </row>
    <row r="882" spans="1:29" x14ac:dyDescent="0.2">
      <c r="A882" s="11">
        <f>+'SERVICIO FAENA'!A882</f>
        <v>0</v>
      </c>
      <c r="B882" s="11">
        <f>+'SERVICIO FAENA'!B882</f>
        <v>0</v>
      </c>
      <c r="C882" s="11"/>
      <c r="D882" s="11"/>
      <c r="E882" s="18">
        <f>+'SERVICIO FAENA'!E882</f>
        <v>0</v>
      </c>
      <c r="F882" s="11"/>
      <c r="G882" s="180" t="e">
        <f t="shared" si="69"/>
        <v>#DIV/0!</v>
      </c>
      <c r="H882" s="11"/>
      <c r="I882" s="11"/>
      <c r="J882" s="180" t="e">
        <f t="shared" si="70"/>
        <v>#DIV/0!</v>
      </c>
      <c r="K882" s="100"/>
      <c r="L882" s="100"/>
      <c r="M882" s="100"/>
      <c r="N882" s="100">
        <f t="shared" si="71"/>
        <v>0</v>
      </c>
      <c r="O882" s="100"/>
      <c r="P882" s="41">
        <v>880</v>
      </c>
      <c r="Q882" s="11"/>
      <c r="R882" s="41">
        <v>260</v>
      </c>
      <c r="S882" s="185"/>
      <c r="T882" s="185"/>
      <c r="U882" s="185"/>
      <c r="V882" s="185"/>
      <c r="W882" s="41">
        <f t="shared" si="72"/>
        <v>0</v>
      </c>
      <c r="X882" s="41">
        <f t="shared" si="68"/>
        <v>0</v>
      </c>
      <c r="Y882" s="11"/>
      <c r="Z882" s="11"/>
      <c r="AA882" s="11"/>
      <c r="AB882" s="11"/>
      <c r="AC882" s="24"/>
    </row>
    <row r="883" spans="1:29" x14ac:dyDescent="0.2">
      <c r="A883" s="11">
        <f>+'SERVICIO FAENA'!A883</f>
        <v>0</v>
      </c>
      <c r="B883" s="11">
        <f>+'SERVICIO FAENA'!B883</f>
        <v>0</v>
      </c>
      <c r="C883" s="11"/>
      <c r="D883" s="11"/>
      <c r="E883" s="18">
        <f>+'SERVICIO FAENA'!E883</f>
        <v>0</v>
      </c>
      <c r="F883" s="11"/>
      <c r="G883" s="180" t="e">
        <f t="shared" si="69"/>
        <v>#DIV/0!</v>
      </c>
      <c r="H883" s="11"/>
      <c r="I883" s="11"/>
      <c r="J883" s="180" t="e">
        <f t="shared" si="70"/>
        <v>#DIV/0!</v>
      </c>
      <c r="K883" s="100"/>
      <c r="L883" s="100"/>
      <c r="M883" s="100"/>
      <c r="N883" s="100">
        <f t="shared" si="71"/>
        <v>0</v>
      </c>
      <c r="O883" s="100"/>
      <c r="P883" s="41">
        <v>880</v>
      </c>
      <c r="Q883" s="11"/>
      <c r="R883" s="41">
        <v>260</v>
      </c>
      <c r="S883" s="185"/>
      <c r="T883" s="185"/>
      <c r="U883" s="185"/>
      <c r="V883" s="185"/>
      <c r="W883" s="41">
        <f t="shared" si="72"/>
        <v>0</v>
      </c>
      <c r="X883" s="41">
        <f t="shared" si="68"/>
        <v>0</v>
      </c>
      <c r="Y883" s="11"/>
      <c r="Z883" s="11"/>
      <c r="AA883" s="11"/>
      <c r="AB883" s="11"/>
      <c r="AC883" s="24"/>
    </row>
    <row r="884" spans="1:29" x14ac:dyDescent="0.2">
      <c r="A884" s="11">
        <f>+'SERVICIO FAENA'!A884</f>
        <v>0</v>
      </c>
      <c r="B884" s="11">
        <f>+'SERVICIO FAENA'!B884</f>
        <v>0</v>
      </c>
      <c r="C884" s="11"/>
      <c r="D884" s="11"/>
      <c r="E884" s="18">
        <f>+'SERVICIO FAENA'!E884</f>
        <v>0</v>
      </c>
      <c r="F884" s="11"/>
      <c r="G884" s="180" t="e">
        <f t="shared" si="69"/>
        <v>#DIV/0!</v>
      </c>
      <c r="H884" s="11"/>
      <c r="I884" s="11"/>
      <c r="J884" s="180" t="e">
        <f t="shared" si="70"/>
        <v>#DIV/0!</v>
      </c>
      <c r="K884" s="100"/>
      <c r="L884" s="100"/>
      <c r="M884" s="100"/>
      <c r="N884" s="100">
        <f t="shared" si="71"/>
        <v>0</v>
      </c>
      <c r="O884" s="100"/>
      <c r="P884" s="41">
        <v>880</v>
      </c>
      <c r="Q884" s="11"/>
      <c r="R884" s="41">
        <v>260</v>
      </c>
      <c r="S884" s="185"/>
      <c r="T884" s="185"/>
      <c r="U884" s="185"/>
      <c r="V884" s="185"/>
      <c r="W884" s="41">
        <f t="shared" si="72"/>
        <v>0</v>
      </c>
      <c r="X884" s="41">
        <f t="shared" si="68"/>
        <v>0</v>
      </c>
      <c r="Y884" s="11"/>
      <c r="Z884" s="11"/>
      <c r="AA884" s="11"/>
      <c r="AB884" s="11"/>
      <c r="AC884" s="24"/>
    </row>
    <row r="885" spans="1:29" x14ac:dyDescent="0.2">
      <c r="A885" s="11">
        <f>+'SERVICIO FAENA'!A885</f>
        <v>0</v>
      </c>
      <c r="B885" s="11">
        <f>+'SERVICIO FAENA'!B885</f>
        <v>0</v>
      </c>
      <c r="C885" s="11"/>
      <c r="D885" s="11"/>
      <c r="E885" s="18">
        <f>+'SERVICIO FAENA'!E885</f>
        <v>0</v>
      </c>
      <c r="F885" s="11"/>
      <c r="G885" s="180" t="e">
        <f t="shared" si="69"/>
        <v>#DIV/0!</v>
      </c>
      <c r="H885" s="11"/>
      <c r="I885" s="11"/>
      <c r="J885" s="180" t="e">
        <f t="shared" si="70"/>
        <v>#DIV/0!</v>
      </c>
      <c r="K885" s="100"/>
      <c r="L885" s="100"/>
      <c r="M885" s="100"/>
      <c r="N885" s="100">
        <f t="shared" si="71"/>
        <v>0</v>
      </c>
      <c r="O885" s="100"/>
      <c r="P885" s="41">
        <v>880</v>
      </c>
      <c r="Q885" s="11"/>
      <c r="R885" s="41">
        <v>260</v>
      </c>
      <c r="S885" s="185"/>
      <c r="T885" s="185"/>
      <c r="U885" s="185"/>
      <c r="V885" s="185"/>
      <c r="W885" s="41">
        <f t="shared" si="72"/>
        <v>0</v>
      </c>
      <c r="X885" s="41">
        <f t="shared" si="68"/>
        <v>0</v>
      </c>
      <c r="Y885" s="11"/>
      <c r="Z885" s="11"/>
      <c r="AA885" s="11"/>
      <c r="AB885" s="11"/>
      <c r="AC885" s="24"/>
    </row>
    <row r="886" spans="1:29" x14ac:dyDescent="0.2">
      <c r="A886" s="11">
        <f>+'SERVICIO FAENA'!A886</f>
        <v>0</v>
      </c>
      <c r="B886" s="11">
        <f>+'SERVICIO FAENA'!B886</f>
        <v>0</v>
      </c>
      <c r="C886" s="11"/>
      <c r="D886" s="11"/>
      <c r="E886" s="18">
        <f>+'SERVICIO FAENA'!E886</f>
        <v>0</v>
      </c>
      <c r="F886" s="11"/>
      <c r="G886" s="180" t="e">
        <f t="shared" si="69"/>
        <v>#DIV/0!</v>
      </c>
      <c r="H886" s="11"/>
      <c r="I886" s="11"/>
      <c r="J886" s="180" t="e">
        <f t="shared" si="70"/>
        <v>#DIV/0!</v>
      </c>
      <c r="K886" s="100"/>
      <c r="L886" s="100"/>
      <c r="M886" s="100"/>
      <c r="N886" s="100">
        <f t="shared" si="71"/>
        <v>0</v>
      </c>
      <c r="O886" s="100"/>
      <c r="P886" s="41">
        <v>880</v>
      </c>
      <c r="Q886" s="11"/>
      <c r="R886" s="41">
        <v>260</v>
      </c>
      <c r="S886" s="185"/>
      <c r="T886" s="185"/>
      <c r="U886" s="185"/>
      <c r="V886" s="185"/>
      <c r="W886" s="41">
        <f t="shared" si="72"/>
        <v>0</v>
      </c>
      <c r="X886" s="41">
        <f t="shared" si="68"/>
        <v>0</v>
      </c>
      <c r="Y886" s="11"/>
      <c r="Z886" s="11"/>
      <c r="AA886" s="11"/>
      <c r="AB886" s="11"/>
      <c r="AC886" s="24"/>
    </row>
    <row r="887" spans="1:29" x14ac:dyDescent="0.2">
      <c r="A887" s="11">
        <f>+'SERVICIO FAENA'!A887</f>
        <v>0</v>
      </c>
      <c r="B887" s="11">
        <f>+'SERVICIO FAENA'!B887</f>
        <v>0</v>
      </c>
      <c r="C887" s="11"/>
      <c r="D887" s="11"/>
      <c r="E887" s="18">
        <f>+'SERVICIO FAENA'!E887</f>
        <v>0</v>
      </c>
      <c r="F887" s="11"/>
      <c r="G887" s="180" t="e">
        <f t="shared" si="69"/>
        <v>#DIV/0!</v>
      </c>
      <c r="H887" s="11"/>
      <c r="I887" s="11"/>
      <c r="J887" s="180" t="e">
        <f t="shared" si="70"/>
        <v>#DIV/0!</v>
      </c>
      <c r="K887" s="100"/>
      <c r="L887" s="100"/>
      <c r="M887" s="100"/>
      <c r="N887" s="100">
        <f t="shared" si="71"/>
        <v>0</v>
      </c>
      <c r="O887" s="100"/>
      <c r="P887" s="41">
        <v>880</v>
      </c>
      <c r="Q887" s="11"/>
      <c r="R887" s="41">
        <v>260</v>
      </c>
      <c r="S887" s="185"/>
      <c r="T887" s="185"/>
      <c r="U887" s="185"/>
      <c r="V887" s="185"/>
      <c r="W887" s="41">
        <f t="shared" si="72"/>
        <v>0</v>
      </c>
      <c r="X887" s="41">
        <f t="shared" si="68"/>
        <v>0</v>
      </c>
      <c r="Y887" s="11"/>
      <c r="Z887" s="11"/>
      <c r="AA887" s="11"/>
      <c r="AB887" s="11"/>
      <c r="AC887" s="24"/>
    </row>
    <row r="888" spans="1:29" x14ac:dyDescent="0.2">
      <c r="A888" s="11">
        <f>+'SERVICIO FAENA'!A888</f>
        <v>0</v>
      </c>
      <c r="B888" s="11">
        <f>+'SERVICIO FAENA'!B888</f>
        <v>0</v>
      </c>
      <c r="C888" s="11"/>
      <c r="D888" s="11"/>
      <c r="E888" s="18">
        <f>+'SERVICIO FAENA'!E888</f>
        <v>0</v>
      </c>
      <c r="F888" s="11"/>
      <c r="G888" s="180" t="e">
        <f t="shared" si="69"/>
        <v>#DIV/0!</v>
      </c>
      <c r="H888" s="11"/>
      <c r="I888" s="11"/>
      <c r="J888" s="180" t="e">
        <f t="shared" si="70"/>
        <v>#DIV/0!</v>
      </c>
      <c r="K888" s="100"/>
      <c r="L888" s="100"/>
      <c r="M888" s="100"/>
      <c r="N888" s="100">
        <f t="shared" si="71"/>
        <v>0</v>
      </c>
      <c r="O888" s="100"/>
      <c r="P888" s="41">
        <v>880</v>
      </c>
      <c r="Q888" s="11"/>
      <c r="R888" s="41">
        <v>260</v>
      </c>
      <c r="S888" s="185"/>
      <c r="T888" s="185"/>
      <c r="U888" s="185"/>
      <c r="V888" s="185"/>
      <c r="W888" s="41">
        <f t="shared" si="72"/>
        <v>0</v>
      </c>
      <c r="X888" s="41">
        <f t="shared" si="68"/>
        <v>0</v>
      </c>
      <c r="Y888" s="11"/>
      <c r="Z888" s="11"/>
      <c r="AA888" s="11"/>
      <c r="AB888" s="11"/>
      <c r="AC888" s="24"/>
    </row>
    <row r="889" spans="1:29" x14ac:dyDescent="0.2">
      <c r="A889" s="11">
        <f>+'SERVICIO FAENA'!A889</f>
        <v>0</v>
      </c>
      <c r="B889" s="11">
        <f>+'SERVICIO FAENA'!B889</f>
        <v>0</v>
      </c>
      <c r="C889" s="11"/>
      <c r="D889" s="11"/>
      <c r="E889" s="18">
        <f>+'SERVICIO FAENA'!E889</f>
        <v>0</v>
      </c>
      <c r="F889" s="11"/>
      <c r="G889" s="180" t="e">
        <f t="shared" si="69"/>
        <v>#DIV/0!</v>
      </c>
      <c r="H889" s="11"/>
      <c r="I889" s="11"/>
      <c r="J889" s="180" t="e">
        <f t="shared" si="70"/>
        <v>#DIV/0!</v>
      </c>
      <c r="K889" s="100"/>
      <c r="L889" s="100"/>
      <c r="M889" s="100"/>
      <c r="N889" s="100">
        <f t="shared" si="71"/>
        <v>0</v>
      </c>
      <c r="O889" s="100"/>
      <c r="P889" s="41">
        <v>880</v>
      </c>
      <c r="Q889" s="11"/>
      <c r="R889" s="41">
        <v>260</v>
      </c>
      <c r="S889" s="185"/>
      <c r="T889" s="185"/>
      <c r="U889" s="185"/>
      <c r="V889" s="185"/>
      <c r="W889" s="41">
        <f t="shared" si="72"/>
        <v>0</v>
      </c>
      <c r="X889" s="41">
        <f t="shared" si="68"/>
        <v>0</v>
      </c>
      <c r="Y889" s="11"/>
      <c r="Z889" s="11"/>
      <c r="AA889" s="11"/>
      <c r="AB889" s="11"/>
      <c r="AC889" s="24"/>
    </row>
    <row r="890" spans="1:29" x14ac:dyDescent="0.2">
      <c r="A890" s="11">
        <f>+'SERVICIO FAENA'!A890</f>
        <v>0</v>
      </c>
      <c r="B890" s="11">
        <f>+'SERVICIO FAENA'!B890</f>
        <v>0</v>
      </c>
      <c r="C890" s="11"/>
      <c r="D890" s="11"/>
      <c r="E890" s="18">
        <f>+'SERVICIO FAENA'!E890</f>
        <v>0</v>
      </c>
      <c r="F890" s="11"/>
      <c r="G890" s="180" t="e">
        <f t="shared" si="69"/>
        <v>#DIV/0!</v>
      </c>
      <c r="H890" s="11"/>
      <c r="I890" s="11"/>
      <c r="J890" s="180" t="e">
        <f t="shared" si="70"/>
        <v>#DIV/0!</v>
      </c>
      <c r="K890" s="100"/>
      <c r="L890" s="100"/>
      <c r="M890" s="100"/>
      <c r="N890" s="100">
        <f t="shared" si="71"/>
        <v>0</v>
      </c>
      <c r="O890" s="100"/>
      <c r="P890" s="41">
        <v>880</v>
      </c>
      <c r="Q890" s="11"/>
      <c r="R890" s="41">
        <v>260</v>
      </c>
      <c r="S890" s="185"/>
      <c r="T890" s="185"/>
      <c r="U890" s="185"/>
      <c r="V890" s="185"/>
      <c r="W890" s="41">
        <f t="shared" si="72"/>
        <v>0</v>
      </c>
      <c r="X890" s="41">
        <f t="shared" si="68"/>
        <v>0</v>
      </c>
      <c r="Y890" s="11"/>
      <c r="Z890" s="11"/>
      <c r="AA890" s="11"/>
      <c r="AB890" s="11"/>
      <c r="AC890" s="24"/>
    </row>
    <row r="891" spans="1:29" x14ac:dyDescent="0.2">
      <c r="A891" s="11">
        <f>+'SERVICIO FAENA'!A891</f>
        <v>0</v>
      </c>
      <c r="B891" s="11">
        <f>+'SERVICIO FAENA'!B891</f>
        <v>0</v>
      </c>
      <c r="C891" s="11"/>
      <c r="D891" s="11"/>
      <c r="E891" s="18">
        <f>+'SERVICIO FAENA'!E891</f>
        <v>0</v>
      </c>
      <c r="F891" s="11"/>
      <c r="G891" s="180" t="e">
        <f t="shared" si="69"/>
        <v>#DIV/0!</v>
      </c>
      <c r="H891" s="11"/>
      <c r="I891" s="11"/>
      <c r="J891" s="180" t="e">
        <f t="shared" si="70"/>
        <v>#DIV/0!</v>
      </c>
      <c r="K891" s="100"/>
      <c r="L891" s="100"/>
      <c r="M891" s="100"/>
      <c r="N891" s="100">
        <f t="shared" si="71"/>
        <v>0</v>
      </c>
      <c r="O891" s="100"/>
      <c r="P891" s="41">
        <v>880</v>
      </c>
      <c r="Q891" s="11"/>
      <c r="R891" s="41">
        <v>260</v>
      </c>
      <c r="S891" s="185"/>
      <c r="T891" s="185"/>
      <c r="U891" s="185"/>
      <c r="V891" s="185"/>
      <c r="W891" s="41">
        <f t="shared" si="72"/>
        <v>0</v>
      </c>
      <c r="X891" s="41">
        <f t="shared" si="68"/>
        <v>0</v>
      </c>
      <c r="Y891" s="11"/>
      <c r="Z891" s="11"/>
      <c r="AA891" s="11"/>
      <c r="AB891" s="11"/>
      <c r="AC891" s="24"/>
    </row>
    <row r="892" spans="1:29" x14ac:dyDescent="0.2">
      <c r="A892" s="11">
        <f>+'SERVICIO FAENA'!A892</f>
        <v>0</v>
      </c>
      <c r="B892" s="11">
        <f>+'SERVICIO FAENA'!B892</f>
        <v>0</v>
      </c>
      <c r="C892" s="11"/>
      <c r="D892" s="11"/>
      <c r="E892" s="18">
        <f>+'SERVICIO FAENA'!E892</f>
        <v>0</v>
      </c>
      <c r="F892" s="11"/>
      <c r="G892" s="180" t="e">
        <f t="shared" si="69"/>
        <v>#DIV/0!</v>
      </c>
      <c r="H892" s="11"/>
      <c r="I892" s="11"/>
      <c r="J892" s="180" t="e">
        <f t="shared" si="70"/>
        <v>#DIV/0!</v>
      </c>
      <c r="K892" s="100"/>
      <c r="L892" s="100"/>
      <c r="M892" s="100"/>
      <c r="N892" s="100">
        <f t="shared" si="71"/>
        <v>0</v>
      </c>
      <c r="O892" s="100"/>
      <c r="P892" s="41">
        <v>880</v>
      </c>
      <c r="Q892" s="11"/>
      <c r="R892" s="41">
        <v>260</v>
      </c>
      <c r="S892" s="185"/>
      <c r="T892" s="185"/>
      <c r="U892" s="185"/>
      <c r="V892" s="185"/>
      <c r="W892" s="41">
        <f t="shared" si="72"/>
        <v>0</v>
      </c>
      <c r="X892" s="41">
        <f t="shared" si="68"/>
        <v>0</v>
      </c>
      <c r="Y892" s="11"/>
      <c r="Z892" s="11"/>
      <c r="AA892" s="11"/>
      <c r="AB892" s="11"/>
      <c r="AC892" s="24"/>
    </row>
    <row r="893" spans="1:29" x14ac:dyDescent="0.2">
      <c r="A893" s="11">
        <f>+'SERVICIO FAENA'!A893</f>
        <v>0</v>
      </c>
      <c r="B893" s="11">
        <f>+'SERVICIO FAENA'!B893</f>
        <v>0</v>
      </c>
      <c r="C893" s="11"/>
      <c r="D893" s="11"/>
      <c r="E893" s="18">
        <f>+'SERVICIO FAENA'!E893</f>
        <v>0</v>
      </c>
      <c r="F893" s="11"/>
      <c r="G893" s="180" t="e">
        <f t="shared" si="69"/>
        <v>#DIV/0!</v>
      </c>
      <c r="H893" s="11"/>
      <c r="I893" s="11"/>
      <c r="J893" s="180" t="e">
        <f t="shared" si="70"/>
        <v>#DIV/0!</v>
      </c>
      <c r="K893" s="100"/>
      <c r="L893" s="100"/>
      <c r="M893" s="100"/>
      <c r="N893" s="100">
        <f t="shared" si="71"/>
        <v>0</v>
      </c>
      <c r="O893" s="100"/>
      <c r="P893" s="41">
        <v>880</v>
      </c>
      <c r="Q893" s="11"/>
      <c r="R893" s="41">
        <v>260</v>
      </c>
      <c r="S893" s="185"/>
      <c r="T893" s="185"/>
      <c r="U893" s="185"/>
      <c r="V893" s="185"/>
      <c r="W893" s="41">
        <f t="shared" si="72"/>
        <v>0</v>
      </c>
      <c r="X893" s="41">
        <f t="shared" si="68"/>
        <v>0</v>
      </c>
      <c r="Y893" s="11"/>
      <c r="Z893" s="11"/>
      <c r="AA893" s="11"/>
      <c r="AB893" s="11"/>
      <c r="AC893" s="24"/>
    </row>
  </sheetData>
  <mergeCells count="4">
    <mergeCell ref="C1:G1"/>
    <mergeCell ref="H1:AC1"/>
    <mergeCell ref="A1:A2"/>
    <mergeCell ref="B1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tabColor rgb="FFFF0000"/>
  </sheetPr>
  <dimension ref="A1:T354"/>
  <sheetViews>
    <sheetView zoomScaleNormal="100" workbookViewId="0">
      <pane ySplit="2" topLeftCell="A89" activePane="bottomLeft" state="frozen"/>
      <selection activeCell="D1" sqref="D1"/>
      <selection pane="bottomLeft" activeCell="D103" sqref="D103"/>
    </sheetView>
  </sheetViews>
  <sheetFormatPr baseColWidth="10" defaultColWidth="11.42578125" defaultRowHeight="12.75" x14ac:dyDescent="0.2"/>
  <cols>
    <col min="1" max="1" width="9.7109375" style="50" bestFit="1" customWidth="1"/>
    <col min="2" max="2" width="18.7109375" style="5" bestFit="1" customWidth="1"/>
    <col min="3" max="3" width="10.7109375" style="5" bestFit="1" customWidth="1"/>
    <col min="4" max="4" width="9.7109375" style="5" bestFit="1" customWidth="1"/>
    <col min="5" max="6" width="11.140625" style="5" bestFit="1" customWidth="1"/>
    <col min="7" max="7" width="8.28515625" style="5" bestFit="1" customWidth="1"/>
    <col min="8" max="8" width="10.28515625" style="8" bestFit="1" customWidth="1"/>
    <col min="9" max="9" width="14" style="8" bestFit="1" customWidth="1"/>
    <col min="10" max="10" width="12" style="8" customWidth="1"/>
    <col min="11" max="11" width="11.42578125" style="5"/>
    <col min="12" max="12" width="12.42578125" style="5" bestFit="1" customWidth="1"/>
    <col min="13" max="13" width="29" style="5" bestFit="1" customWidth="1"/>
    <col min="14" max="14" width="12.7109375" style="5" bestFit="1" customWidth="1"/>
    <col min="15" max="15" width="12.42578125" style="8" bestFit="1" customWidth="1"/>
    <col min="16" max="16" width="15.85546875" style="5" bestFit="1" customWidth="1"/>
    <col min="17" max="17" width="11.42578125" style="44"/>
    <col min="18" max="18" width="13.28515625" style="5" customWidth="1"/>
    <col min="19" max="19" width="12.42578125" style="5" bestFit="1" customWidth="1"/>
    <col min="20" max="20" width="15.85546875" style="5" bestFit="1" customWidth="1"/>
    <col min="21" max="16384" width="11.42578125" style="5"/>
  </cols>
  <sheetData>
    <row r="1" spans="1:20" ht="13.5" thickBot="1" x14ac:dyDescent="0.25">
      <c r="G1" s="252" t="s">
        <v>55</v>
      </c>
      <c r="H1" s="253"/>
      <c r="I1" s="254"/>
      <c r="J1" s="45"/>
      <c r="K1" s="255" t="s">
        <v>56</v>
      </c>
      <c r="L1" s="256"/>
      <c r="M1" s="256"/>
      <c r="N1" s="256"/>
      <c r="O1" s="256"/>
      <c r="P1" s="256"/>
      <c r="Q1" s="256"/>
      <c r="R1" s="256"/>
      <c r="S1" s="256"/>
      <c r="T1" s="256"/>
    </row>
    <row r="2" spans="1:20" ht="39" customHeight="1" thickBot="1" x14ac:dyDescent="0.25">
      <c r="A2" s="21" t="s">
        <v>4</v>
      </c>
      <c r="B2" s="21" t="s">
        <v>0</v>
      </c>
      <c r="C2" s="9" t="s">
        <v>53</v>
      </c>
      <c r="D2" s="9" t="s">
        <v>16</v>
      </c>
      <c r="E2" s="9" t="s">
        <v>59</v>
      </c>
      <c r="F2" s="9" t="s">
        <v>83</v>
      </c>
      <c r="G2" s="9" t="s">
        <v>54</v>
      </c>
      <c r="H2" s="40" t="s">
        <v>52</v>
      </c>
      <c r="I2" s="40" t="s">
        <v>51</v>
      </c>
      <c r="J2" s="21" t="s">
        <v>9</v>
      </c>
      <c r="K2" s="9" t="s">
        <v>46</v>
      </c>
      <c r="L2" s="21" t="s">
        <v>14</v>
      </c>
      <c r="M2" s="21" t="s">
        <v>17</v>
      </c>
      <c r="N2" s="21" t="s">
        <v>9</v>
      </c>
      <c r="O2" s="40" t="s">
        <v>50</v>
      </c>
      <c r="P2" s="9" t="s">
        <v>47</v>
      </c>
      <c r="Q2" s="43" t="s">
        <v>18</v>
      </c>
      <c r="R2" s="9" t="s">
        <v>19</v>
      </c>
      <c r="S2" s="21" t="s">
        <v>20</v>
      </c>
      <c r="T2" s="21" t="s">
        <v>13</v>
      </c>
    </row>
    <row r="3" spans="1:20" x14ac:dyDescent="0.2">
      <c r="A3" s="51">
        <f>+'SERVICIO FAENA'!A3</f>
        <v>1</v>
      </c>
      <c r="B3" s="32" t="str">
        <f>+'SERVICIO FAENA'!B3</f>
        <v>MORAGA</v>
      </c>
      <c r="C3" s="11">
        <f>+'SERVICIO FAENA'!C3</f>
        <v>15</v>
      </c>
      <c r="D3" s="81">
        <v>209.1</v>
      </c>
      <c r="E3" s="81">
        <v>9.9600000000000009</v>
      </c>
      <c r="F3" s="26"/>
      <c r="G3" s="26"/>
      <c r="H3" s="42"/>
      <c r="I3" s="42"/>
      <c r="J3" s="42"/>
      <c r="K3" s="23"/>
      <c r="L3" s="16">
        <f t="shared" ref="L3:L54" si="0">+K3*F3</f>
        <v>0</v>
      </c>
      <c r="M3" s="23"/>
      <c r="N3" s="23"/>
      <c r="O3" s="16">
        <f t="shared" ref="O3:O54" si="1">+K3*F3</f>
        <v>0</v>
      </c>
      <c r="P3" s="16">
        <f t="shared" ref="P3:P54" si="2">+(L3*10.5/100)+L3</f>
        <v>0</v>
      </c>
      <c r="Q3" s="25"/>
      <c r="R3" s="16">
        <v>0</v>
      </c>
      <c r="S3" s="22">
        <f t="shared" ref="S3:S54" si="3">+R3-P3</f>
        <v>0</v>
      </c>
      <c r="T3" s="23"/>
    </row>
    <row r="4" spans="1:20" x14ac:dyDescent="0.2">
      <c r="A4" s="51">
        <f>+'SERVICIO FAENA'!A4</f>
        <v>2</v>
      </c>
      <c r="B4" s="32" t="str">
        <f>+'SERVICIO FAENA'!B4</f>
        <v>GANADERA NORTE NEUQUINO</v>
      </c>
      <c r="C4" s="11">
        <f>+'SERVICIO FAENA'!C4</f>
        <v>43</v>
      </c>
      <c r="D4" s="80">
        <v>677.88</v>
      </c>
      <c r="E4" s="80">
        <v>1.64</v>
      </c>
      <c r="F4" s="33"/>
      <c r="G4" s="33"/>
      <c r="H4" s="16"/>
      <c r="I4" s="16"/>
      <c r="J4" s="16"/>
      <c r="K4" s="11"/>
      <c r="L4" s="16">
        <f t="shared" si="0"/>
        <v>0</v>
      </c>
      <c r="M4" s="11"/>
      <c r="N4" s="11"/>
      <c r="O4" s="16">
        <f t="shared" si="1"/>
        <v>0</v>
      </c>
      <c r="P4" s="16">
        <f t="shared" si="2"/>
        <v>0</v>
      </c>
      <c r="Q4" s="18"/>
      <c r="R4" s="16">
        <v>0</v>
      </c>
      <c r="S4" s="22">
        <f t="shared" si="3"/>
        <v>0</v>
      </c>
      <c r="T4" s="11"/>
    </row>
    <row r="5" spans="1:20" x14ac:dyDescent="0.2">
      <c r="A5" s="51">
        <f>+'SERVICIO FAENA'!A5</f>
        <v>3</v>
      </c>
      <c r="B5" s="32" t="str">
        <f>+'SERVICIO FAENA'!B5</f>
        <v>GANADERA NORTE NEUQUINO</v>
      </c>
      <c r="C5" s="11">
        <f>+'SERVICIO FAENA'!C5</f>
        <v>40</v>
      </c>
      <c r="D5" s="81">
        <v>562.14</v>
      </c>
      <c r="E5" s="81">
        <v>59.08</v>
      </c>
      <c r="F5" s="26"/>
      <c r="G5" s="26"/>
      <c r="H5" s="42"/>
      <c r="I5" s="42"/>
      <c r="J5" s="42"/>
      <c r="K5" s="23"/>
      <c r="L5" s="16">
        <f t="shared" si="0"/>
        <v>0</v>
      </c>
      <c r="M5" s="23"/>
      <c r="N5" s="23"/>
      <c r="O5" s="16">
        <f t="shared" si="1"/>
        <v>0</v>
      </c>
      <c r="P5" s="16">
        <f t="shared" si="2"/>
        <v>0</v>
      </c>
      <c r="Q5" s="25"/>
      <c r="R5" s="16">
        <v>0</v>
      </c>
      <c r="S5" s="22">
        <f t="shared" si="3"/>
        <v>0</v>
      </c>
      <c r="T5" s="23"/>
    </row>
    <row r="6" spans="1:20" x14ac:dyDescent="0.2">
      <c r="A6" s="51">
        <f>+'SERVICIO FAENA'!A6</f>
        <v>4</v>
      </c>
      <c r="B6" s="32" t="str">
        <f>+'SERVICIO FAENA'!B6</f>
        <v>DOS DE FIERRO SA</v>
      </c>
      <c r="C6" s="11">
        <f>+'SERVICIO FAENA'!C6</f>
        <v>25</v>
      </c>
      <c r="D6" s="80">
        <v>403.98</v>
      </c>
      <c r="E6" s="80">
        <v>5.9</v>
      </c>
      <c r="F6" s="33"/>
      <c r="G6" s="33"/>
      <c r="H6" s="16"/>
      <c r="I6" s="16"/>
      <c r="J6" s="16"/>
      <c r="K6" s="11"/>
      <c r="L6" s="16">
        <f t="shared" si="0"/>
        <v>0</v>
      </c>
      <c r="M6" s="11"/>
      <c r="N6" s="11"/>
      <c r="O6" s="16">
        <f t="shared" si="1"/>
        <v>0</v>
      </c>
      <c r="P6" s="16">
        <f t="shared" si="2"/>
        <v>0</v>
      </c>
      <c r="Q6" s="18"/>
      <c r="R6" s="16">
        <v>0</v>
      </c>
      <c r="S6" s="22">
        <f t="shared" si="3"/>
        <v>0</v>
      </c>
      <c r="T6" s="11"/>
    </row>
    <row r="7" spans="1:20" x14ac:dyDescent="0.2">
      <c r="A7" s="51">
        <f>+'SERVICIO FAENA'!A7</f>
        <v>5</v>
      </c>
      <c r="B7" s="32" t="str">
        <f>+'SERVICIO FAENA'!B7</f>
        <v>DISTRIBUIDORA DE LA PATAGONIA</v>
      </c>
      <c r="C7" s="11">
        <f>+'SERVICIO FAENA'!C7</f>
        <v>30</v>
      </c>
      <c r="D7" s="81">
        <v>450.62</v>
      </c>
      <c r="E7" s="81">
        <v>49.86</v>
      </c>
      <c r="F7" s="26"/>
      <c r="G7" s="26"/>
      <c r="H7" s="42"/>
      <c r="I7" s="42"/>
      <c r="J7" s="42"/>
      <c r="K7" s="23"/>
      <c r="L7" s="16">
        <f t="shared" si="0"/>
        <v>0</v>
      </c>
      <c r="M7" s="23"/>
      <c r="N7" s="23"/>
      <c r="O7" s="16">
        <f t="shared" si="1"/>
        <v>0</v>
      </c>
      <c r="P7" s="16">
        <f t="shared" si="2"/>
        <v>0</v>
      </c>
      <c r="Q7" s="25"/>
      <c r="R7" s="16">
        <v>0</v>
      </c>
      <c r="S7" s="22">
        <f t="shared" si="3"/>
        <v>0</v>
      </c>
      <c r="T7" s="23"/>
    </row>
    <row r="8" spans="1:20" x14ac:dyDescent="0.2">
      <c r="A8" s="51">
        <f>+'SERVICIO FAENA'!A8</f>
        <v>6</v>
      </c>
      <c r="B8" s="32" t="str">
        <f>+'SERVICIO FAENA'!B8</f>
        <v>DISTRIBUIDORA DE LA PATAGONIA</v>
      </c>
      <c r="C8" s="11">
        <f>+'SERVICIO FAENA'!C8</f>
        <v>15</v>
      </c>
      <c r="D8" s="80">
        <v>214.99</v>
      </c>
      <c r="E8" s="80">
        <v>4.58</v>
      </c>
      <c r="F8" s="33"/>
      <c r="G8" s="33"/>
      <c r="H8" s="16"/>
      <c r="I8" s="16"/>
      <c r="J8" s="16"/>
      <c r="K8" s="11"/>
      <c r="L8" s="16">
        <f t="shared" si="0"/>
        <v>0</v>
      </c>
      <c r="M8" s="11"/>
      <c r="N8" s="11"/>
      <c r="O8" s="16">
        <f t="shared" si="1"/>
        <v>0</v>
      </c>
      <c r="P8" s="16">
        <f t="shared" si="2"/>
        <v>0</v>
      </c>
      <c r="Q8" s="18"/>
      <c r="R8" s="16">
        <v>0</v>
      </c>
      <c r="S8" s="22">
        <f t="shared" si="3"/>
        <v>0</v>
      </c>
      <c r="T8" s="11"/>
    </row>
    <row r="9" spans="1:20" x14ac:dyDescent="0.2">
      <c r="A9" s="51">
        <f>+'SERVICIO FAENA'!A9</f>
        <v>7</v>
      </c>
      <c r="B9" s="32" t="str">
        <f>+'SERVICIO FAENA'!B9</f>
        <v>MUCA SAS</v>
      </c>
      <c r="C9" s="11">
        <f>+'SERVICIO FAENA'!C9</f>
        <v>35</v>
      </c>
      <c r="D9" s="81">
        <v>998.84</v>
      </c>
      <c r="E9" s="81">
        <v>15.84</v>
      </c>
      <c r="F9" s="26"/>
      <c r="G9" s="26"/>
      <c r="H9" s="42"/>
      <c r="I9" s="42"/>
      <c r="J9" s="42"/>
      <c r="K9" s="23"/>
      <c r="L9" s="16">
        <f t="shared" si="0"/>
        <v>0</v>
      </c>
      <c r="M9" s="23"/>
      <c r="N9" s="23"/>
      <c r="O9" s="16">
        <f t="shared" si="1"/>
        <v>0</v>
      </c>
      <c r="P9" s="16">
        <f t="shared" si="2"/>
        <v>0</v>
      </c>
      <c r="Q9" s="25"/>
      <c r="R9" s="16">
        <v>0</v>
      </c>
      <c r="S9" s="22">
        <f t="shared" si="3"/>
        <v>0</v>
      </c>
      <c r="T9" s="23"/>
    </row>
    <row r="10" spans="1:20" x14ac:dyDescent="0.2">
      <c r="A10" s="51">
        <f>+'SERVICIO FAENA'!A10</f>
        <v>8</v>
      </c>
      <c r="B10" s="32" t="str">
        <f>+'SERVICIO FAENA'!B10</f>
        <v>MUCA SAS</v>
      </c>
      <c r="C10" s="11">
        <f>+'SERVICIO FAENA'!C10</f>
        <v>5</v>
      </c>
      <c r="D10" s="80"/>
      <c r="E10" s="80"/>
      <c r="F10" s="33"/>
      <c r="G10" s="33"/>
      <c r="H10" s="16"/>
      <c r="I10" s="16"/>
      <c r="J10" s="16"/>
      <c r="K10" s="11"/>
      <c r="L10" s="16">
        <f t="shared" si="0"/>
        <v>0</v>
      </c>
      <c r="M10" s="11"/>
      <c r="N10" s="11"/>
      <c r="O10" s="16">
        <f t="shared" si="1"/>
        <v>0</v>
      </c>
      <c r="P10" s="16">
        <f t="shared" si="2"/>
        <v>0</v>
      </c>
      <c r="Q10" s="18"/>
      <c r="R10" s="16">
        <v>0</v>
      </c>
      <c r="S10" s="22">
        <f t="shared" si="3"/>
        <v>0</v>
      </c>
      <c r="T10" s="11"/>
    </row>
    <row r="11" spans="1:20" x14ac:dyDescent="0.2">
      <c r="A11" s="51">
        <f>+'SERVICIO FAENA'!A11</f>
        <v>9</v>
      </c>
      <c r="B11" s="32" t="str">
        <f>+'SERVICIO FAENA'!B11</f>
        <v>MUCA SAS</v>
      </c>
      <c r="C11" s="11">
        <f>+'SERVICIO FAENA'!C11</f>
        <v>10</v>
      </c>
      <c r="D11" s="81"/>
      <c r="E11" s="81"/>
      <c r="F11" s="26"/>
      <c r="G11" s="26"/>
      <c r="H11" s="42"/>
      <c r="I11" s="42"/>
      <c r="J11" s="42"/>
      <c r="K11" s="23"/>
      <c r="L11" s="16">
        <f t="shared" si="0"/>
        <v>0</v>
      </c>
      <c r="M11" s="23"/>
      <c r="N11" s="23"/>
      <c r="O11" s="16">
        <f t="shared" si="1"/>
        <v>0</v>
      </c>
      <c r="P11" s="16">
        <f t="shared" si="2"/>
        <v>0</v>
      </c>
      <c r="Q11" s="25"/>
      <c r="R11" s="16">
        <v>0</v>
      </c>
      <c r="S11" s="22">
        <f t="shared" si="3"/>
        <v>0</v>
      </c>
      <c r="T11" s="23"/>
    </row>
    <row r="12" spans="1:20" x14ac:dyDescent="0.2">
      <c r="A12" s="51">
        <f>+'SERVICIO FAENA'!A12</f>
        <v>10</v>
      </c>
      <c r="B12" s="32" t="str">
        <f>+'SERVICIO FAENA'!B12</f>
        <v>MORAGA</v>
      </c>
      <c r="C12" s="11">
        <f>+'SERVICIO FAENA'!C12</f>
        <v>15</v>
      </c>
      <c r="D12" s="80">
        <v>243.74</v>
      </c>
      <c r="E12" s="80">
        <v>11.26</v>
      </c>
      <c r="F12" s="33"/>
      <c r="G12" s="33"/>
      <c r="H12" s="16"/>
      <c r="I12" s="16"/>
      <c r="J12" s="16"/>
      <c r="K12" s="11"/>
      <c r="L12" s="16">
        <f t="shared" si="0"/>
        <v>0</v>
      </c>
      <c r="M12" s="11"/>
      <c r="N12" s="11"/>
      <c r="O12" s="16">
        <f t="shared" si="1"/>
        <v>0</v>
      </c>
      <c r="P12" s="16">
        <f t="shared" si="2"/>
        <v>0</v>
      </c>
      <c r="Q12" s="18"/>
      <c r="R12" s="16">
        <v>0</v>
      </c>
      <c r="S12" s="22">
        <f t="shared" si="3"/>
        <v>0</v>
      </c>
      <c r="T12" s="11"/>
    </row>
    <row r="13" spans="1:20" x14ac:dyDescent="0.2">
      <c r="A13" s="51">
        <f>+'SERVICIO FAENA'!A13</f>
        <v>11</v>
      </c>
      <c r="B13" s="32" t="str">
        <f>+'SERVICIO FAENA'!B13</f>
        <v>FERREYRA MARTIN</v>
      </c>
      <c r="C13" s="11">
        <f>+'SERVICIO FAENA'!C13</f>
        <v>20</v>
      </c>
      <c r="D13" s="81">
        <v>285.5</v>
      </c>
      <c r="E13" s="81">
        <v>23.78</v>
      </c>
      <c r="F13" s="26"/>
      <c r="G13" s="26"/>
      <c r="H13" s="42"/>
      <c r="I13" s="42"/>
      <c r="J13" s="42"/>
      <c r="K13" s="23"/>
      <c r="L13" s="16">
        <f t="shared" si="0"/>
        <v>0</v>
      </c>
      <c r="M13" s="23"/>
      <c r="N13" s="23"/>
      <c r="O13" s="16">
        <f t="shared" si="1"/>
        <v>0</v>
      </c>
      <c r="P13" s="16">
        <f t="shared" si="2"/>
        <v>0</v>
      </c>
      <c r="Q13" s="25"/>
      <c r="R13" s="16">
        <v>0</v>
      </c>
      <c r="S13" s="22">
        <f t="shared" si="3"/>
        <v>0</v>
      </c>
      <c r="T13" s="23"/>
    </row>
    <row r="14" spans="1:20" x14ac:dyDescent="0.2">
      <c r="A14" s="51">
        <f>+'SERVICIO FAENA'!A14</f>
        <v>12</v>
      </c>
      <c r="B14" s="32" t="str">
        <f>+'SERVICIO FAENA'!B14</f>
        <v>FERREYRA MARTIN</v>
      </c>
      <c r="C14" s="11">
        <f>+'SERVICIO FAENA'!C14</f>
        <v>3</v>
      </c>
      <c r="D14" s="80"/>
      <c r="E14" s="80"/>
      <c r="F14" s="33"/>
      <c r="G14" s="33"/>
      <c r="H14" s="16"/>
      <c r="I14" s="16"/>
      <c r="J14" s="16"/>
      <c r="K14" s="11"/>
      <c r="L14" s="16">
        <f t="shared" si="0"/>
        <v>0</v>
      </c>
      <c r="M14" s="11"/>
      <c r="N14" s="11"/>
      <c r="O14" s="16">
        <f t="shared" si="1"/>
        <v>0</v>
      </c>
      <c r="P14" s="16">
        <f t="shared" si="2"/>
        <v>0</v>
      </c>
      <c r="Q14" s="18"/>
      <c r="R14" s="16">
        <v>0</v>
      </c>
      <c r="S14" s="22">
        <f t="shared" si="3"/>
        <v>0</v>
      </c>
      <c r="T14" s="11"/>
    </row>
    <row r="15" spans="1:20" x14ac:dyDescent="0.2">
      <c r="A15" s="51">
        <f>+'SERVICIO FAENA'!A15</f>
        <v>13</v>
      </c>
      <c r="B15" s="32" t="str">
        <f>+'SERVICIO FAENA'!B15</f>
        <v>GANADERA NORTE NEUQUINO</v>
      </c>
      <c r="C15" s="11">
        <f>+'SERVICIO FAENA'!C15</f>
        <v>40</v>
      </c>
      <c r="D15" s="81">
        <v>680.64</v>
      </c>
      <c r="E15" s="81">
        <v>43.88</v>
      </c>
      <c r="F15" s="26"/>
      <c r="G15" s="26"/>
      <c r="H15" s="42"/>
      <c r="I15" s="42"/>
      <c r="J15" s="42"/>
      <c r="K15" s="23"/>
      <c r="L15" s="16">
        <f t="shared" si="0"/>
        <v>0</v>
      </c>
      <c r="M15" s="23"/>
      <c r="N15" s="23"/>
      <c r="O15" s="16">
        <f t="shared" si="1"/>
        <v>0</v>
      </c>
      <c r="P15" s="16">
        <f t="shared" si="2"/>
        <v>0</v>
      </c>
      <c r="Q15" s="25"/>
      <c r="R15" s="16">
        <v>0</v>
      </c>
      <c r="S15" s="22">
        <f t="shared" si="3"/>
        <v>0</v>
      </c>
      <c r="T15" s="23"/>
    </row>
    <row r="16" spans="1:20" x14ac:dyDescent="0.2">
      <c r="A16" s="51">
        <f>+'SERVICIO FAENA'!A16</f>
        <v>14</v>
      </c>
      <c r="B16" s="32" t="str">
        <f>+'SERVICIO FAENA'!B16</f>
        <v>FRIGORIFICO DE LA PATAGONIA SRL</v>
      </c>
      <c r="C16" s="11">
        <f>+'SERVICIO FAENA'!C16</f>
        <v>35</v>
      </c>
      <c r="D16" s="80">
        <v>475.76</v>
      </c>
      <c r="E16" s="80"/>
      <c r="F16" s="33"/>
      <c r="G16" s="33"/>
      <c r="H16" s="16"/>
      <c r="I16" s="16"/>
      <c r="J16" s="16"/>
      <c r="K16" s="11"/>
      <c r="L16" s="16">
        <f t="shared" si="0"/>
        <v>0</v>
      </c>
      <c r="M16" s="11"/>
      <c r="N16" s="11"/>
      <c r="O16" s="16">
        <f t="shared" si="1"/>
        <v>0</v>
      </c>
      <c r="P16" s="16">
        <f t="shared" si="2"/>
        <v>0</v>
      </c>
      <c r="Q16" s="18"/>
      <c r="R16" s="16">
        <v>0</v>
      </c>
      <c r="S16" s="22">
        <f t="shared" si="3"/>
        <v>0</v>
      </c>
      <c r="T16" s="11"/>
    </row>
    <row r="17" spans="1:20" x14ac:dyDescent="0.2">
      <c r="A17" s="51">
        <f>+'SERVICIO FAENA'!A17</f>
        <v>15</v>
      </c>
      <c r="B17" s="32" t="str">
        <f>+'SERVICIO FAENA'!B17</f>
        <v>GANADERA NORTE NEUQUINO</v>
      </c>
      <c r="C17" s="11">
        <f>+'SERVICIO FAENA'!C17</f>
        <v>46</v>
      </c>
      <c r="D17" s="81">
        <v>680.32</v>
      </c>
      <c r="E17" s="81">
        <v>7.34</v>
      </c>
      <c r="F17" s="26"/>
      <c r="G17" s="26"/>
      <c r="H17" s="42"/>
      <c r="I17" s="42"/>
      <c r="J17" s="42"/>
      <c r="K17" s="23"/>
      <c r="L17" s="16">
        <f t="shared" si="0"/>
        <v>0</v>
      </c>
      <c r="M17" s="23"/>
      <c r="N17" s="23"/>
      <c r="O17" s="16">
        <f t="shared" si="1"/>
        <v>0</v>
      </c>
      <c r="P17" s="16">
        <f t="shared" si="2"/>
        <v>0</v>
      </c>
      <c r="Q17" s="25"/>
      <c r="R17" s="16">
        <v>0</v>
      </c>
      <c r="S17" s="22">
        <f t="shared" si="3"/>
        <v>0</v>
      </c>
      <c r="T17" s="23"/>
    </row>
    <row r="18" spans="1:20" x14ac:dyDescent="0.2">
      <c r="A18" s="51">
        <f>+'SERVICIO FAENA'!A18</f>
        <v>16</v>
      </c>
      <c r="B18" s="32" t="str">
        <f>+'SERVICIO FAENA'!B18</f>
        <v>MORAGA</v>
      </c>
      <c r="C18" s="11">
        <f>+'SERVICIO FAENA'!C18</f>
        <v>15</v>
      </c>
      <c r="D18" s="80">
        <v>262.52</v>
      </c>
      <c r="E18" s="80"/>
      <c r="F18" s="33"/>
      <c r="G18" s="33"/>
      <c r="H18" s="16"/>
      <c r="I18" s="16"/>
      <c r="J18" s="16"/>
      <c r="K18" s="11"/>
      <c r="L18" s="16">
        <f t="shared" si="0"/>
        <v>0</v>
      </c>
      <c r="M18" s="11"/>
      <c r="N18" s="11"/>
      <c r="O18" s="16">
        <f t="shared" si="1"/>
        <v>0</v>
      </c>
      <c r="P18" s="16">
        <f t="shared" si="2"/>
        <v>0</v>
      </c>
      <c r="Q18" s="18"/>
      <c r="R18" s="16">
        <v>0</v>
      </c>
      <c r="S18" s="22">
        <f t="shared" si="3"/>
        <v>0</v>
      </c>
      <c r="T18" s="11"/>
    </row>
    <row r="19" spans="1:20" x14ac:dyDescent="0.2">
      <c r="A19" s="51">
        <f>+'SERVICIO FAENA'!A19</f>
        <v>17</v>
      </c>
      <c r="B19" s="32" t="str">
        <f>+'SERVICIO FAENA'!B19</f>
        <v>LASAGNO JORGE ALBERTO</v>
      </c>
      <c r="C19" s="11">
        <f>+'SERVICIO FAENA'!C19</f>
        <v>17</v>
      </c>
      <c r="D19" s="81">
        <v>278.77999999999997</v>
      </c>
      <c r="E19" s="81">
        <v>4.34</v>
      </c>
      <c r="F19" s="26"/>
      <c r="G19" s="26"/>
      <c r="H19" s="42"/>
      <c r="I19" s="42"/>
      <c r="J19" s="42"/>
      <c r="K19" s="23"/>
      <c r="L19" s="16">
        <f t="shared" si="0"/>
        <v>0</v>
      </c>
      <c r="M19" s="23"/>
      <c r="N19" s="23"/>
      <c r="O19" s="16">
        <f t="shared" si="1"/>
        <v>0</v>
      </c>
      <c r="P19" s="16">
        <f t="shared" si="2"/>
        <v>0</v>
      </c>
      <c r="Q19" s="25"/>
      <c r="R19" s="16">
        <v>0</v>
      </c>
      <c r="S19" s="22">
        <f t="shared" si="3"/>
        <v>0</v>
      </c>
      <c r="T19" s="23"/>
    </row>
    <row r="20" spans="1:20" x14ac:dyDescent="0.2">
      <c r="A20" s="51">
        <f>+'SERVICIO FAENA'!A20</f>
        <v>18</v>
      </c>
      <c r="B20" s="32" t="str">
        <f>+'SERVICIO FAENA'!B20</f>
        <v>GANADERA NORTE NEUQUINO</v>
      </c>
      <c r="C20" s="11">
        <f>+'SERVICIO FAENA'!C20</f>
        <v>43</v>
      </c>
      <c r="D20" s="80">
        <v>640.84</v>
      </c>
      <c r="E20" s="80">
        <v>8.82</v>
      </c>
      <c r="F20" s="33"/>
      <c r="G20" s="33"/>
      <c r="H20" s="16"/>
      <c r="I20" s="16"/>
      <c r="J20" s="16"/>
      <c r="K20" s="11"/>
      <c r="L20" s="16">
        <f t="shared" si="0"/>
        <v>0</v>
      </c>
      <c r="M20" s="11"/>
      <c r="N20" s="11"/>
      <c r="O20" s="16">
        <f t="shared" si="1"/>
        <v>0</v>
      </c>
      <c r="P20" s="16">
        <f t="shared" si="2"/>
        <v>0</v>
      </c>
      <c r="Q20" s="18"/>
      <c r="R20" s="16">
        <v>0</v>
      </c>
      <c r="S20" s="22">
        <f t="shared" si="3"/>
        <v>0</v>
      </c>
      <c r="T20" s="11"/>
    </row>
    <row r="21" spans="1:20" x14ac:dyDescent="0.2">
      <c r="A21" s="51">
        <f>+'SERVICIO FAENA'!A21</f>
        <v>19</v>
      </c>
      <c r="B21" s="32" t="str">
        <f>+'SERVICIO FAENA'!B21</f>
        <v>DOS DE FIERRO SA</v>
      </c>
      <c r="C21" s="11">
        <f>+'SERVICIO FAENA'!C21</f>
        <v>25</v>
      </c>
      <c r="D21" s="81">
        <v>230.52</v>
      </c>
      <c r="E21" s="81">
        <v>4.6399999999999997</v>
      </c>
      <c r="F21" s="26"/>
      <c r="G21" s="26"/>
      <c r="H21" s="42"/>
      <c r="I21" s="42"/>
      <c r="J21" s="42"/>
      <c r="K21" s="23"/>
      <c r="L21" s="16">
        <f t="shared" si="0"/>
        <v>0</v>
      </c>
      <c r="M21" s="23"/>
      <c r="N21" s="23"/>
      <c r="O21" s="16">
        <f t="shared" si="1"/>
        <v>0</v>
      </c>
      <c r="P21" s="16">
        <f t="shared" si="2"/>
        <v>0</v>
      </c>
      <c r="Q21" s="25"/>
      <c r="R21" s="16">
        <v>0</v>
      </c>
      <c r="S21" s="22">
        <f t="shared" si="3"/>
        <v>0</v>
      </c>
      <c r="T21" s="23"/>
    </row>
    <row r="22" spans="1:20" x14ac:dyDescent="0.2">
      <c r="A22" s="51">
        <f>+'SERVICIO FAENA'!A22</f>
        <v>20</v>
      </c>
      <c r="B22" s="32" t="str">
        <f>+'SERVICIO FAENA'!B22</f>
        <v>FERREYRA MARTIN</v>
      </c>
      <c r="C22" s="11">
        <f>+'SERVICIO FAENA'!C22</f>
        <v>15</v>
      </c>
      <c r="D22" s="80">
        <v>374.6</v>
      </c>
      <c r="E22" s="80"/>
      <c r="F22" s="33"/>
      <c r="G22" s="33"/>
      <c r="H22" s="16"/>
      <c r="I22" s="16"/>
      <c r="J22" s="16"/>
      <c r="K22" s="11"/>
      <c r="L22" s="16">
        <f t="shared" si="0"/>
        <v>0</v>
      </c>
      <c r="M22" s="11"/>
      <c r="N22" s="11"/>
      <c r="O22" s="16">
        <f t="shared" si="1"/>
        <v>0</v>
      </c>
      <c r="P22" s="16">
        <f t="shared" si="2"/>
        <v>0</v>
      </c>
      <c r="Q22" s="18"/>
      <c r="R22" s="16">
        <v>0</v>
      </c>
      <c r="S22" s="22">
        <f t="shared" si="3"/>
        <v>0</v>
      </c>
      <c r="T22" s="11"/>
    </row>
    <row r="23" spans="1:20" x14ac:dyDescent="0.2">
      <c r="A23" s="51">
        <f>+'SERVICIO FAENA'!A23</f>
        <v>21</v>
      </c>
      <c r="B23" s="32" t="str">
        <f>+'SERVICIO FAENA'!B23</f>
        <v>MUCA SAS</v>
      </c>
      <c r="C23" s="11">
        <f>+'SERVICIO FAENA'!C23</f>
        <v>8</v>
      </c>
      <c r="D23" s="81">
        <v>402.22</v>
      </c>
      <c r="E23" s="81">
        <v>8.76</v>
      </c>
      <c r="F23" s="26"/>
      <c r="G23" s="26"/>
      <c r="H23" s="42"/>
      <c r="I23" s="42"/>
      <c r="J23" s="42"/>
      <c r="K23" s="23"/>
      <c r="L23" s="16">
        <f t="shared" si="0"/>
        <v>0</v>
      </c>
      <c r="M23" s="23"/>
      <c r="N23" s="23"/>
      <c r="O23" s="16">
        <f t="shared" si="1"/>
        <v>0</v>
      </c>
      <c r="P23" s="16">
        <f t="shared" si="2"/>
        <v>0</v>
      </c>
      <c r="Q23" s="25"/>
      <c r="R23" s="16">
        <v>0</v>
      </c>
      <c r="S23" s="22">
        <f t="shared" si="3"/>
        <v>0</v>
      </c>
      <c r="T23" s="23"/>
    </row>
    <row r="24" spans="1:20" x14ac:dyDescent="0.2">
      <c r="A24" s="51">
        <f>+'SERVICIO FAENA'!A24</f>
        <v>22</v>
      </c>
      <c r="B24" s="32" t="str">
        <f>+'SERVICIO FAENA'!B24</f>
        <v>MUCA SAS</v>
      </c>
      <c r="C24" s="11">
        <f>+'SERVICIO FAENA'!C24</f>
        <v>7</v>
      </c>
      <c r="D24" s="80"/>
      <c r="E24" s="80"/>
      <c r="F24" s="33"/>
      <c r="G24" s="33"/>
      <c r="H24" s="16"/>
      <c r="I24" s="16"/>
      <c r="J24" s="16"/>
      <c r="K24" s="11"/>
      <c r="L24" s="16">
        <f t="shared" si="0"/>
        <v>0</v>
      </c>
      <c r="M24" s="11"/>
      <c r="N24" s="11"/>
      <c r="O24" s="16">
        <f t="shared" si="1"/>
        <v>0</v>
      </c>
      <c r="P24" s="16">
        <f t="shared" si="2"/>
        <v>0</v>
      </c>
      <c r="Q24" s="18"/>
      <c r="R24" s="16">
        <v>0</v>
      </c>
      <c r="S24" s="22">
        <f t="shared" si="3"/>
        <v>0</v>
      </c>
      <c r="T24" s="11"/>
    </row>
    <row r="25" spans="1:20" x14ac:dyDescent="0.2">
      <c r="A25" s="51">
        <f>+'SERVICIO FAENA'!A25</f>
        <v>23</v>
      </c>
      <c r="B25" s="32" t="str">
        <f>+'SERVICIO FAENA'!B25</f>
        <v>MUCA SAS</v>
      </c>
      <c r="C25" s="11">
        <f>+'SERVICIO FAENA'!C25</f>
        <v>5</v>
      </c>
      <c r="D25" s="81"/>
      <c r="E25" s="81"/>
      <c r="F25" s="26"/>
      <c r="G25" s="26"/>
      <c r="H25" s="42"/>
      <c r="I25" s="42"/>
      <c r="J25" s="42"/>
      <c r="K25" s="23"/>
      <c r="L25" s="16">
        <f t="shared" si="0"/>
        <v>0</v>
      </c>
      <c r="M25" s="23"/>
      <c r="N25" s="23"/>
      <c r="O25" s="16">
        <f t="shared" si="1"/>
        <v>0</v>
      </c>
      <c r="P25" s="16">
        <f t="shared" si="2"/>
        <v>0</v>
      </c>
      <c r="Q25" s="25"/>
      <c r="R25" s="16">
        <v>0</v>
      </c>
      <c r="S25" s="22">
        <f t="shared" si="3"/>
        <v>0</v>
      </c>
      <c r="T25" s="23"/>
    </row>
    <row r="26" spans="1:20" x14ac:dyDescent="0.2">
      <c r="A26" s="51">
        <f>+'SERVICIO FAENA'!A26</f>
        <v>24</v>
      </c>
      <c r="B26" s="32" t="str">
        <f>+'SERVICIO FAENA'!B26</f>
        <v>FERREYRA MARTIN</v>
      </c>
      <c r="C26" s="11">
        <f>+'SERVICIO FAENA'!C26</f>
        <v>30</v>
      </c>
      <c r="D26" s="80">
        <v>442.84</v>
      </c>
      <c r="E26" s="80">
        <v>20.28</v>
      </c>
      <c r="F26" s="33"/>
      <c r="G26" s="33"/>
      <c r="H26" s="16"/>
      <c r="I26" s="16"/>
      <c r="J26" s="16"/>
      <c r="K26" s="11"/>
      <c r="L26" s="16">
        <f t="shared" si="0"/>
        <v>0</v>
      </c>
      <c r="M26" s="11"/>
      <c r="N26" s="11"/>
      <c r="O26" s="16">
        <f t="shared" si="1"/>
        <v>0</v>
      </c>
      <c r="P26" s="16">
        <f t="shared" si="2"/>
        <v>0</v>
      </c>
      <c r="Q26" s="18"/>
      <c r="R26" s="16">
        <v>0</v>
      </c>
      <c r="S26" s="22">
        <f t="shared" si="3"/>
        <v>0</v>
      </c>
      <c r="T26" s="11"/>
    </row>
    <row r="27" spans="1:20" x14ac:dyDescent="0.2">
      <c r="A27" s="51">
        <f>+'SERVICIO FAENA'!A27</f>
        <v>25</v>
      </c>
      <c r="B27" s="32" t="str">
        <f>+'SERVICIO FAENA'!B27</f>
        <v>FERREYRA ALBERTO</v>
      </c>
      <c r="C27" s="11">
        <f>+'SERVICIO FAENA'!C27</f>
        <v>6</v>
      </c>
      <c r="D27" s="81">
        <v>86.58</v>
      </c>
      <c r="E27" s="81">
        <v>4.9800000000000004</v>
      </c>
      <c r="F27" s="26"/>
      <c r="G27" s="26"/>
      <c r="H27" s="42"/>
      <c r="I27" s="42"/>
      <c r="J27" s="42"/>
      <c r="K27" s="23"/>
      <c r="L27" s="16">
        <f t="shared" si="0"/>
        <v>0</v>
      </c>
      <c r="M27" s="23"/>
      <c r="N27" s="23"/>
      <c r="O27" s="16">
        <f t="shared" si="1"/>
        <v>0</v>
      </c>
      <c r="P27" s="16">
        <f t="shared" si="2"/>
        <v>0</v>
      </c>
      <c r="Q27" s="25"/>
      <c r="R27" s="16">
        <v>0</v>
      </c>
      <c r="S27" s="22">
        <f t="shared" si="3"/>
        <v>0</v>
      </c>
      <c r="T27" s="23"/>
    </row>
    <row r="28" spans="1:20" x14ac:dyDescent="0.2">
      <c r="A28" s="51">
        <f>+'SERVICIO FAENA'!A28</f>
        <v>26</v>
      </c>
      <c r="B28" s="32" t="str">
        <f>+'SERVICIO FAENA'!B28</f>
        <v>FRIGORIFICO DE LA PATAGONIA SRL</v>
      </c>
      <c r="C28" s="11">
        <f>+'SERVICIO FAENA'!C28</f>
        <v>50</v>
      </c>
      <c r="D28" s="80">
        <v>831.32</v>
      </c>
      <c r="E28" s="80">
        <v>19.079999999999998</v>
      </c>
      <c r="F28" s="33"/>
      <c r="G28" s="33"/>
      <c r="H28" s="16"/>
      <c r="I28" s="16"/>
      <c r="J28" s="16"/>
      <c r="K28" s="11"/>
      <c r="L28" s="16">
        <f t="shared" si="0"/>
        <v>0</v>
      </c>
      <c r="M28" s="11"/>
      <c r="N28" s="11"/>
      <c r="O28" s="16">
        <f t="shared" si="1"/>
        <v>0</v>
      </c>
      <c r="P28" s="16">
        <f t="shared" si="2"/>
        <v>0</v>
      </c>
      <c r="Q28" s="18"/>
      <c r="R28" s="16">
        <v>0</v>
      </c>
      <c r="S28" s="22">
        <f t="shared" si="3"/>
        <v>0</v>
      </c>
      <c r="T28" s="11"/>
    </row>
    <row r="29" spans="1:20" x14ac:dyDescent="0.2">
      <c r="A29" s="51">
        <f>+'SERVICIO FAENA'!A29</f>
        <v>27</v>
      </c>
      <c r="B29" s="32" t="str">
        <f>+'SERVICIO FAENA'!B29</f>
        <v>GANADERA NORTE NEUQUINO</v>
      </c>
      <c r="C29" s="11">
        <f>+'SERVICIO FAENA'!C29</f>
        <v>40</v>
      </c>
      <c r="D29" s="81">
        <v>669.82</v>
      </c>
      <c r="E29" s="81">
        <v>29.4</v>
      </c>
      <c r="F29" s="26"/>
      <c r="G29" s="26"/>
      <c r="H29" s="42"/>
      <c r="I29" s="42"/>
      <c r="J29" s="42"/>
      <c r="K29" s="23"/>
      <c r="L29" s="16">
        <f t="shared" si="0"/>
        <v>0</v>
      </c>
      <c r="M29" s="23"/>
      <c r="N29" s="23"/>
      <c r="O29" s="16">
        <f t="shared" si="1"/>
        <v>0</v>
      </c>
      <c r="P29" s="16">
        <f t="shared" si="2"/>
        <v>0</v>
      </c>
      <c r="Q29" s="25"/>
      <c r="R29" s="16">
        <v>0</v>
      </c>
      <c r="S29" s="22">
        <f t="shared" si="3"/>
        <v>0</v>
      </c>
      <c r="T29" s="23"/>
    </row>
    <row r="30" spans="1:20" x14ac:dyDescent="0.2">
      <c r="A30" s="51">
        <f>+'SERVICIO FAENA'!A30</f>
        <v>28</v>
      </c>
      <c r="B30" s="32" t="str">
        <f>+'SERVICIO FAENA'!B30</f>
        <v>DOS DE FIERRO SA</v>
      </c>
      <c r="C30" s="11">
        <f>+'SERVICIO FAENA'!C30</f>
        <v>26</v>
      </c>
      <c r="D30" s="80">
        <v>417.6</v>
      </c>
      <c r="E30" s="80">
        <v>9.84</v>
      </c>
      <c r="F30" s="33"/>
      <c r="G30" s="33"/>
      <c r="H30" s="16"/>
      <c r="I30" s="16"/>
      <c r="J30" s="16"/>
      <c r="K30" s="11"/>
      <c r="L30" s="16">
        <f t="shared" si="0"/>
        <v>0</v>
      </c>
      <c r="M30" s="11"/>
      <c r="N30" s="11"/>
      <c r="O30" s="16">
        <f t="shared" si="1"/>
        <v>0</v>
      </c>
      <c r="P30" s="16">
        <f t="shared" si="2"/>
        <v>0</v>
      </c>
      <c r="Q30" s="18"/>
      <c r="R30" s="16">
        <v>0</v>
      </c>
      <c r="S30" s="22">
        <f t="shared" si="3"/>
        <v>0</v>
      </c>
      <c r="T30" s="11"/>
    </row>
    <row r="31" spans="1:20" x14ac:dyDescent="0.2">
      <c r="A31" s="51">
        <f>+'SERVICIO FAENA'!A31</f>
        <v>29</v>
      </c>
      <c r="B31" s="32" t="str">
        <f>+'SERVICIO FAENA'!B31</f>
        <v>FERREYRA MARTIN</v>
      </c>
      <c r="C31" s="11">
        <f>+'SERVICIO FAENA'!C31</f>
        <v>15</v>
      </c>
      <c r="D31" s="81">
        <v>210.28</v>
      </c>
      <c r="E31" s="81">
        <v>19.62</v>
      </c>
      <c r="F31" s="26"/>
      <c r="G31" s="26"/>
      <c r="H31" s="42"/>
      <c r="I31" s="42"/>
      <c r="J31" s="42"/>
      <c r="K31" s="23"/>
      <c r="L31" s="16">
        <f t="shared" si="0"/>
        <v>0</v>
      </c>
      <c r="M31" s="23"/>
      <c r="N31" s="23"/>
      <c r="O31" s="16">
        <f t="shared" si="1"/>
        <v>0</v>
      </c>
      <c r="P31" s="16">
        <f t="shared" si="2"/>
        <v>0</v>
      </c>
      <c r="Q31" s="25"/>
      <c r="R31" s="16">
        <v>0</v>
      </c>
      <c r="S31" s="22">
        <f t="shared" si="3"/>
        <v>0</v>
      </c>
      <c r="T31" s="23"/>
    </row>
    <row r="32" spans="1:20" x14ac:dyDescent="0.2">
      <c r="A32" s="51">
        <f>+'SERVICIO FAENA'!A32</f>
        <v>30</v>
      </c>
      <c r="B32" s="32" t="str">
        <f>+'SERVICIO FAENA'!B32</f>
        <v>BOSQUES AMADOS SRL</v>
      </c>
      <c r="C32" s="11">
        <f>+'SERVICIO FAENA'!C32</f>
        <v>18</v>
      </c>
      <c r="D32" s="80">
        <v>255.58</v>
      </c>
      <c r="E32" s="80">
        <v>13.22</v>
      </c>
      <c r="F32" s="33"/>
      <c r="G32" s="33"/>
      <c r="H32" s="16"/>
      <c r="I32" s="16"/>
      <c r="J32" s="16"/>
      <c r="K32" s="11"/>
      <c r="L32" s="16">
        <f t="shared" si="0"/>
        <v>0</v>
      </c>
      <c r="M32" s="11"/>
      <c r="N32" s="11"/>
      <c r="O32" s="16">
        <f t="shared" si="1"/>
        <v>0</v>
      </c>
      <c r="P32" s="16">
        <f t="shared" si="2"/>
        <v>0</v>
      </c>
      <c r="Q32" s="18"/>
      <c r="R32" s="16">
        <v>0</v>
      </c>
      <c r="S32" s="22">
        <f t="shared" si="3"/>
        <v>0</v>
      </c>
      <c r="T32" s="11"/>
    </row>
    <row r="33" spans="1:20" x14ac:dyDescent="0.2">
      <c r="A33" s="51">
        <f>+'SERVICIO FAENA'!A33</f>
        <v>31</v>
      </c>
      <c r="B33" s="32" t="str">
        <f>+'SERVICIO FAENA'!B33</f>
        <v>MUCA SAS</v>
      </c>
      <c r="C33" s="11">
        <f>+'SERVICIO FAENA'!C33</f>
        <v>50</v>
      </c>
      <c r="D33" s="81">
        <v>911.38</v>
      </c>
      <c r="E33" s="81">
        <v>12.96</v>
      </c>
      <c r="F33" s="26"/>
      <c r="G33" s="26"/>
      <c r="H33" s="42"/>
      <c r="I33" s="42"/>
      <c r="J33" s="42"/>
      <c r="K33" s="23"/>
      <c r="L33" s="16">
        <f t="shared" si="0"/>
        <v>0</v>
      </c>
      <c r="M33" s="23"/>
      <c r="N33" s="23"/>
      <c r="O33" s="16">
        <f t="shared" si="1"/>
        <v>0</v>
      </c>
      <c r="P33" s="16">
        <f t="shared" si="2"/>
        <v>0</v>
      </c>
      <c r="Q33" s="25"/>
      <c r="R33" s="16">
        <v>0</v>
      </c>
      <c r="S33" s="22">
        <f t="shared" si="3"/>
        <v>0</v>
      </c>
      <c r="T33" s="23"/>
    </row>
    <row r="34" spans="1:20" x14ac:dyDescent="0.2">
      <c r="A34" s="51">
        <f>+'SERVICIO FAENA'!A34</f>
        <v>32</v>
      </c>
      <c r="B34" s="32" t="str">
        <f>+'SERVICIO FAENA'!B34</f>
        <v>FERREYRA ALBERTO</v>
      </c>
      <c r="C34" s="11">
        <f>+'SERVICIO FAENA'!C34</f>
        <v>8</v>
      </c>
      <c r="D34" s="80">
        <v>115.54</v>
      </c>
      <c r="E34" s="80"/>
      <c r="F34" s="33"/>
      <c r="G34" s="33"/>
      <c r="H34" s="16"/>
      <c r="I34" s="16"/>
      <c r="J34" s="16"/>
      <c r="K34" s="11"/>
      <c r="L34" s="16">
        <f t="shared" si="0"/>
        <v>0</v>
      </c>
      <c r="M34" s="11"/>
      <c r="N34" s="11"/>
      <c r="O34" s="16">
        <f t="shared" si="1"/>
        <v>0</v>
      </c>
      <c r="P34" s="16">
        <f t="shared" si="2"/>
        <v>0</v>
      </c>
      <c r="Q34" s="18"/>
      <c r="R34" s="16">
        <v>0</v>
      </c>
      <c r="S34" s="22">
        <f t="shared" si="3"/>
        <v>0</v>
      </c>
      <c r="T34" s="11"/>
    </row>
    <row r="35" spans="1:20" x14ac:dyDescent="0.2">
      <c r="A35" s="51">
        <f>+'SERVICIO FAENA'!A35</f>
        <v>33</v>
      </c>
      <c r="B35" s="32" t="str">
        <f>+'SERVICIO FAENA'!B35</f>
        <v>FERREYRA MARTIN</v>
      </c>
      <c r="C35" s="11">
        <f>+'SERVICIO FAENA'!C35</f>
        <v>20</v>
      </c>
      <c r="D35" s="81">
        <v>276.88</v>
      </c>
      <c r="E35" s="81">
        <v>35.340000000000003</v>
      </c>
      <c r="F35" s="26"/>
      <c r="G35" s="26"/>
      <c r="H35" s="42"/>
      <c r="I35" s="42"/>
      <c r="J35" s="42"/>
      <c r="K35" s="23"/>
      <c r="L35" s="16">
        <f t="shared" si="0"/>
        <v>0</v>
      </c>
      <c r="M35" s="23"/>
      <c r="N35" s="23"/>
      <c r="O35" s="16">
        <f t="shared" si="1"/>
        <v>0</v>
      </c>
      <c r="P35" s="16">
        <f t="shared" si="2"/>
        <v>0</v>
      </c>
      <c r="Q35" s="25"/>
      <c r="R35" s="16">
        <v>0</v>
      </c>
      <c r="S35" s="22">
        <f t="shared" si="3"/>
        <v>0</v>
      </c>
      <c r="T35" s="23"/>
    </row>
    <row r="36" spans="1:20" x14ac:dyDescent="0.2">
      <c r="A36" s="51">
        <f>+'SERVICIO FAENA'!A36</f>
        <v>34</v>
      </c>
      <c r="B36" s="32" t="str">
        <f>+'SERVICIO FAENA'!B36</f>
        <v>FRIGORIFICO DE LA PATAGONIA SRL</v>
      </c>
      <c r="C36" s="11">
        <f>+'SERVICIO FAENA'!C36</f>
        <v>15</v>
      </c>
      <c r="D36" s="80">
        <v>246.74</v>
      </c>
      <c r="E36" s="80"/>
      <c r="F36" s="33"/>
      <c r="G36" s="33"/>
      <c r="H36" s="16"/>
      <c r="I36" s="16"/>
      <c r="J36" s="16"/>
      <c r="K36" s="11"/>
      <c r="L36" s="16">
        <f t="shared" si="0"/>
        <v>0</v>
      </c>
      <c r="M36" s="11"/>
      <c r="N36" s="11"/>
      <c r="O36" s="16">
        <f t="shared" si="1"/>
        <v>0</v>
      </c>
      <c r="P36" s="16">
        <f t="shared" si="2"/>
        <v>0</v>
      </c>
      <c r="Q36" s="18"/>
      <c r="R36" s="16">
        <v>0</v>
      </c>
      <c r="S36" s="22">
        <f t="shared" si="3"/>
        <v>0</v>
      </c>
      <c r="T36" s="11"/>
    </row>
    <row r="37" spans="1:20" x14ac:dyDescent="0.2">
      <c r="A37" s="51">
        <f>+'SERVICIO FAENA'!A37</f>
        <v>35</v>
      </c>
      <c r="B37" s="32" t="str">
        <f>+'SERVICIO FAENA'!B37</f>
        <v>MUCA SAS</v>
      </c>
      <c r="C37" s="11">
        <f>+'SERVICIO FAENA'!C37</f>
        <v>13</v>
      </c>
      <c r="D37" s="81">
        <v>467</v>
      </c>
      <c r="E37" s="81">
        <v>43.28</v>
      </c>
      <c r="F37" s="26"/>
      <c r="G37" s="26"/>
      <c r="H37" s="42"/>
      <c r="I37" s="42"/>
      <c r="J37" s="42"/>
      <c r="K37" s="23"/>
      <c r="L37" s="16">
        <f t="shared" si="0"/>
        <v>0</v>
      </c>
      <c r="M37" s="23"/>
      <c r="N37" s="23"/>
      <c r="O37" s="16">
        <f t="shared" si="1"/>
        <v>0</v>
      </c>
      <c r="P37" s="16">
        <f t="shared" si="2"/>
        <v>0</v>
      </c>
      <c r="Q37" s="25"/>
      <c r="R37" s="16">
        <v>0</v>
      </c>
      <c r="S37" s="22">
        <f t="shared" si="3"/>
        <v>0</v>
      </c>
      <c r="T37" s="23"/>
    </row>
    <row r="38" spans="1:20" x14ac:dyDescent="0.2">
      <c r="A38" s="51">
        <f>+'SERVICIO FAENA'!A38</f>
        <v>36</v>
      </c>
      <c r="B38" s="32" t="str">
        <f>+'SERVICIO FAENA'!B38</f>
        <v>MUCA SAS</v>
      </c>
      <c r="C38" s="11">
        <f>+'SERVICIO FAENA'!C38</f>
        <v>15</v>
      </c>
      <c r="D38" s="80"/>
      <c r="E38" s="80"/>
      <c r="F38" s="33"/>
      <c r="G38" s="33"/>
      <c r="H38" s="16"/>
      <c r="I38" s="16"/>
      <c r="J38" s="16"/>
      <c r="K38" s="11"/>
      <c r="L38" s="16">
        <f t="shared" si="0"/>
        <v>0</v>
      </c>
      <c r="M38" s="11"/>
      <c r="N38" s="11"/>
      <c r="O38" s="16">
        <f t="shared" si="1"/>
        <v>0</v>
      </c>
      <c r="P38" s="16">
        <f t="shared" si="2"/>
        <v>0</v>
      </c>
      <c r="Q38" s="18"/>
      <c r="R38" s="16">
        <v>0</v>
      </c>
      <c r="S38" s="22">
        <f t="shared" si="3"/>
        <v>0</v>
      </c>
      <c r="T38" s="11"/>
    </row>
    <row r="39" spans="1:20" x14ac:dyDescent="0.2">
      <c r="A39" s="51">
        <f>+'SERVICIO FAENA'!A39</f>
        <v>37</v>
      </c>
      <c r="B39" s="32" t="str">
        <f>+'SERVICIO FAENA'!B39</f>
        <v>FERREYRA MARTIN</v>
      </c>
      <c r="C39" s="11">
        <f>+'SERVICIO FAENA'!C39</f>
        <v>15</v>
      </c>
      <c r="D39" s="81">
        <v>188.44</v>
      </c>
      <c r="E39" s="81">
        <v>4.8</v>
      </c>
      <c r="F39" s="26"/>
      <c r="G39" s="26"/>
      <c r="H39" s="42"/>
      <c r="I39" s="42"/>
      <c r="J39" s="42"/>
      <c r="K39" s="23"/>
      <c r="L39" s="16">
        <f t="shared" si="0"/>
        <v>0</v>
      </c>
      <c r="M39" s="23"/>
      <c r="N39" s="23"/>
      <c r="O39" s="16">
        <f t="shared" si="1"/>
        <v>0</v>
      </c>
      <c r="P39" s="16">
        <f t="shared" si="2"/>
        <v>0</v>
      </c>
      <c r="Q39" s="25"/>
      <c r="R39" s="16">
        <v>0</v>
      </c>
      <c r="S39" s="22">
        <f t="shared" si="3"/>
        <v>0</v>
      </c>
      <c r="T39" s="23"/>
    </row>
    <row r="40" spans="1:20" x14ac:dyDescent="0.2">
      <c r="A40" s="51">
        <f>+'SERVICIO FAENA'!A40</f>
        <v>38</v>
      </c>
      <c r="B40" s="32" t="str">
        <f>+'SERVICIO FAENA'!B40</f>
        <v>FRIGORIFICO DE LA PATAGONIA SRL</v>
      </c>
      <c r="C40" s="11">
        <f>+'SERVICIO FAENA'!C40</f>
        <v>26</v>
      </c>
      <c r="D40" s="80">
        <v>435.16</v>
      </c>
      <c r="E40" s="80">
        <v>10.1</v>
      </c>
      <c r="F40" s="33"/>
      <c r="G40" s="33"/>
      <c r="H40" s="16"/>
      <c r="I40" s="16"/>
      <c r="J40" s="16"/>
      <c r="K40" s="11"/>
      <c r="L40" s="16">
        <f t="shared" si="0"/>
        <v>0</v>
      </c>
      <c r="M40" s="11"/>
      <c r="N40" s="11"/>
      <c r="O40" s="16">
        <f t="shared" si="1"/>
        <v>0</v>
      </c>
      <c r="P40" s="16">
        <f t="shared" si="2"/>
        <v>0</v>
      </c>
      <c r="Q40" s="18"/>
      <c r="R40" s="16">
        <v>0</v>
      </c>
      <c r="S40" s="22">
        <f t="shared" si="3"/>
        <v>0</v>
      </c>
      <c r="T40" s="11"/>
    </row>
    <row r="41" spans="1:20" x14ac:dyDescent="0.2">
      <c r="A41" s="51">
        <f>+'SERVICIO FAENA'!A41</f>
        <v>39</v>
      </c>
      <c r="B41" s="32" t="str">
        <f>+'SERVICIO FAENA'!B41</f>
        <v>BOSQUES AMADOS SRL</v>
      </c>
      <c r="C41" s="11">
        <f>+'SERVICIO FAENA'!C41</f>
        <v>18</v>
      </c>
      <c r="D41" s="81">
        <v>312.77999999999997</v>
      </c>
      <c r="E41" s="81">
        <v>6.48</v>
      </c>
      <c r="F41" s="26"/>
      <c r="G41" s="26"/>
      <c r="H41" s="42"/>
      <c r="I41" s="42"/>
      <c r="J41" s="42"/>
      <c r="K41" s="23"/>
      <c r="L41" s="16">
        <f t="shared" si="0"/>
        <v>0</v>
      </c>
      <c r="M41" s="23"/>
      <c r="N41" s="23"/>
      <c r="O41" s="16">
        <f t="shared" si="1"/>
        <v>0</v>
      </c>
      <c r="P41" s="16">
        <f t="shared" si="2"/>
        <v>0</v>
      </c>
      <c r="Q41" s="25"/>
      <c r="R41" s="16">
        <v>0</v>
      </c>
      <c r="S41" s="22">
        <f t="shared" si="3"/>
        <v>0</v>
      </c>
      <c r="T41" s="23"/>
    </row>
    <row r="42" spans="1:20" x14ac:dyDescent="0.2">
      <c r="A42" s="51">
        <f>+'SERVICIO FAENA'!A42</f>
        <v>40</v>
      </c>
      <c r="B42" s="32" t="str">
        <f>+'SERVICIO FAENA'!B42</f>
        <v>MUCA SAS</v>
      </c>
      <c r="C42" s="11">
        <f>+'SERVICIO FAENA'!C42</f>
        <v>31</v>
      </c>
      <c r="D42" s="80">
        <v>653.4</v>
      </c>
      <c r="E42" s="80">
        <v>83.86</v>
      </c>
      <c r="F42" s="33"/>
      <c r="G42" s="33"/>
      <c r="H42" s="16"/>
      <c r="I42" s="16"/>
      <c r="J42" s="16"/>
      <c r="K42" s="11"/>
      <c r="L42" s="16">
        <f t="shared" si="0"/>
        <v>0</v>
      </c>
      <c r="M42" s="11"/>
      <c r="N42" s="11"/>
      <c r="O42" s="16">
        <f t="shared" si="1"/>
        <v>0</v>
      </c>
      <c r="P42" s="16">
        <f t="shared" si="2"/>
        <v>0</v>
      </c>
      <c r="Q42" s="18"/>
      <c r="R42" s="16">
        <v>0</v>
      </c>
      <c r="S42" s="22">
        <f t="shared" si="3"/>
        <v>0</v>
      </c>
      <c r="T42" s="11"/>
    </row>
    <row r="43" spans="1:20" x14ac:dyDescent="0.2">
      <c r="A43" s="51">
        <f>+'SERVICIO FAENA'!A43</f>
        <v>41</v>
      </c>
      <c r="B43" s="32" t="str">
        <f>+'SERVICIO FAENA'!B43</f>
        <v>MUCA SAS</v>
      </c>
      <c r="C43" s="11">
        <f>+'SERVICIO FAENA'!C43</f>
        <v>14</v>
      </c>
      <c r="D43" s="81"/>
      <c r="E43" s="81"/>
      <c r="F43" s="26"/>
      <c r="G43" s="26"/>
      <c r="H43" s="42"/>
      <c r="I43" s="42"/>
      <c r="J43" s="42"/>
      <c r="K43" s="23"/>
      <c r="L43" s="16">
        <f t="shared" si="0"/>
        <v>0</v>
      </c>
      <c r="M43" s="23"/>
      <c r="N43" s="23"/>
      <c r="O43" s="16">
        <f t="shared" si="1"/>
        <v>0</v>
      </c>
      <c r="P43" s="16">
        <f t="shared" si="2"/>
        <v>0</v>
      </c>
      <c r="Q43" s="25"/>
      <c r="R43" s="16">
        <v>0</v>
      </c>
      <c r="S43" s="22">
        <f t="shared" si="3"/>
        <v>0</v>
      </c>
      <c r="T43" s="23"/>
    </row>
    <row r="44" spans="1:20" x14ac:dyDescent="0.2">
      <c r="A44" s="51">
        <f>+'SERVICIO FAENA'!A44</f>
        <v>42</v>
      </c>
      <c r="B44" s="32" t="str">
        <f>+'SERVICIO FAENA'!B44</f>
        <v>FERREYRA MARTIN</v>
      </c>
      <c r="C44" s="11">
        <f>+'SERVICIO FAENA'!C44</f>
        <v>14</v>
      </c>
      <c r="D44" s="80"/>
      <c r="E44" s="80"/>
      <c r="F44" s="33"/>
      <c r="G44" s="33"/>
      <c r="H44" s="16"/>
      <c r="I44" s="16"/>
      <c r="J44" s="16"/>
      <c r="K44" s="11"/>
      <c r="L44" s="16">
        <f t="shared" si="0"/>
        <v>0</v>
      </c>
      <c r="M44" s="11"/>
      <c r="N44" s="11"/>
      <c r="O44" s="16">
        <f t="shared" si="1"/>
        <v>0</v>
      </c>
      <c r="P44" s="16">
        <f t="shared" si="2"/>
        <v>0</v>
      </c>
      <c r="Q44" s="18"/>
      <c r="R44" s="16">
        <v>0</v>
      </c>
      <c r="S44" s="22">
        <f t="shared" si="3"/>
        <v>0</v>
      </c>
      <c r="T44" s="11"/>
    </row>
    <row r="45" spans="1:20" x14ac:dyDescent="0.2">
      <c r="A45" s="51">
        <f>+'SERVICIO FAENA'!A45</f>
        <v>43</v>
      </c>
      <c r="B45" s="32" t="str">
        <f>+'SERVICIO FAENA'!B45</f>
        <v>FERREYRA MARTIN</v>
      </c>
      <c r="C45" s="11">
        <f>+'SERVICIO FAENA'!C45</f>
        <v>9</v>
      </c>
      <c r="D45" s="81"/>
      <c r="E45" s="81"/>
      <c r="F45" s="26"/>
      <c r="G45" s="26"/>
      <c r="H45" s="42"/>
      <c r="I45" s="42"/>
      <c r="J45" s="42"/>
      <c r="K45" s="23"/>
      <c r="L45" s="16">
        <f t="shared" si="0"/>
        <v>0</v>
      </c>
      <c r="M45" s="23"/>
      <c r="N45" s="23"/>
      <c r="O45" s="16">
        <f t="shared" si="1"/>
        <v>0</v>
      </c>
      <c r="P45" s="16">
        <f t="shared" si="2"/>
        <v>0</v>
      </c>
      <c r="Q45" s="25"/>
      <c r="R45" s="16">
        <v>0</v>
      </c>
      <c r="S45" s="22">
        <f t="shared" si="3"/>
        <v>0</v>
      </c>
      <c r="T45" s="23"/>
    </row>
    <row r="46" spans="1:20" x14ac:dyDescent="0.2">
      <c r="A46" s="51">
        <f>+'SERVICIO FAENA'!A46</f>
        <v>44</v>
      </c>
      <c r="B46" s="32" t="str">
        <f>+'SERVICIO FAENA'!B46</f>
        <v>FERREYRA ALBERTO</v>
      </c>
      <c r="C46" s="11">
        <f>+'SERVICIO FAENA'!C46</f>
        <v>6</v>
      </c>
      <c r="D46" s="80"/>
      <c r="E46" s="80"/>
      <c r="F46" s="33"/>
      <c r="G46" s="33"/>
      <c r="H46" s="16"/>
      <c r="I46" s="16"/>
      <c r="J46" s="16"/>
      <c r="K46" s="11"/>
      <c r="L46" s="16">
        <f t="shared" si="0"/>
        <v>0</v>
      </c>
      <c r="M46" s="11"/>
      <c r="N46" s="11"/>
      <c r="O46" s="16">
        <f t="shared" si="1"/>
        <v>0</v>
      </c>
      <c r="P46" s="16">
        <f t="shared" si="2"/>
        <v>0</v>
      </c>
      <c r="Q46" s="18"/>
      <c r="R46" s="16">
        <v>0</v>
      </c>
      <c r="S46" s="22">
        <f t="shared" si="3"/>
        <v>0</v>
      </c>
      <c r="T46" s="11"/>
    </row>
    <row r="47" spans="1:20" x14ac:dyDescent="0.2">
      <c r="A47" s="51">
        <f>+'SERVICIO FAENA'!A47</f>
        <v>45</v>
      </c>
      <c r="B47" s="32" t="str">
        <f>+'SERVICIO FAENA'!B47</f>
        <v>FRIGORIFICO DE LA PATAGONIA SRL</v>
      </c>
      <c r="C47" s="11">
        <f>+'SERVICIO FAENA'!C47</f>
        <v>22</v>
      </c>
      <c r="D47" s="81">
        <v>671.22</v>
      </c>
      <c r="E47" s="81">
        <v>18.88</v>
      </c>
      <c r="F47" s="26"/>
      <c r="G47" s="26"/>
      <c r="H47" s="42"/>
      <c r="I47" s="42"/>
      <c r="J47" s="42"/>
      <c r="K47" s="23"/>
      <c r="L47" s="16">
        <f t="shared" si="0"/>
        <v>0</v>
      </c>
      <c r="M47" s="23"/>
      <c r="N47" s="23"/>
      <c r="O47" s="16">
        <f t="shared" si="1"/>
        <v>0</v>
      </c>
      <c r="P47" s="16">
        <f t="shared" si="2"/>
        <v>0</v>
      </c>
      <c r="Q47" s="25"/>
      <c r="R47" s="16">
        <v>0</v>
      </c>
      <c r="S47" s="22">
        <f t="shared" si="3"/>
        <v>0</v>
      </c>
      <c r="T47" s="23"/>
    </row>
    <row r="48" spans="1:20" x14ac:dyDescent="0.2">
      <c r="A48" s="51">
        <f>+'SERVICIO FAENA'!A48</f>
        <v>46</v>
      </c>
      <c r="B48" s="32" t="str">
        <f>+'SERVICIO FAENA'!B48</f>
        <v>FRIGORIFICO DE LA PATAGONIA SRL</v>
      </c>
      <c r="C48" s="11">
        <f>+'SERVICIO FAENA'!C48</f>
        <v>20</v>
      </c>
      <c r="D48" s="80"/>
      <c r="E48" s="80"/>
      <c r="F48" s="33"/>
      <c r="G48" s="33"/>
      <c r="H48" s="16"/>
      <c r="I48" s="16"/>
      <c r="J48" s="16"/>
      <c r="K48" s="11"/>
      <c r="L48" s="16">
        <f t="shared" si="0"/>
        <v>0</v>
      </c>
      <c r="M48" s="11"/>
      <c r="N48" s="11"/>
      <c r="O48" s="16">
        <f t="shared" si="1"/>
        <v>0</v>
      </c>
      <c r="P48" s="16">
        <f t="shared" si="2"/>
        <v>0</v>
      </c>
      <c r="Q48" s="18"/>
      <c r="R48" s="16">
        <v>0</v>
      </c>
      <c r="S48" s="22">
        <f t="shared" si="3"/>
        <v>0</v>
      </c>
      <c r="T48" s="11"/>
    </row>
    <row r="49" spans="1:20" x14ac:dyDescent="0.2">
      <c r="A49" s="51">
        <f>+'SERVICIO FAENA'!A49</f>
        <v>47</v>
      </c>
      <c r="B49" s="32" t="str">
        <f>+'SERVICIO FAENA'!B49</f>
        <v>MUCA SAS</v>
      </c>
      <c r="C49" s="11">
        <f>+'SERVICIO FAENA'!C49</f>
        <v>13</v>
      </c>
      <c r="D49" s="81">
        <v>433.1</v>
      </c>
      <c r="E49" s="81">
        <v>37.020000000000003</v>
      </c>
      <c r="F49" s="26"/>
      <c r="G49" s="26"/>
      <c r="H49" s="42"/>
      <c r="I49" s="42"/>
      <c r="J49" s="42"/>
      <c r="K49" s="23"/>
      <c r="L49" s="16">
        <f t="shared" si="0"/>
        <v>0</v>
      </c>
      <c r="M49" s="23"/>
      <c r="N49" s="23"/>
      <c r="O49" s="16">
        <f t="shared" si="1"/>
        <v>0</v>
      </c>
      <c r="P49" s="16">
        <f t="shared" si="2"/>
        <v>0</v>
      </c>
      <c r="Q49" s="25"/>
      <c r="R49" s="16">
        <v>0</v>
      </c>
      <c r="S49" s="22">
        <f t="shared" si="3"/>
        <v>0</v>
      </c>
      <c r="T49" s="23"/>
    </row>
    <row r="50" spans="1:20" x14ac:dyDescent="0.2">
      <c r="A50" s="51">
        <f>+'SERVICIO FAENA'!A50</f>
        <v>48</v>
      </c>
      <c r="B50" s="32" t="str">
        <f>+'SERVICIO FAENA'!B50</f>
        <v>MUCA SAS</v>
      </c>
      <c r="C50" s="11">
        <f>+'SERVICIO FAENA'!C50</f>
        <v>8</v>
      </c>
      <c r="D50" s="80"/>
      <c r="E50" s="80"/>
      <c r="F50" s="33"/>
      <c r="G50" s="33"/>
      <c r="H50" s="16"/>
      <c r="I50" s="16"/>
      <c r="J50" s="16"/>
      <c r="K50" s="11"/>
      <c r="L50" s="16">
        <f t="shared" si="0"/>
        <v>0</v>
      </c>
      <c r="M50" s="11"/>
      <c r="N50" s="11"/>
      <c r="O50" s="16">
        <f t="shared" si="1"/>
        <v>0</v>
      </c>
      <c r="P50" s="16">
        <f t="shared" si="2"/>
        <v>0</v>
      </c>
      <c r="Q50" s="18"/>
      <c r="R50" s="16">
        <v>0</v>
      </c>
      <c r="S50" s="22">
        <f t="shared" si="3"/>
        <v>0</v>
      </c>
      <c r="T50" s="11"/>
    </row>
    <row r="51" spans="1:20" x14ac:dyDescent="0.2">
      <c r="A51" s="51">
        <f>+'SERVICIO FAENA'!A51</f>
        <v>49</v>
      </c>
      <c r="B51" s="32" t="str">
        <f>+'SERVICIO FAENA'!B51</f>
        <v>MUCA SAS</v>
      </c>
      <c r="C51" s="11">
        <f>+'SERVICIO FAENA'!C51</f>
        <v>5</v>
      </c>
      <c r="D51" s="81"/>
      <c r="E51" s="81"/>
      <c r="F51" s="26"/>
      <c r="G51" s="26"/>
      <c r="H51" s="42"/>
      <c r="I51" s="42"/>
      <c r="J51" s="42"/>
      <c r="K51" s="23"/>
      <c r="L51" s="16">
        <f t="shared" si="0"/>
        <v>0</v>
      </c>
      <c r="M51" s="23"/>
      <c r="N51" s="23"/>
      <c r="O51" s="16">
        <f t="shared" si="1"/>
        <v>0</v>
      </c>
      <c r="P51" s="16">
        <f t="shared" si="2"/>
        <v>0</v>
      </c>
      <c r="Q51" s="25"/>
      <c r="R51" s="16">
        <v>0</v>
      </c>
      <c r="S51" s="22">
        <f t="shared" si="3"/>
        <v>0</v>
      </c>
      <c r="T51" s="23"/>
    </row>
    <row r="52" spans="1:20" ht="13.5" thickBot="1" x14ac:dyDescent="0.25">
      <c r="A52" s="132">
        <f>+'SERVICIO FAENA'!A52</f>
        <v>50</v>
      </c>
      <c r="B52" s="133" t="str">
        <f>+'SERVICIO FAENA'!B52</f>
        <v>MUCA SAS</v>
      </c>
      <c r="C52" s="113">
        <f>+'SERVICIO FAENA'!C52</f>
        <v>2</v>
      </c>
      <c r="D52" s="134"/>
      <c r="E52" s="134"/>
      <c r="F52" s="135"/>
      <c r="G52" s="135"/>
      <c r="H52" s="118"/>
      <c r="I52" s="118"/>
      <c r="J52" s="118"/>
      <c r="K52" s="113"/>
      <c r="L52" s="118">
        <f t="shared" si="0"/>
        <v>0</v>
      </c>
      <c r="M52" s="113"/>
      <c r="N52" s="113"/>
      <c r="O52" s="118">
        <f t="shared" si="1"/>
        <v>0</v>
      </c>
      <c r="P52" s="118">
        <f t="shared" si="2"/>
        <v>0</v>
      </c>
      <c r="Q52" s="120"/>
      <c r="R52" s="118">
        <v>0</v>
      </c>
      <c r="S52" s="136">
        <f t="shared" si="3"/>
        <v>0</v>
      </c>
      <c r="T52" s="113"/>
    </row>
    <row r="53" spans="1:20" x14ac:dyDescent="0.2">
      <c r="A53" s="124">
        <f>+'SERVICIO FAENA'!A53</f>
        <v>51</v>
      </c>
      <c r="B53" s="125" t="str">
        <f>+'SERVICIO FAENA'!B53</f>
        <v>GANADERA NORTE NEUQUINO</v>
      </c>
      <c r="C53" s="53">
        <f>+'SERVICIO FAENA'!C53</f>
        <v>42</v>
      </c>
      <c r="D53" s="126">
        <v>651.62</v>
      </c>
      <c r="E53" s="126">
        <v>3.98</v>
      </c>
      <c r="F53" s="127"/>
      <c r="G53" s="127"/>
      <c r="H53" s="128"/>
      <c r="I53" s="128"/>
      <c r="J53" s="128"/>
      <c r="K53" s="129"/>
      <c r="L53" s="41">
        <f t="shared" si="0"/>
        <v>0</v>
      </c>
      <c r="M53" s="129"/>
      <c r="N53" s="129"/>
      <c r="O53" s="41">
        <f t="shared" si="1"/>
        <v>0</v>
      </c>
      <c r="P53" s="41">
        <f t="shared" si="2"/>
        <v>0</v>
      </c>
      <c r="Q53" s="130"/>
      <c r="R53" s="41">
        <v>0</v>
      </c>
      <c r="S53" s="131">
        <f t="shared" si="3"/>
        <v>0</v>
      </c>
      <c r="T53" s="129"/>
    </row>
    <row r="54" spans="1:20" x14ac:dyDescent="0.2">
      <c r="A54" s="51">
        <f>+'SERVICIO FAENA'!A54</f>
        <v>52</v>
      </c>
      <c r="B54" s="32" t="str">
        <f>+'SERVICIO FAENA'!B54</f>
        <v>FERREYRA MARTIN</v>
      </c>
      <c r="C54" s="11">
        <f>+'SERVICIO FAENA'!C54</f>
        <v>18</v>
      </c>
      <c r="D54" s="80">
        <v>247.56</v>
      </c>
      <c r="E54" s="80">
        <v>11.22</v>
      </c>
      <c r="F54" s="33"/>
      <c r="G54" s="33"/>
      <c r="H54" s="16"/>
      <c r="I54" s="16"/>
      <c r="J54" s="16"/>
      <c r="K54" s="11"/>
      <c r="L54" s="16">
        <f t="shared" si="0"/>
        <v>0</v>
      </c>
      <c r="M54" s="11"/>
      <c r="N54" s="11"/>
      <c r="O54" s="16">
        <f t="shared" si="1"/>
        <v>0</v>
      </c>
      <c r="P54" s="16">
        <f t="shared" si="2"/>
        <v>0</v>
      </c>
      <c r="Q54" s="18"/>
      <c r="R54" s="16">
        <v>0</v>
      </c>
      <c r="S54" s="22">
        <f t="shared" si="3"/>
        <v>0</v>
      </c>
      <c r="T54" s="11"/>
    </row>
    <row r="55" spans="1:20" x14ac:dyDescent="0.2">
      <c r="A55" s="51">
        <f>+'SERVICIO FAENA'!A55</f>
        <v>53</v>
      </c>
      <c r="B55" s="32" t="str">
        <f>+'SERVICIO FAENA'!B55</f>
        <v>BOSQUES AMADOS SRL</v>
      </c>
      <c r="C55" s="11">
        <f>+'SERVICIO FAENA'!C55</f>
        <v>17</v>
      </c>
      <c r="D55" s="81">
        <v>260.55</v>
      </c>
      <c r="E55" s="81">
        <v>3.9</v>
      </c>
      <c r="F55" s="26"/>
      <c r="G55" s="26"/>
      <c r="H55" s="42"/>
      <c r="I55" s="42"/>
      <c r="J55" s="42"/>
      <c r="K55" s="23"/>
      <c r="L55" s="16">
        <f t="shared" ref="L55:L118" si="4">+K55*F55</f>
        <v>0</v>
      </c>
      <c r="M55" s="23"/>
      <c r="N55" s="23"/>
      <c r="O55" s="16">
        <f t="shared" ref="O55:O118" si="5">+K55*F55</f>
        <v>0</v>
      </c>
      <c r="P55" s="16">
        <f t="shared" ref="P55:P118" si="6">+(L55*10.5/100)+L55</f>
        <v>0</v>
      </c>
      <c r="Q55" s="25"/>
      <c r="R55" s="16">
        <v>0</v>
      </c>
      <c r="S55" s="22">
        <f t="shared" ref="S55:S118" si="7">+R55-P55</f>
        <v>0</v>
      </c>
      <c r="T55" s="23"/>
    </row>
    <row r="56" spans="1:20" x14ac:dyDescent="0.2">
      <c r="A56" s="51">
        <f>+'SERVICIO FAENA'!A56</f>
        <v>54</v>
      </c>
      <c r="B56" s="32" t="str">
        <f>+'SERVICIO FAENA'!B56</f>
        <v>MUCA SAS</v>
      </c>
      <c r="C56" s="11">
        <f>+'SERVICIO FAENA'!C56</f>
        <v>50</v>
      </c>
      <c r="D56" s="80">
        <v>938.78</v>
      </c>
      <c r="E56" s="80">
        <v>118.78</v>
      </c>
      <c r="F56" s="33"/>
      <c r="G56" s="33"/>
      <c r="H56" s="16"/>
      <c r="I56" s="16"/>
      <c r="J56" s="16"/>
      <c r="K56" s="11"/>
      <c r="L56" s="16">
        <f t="shared" si="4"/>
        <v>0</v>
      </c>
      <c r="M56" s="11"/>
      <c r="N56" s="11"/>
      <c r="O56" s="16">
        <f t="shared" si="5"/>
        <v>0</v>
      </c>
      <c r="P56" s="16">
        <f t="shared" si="6"/>
        <v>0</v>
      </c>
      <c r="Q56" s="18"/>
      <c r="R56" s="16">
        <v>0</v>
      </c>
      <c r="S56" s="22">
        <f t="shared" si="7"/>
        <v>0</v>
      </c>
      <c r="T56" s="11"/>
    </row>
    <row r="57" spans="1:20" x14ac:dyDescent="0.2">
      <c r="A57" s="51">
        <f>+'SERVICIO FAENA'!A57</f>
        <v>55</v>
      </c>
      <c r="B57" s="32" t="str">
        <f>+'SERVICIO FAENA'!B57</f>
        <v>MORAGA</v>
      </c>
      <c r="C57" s="11">
        <f>+'SERVICIO FAENA'!C57</f>
        <v>10</v>
      </c>
      <c r="D57" s="81">
        <v>141.74</v>
      </c>
      <c r="E57" s="81">
        <v>4.16</v>
      </c>
      <c r="F57" s="26"/>
      <c r="G57" s="26"/>
      <c r="H57" s="42"/>
      <c r="I57" s="42"/>
      <c r="J57" s="42"/>
      <c r="K57" s="23"/>
      <c r="L57" s="16">
        <f t="shared" si="4"/>
        <v>0</v>
      </c>
      <c r="M57" s="23"/>
      <c r="N57" s="23"/>
      <c r="O57" s="16">
        <f t="shared" si="5"/>
        <v>0</v>
      </c>
      <c r="P57" s="16">
        <f t="shared" si="6"/>
        <v>0</v>
      </c>
      <c r="Q57" s="25"/>
      <c r="R57" s="16">
        <v>0</v>
      </c>
      <c r="S57" s="22">
        <f t="shared" si="7"/>
        <v>0</v>
      </c>
      <c r="T57" s="23"/>
    </row>
    <row r="58" spans="1:20" x14ac:dyDescent="0.2">
      <c r="A58" s="51">
        <f>+'SERVICIO FAENA'!A58</f>
        <v>56</v>
      </c>
      <c r="B58" s="32" t="str">
        <f>+'SERVICIO FAENA'!B58</f>
        <v>FERREYRA MARTIN</v>
      </c>
      <c r="C58" s="11">
        <f>+'SERVICIO FAENA'!C58</f>
        <v>15</v>
      </c>
      <c r="D58" s="80">
        <v>388.22</v>
      </c>
      <c r="E58" s="80">
        <v>4.6900000000000004</v>
      </c>
      <c r="F58" s="33"/>
      <c r="G58" s="33"/>
      <c r="H58" s="16"/>
      <c r="I58" s="16"/>
      <c r="J58" s="16"/>
      <c r="K58" s="11"/>
      <c r="L58" s="16">
        <f t="shared" si="4"/>
        <v>0</v>
      </c>
      <c r="M58" s="11"/>
      <c r="N58" s="11"/>
      <c r="O58" s="16">
        <f t="shared" si="5"/>
        <v>0</v>
      </c>
      <c r="P58" s="16">
        <f t="shared" si="6"/>
        <v>0</v>
      </c>
      <c r="Q58" s="18"/>
      <c r="R58" s="16">
        <v>0</v>
      </c>
      <c r="S58" s="22">
        <f t="shared" si="7"/>
        <v>0</v>
      </c>
      <c r="T58" s="11"/>
    </row>
    <row r="59" spans="1:20" x14ac:dyDescent="0.2">
      <c r="A59" s="51">
        <f>+'SERVICIO FAENA'!A59</f>
        <v>57</v>
      </c>
      <c r="B59" s="32" t="str">
        <f>+'SERVICIO FAENA'!B59</f>
        <v>FERREYRA ALBERTO</v>
      </c>
      <c r="C59" s="11">
        <f>+'SERVICIO FAENA'!C59</f>
        <v>5</v>
      </c>
      <c r="D59" s="81">
        <v>71.34</v>
      </c>
      <c r="E59" s="81"/>
      <c r="F59" s="26"/>
      <c r="G59" s="26"/>
      <c r="H59" s="42"/>
      <c r="I59" s="42"/>
      <c r="J59" s="42"/>
      <c r="K59" s="23"/>
      <c r="L59" s="16">
        <f t="shared" si="4"/>
        <v>0</v>
      </c>
      <c r="M59" s="23"/>
      <c r="N59" s="23"/>
      <c r="O59" s="16">
        <f t="shared" si="5"/>
        <v>0</v>
      </c>
      <c r="P59" s="16">
        <f t="shared" si="6"/>
        <v>0</v>
      </c>
      <c r="Q59" s="25"/>
      <c r="R59" s="16">
        <v>0</v>
      </c>
      <c r="S59" s="22">
        <f t="shared" si="7"/>
        <v>0</v>
      </c>
      <c r="T59" s="23"/>
    </row>
    <row r="60" spans="1:20" x14ac:dyDescent="0.2">
      <c r="A60" s="51">
        <f>+'SERVICIO FAENA'!A60</f>
        <v>58</v>
      </c>
      <c r="B60" s="32" t="str">
        <f>+'SERVICIO FAENA'!B60</f>
        <v>FERREYRA MARTIN</v>
      </c>
      <c r="C60" s="11">
        <f>+'SERVICIO FAENA'!C60</f>
        <v>10</v>
      </c>
      <c r="D60" s="80"/>
      <c r="E60" s="80"/>
      <c r="F60" s="33"/>
      <c r="G60" s="33"/>
      <c r="H60" s="16"/>
      <c r="I60" s="16"/>
      <c r="J60" s="16"/>
      <c r="K60" s="11"/>
      <c r="L60" s="16">
        <f t="shared" si="4"/>
        <v>0</v>
      </c>
      <c r="M60" s="11"/>
      <c r="N60" s="11"/>
      <c r="O60" s="16">
        <f t="shared" si="5"/>
        <v>0</v>
      </c>
      <c r="P60" s="16">
        <f t="shared" si="6"/>
        <v>0</v>
      </c>
      <c r="Q60" s="18"/>
      <c r="R60" s="16">
        <v>0</v>
      </c>
      <c r="S60" s="22">
        <f t="shared" si="7"/>
        <v>0</v>
      </c>
      <c r="T60" s="11"/>
    </row>
    <row r="61" spans="1:20" x14ac:dyDescent="0.2">
      <c r="A61" s="51">
        <f>+'SERVICIO FAENA'!A61</f>
        <v>59</v>
      </c>
      <c r="B61" s="32" t="str">
        <f>+'SERVICIO FAENA'!B61</f>
        <v>FRIGORIFICO DE LA PATAGONIA SRL</v>
      </c>
      <c r="C61" s="11">
        <f>+'SERVICIO FAENA'!C61</f>
        <v>20</v>
      </c>
      <c r="D61" s="81">
        <v>683.48</v>
      </c>
      <c r="E61" s="81"/>
      <c r="F61" s="26"/>
      <c r="G61" s="26"/>
      <c r="H61" s="42"/>
      <c r="I61" s="42"/>
      <c r="J61" s="42"/>
      <c r="K61" s="23"/>
      <c r="L61" s="16">
        <f t="shared" si="4"/>
        <v>0</v>
      </c>
      <c r="M61" s="23"/>
      <c r="N61" s="23"/>
      <c r="O61" s="16">
        <f t="shared" si="5"/>
        <v>0</v>
      </c>
      <c r="P61" s="16">
        <f t="shared" si="6"/>
        <v>0</v>
      </c>
      <c r="Q61" s="25"/>
      <c r="R61" s="16">
        <v>0</v>
      </c>
      <c r="S61" s="22">
        <f t="shared" si="7"/>
        <v>0</v>
      </c>
      <c r="T61" s="23"/>
    </row>
    <row r="62" spans="1:20" x14ac:dyDescent="0.2">
      <c r="A62" s="51">
        <f>+'SERVICIO FAENA'!A62</f>
        <v>60</v>
      </c>
      <c r="B62" s="32" t="str">
        <f>+'SERVICIO FAENA'!B62</f>
        <v>FRIGORIFICO DE LA PATAGONIA SRL</v>
      </c>
      <c r="C62" s="11">
        <f>+'SERVICIO FAENA'!C62</f>
        <v>28</v>
      </c>
      <c r="D62" s="80"/>
      <c r="E62" s="80"/>
      <c r="F62" s="33"/>
      <c r="G62" s="33"/>
      <c r="H62" s="16"/>
      <c r="I62" s="16"/>
      <c r="J62" s="16"/>
      <c r="K62" s="11"/>
      <c r="L62" s="16">
        <f t="shared" si="4"/>
        <v>0</v>
      </c>
      <c r="M62" s="11"/>
      <c r="N62" s="11"/>
      <c r="O62" s="16">
        <f t="shared" si="5"/>
        <v>0</v>
      </c>
      <c r="P62" s="16">
        <f t="shared" si="6"/>
        <v>0</v>
      </c>
      <c r="Q62" s="18"/>
      <c r="R62" s="16">
        <v>0</v>
      </c>
      <c r="S62" s="22">
        <f t="shared" si="7"/>
        <v>0</v>
      </c>
      <c r="T62" s="11"/>
    </row>
    <row r="63" spans="1:20" x14ac:dyDescent="0.2">
      <c r="A63" s="51">
        <f>+'SERVICIO FAENA'!A63</f>
        <v>61</v>
      </c>
      <c r="B63" s="32" t="str">
        <f>+'SERVICIO FAENA'!B63</f>
        <v>MAIZALES DE LA PATAGONIA SRL</v>
      </c>
      <c r="C63" s="11">
        <f>+'SERVICIO FAENA'!C63</f>
        <v>20</v>
      </c>
      <c r="D63" s="81">
        <v>305</v>
      </c>
      <c r="E63" s="81"/>
      <c r="F63" s="26"/>
      <c r="G63" s="26"/>
      <c r="H63" s="42"/>
      <c r="I63" s="42"/>
      <c r="J63" s="42"/>
      <c r="K63" s="23"/>
      <c r="L63" s="16">
        <f t="shared" si="4"/>
        <v>0</v>
      </c>
      <c r="M63" s="23"/>
      <c r="N63" s="23"/>
      <c r="O63" s="16">
        <f t="shared" si="5"/>
        <v>0</v>
      </c>
      <c r="P63" s="16">
        <f t="shared" si="6"/>
        <v>0</v>
      </c>
      <c r="Q63" s="25"/>
      <c r="R63" s="16">
        <v>0</v>
      </c>
      <c r="S63" s="22">
        <f t="shared" si="7"/>
        <v>0</v>
      </c>
      <c r="T63" s="23"/>
    </row>
    <row r="64" spans="1:20" x14ac:dyDescent="0.2">
      <c r="A64" s="51">
        <f>+'SERVICIO FAENA'!A64</f>
        <v>62</v>
      </c>
      <c r="B64" s="32" t="str">
        <f>+'SERVICIO FAENA'!B64</f>
        <v>FRIGORIFICO DE LA PATAGONIA SRL</v>
      </c>
      <c r="C64" s="11">
        <f>+'SERVICIO FAENA'!C64</f>
        <v>1</v>
      </c>
      <c r="D64" s="80"/>
      <c r="E64" s="80"/>
      <c r="F64" s="33"/>
      <c r="G64" s="33"/>
      <c r="H64" s="16"/>
      <c r="I64" s="16"/>
      <c r="J64" s="16"/>
      <c r="K64" s="11"/>
      <c r="L64" s="16">
        <f t="shared" si="4"/>
        <v>0</v>
      </c>
      <c r="M64" s="11"/>
      <c r="N64" s="11"/>
      <c r="O64" s="16">
        <f t="shared" si="5"/>
        <v>0</v>
      </c>
      <c r="P64" s="16">
        <f t="shared" si="6"/>
        <v>0</v>
      </c>
      <c r="Q64" s="18"/>
      <c r="R64" s="16">
        <v>0</v>
      </c>
      <c r="S64" s="22">
        <f t="shared" si="7"/>
        <v>0</v>
      </c>
      <c r="T64" s="11"/>
    </row>
    <row r="65" spans="1:20" x14ac:dyDescent="0.2">
      <c r="A65" s="51">
        <f>+'SERVICIO FAENA'!A65</f>
        <v>63</v>
      </c>
      <c r="B65" s="32" t="str">
        <f>+'SERVICIO FAENA'!B65</f>
        <v>FERREYRA MARTIN</v>
      </c>
      <c r="C65" s="11">
        <f>+'SERVICIO FAENA'!C65</f>
        <v>8</v>
      </c>
      <c r="D65" s="81">
        <v>223.68</v>
      </c>
      <c r="E65" s="81"/>
      <c r="F65" s="26"/>
      <c r="G65" s="26"/>
      <c r="H65" s="42"/>
      <c r="I65" s="42"/>
      <c r="J65" s="42"/>
      <c r="K65" s="23"/>
      <c r="L65" s="16">
        <f t="shared" si="4"/>
        <v>0</v>
      </c>
      <c r="M65" s="23"/>
      <c r="N65" s="23"/>
      <c r="O65" s="16">
        <f t="shared" si="5"/>
        <v>0</v>
      </c>
      <c r="P65" s="16">
        <f t="shared" si="6"/>
        <v>0</v>
      </c>
      <c r="Q65" s="25"/>
      <c r="R65" s="16">
        <v>0</v>
      </c>
      <c r="S65" s="22">
        <f t="shared" si="7"/>
        <v>0</v>
      </c>
      <c r="T65" s="23"/>
    </row>
    <row r="66" spans="1:20" x14ac:dyDescent="0.2">
      <c r="A66" s="51">
        <f>+'SERVICIO FAENA'!A66</f>
        <v>64</v>
      </c>
      <c r="B66" s="32" t="str">
        <f>+'SERVICIO FAENA'!B66</f>
        <v>FERREYRA MARTIN</v>
      </c>
      <c r="C66" s="11">
        <f>+'SERVICIO FAENA'!C66</f>
        <v>3</v>
      </c>
      <c r="D66" s="80"/>
      <c r="E66" s="80"/>
      <c r="F66" s="33"/>
      <c r="G66" s="33"/>
      <c r="H66" s="16"/>
      <c r="I66" s="16"/>
      <c r="J66" s="16"/>
      <c r="K66" s="11"/>
      <c r="L66" s="16">
        <f t="shared" si="4"/>
        <v>0</v>
      </c>
      <c r="M66" s="11"/>
      <c r="N66" s="11"/>
      <c r="O66" s="16">
        <f t="shared" si="5"/>
        <v>0</v>
      </c>
      <c r="P66" s="16">
        <f t="shared" si="6"/>
        <v>0</v>
      </c>
      <c r="Q66" s="18"/>
      <c r="R66" s="16">
        <v>0</v>
      </c>
      <c r="S66" s="22">
        <f t="shared" si="7"/>
        <v>0</v>
      </c>
      <c r="T66" s="11"/>
    </row>
    <row r="67" spans="1:20" x14ac:dyDescent="0.2">
      <c r="A67" s="51">
        <f>+'SERVICIO FAENA'!A67</f>
        <v>65</v>
      </c>
      <c r="B67" s="32" t="str">
        <f>+'SERVICIO FAENA'!B67</f>
        <v>FERREYRA MARTIN</v>
      </c>
      <c r="C67" s="11">
        <f>+'SERVICIO FAENA'!C67</f>
        <v>4</v>
      </c>
      <c r="D67" s="81"/>
      <c r="E67" s="81"/>
      <c r="F67" s="26"/>
      <c r="G67" s="26"/>
      <c r="H67" s="42"/>
      <c r="I67" s="42"/>
      <c r="J67" s="42"/>
      <c r="K67" s="23"/>
      <c r="L67" s="16">
        <f t="shared" si="4"/>
        <v>0</v>
      </c>
      <c r="M67" s="23"/>
      <c r="N67" s="23"/>
      <c r="O67" s="16">
        <f t="shared" si="5"/>
        <v>0</v>
      </c>
      <c r="P67" s="16">
        <f t="shared" si="6"/>
        <v>0</v>
      </c>
      <c r="Q67" s="25"/>
      <c r="R67" s="16">
        <v>0</v>
      </c>
      <c r="S67" s="22">
        <f t="shared" si="7"/>
        <v>0</v>
      </c>
      <c r="T67" s="23"/>
    </row>
    <row r="68" spans="1:20" x14ac:dyDescent="0.2">
      <c r="A68" s="51">
        <f>+'SERVICIO FAENA'!A68</f>
        <v>66</v>
      </c>
      <c r="B68" s="32" t="str">
        <f>+'SERVICIO FAENA'!B68</f>
        <v>DOS DE FIERRO SA</v>
      </c>
      <c r="C68" s="11">
        <f>+'SERVICIO FAENA'!C68</f>
        <v>21</v>
      </c>
      <c r="D68" s="80">
        <v>334.9</v>
      </c>
      <c r="E68" s="80"/>
      <c r="F68" s="33"/>
      <c r="G68" s="33"/>
      <c r="H68" s="16"/>
      <c r="I68" s="16"/>
      <c r="J68" s="16"/>
      <c r="K68" s="11"/>
      <c r="L68" s="16">
        <f t="shared" si="4"/>
        <v>0</v>
      </c>
      <c r="M68" s="11"/>
      <c r="N68" s="11"/>
      <c r="O68" s="16">
        <f t="shared" si="5"/>
        <v>0</v>
      </c>
      <c r="P68" s="16">
        <f t="shared" si="6"/>
        <v>0</v>
      </c>
      <c r="Q68" s="18"/>
      <c r="R68" s="16">
        <v>0</v>
      </c>
      <c r="S68" s="22">
        <f t="shared" si="7"/>
        <v>0</v>
      </c>
      <c r="T68" s="11"/>
    </row>
    <row r="69" spans="1:20" x14ac:dyDescent="0.2">
      <c r="A69" s="51">
        <f>+'SERVICIO FAENA'!A69</f>
        <v>67</v>
      </c>
      <c r="B69" s="32" t="str">
        <f>+'SERVICIO FAENA'!B69</f>
        <v>GANADERA NORTE NEUQUINO</v>
      </c>
      <c r="C69" s="11">
        <f>+'SERVICIO FAENA'!C69</f>
        <v>45</v>
      </c>
      <c r="D69" s="81">
        <v>554.16</v>
      </c>
      <c r="E69" s="81"/>
      <c r="F69" s="26"/>
      <c r="G69" s="26"/>
      <c r="H69" s="42"/>
      <c r="I69" s="42"/>
      <c r="J69" s="42"/>
      <c r="K69" s="23"/>
      <c r="L69" s="16">
        <f t="shared" si="4"/>
        <v>0</v>
      </c>
      <c r="M69" s="23"/>
      <c r="N69" s="23"/>
      <c r="O69" s="16">
        <f t="shared" si="5"/>
        <v>0</v>
      </c>
      <c r="P69" s="16">
        <f t="shared" si="6"/>
        <v>0</v>
      </c>
      <c r="Q69" s="25"/>
      <c r="R69" s="16">
        <v>0</v>
      </c>
      <c r="S69" s="22">
        <f t="shared" si="7"/>
        <v>0</v>
      </c>
      <c r="T69" s="23"/>
    </row>
    <row r="70" spans="1:20" x14ac:dyDescent="0.2">
      <c r="A70" s="51">
        <f>+'SERVICIO FAENA'!A70</f>
        <v>68</v>
      </c>
      <c r="B70" s="32" t="str">
        <f>+'SERVICIO FAENA'!B70</f>
        <v>BOSQUES AMADOS SRL</v>
      </c>
      <c r="C70" s="11">
        <f>+'SERVICIO FAENA'!C70</f>
        <v>18</v>
      </c>
      <c r="D70" s="80">
        <v>287.94</v>
      </c>
      <c r="E70" s="80"/>
      <c r="F70" s="33"/>
      <c r="G70" s="33"/>
      <c r="H70" s="16"/>
      <c r="I70" s="16"/>
      <c r="J70" s="16"/>
      <c r="K70" s="11"/>
      <c r="L70" s="16">
        <f t="shared" si="4"/>
        <v>0</v>
      </c>
      <c r="M70" s="11"/>
      <c r="N70" s="11"/>
      <c r="O70" s="16">
        <f t="shared" si="5"/>
        <v>0</v>
      </c>
      <c r="P70" s="16">
        <f t="shared" si="6"/>
        <v>0</v>
      </c>
      <c r="Q70" s="18"/>
      <c r="R70" s="16">
        <v>0</v>
      </c>
      <c r="S70" s="22">
        <f t="shared" si="7"/>
        <v>0</v>
      </c>
      <c r="T70" s="11"/>
    </row>
    <row r="71" spans="1:20" x14ac:dyDescent="0.2">
      <c r="A71" s="51">
        <f>+'SERVICIO FAENA'!A71</f>
        <v>69</v>
      </c>
      <c r="B71" s="32" t="str">
        <f>+'SERVICIO FAENA'!B71</f>
        <v>MUCA SAS</v>
      </c>
      <c r="C71" s="11">
        <f>+'SERVICIO FAENA'!C71</f>
        <v>50</v>
      </c>
      <c r="D71" s="81">
        <v>982.86</v>
      </c>
      <c r="E71" s="81">
        <v>19.7</v>
      </c>
      <c r="F71" s="26"/>
      <c r="G71" s="26"/>
      <c r="H71" s="42"/>
      <c r="I71" s="42"/>
      <c r="J71" s="42"/>
      <c r="K71" s="23"/>
      <c r="L71" s="16">
        <f t="shared" si="4"/>
        <v>0</v>
      </c>
      <c r="M71" s="23"/>
      <c r="N71" s="23"/>
      <c r="O71" s="16">
        <f t="shared" si="5"/>
        <v>0</v>
      </c>
      <c r="P71" s="16">
        <f t="shared" si="6"/>
        <v>0</v>
      </c>
      <c r="Q71" s="25"/>
      <c r="R71" s="16">
        <v>0</v>
      </c>
      <c r="S71" s="22">
        <f t="shared" si="7"/>
        <v>0</v>
      </c>
      <c r="T71" s="23"/>
    </row>
    <row r="72" spans="1:20" x14ac:dyDescent="0.2">
      <c r="A72" s="51">
        <f>+'SERVICIO FAENA'!A72</f>
        <v>70</v>
      </c>
      <c r="B72" s="32" t="str">
        <f>+'SERVICIO FAENA'!B72</f>
        <v>FERREYRA ALBERTO</v>
      </c>
      <c r="C72" s="11">
        <f>+'SERVICIO FAENA'!C72</f>
        <v>5</v>
      </c>
      <c r="D72" s="80">
        <v>67.78</v>
      </c>
      <c r="E72" s="80"/>
      <c r="F72" s="33"/>
      <c r="G72" s="33"/>
      <c r="H72" s="16"/>
      <c r="I72" s="16"/>
      <c r="J72" s="16"/>
      <c r="K72" s="11"/>
      <c r="L72" s="16">
        <f t="shared" si="4"/>
        <v>0</v>
      </c>
      <c r="M72" s="11"/>
      <c r="N72" s="11"/>
      <c r="O72" s="16">
        <f t="shared" si="5"/>
        <v>0</v>
      </c>
      <c r="P72" s="16">
        <f t="shared" si="6"/>
        <v>0</v>
      </c>
      <c r="Q72" s="18"/>
      <c r="R72" s="16">
        <v>0</v>
      </c>
      <c r="S72" s="22">
        <f t="shared" si="7"/>
        <v>0</v>
      </c>
      <c r="T72" s="11"/>
    </row>
    <row r="73" spans="1:20" x14ac:dyDescent="0.2">
      <c r="A73" s="51">
        <f>+'SERVICIO FAENA'!A73</f>
        <v>71</v>
      </c>
      <c r="B73" s="32" t="str">
        <f>+'SERVICIO FAENA'!B73</f>
        <v>FRIGORIFICO DE LA PATAGONIA SRL</v>
      </c>
      <c r="C73" s="11">
        <f>+'SERVICIO FAENA'!C73</f>
        <v>25</v>
      </c>
      <c r="D73" s="81">
        <v>635.70000000000005</v>
      </c>
      <c r="E73" s="81">
        <v>28.68</v>
      </c>
      <c r="F73" s="26"/>
      <c r="G73" s="26"/>
      <c r="H73" s="42"/>
      <c r="I73" s="42"/>
      <c r="J73" s="42"/>
      <c r="K73" s="23"/>
      <c r="L73" s="16">
        <f t="shared" si="4"/>
        <v>0</v>
      </c>
      <c r="M73" s="23"/>
      <c r="N73" s="23"/>
      <c r="O73" s="16">
        <f t="shared" si="5"/>
        <v>0</v>
      </c>
      <c r="P73" s="16">
        <f t="shared" si="6"/>
        <v>0</v>
      </c>
      <c r="Q73" s="25"/>
      <c r="R73" s="16">
        <v>0</v>
      </c>
      <c r="S73" s="22">
        <f t="shared" si="7"/>
        <v>0</v>
      </c>
      <c r="T73" s="23"/>
    </row>
    <row r="74" spans="1:20" x14ac:dyDescent="0.2">
      <c r="A74" s="51">
        <f>+'SERVICIO FAENA'!A74</f>
        <v>72</v>
      </c>
      <c r="B74" s="32" t="str">
        <f>+'SERVICIO FAENA'!B74</f>
        <v>FERREYRA MARTIN</v>
      </c>
      <c r="C74" s="11">
        <f>+'SERVICIO FAENA'!C74</f>
        <v>20</v>
      </c>
      <c r="D74" s="80">
        <v>287.74</v>
      </c>
      <c r="E74" s="80"/>
      <c r="F74" s="33"/>
      <c r="G74" s="33"/>
      <c r="H74" s="16"/>
      <c r="I74" s="16"/>
      <c r="J74" s="16"/>
      <c r="K74" s="11"/>
      <c r="L74" s="16">
        <f t="shared" si="4"/>
        <v>0</v>
      </c>
      <c r="M74" s="11"/>
      <c r="N74" s="11"/>
      <c r="O74" s="16">
        <f t="shared" si="5"/>
        <v>0</v>
      </c>
      <c r="P74" s="16">
        <f t="shared" si="6"/>
        <v>0</v>
      </c>
      <c r="Q74" s="18"/>
      <c r="R74" s="16">
        <v>0</v>
      </c>
      <c r="S74" s="22">
        <f t="shared" si="7"/>
        <v>0</v>
      </c>
      <c r="T74" s="11"/>
    </row>
    <row r="75" spans="1:20" x14ac:dyDescent="0.2">
      <c r="A75" s="51">
        <f>+'SERVICIO FAENA'!A75</f>
        <v>73</v>
      </c>
      <c r="B75" s="32" t="str">
        <f>+'SERVICIO FAENA'!B75</f>
        <v>FRIGORIFICO DE LA PATAGONIA SRL</v>
      </c>
      <c r="C75" s="11">
        <f>+'SERVICIO FAENA'!C75</f>
        <v>15</v>
      </c>
      <c r="D75" s="81"/>
      <c r="E75" s="81"/>
      <c r="F75" s="26"/>
      <c r="G75" s="26"/>
      <c r="H75" s="42"/>
      <c r="I75" s="42"/>
      <c r="J75" s="42"/>
      <c r="K75" s="23"/>
      <c r="L75" s="16">
        <f t="shared" si="4"/>
        <v>0</v>
      </c>
      <c r="M75" s="23"/>
      <c r="N75" s="23"/>
      <c r="O75" s="16">
        <f t="shared" si="5"/>
        <v>0</v>
      </c>
      <c r="P75" s="16">
        <f t="shared" si="6"/>
        <v>0</v>
      </c>
      <c r="Q75" s="25"/>
      <c r="R75" s="16">
        <v>0</v>
      </c>
      <c r="S75" s="22">
        <f t="shared" si="7"/>
        <v>0</v>
      </c>
      <c r="T75" s="23"/>
    </row>
    <row r="76" spans="1:20" x14ac:dyDescent="0.2">
      <c r="A76" s="51">
        <f>+'SERVICIO FAENA'!A76</f>
        <v>74</v>
      </c>
      <c r="B76" s="32" t="str">
        <f>+'SERVICIO FAENA'!B76</f>
        <v>FERREYRA MARTIN</v>
      </c>
      <c r="C76" s="11">
        <f>+'SERVICIO FAENA'!C76</f>
        <v>10</v>
      </c>
      <c r="D76" s="80">
        <v>423.96</v>
      </c>
      <c r="E76" s="80">
        <v>5.32</v>
      </c>
      <c r="F76" s="33"/>
      <c r="G76" s="33"/>
      <c r="H76" s="16"/>
      <c r="I76" s="16"/>
      <c r="J76" s="16"/>
      <c r="K76" s="11"/>
      <c r="L76" s="16">
        <f t="shared" si="4"/>
        <v>0</v>
      </c>
      <c r="M76" s="11"/>
      <c r="N76" s="11"/>
      <c r="O76" s="16">
        <f t="shared" si="5"/>
        <v>0</v>
      </c>
      <c r="P76" s="16">
        <f t="shared" si="6"/>
        <v>0</v>
      </c>
      <c r="Q76" s="18"/>
      <c r="R76" s="16">
        <v>0</v>
      </c>
      <c r="S76" s="22">
        <f t="shared" si="7"/>
        <v>0</v>
      </c>
      <c r="T76" s="11"/>
    </row>
    <row r="77" spans="1:20" x14ac:dyDescent="0.2">
      <c r="A77" s="51">
        <f>+'SERVICIO FAENA'!A77</f>
        <v>75</v>
      </c>
      <c r="B77" s="32" t="str">
        <f>+'SERVICIO FAENA'!B77</f>
        <v>FERREYRA MARTIN</v>
      </c>
      <c r="C77" s="11">
        <f>+'SERVICIO FAENA'!C77</f>
        <v>5</v>
      </c>
      <c r="D77" s="81"/>
      <c r="E77" s="81"/>
      <c r="F77" s="26"/>
      <c r="G77" s="26"/>
      <c r="H77" s="42"/>
      <c r="I77" s="42"/>
      <c r="J77" s="42"/>
      <c r="K77" s="23"/>
      <c r="L77" s="16">
        <f t="shared" si="4"/>
        <v>0</v>
      </c>
      <c r="M77" s="23"/>
      <c r="N77" s="23"/>
      <c r="O77" s="16">
        <f t="shared" si="5"/>
        <v>0</v>
      </c>
      <c r="P77" s="16">
        <f t="shared" si="6"/>
        <v>0</v>
      </c>
      <c r="Q77" s="25"/>
      <c r="R77" s="16">
        <v>0</v>
      </c>
      <c r="S77" s="22">
        <f t="shared" si="7"/>
        <v>0</v>
      </c>
      <c r="T77" s="23"/>
    </row>
    <row r="78" spans="1:20" x14ac:dyDescent="0.2">
      <c r="A78" s="51">
        <f>+'SERVICIO FAENA'!A78</f>
        <v>76</v>
      </c>
      <c r="B78" s="32" t="str">
        <f>+'SERVICIO FAENA'!B78</f>
        <v>BOSQUES AMADOS SRL</v>
      </c>
      <c r="C78" s="11">
        <f>+'SERVICIO FAENA'!C78</f>
        <v>18</v>
      </c>
      <c r="D78" s="80">
        <v>292.06</v>
      </c>
      <c r="E78" s="80"/>
      <c r="F78" s="33"/>
      <c r="G78" s="33"/>
      <c r="H78" s="16"/>
      <c r="I78" s="16"/>
      <c r="J78" s="16"/>
      <c r="K78" s="11"/>
      <c r="L78" s="16">
        <f t="shared" si="4"/>
        <v>0</v>
      </c>
      <c r="M78" s="11"/>
      <c r="N78" s="11"/>
      <c r="O78" s="16">
        <f t="shared" si="5"/>
        <v>0</v>
      </c>
      <c r="P78" s="16">
        <f t="shared" si="6"/>
        <v>0</v>
      </c>
      <c r="Q78" s="18"/>
      <c r="R78" s="16">
        <v>0</v>
      </c>
      <c r="S78" s="22">
        <f t="shared" si="7"/>
        <v>0</v>
      </c>
      <c r="T78" s="11"/>
    </row>
    <row r="79" spans="1:20" x14ac:dyDescent="0.2">
      <c r="A79" s="51">
        <f>+'SERVICIO FAENA'!A79</f>
        <v>77</v>
      </c>
      <c r="B79" s="32" t="str">
        <f>+'SERVICIO FAENA'!B79</f>
        <v>FERREYRA MARTIN</v>
      </c>
      <c r="C79" s="11">
        <f>+'SERVICIO FAENA'!C79</f>
        <v>15</v>
      </c>
      <c r="D79" s="81"/>
      <c r="E79" s="81"/>
      <c r="F79" s="26"/>
      <c r="G79" s="26"/>
      <c r="H79" s="42"/>
      <c r="I79" s="42"/>
      <c r="J79" s="42"/>
      <c r="K79" s="23"/>
      <c r="L79" s="16">
        <f t="shared" si="4"/>
        <v>0</v>
      </c>
      <c r="M79" s="23"/>
      <c r="N79" s="23"/>
      <c r="O79" s="16">
        <f t="shared" si="5"/>
        <v>0</v>
      </c>
      <c r="P79" s="16">
        <f t="shared" si="6"/>
        <v>0</v>
      </c>
      <c r="Q79" s="25"/>
      <c r="R79" s="16">
        <v>0</v>
      </c>
      <c r="S79" s="22">
        <f t="shared" si="7"/>
        <v>0</v>
      </c>
      <c r="T79" s="23"/>
    </row>
    <row r="80" spans="1:20" x14ac:dyDescent="0.2">
      <c r="A80" s="51">
        <f>+'SERVICIO FAENA'!A80</f>
        <v>78</v>
      </c>
      <c r="B80" s="32" t="str">
        <f>+'SERVICIO FAENA'!B80</f>
        <v>FERREYRA ALBERTO</v>
      </c>
      <c r="C80" s="11">
        <f>+'SERVICIO FAENA'!C80</f>
        <v>8</v>
      </c>
      <c r="D80" s="80">
        <v>119.86</v>
      </c>
      <c r="E80" s="80"/>
      <c r="F80" s="33"/>
      <c r="G80" s="33"/>
      <c r="H80" s="16"/>
      <c r="I80" s="16"/>
      <c r="J80" s="16"/>
      <c r="K80" s="11"/>
      <c r="L80" s="16">
        <f t="shared" si="4"/>
        <v>0</v>
      </c>
      <c r="M80" s="11"/>
      <c r="N80" s="11"/>
      <c r="O80" s="16">
        <f t="shared" si="5"/>
        <v>0</v>
      </c>
      <c r="P80" s="16">
        <f t="shared" si="6"/>
        <v>0</v>
      </c>
      <c r="Q80" s="18"/>
      <c r="R80" s="16">
        <v>0</v>
      </c>
      <c r="S80" s="22">
        <f t="shared" si="7"/>
        <v>0</v>
      </c>
      <c r="T80" s="11"/>
    </row>
    <row r="81" spans="1:20" x14ac:dyDescent="0.2">
      <c r="A81" s="51">
        <f>+'SERVICIO FAENA'!A81</f>
        <v>79</v>
      </c>
      <c r="B81" s="32" t="str">
        <f>+'SERVICIO FAENA'!B81</f>
        <v>MUCA SAS</v>
      </c>
      <c r="C81" s="11">
        <f>+'SERVICIO FAENA'!C81</f>
        <v>20</v>
      </c>
      <c r="D81" s="81">
        <v>326.83999999999997</v>
      </c>
      <c r="E81" s="81">
        <v>41.86</v>
      </c>
      <c r="F81" s="26"/>
      <c r="G81" s="26"/>
      <c r="H81" s="42"/>
      <c r="I81" s="42"/>
      <c r="J81" s="42"/>
      <c r="K81" s="23"/>
      <c r="L81" s="16">
        <f t="shared" si="4"/>
        <v>0</v>
      </c>
      <c r="M81" s="23"/>
      <c r="N81" s="23"/>
      <c r="O81" s="16">
        <f t="shared" si="5"/>
        <v>0</v>
      </c>
      <c r="P81" s="16">
        <f t="shared" si="6"/>
        <v>0</v>
      </c>
      <c r="Q81" s="25"/>
      <c r="R81" s="16">
        <v>0</v>
      </c>
      <c r="S81" s="22">
        <f t="shared" si="7"/>
        <v>0</v>
      </c>
      <c r="T81" s="23"/>
    </row>
    <row r="82" spans="1:20" x14ac:dyDescent="0.2">
      <c r="A82" s="51">
        <f>+'SERVICIO FAENA'!A82</f>
        <v>80</v>
      </c>
      <c r="B82" s="32" t="str">
        <f>+'SERVICIO FAENA'!B82</f>
        <v>FRIGORIFICO DE LA PATAGONIA SRL</v>
      </c>
      <c r="C82" s="11">
        <f>+'SERVICIO FAENA'!C82</f>
        <v>21</v>
      </c>
      <c r="D82" s="80">
        <v>587.26</v>
      </c>
      <c r="E82" s="80"/>
      <c r="F82" s="33"/>
      <c r="G82" s="33"/>
      <c r="H82" s="16"/>
      <c r="I82" s="16"/>
      <c r="J82" s="16"/>
      <c r="K82" s="11"/>
      <c r="L82" s="16">
        <f t="shared" si="4"/>
        <v>0</v>
      </c>
      <c r="M82" s="11"/>
      <c r="N82" s="11"/>
      <c r="O82" s="16">
        <f t="shared" si="5"/>
        <v>0</v>
      </c>
      <c r="P82" s="16">
        <f t="shared" si="6"/>
        <v>0</v>
      </c>
      <c r="Q82" s="18"/>
      <c r="R82" s="16">
        <v>0</v>
      </c>
      <c r="S82" s="22">
        <f t="shared" si="7"/>
        <v>0</v>
      </c>
      <c r="T82" s="11"/>
    </row>
    <row r="83" spans="1:20" x14ac:dyDescent="0.2">
      <c r="A83" s="51">
        <f>+'SERVICIO FAENA'!A83</f>
        <v>81</v>
      </c>
      <c r="B83" s="32" t="str">
        <f>+'SERVICIO FAENA'!B83</f>
        <v>FRIGORIFICO DE LA PATAGONIA SRL</v>
      </c>
      <c r="C83" s="11">
        <f>+'SERVICIO FAENA'!C83</f>
        <v>15</v>
      </c>
      <c r="D83" s="81"/>
      <c r="E83" s="81"/>
      <c r="F83" s="26"/>
      <c r="G83" s="26"/>
      <c r="H83" s="42"/>
      <c r="I83" s="42"/>
      <c r="J83" s="42"/>
      <c r="K83" s="23"/>
      <c r="L83" s="16">
        <f t="shared" si="4"/>
        <v>0</v>
      </c>
      <c r="M83" s="23"/>
      <c r="N83" s="23"/>
      <c r="O83" s="16">
        <f t="shared" si="5"/>
        <v>0</v>
      </c>
      <c r="P83" s="16">
        <f t="shared" si="6"/>
        <v>0</v>
      </c>
      <c r="Q83" s="25"/>
      <c r="R83" s="16">
        <v>0</v>
      </c>
      <c r="S83" s="22">
        <f t="shared" si="7"/>
        <v>0</v>
      </c>
      <c r="T83" s="23"/>
    </row>
    <row r="84" spans="1:20" x14ac:dyDescent="0.2">
      <c r="A84" s="51">
        <f>+'SERVICIO FAENA'!A84</f>
        <v>82</v>
      </c>
      <c r="B84" s="32" t="str">
        <f>+'SERVICIO FAENA'!B84</f>
        <v>MAIZALES DE LA PATAGONIA SRL</v>
      </c>
      <c r="C84" s="11">
        <f>+'SERVICIO FAENA'!C84</f>
        <v>15</v>
      </c>
      <c r="D84" s="80">
        <v>444.5</v>
      </c>
      <c r="E84" s="80">
        <v>9.5</v>
      </c>
      <c r="F84" s="33"/>
      <c r="G84" s="33"/>
      <c r="H84" s="16"/>
      <c r="I84" s="16"/>
      <c r="J84" s="16"/>
      <c r="K84" s="11"/>
      <c r="L84" s="16">
        <f t="shared" si="4"/>
        <v>0</v>
      </c>
      <c r="M84" s="11"/>
      <c r="N84" s="11"/>
      <c r="O84" s="16">
        <f t="shared" si="5"/>
        <v>0</v>
      </c>
      <c r="P84" s="16">
        <f t="shared" si="6"/>
        <v>0</v>
      </c>
      <c r="Q84" s="18"/>
      <c r="R84" s="16">
        <v>0</v>
      </c>
      <c r="S84" s="22">
        <f t="shared" si="7"/>
        <v>0</v>
      </c>
      <c r="T84" s="11"/>
    </row>
    <row r="85" spans="1:20" x14ac:dyDescent="0.2">
      <c r="A85" s="51">
        <f>+'SERVICIO FAENA'!A85</f>
        <v>83</v>
      </c>
      <c r="B85" s="32" t="str">
        <f>+'SERVICIO FAENA'!B85</f>
        <v>MAIZALES DE LA PATAGONIA SRL</v>
      </c>
      <c r="C85" s="11">
        <f>+'SERVICIO FAENA'!C85</f>
        <v>15</v>
      </c>
      <c r="D85" s="81"/>
      <c r="E85" s="81"/>
      <c r="F85" s="26"/>
      <c r="G85" s="26"/>
      <c r="H85" s="42"/>
      <c r="I85" s="42"/>
      <c r="J85" s="42"/>
      <c r="K85" s="23"/>
      <c r="L85" s="16">
        <f t="shared" si="4"/>
        <v>0</v>
      </c>
      <c r="M85" s="23"/>
      <c r="N85" s="23"/>
      <c r="O85" s="16">
        <f t="shared" si="5"/>
        <v>0</v>
      </c>
      <c r="P85" s="16">
        <f t="shared" si="6"/>
        <v>0</v>
      </c>
      <c r="Q85" s="25"/>
      <c r="R85" s="16">
        <v>0</v>
      </c>
      <c r="S85" s="22">
        <f t="shared" si="7"/>
        <v>0</v>
      </c>
      <c r="T85" s="23"/>
    </row>
    <row r="86" spans="1:20" x14ac:dyDescent="0.2">
      <c r="A86" s="51">
        <f>+'SERVICIO FAENA'!A86</f>
        <v>84</v>
      </c>
      <c r="B86" s="32" t="str">
        <f>+'SERVICIO FAENA'!B86</f>
        <v>DOS DE FIERRO SA</v>
      </c>
      <c r="C86" s="11">
        <f>+'SERVICIO FAENA'!C86</f>
        <v>21</v>
      </c>
      <c r="D86" s="80">
        <v>345.62</v>
      </c>
      <c r="E86" s="80"/>
      <c r="F86" s="33"/>
      <c r="G86" s="33"/>
      <c r="H86" s="16"/>
      <c r="I86" s="16"/>
      <c r="J86" s="16"/>
      <c r="K86" s="11"/>
      <c r="L86" s="16">
        <f t="shared" si="4"/>
        <v>0</v>
      </c>
      <c r="M86" s="11"/>
      <c r="N86" s="11"/>
      <c r="O86" s="16">
        <f t="shared" si="5"/>
        <v>0</v>
      </c>
      <c r="P86" s="16">
        <f t="shared" si="6"/>
        <v>0</v>
      </c>
      <c r="Q86" s="18"/>
      <c r="R86" s="16">
        <v>0</v>
      </c>
      <c r="S86" s="22">
        <f t="shared" si="7"/>
        <v>0</v>
      </c>
      <c r="T86" s="11"/>
    </row>
    <row r="87" spans="1:20" x14ac:dyDescent="0.2">
      <c r="A87" s="51">
        <f>+'SERVICIO FAENA'!A87</f>
        <v>85</v>
      </c>
      <c r="B87" s="32" t="str">
        <f>+'SERVICIO FAENA'!B87</f>
        <v>FERREYRA MARTIN</v>
      </c>
      <c r="C87" s="11">
        <f>+'SERVICIO FAENA'!C87</f>
        <v>18</v>
      </c>
      <c r="D87" s="81">
        <v>279.8</v>
      </c>
      <c r="E87" s="81"/>
      <c r="F87" s="26"/>
      <c r="G87" s="26"/>
      <c r="H87" s="42"/>
      <c r="I87" s="42"/>
      <c r="J87" s="42"/>
      <c r="K87" s="23"/>
      <c r="L87" s="16">
        <f t="shared" si="4"/>
        <v>0</v>
      </c>
      <c r="M87" s="23"/>
      <c r="N87" s="23"/>
      <c r="O87" s="16">
        <f t="shared" si="5"/>
        <v>0</v>
      </c>
      <c r="P87" s="16">
        <f t="shared" si="6"/>
        <v>0</v>
      </c>
      <c r="Q87" s="25"/>
      <c r="R87" s="16">
        <v>0</v>
      </c>
      <c r="S87" s="22">
        <f t="shared" si="7"/>
        <v>0</v>
      </c>
      <c r="T87" s="23"/>
    </row>
    <row r="88" spans="1:20" x14ac:dyDescent="0.2">
      <c r="A88" s="51">
        <f>+'SERVICIO FAENA'!A88</f>
        <v>86</v>
      </c>
      <c r="B88" s="32" t="str">
        <f>+'SERVICIO FAENA'!B88</f>
        <v>MUCA SAS</v>
      </c>
      <c r="C88" s="11">
        <f>+'SERVICIO FAENA'!C88</f>
        <v>50</v>
      </c>
      <c r="D88" s="80">
        <v>1008.89</v>
      </c>
      <c r="E88" s="80">
        <v>7.18</v>
      </c>
      <c r="F88" s="33"/>
      <c r="G88" s="33"/>
      <c r="H88" s="16"/>
      <c r="I88" s="16"/>
      <c r="J88" s="16"/>
      <c r="K88" s="11"/>
      <c r="L88" s="16">
        <f t="shared" si="4"/>
        <v>0</v>
      </c>
      <c r="M88" s="11"/>
      <c r="N88" s="11"/>
      <c r="O88" s="16">
        <f t="shared" si="5"/>
        <v>0</v>
      </c>
      <c r="P88" s="16">
        <f t="shared" si="6"/>
        <v>0</v>
      </c>
      <c r="Q88" s="18"/>
      <c r="R88" s="16">
        <v>0</v>
      </c>
      <c r="S88" s="22">
        <f t="shared" si="7"/>
        <v>0</v>
      </c>
      <c r="T88" s="11"/>
    </row>
    <row r="89" spans="1:20" x14ac:dyDescent="0.2">
      <c r="A89" s="51">
        <f>+'SERVICIO FAENA'!A89</f>
        <v>87</v>
      </c>
      <c r="B89" s="32" t="str">
        <f>+'SERVICIO FAENA'!B89</f>
        <v>BOSQUES AMADOS SRL</v>
      </c>
      <c r="C89" s="11">
        <f>+'SERVICIO FAENA'!C89</f>
        <v>18</v>
      </c>
      <c r="D89" s="81">
        <v>285.38</v>
      </c>
      <c r="E89" s="81"/>
      <c r="F89" s="26"/>
      <c r="G89" s="26"/>
      <c r="H89" s="42"/>
      <c r="I89" s="42"/>
      <c r="J89" s="42"/>
      <c r="K89" s="23"/>
      <c r="L89" s="16">
        <f t="shared" si="4"/>
        <v>0</v>
      </c>
      <c r="M89" s="23"/>
      <c r="N89" s="23"/>
      <c r="O89" s="16">
        <f t="shared" si="5"/>
        <v>0</v>
      </c>
      <c r="P89" s="16">
        <f t="shared" si="6"/>
        <v>0</v>
      </c>
      <c r="Q89" s="25"/>
      <c r="R89" s="16">
        <v>0</v>
      </c>
      <c r="S89" s="22">
        <f t="shared" si="7"/>
        <v>0</v>
      </c>
      <c r="T89" s="23"/>
    </row>
    <row r="90" spans="1:20" x14ac:dyDescent="0.2">
      <c r="A90" s="51">
        <f>+'SERVICIO FAENA'!A90</f>
        <v>88</v>
      </c>
      <c r="B90" s="32" t="str">
        <f>+'SERVICIO FAENA'!B90</f>
        <v>FERREYRA ALBERTO</v>
      </c>
      <c r="C90" s="11">
        <f>+'SERVICIO FAENA'!C90</f>
        <v>8</v>
      </c>
      <c r="D90" s="80">
        <v>110.46</v>
      </c>
      <c r="E90" s="80"/>
      <c r="F90" s="33"/>
      <c r="G90" s="33"/>
      <c r="H90" s="16"/>
      <c r="I90" s="16"/>
      <c r="J90" s="16"/>
      <c r="K90" s="11"/>
      <c r="L90" s="16">
        <f t="shared" si="4"/>
        <v>0</v>
      </c>
      <c r="M90" s="11"/>
      <c r="N90" s="11"/>
      <c r="O90" s="16">
        <f t="shared" si="5"/>
        <v>0</v>
      </c>
      <c r="P90" s="16">
        <f t="shared" si="6"/>
        <v>0</v>
      </c>
      <c r="Q90" s="18"/>
      <c r="R90" s="16">
        <v>0</v>
      </c>
      <c r="S90" s="22">
        <f t="shared" si="7"/>
        <v>0</v>
      </c>
      <c r="T90" s="11"/>
    </row>
    <row r="91" spans="1:20" x14ac:dyDescent="0.2">
      <c r="A91" s="51">
        <f>+'SERVICIO FAENA'!A91</f>
        <v>89</v>
      </c>
      <c r="B91" s="32" t="str">
        <f>+'SERVICIO FAENA'!B91</f>
        <v>FERREYRA MARTIN</v>
      </c>
      <c r="C91" s="11">
        <f>+'SERVICIO FAENA'!C91</f>
        <v>7</v>
      </c>
      <c r="D91" s="81">
        <v>285.72000000000003</v>
      </c>
      <c r="E91" s="81">
        <v>6.1</v>
      </c>
      <c r="F91" s="26"/>
      <c r="G91" s="26"/>
      <c r="H91" s="42"/>
      <c r="I91" s="42"/>
      <c r="J91" s="42"/>
      <c r="K91" s="23"/>
      <c r="L91" s="16">
        <f t="shared" si="4"/>
        <v>0</v>
      </c>
      <c r="M91" s="23"/>
      <c r="N91" s="23"/>
      <c r="O91" s="16">
        <f t="shared" si="5"/>
        <v>0</v>
      </c>
      <c r="P91" s="16">
        <f t="shared" si="6"/>
        <v>0</v>
      </c>
      <c r="Q91" s="25"/>
      <c r="R91" s="16">
        <v>0</v>
      </c>
      <c r="S91" s="22">
        <f t="shared" si="7"/>
        <v>0</v>
      </c>
      <c r="T91" s="23"/>
    </row>
    <row r="92" spans="1:20" x14ac:dyDescent="0.2">
      <c r="A92" s="51">
        <f>+'SERVICIO FAENA'!A92</f>
        <v>90</v>
      </c>
      <c r="B92" s="32" t="str">
        <f>+'SERVICIO FAENA'!B92</f>
        <v>FERREYRA MARTIN</v>
      </c>
      <c r="C92" s="11">
        <f>+'SERVICIO FAENA'!C92</f>
        <v>11</v>
      </c>
      <c r="D92" s="80"/>
      <c r="E92" s="80"/>
      <c r="F92" s="33"/>
      <c r="G92" s="33"/>
      <c r="H92" s="16"/>
      <c r="I92" s="16"/>
      <c r="J92" s="16"/>
      <c r="K92" s="11"/>
      <c r="L92" s="16">
        <f t="shared" si="4"/>
        <v>0</v>
      </c>
      <c r="M92" s="11"/>
      <c r="N92" s="11"/>
      <c r="O92" s="16">
        <f t="shared" si="5"/>
        <v>0</v>
      </c>
      <c r="P92" s="16">
        <f t="shared" si="6"/>
        <v>0</v>
      </c>
      <c r="Q92" s="18"/>
      <c r="R92" s="16">
        <v>0</v>
      </c>
      <c r="S92" s="22">
        <f t="shared" si="7"/>
        <v>0</v>
      </c>
      <c r="T92" s="11"/>
    </row>
    <row r="93" spans="1:20" x14ac:dyDescent="0.2">
      <c r="A93" s="51">
        <f>+'SERVICIO FAENA'!A93</f>
        <v>91</v>
      </c>
      <c r="B93" s="32" t="str">
        <f>+'SERVICIO FAENA'!B93</f>
        <v>FRIGORIFICO DE LA PATAGONIA SRL</v>
      </c>
      <c r="C93" s="11">
        <f>+'SERVICIO FAENA'!C93</f>
        <v>15</v>
      </c>
      <c r="D93" s="81">
        <v>772.12</v>
      </c>
      <c r="E93" s="81"/>
      <c r="F93" s="26"/>
      <c r="G93" s="26"/>
      <c r="H93" s="42"/>
      <c r="I93" s="42"/>
      <c r="J93" s="42"/>
      <c r="K93" s="23"/>
      <c r="L93" s="16">
        <f t="shared" si="4"/>
        <v>0</v>
      </c>
      <c r="M93" s="23"/>
      <c r="N93" s="23"/>
      <c r="O93" s="16">
        <f t="shared" si="5"/>
        <v>0</v>
      </c>
      <c r="P93" s="16">
        <f t="shared" si="6"/>
        <v>0</v>
      </c>
      <c r="Q93" s="25"/>
      <c r="R93" s="16">
        <v>0</v>
      </c>
      <c r="S93" s="22">
        <f t="shared" si="7"/>
        <v>0</v>
      </c>
      <c r="T93" s="23"/>
    </row>
    <row r="94" spans="1:20" x14ac:dyDescent="0.2">
      <c r="A94" s="51">
        <f>+'SERVICIO FAENA'!A94</f>
        <v>92</v>
      </c>
      <c r="B94" s="32" t="str">
        <f>+'SERVICIO FAENA'!B94</f>
        <v>MAIZALES DE LA PATAGONIA SRL</v>
      </c>
      <c r="C94" s="11">
        <f>+'SERVICIO FAENA'!C94</f>
        <v>10</v>
      </c>
      <c r="D94" s="80"/>
      <c r="E94" s="80"/>
      <c r="F94" s="33"/>
      <c r="G94" s="33"/>
      <c r="H94" s="16"/>
      <c r="I94" s="16"/>
      <c r="J94" s="16"/>
      <c r="K94" s="11"/>
      <c r="L94" s="16">
        <f t="shared" si="4"/>
        <v>0</v>
      </c>
      <c r="M94" s="11"/>
      <c r="N94" s="11"/>
      <c r="O94" s="16">
        <f t="shared" si="5"/>
        <v>0</v>
      </c>
      <c r="P94" s="16">
        <f t="shared" si="6"/>
        <v>0</v>
      </c>
      <c r="Q94" s="18"/>
      <c r="R94" s="16">
        <v>0</v>
      </c>
      <c r="S94" s="22">
        <f t="shared" si="7"/>
        <v>0</v>
      </c>
      <c r="T94" s="11"/>
    </row>
    <row r="95" spans="1:20" x14ac:dyDescent="0.2">
      <c r="A95" s="51">
        <f>+'SERVICIO FAENA'!A95</f>
        <v>93</v>
      </c>
      <c r="B95" s="32" t="str">
        <f>+'SERVICIO FAENA'!B95</f>
        <v>MAIZALES DE LA PATAGONIA SRL</v>
      </c>
      <c r="C95" s="11">
        <f>+'SERVICIO FAENA'!C95</f>
        <v>20</v>
      </c>
      <c r="D95" s="81">
        <v>490.3</v>
      </c>
      <c r="E95" s="81"/>
      <c r="F95" s="26"/>
      <c r="G95" s="26"/>
      <c r="H95" s="42"/>
      <c r="I95" s="42"/>
      <c r="J95" s="42"/>
      <c r="K95" s="23"/>
      <c r="L95" s="16">
        <f t="shared" si="4"/>
        <v>0</v>
      </c>
      <c r="M95" s="23"/>
      <c r="N95" s="23"/>
      <c r="O95" s="16">
        <f t="shared" si="5"/>
        <v>0</v>
      </c>
      <c r="P95" s="16">
        <f t="shared" si="6"/>
        <v>0</v>
      </c>
      <c r="Q95" s="25"/>
      <c r="R95" s="16">
        <v>0</v>
      </c>
      <c r="S95" s="22">
        <f t="shared" si="7"/>
        <v>0</v>
      </c>
      <c r="T95" s="23"/>
    </row>
    <row r="96" spans="1:20" x14ac:dyDescent="0.2">
      <c r="A96" s="51">
        <f>+'SERVICIO FAENA'!A96</f>
        <v>94</v>
      </c>
      <c r="B96" s="32" t="str">
        <f>+'SERVICIO FAENA'!B96</f>
        <v>FRIGORIFICO DE LA PATAGONIA SRL</v>
      </c>
      <c r="C96" s="11">
        <f>+'SERVICIO FAENA'!C96</f>
        <v>8</v>
      </c>
      <c r="D96" s="80"/>
      <c r="E96" s="80"/>
      <c r="F96" s="33"/>
      <c r="G96" s="33"/>
      <c r="H96" s="16"/>
      <c r="I96" s="16"/>
      <c r="J96" s="16"/>
      <c r="K96" s="11"/>
      <c r="L96" s="16">
        <f t="shared" si="4"/>
        <v>0</v>
      </c>
      <c r="M96" s="11"/>
      <c r="N96" s="11"/>
      <c r="O96" s="16">
        <f t="shared" si="5"/>
        <v>0</v>
      </c>
      <c r="P96" s="16">
        <f t="shared" si="6"/>
        <v>0</v>
      </c>
      <c r="Q96" s="18"/>
      <c r="R96" s="16">
        <v>0</v>
      </c>
      <c r="S96" s="22">
        <f t="shared" si="7"/>
        <v>0</v>
      </c>
      <c r="T96" s="11"/>
    </row>
    <row r="97" spans="1:20" x14ac:dyDescent="0.2">
      <c r="A97" s="51">
        <f>+'SERVICIO FAENA'!A97</f>
        <v>95</v>
      </c>
      <c r="B97" s="32" t="str">
        <f>+'SERVICIO FAENA'!B97</f>
        <v>MUCA SAS</v>
      </c>
      <c r="C97" s="11">
        <f>+'SERVICIO FAENA'!C97</f>
        <v>15</v>
      </c>
      <c r="D97" s="81">
        <v>267.86</v>
      </c>
      <c r="E97" s="81"/>
      <c r="F97" s="26"/>
      <c r="G97" s="26"/>
      <c r="H97" s="42"/>
      <c r="I97" s="42"/>
      <c r="J97" s="42"/>
      <c r="K97" s="23"/>
      <c r="L97" s="16">
        <f t="shared" si="4"/>
        <v>0</v>
      </c>
      <c r="M97" s="23"/>
      <c r="N97" s="23"/>
      <c r="O97" s="16">
        <f t="shared" si="5"/>
        <v>0</v>
      </c>
      <c r="P97" s="16">
        <f t="shared" si="6"/>
        <v>0</v>
      </c>
      <c r="Q97" s="25"/>
      <c r="R97" s="16">
        <v>0</v>
      </c>
      <c r="S97" s="22">
        <f t="shared" si="7"/>
        <v>0</v>
      </c>
      <c r="T97" s="23"/>
    </row>
    <row r="98" spans="1:20" x14ac:dyDescent="0.2">
      <c r="A98" s="51">
        <f>+'SERVICIO FAENA'!A98</f>
        <v>96</v>
      </c>
      <c r="B98" s="32" t="str">
        <f>+'SERVICIO FAENA'!B98</f>
        <v>FRIGORIFICO DE LA PATAGONIA SRL</v>
      </c>
      <c r="C98" s="11">
        <f>+'SERVICIO FAENA'!C98</f>
        <v>22</v>
      </c>
      <c r="D98" s="80"/>
      <c r="E98" s="80"/>
      <c r="F98" s="33"/>
      <c r="G98" s="33"/>
      <c r="H98" s="16"/>
      <c r="I98" s="16"/>
      <c r="J98" s="16"/>
      <c r="K98" s="11"/>
      <c r="L98" s="16">
        <f t="shared" si="4"/>
        <v>0</v>
      </c>
      <c r="M98" s="11"/>
      <c r="N98" s="11"/>
      <c r="O98" s="16">
        <f t="shared" si="5"/>
        <v>0</v>
      </c>
      <c r="P98" s="16">
        <f t="shared" si="6"/>
        <v>0</v>
      </c>
      <c r="Q98" s="18"/>
      <c r="R98" s="16">
        <v>0</v>
      </c>
      <c r="S98" s="22">
        <f t="shared" si="7"/>
        <v>0</v>
      </c>
      <c r="T98" s="11"/>
    </row>
    <row r="99" spans="1:20" x14ac:dyDescent="0.2">
      <c r="A99" s="51">
        <f>+'SERVICIO FAENA'!A99</f>
        <v>97</v>
      </c>
      <c r="B99" s="32" t="str">
        <f>+'SERVICIO FAENA'!B99</f>
        <v>FERREYRA MARTIN</v>
      </c>
      <c r="C99" s="11">
        <f>+'SERVICIO FAENA'!C99</f>
        <v>18</v>
      </c>
      <c r="D99" s="81">
        <v>245.62</v>
      </c>
      <c r="E99" s="81"/>
      <c r="F99" s="26"/>
      <c r="G99" s="26"/>
      <c r="H99" s="42"/>
      <c r="I99" s="42"/>
      <c r="J99" s="42"/>
      <c r="K99" s="23"/>
      <c r="L99" s="16">
        <f t="shared" si="4"/>
        <v>0</v>
      </c>
      <c r="M99" s="23"/>
      <c r="N99" s="23"/>
      <c r="O99" s="16">
        <f t="shared" si="5"/>
        <v>0</v>
      </c>
      <c r="P99" s="16">
        <f t="shared" si="6"/>
        <v>0</v>
      </c>
      <c r="Q99" s="25"/>
      <c r="R99" s="16">
        <v>0</v>
      </c>
      <c r="S99" s="22">
        <f t="shared" si="7"/>
        <v>0</v>
      </c>
      <c r="T99" s="23"/>
    </row>
    <row r="100" spans="1:20" x14ac:dyDescent="0.2">
      <c r="A100" s="51">
        <f>+'SERVICIO FAENA'!A100</f>
        <v>98</v>
      </c>
      <c r="B100" s="32" t="str">
        <f>+'SERVICIO FAENA'!B100</f>
        <v>GANADERA NORTE NEUQUINO</v>
      </c>
      <c r="C100" s="11">
        <f>+'SERVICIO FAENA'!C100</f>
        <v>44</v>
      </c>
      <c r="D100" s="80">
        <v>572.76</v>
      </c>
      <c r="E100" s="80">
        <v>5.64</v>
      </c>
      <c r="F100" s="33"/>
      <c r="G100" s="33"/>
      <c r="H100" s="16"/>
      <c r="I100" s="16"/>
      <c r="J100" s="16"/>
      <c r="K100" s="11"/>
      <c r="L100" s="16">
        <f t="shared" si="4"/>
        <v>0</v>
      </c>
      <c r="M100" s="11"/>
      <c r="N100" s="11"/>
      <c r="O100" s="16">
        <f t="shared" si="5"/>
        <v>0</v>
      </c>
      <c r="P100" s="16">
        <f t="shared" si="6"/>
        <v>0</v>
      </c>
      <c r="Q100" s="18"/>
      <c r="R100" s="16">
        <v>0</v>
      </c>
      <c r="S100" s="22">
        <f t="shared" si="7"/>
        <v>0</v>
      </c>
      <c r="T100" s="11"/>
    </row>
    <row r="101" spans="1:20" x14ac:dyDescent="0.2">
      <c r="A101" s="51">
        <f>+'SERVICIO FAENA'!A101</f>
        <v>99</v>
      </c>
      <c r="B101" s="32" t="str">
        <f>+'SERVICIO FAENA'!B101</f>
        <v>DOS DE FIERRO SA</v>
      </c>
      <c r="C101" s="11">
        <f>+'SERVICIO FAENA'!C101</f>
        <v>21</v>
      </c>
      <c r="D101" s="81">
        <v>355.44</v>
      </c>
      <c r="E101" s="81"/>
      <c r="F101" s="26"/>
      <c r="G101" s="26"/>
      <c r="H101" s="42"/>
      <c r="I101" s="42"/>
      <c r="J101" s="42"/>
      <c r="K101" s="23"/>
      <c r="L101" s="16">
        <f t="shared" si="4"/>
        <v>0</v>
      </c>
      <c r="M101" s="23"/>
      <c r="N101" s="23"/>
      <c r="O101" s="16">
        <f t="shared" si="5"/>
        <v>0</v>
      </c>
      <c r="P101" s="16">
        <f t="shared" si="6"/>
        <v>0</v>
      </c>
      <c r="Q101" s="25"/>
      <c r="R101" s="16">
        <v>0</v>
      </c>
      <c r="S101" s="22">
        <f t="shared" si="7"/>
        <v>0</v>
      </c>
      <c r="T101" s="23"/>
    </row>
    <row r="102" spans="1:20" x14ac:dyDescent="0.2">
      <c r="A102" s="51">
        <f>+'SERVICIO FAENA'!A102</f>
        <v>100</v>
      </c>
      <c r="B102" s="32" t="str">
        <f>+'SERVICIO FAENA'!B102</f>
        <v>BOSQUES AMADOS SRL</v>
      </c>
      <c r="C102" s="11">
        <f>+'SERVICIO FAENA'!C102</f>
        <v>18</v>
      </c>
      <c r="D102" s="80">
        <v>262.04000000000002</v>
      </c>
      <c r="E102" s="80">
        <v>2.0299999999999998</v>
      </c>
      <c r="F102" s="33"/>
      <c r="G102" s="33"/>
      <c r="H102" s="16"/>
      <c r="I102" s="16"/>
      <c r="J102" s="16"/>
      <c r="K102" s="11"/>
      <c r="L102" s="16">
        <f t="shared" si="4"/>
        <v>0</v>
      </c>
      <c r="M102" s="11"/>
      <c r="N102" s="11"/>
      <c r="O102" s="16">
        <f t="shared" si="5"/>
        <v>0</v>
      </c>
      <c r="P102" s="16">
        <f t="shared" si="6"/>
        <v>0</v>
      </c>
      <c r="Q102" s="18"/>
      <c r="R102" s="16">
        <v>0</v>
      </c>
      <c r="S102" s="22">
        <f t="shared" si="7"/>
        <v>0</v>
      </c>
      <c r="T102" s="11"/>
    </row>
    <row r="103" spans="1:20" x14ac:dyDescent="0.2">
      <c r="A103" s="51">
        <f>+'SERVICIO FAENA'!A103</f>
        <v>101</v>
      </c>
      <c r="B103" s="32" t="str">
        <f>+'SERVICIO FAENA'!B103</f>
        <v>FERREYRA ALBERTO</v>
      </c>
      <c r="C103" s="11">
        <f>+'SERVICIO FAENA'!C103</f>
        <v>8</v>
      </c>
      <c r="D103" s="81"/>
      <c r="E103" s="81"/>
      <c r="F103" s="26"/>
      <c r="G103" s="26"/>
      <c r="H103" s="42"/>
      <c r="I103" s="42"/>
      <c r="J103" s="42"/>
      <c r="K103" s="23"/>
      <c r="L103" s="16">
        <f t="shared" si="4"/>
        <v>0</v>
      </c>
      <c r="M103" s="23"/>
      <c r="N103" s="23"/>
      <c r="O103" s="16">
        <f t="shared" si="5"/>
        <v>0</v>
      </c>
      <c r="P103" s="16">
        <f t="shared" si="6"/>
        <v>0</v>
      </c>
      <c r="Q103" s="25"/>
      <c r="R103" s="16">
        <v>0</v>
      </c>
      <c r="S103" s="22">
        <f t="shared" si="7"/>
        <v>0</v>
      </c>
      <c r="T103" s="23"/>
    </row>
    <row r="104" spans="1:20" x14ac:dyDescent="0.2">
      <c r="A104" s="51">
        <f>+'SERVICIO FAENA'!A104</f>
        <v>102</v>
      </c>
      <c r="B104" s="32" t="str">
        <f>+'SERVICIO FAENA'!B104</f>
        <v>FERREYRA MARTIN</v>
      </c>
      <c r="C104" s="11">
        <f>+'SERVICIO FAENA'!C104</f>
        <v>12</v>
      </c>
      <c r="D104" s="80"/>
      <c r="E104" s="80"/>
      <c r="F104" s="33"/>
      <c r="G104" s="33"/>
      <c r="H104" s="16"/>
      <c r="I104" s="16"/>
      <c r="J104" s="16"/>
      <c r="K104" s="11"/>
      <c r="L104" s="16">
        <f t="shared" si="4"/>
        <v>0</v>
      </c>
      <c r="M104" s="11"/>
      <c r="N104" s="11"/>
      <c r="O104" s="16">
        <f t="shared" si="5"/>
        <v>0</v>
      </c>
      <c r="P104" s="16">
        <f t="shared" si="6"/>
        <v>0</v>
      </c>
      <c r="Q104" s="18"/>
      <c r="R104" s="16">
        <v>0</v>
      </c>
      <c r="S104" s="22">
        <f t="shared" si="7"/>
        <v>0</v>
      </c>
      <c r="T104" s="11"/>
    </row>
    <row r="105" spans="1:20" x14ac:dyDescent="0.2">
      <c r="A105" s="51">
        <f>+'SERVICIO FAENA'!A105</f>
        <v>103</v>
      </c>
      <c r="B105" s="32" t="str">
        <f>+'SERVICIO FAENA'!B105</f>
        <v>FERREYRA MARTIN</v>
      </c>
      <c r="C105" s="11">
        <f>+'SERVICIO FAENA'!C105</f>
        <v>10</v>
      </c>
      <c r="D105" s="81"/>
      <c r="E105" s="81"/>
      <c r="F105" s="26"/>
      <c r="G105" s="26"/>
      <c r="H105" s="42"/>
      <c r="I105" s="42"/>
      <c r="J105" s="42"/>
      <c r="K105" s="23"/>
      <c r="L105" s="16">
        <f t="shared" si="4"/>
        <v>0</v>
      </c>
      <c r="M105" s="23"/>
      <c r="N105" s="23"/>
      <c r="O105" s="16">
        <f t="shared" si="5"/>
        <v>0</v>
      </c>
      <c r="P105" s="16">
        <f t="shared" si="6"/>
        <v>0</v>
      </c>
      <c r="Q105" s="25"/>
      <c r="R105" s="16">
        <v>0</v>
      </c>
      <c r="S105" s="22">
        <f t="shared" si="7"/>
        <v>0</v>
      </c>
      <c r="T105" s="23"/>
    </row>
    <row r="106" spans="1:20" x14ac:dyDescent="0.2">
      <c r="A106" s="51">
        <f>+'SERVICIO FAENA'!A106</f>
        <v>104</v>
      </c>
      <c r="B106" s="32" t="str">
        <f>+'SERVICIO FAENA'!B106</f>
        <v>MUCA SAS</v>
      </c>
      <c r="C106" s="11">
        <f>+'SERVICIO FAENA'!C106</f>
        <v>20</v>
      </c>
      <c r="D106" s="80"/>
      <c r="E106" s="80"/>
      <c r="F106" s="33"/>
      <c r="G106" s="33"/>
      <c r="H106" s="16"/>
      <c r="I106" s="16"/>
      <c r="J106" s="16"/>
      <c r="K106" s="11"/>
      <c r="L106" s="16">
        <f t="shared" si="4"/>
        <v>0</v>
      </c>
      <c r="M106" s="11"/>
      <c r="N106" s="11"/>
      <c r="O106" s="16">
        <f t="shared" si="5"/>
        <v>0</v>
      </c>
      <c r="P106" s="16">
        <f t="shared" si="6"/>
        <v>0</v>
      </c>
      <c r="Q106" s="18"/>
      <c r="R106" s="16">
        <v>0</v>
      </c>
      <c r="S106" s="22">
        <f t="shared" si="7"/>
        <v>0</v>
      </c>
      <c r="T106" s="11"/>
    </row>
    <row r="107" spans="1:20" x14ac:dyDescent="0.2">
      <c r="A107" s="51">
        <f>+'SERVICIO FAENA'!A107</f>
        <v>0</v>
      </c>
      <c r="B107" s="32">
        <f>+'SERVICIO FAENA'!B107</f>
        <v>0</v>
      </c>
      <c r="C107" s="11">
        <f>+'SERVICIO FAENA'!C107</f>
        <v>0</v>
      </c>
      <c r="D107" s="81"/>
      <c r="E107" s="81"/>
      <c r="F107" s="26"/>
      <c r="G107" s="26"/>
      <c r="H107" s="42"/>
      <c r="I107" s="42"/>
      <c r="J107" s="42"/>
      <c r="K107" s="23"/>
      <c r="L107" s="16">
        <f t="shared" si="4"/>
        <v>0</v>
      </c>
      <c r="M107" s="23"/>
      <c r="N107" s="23"/>
      <c r="O107" s="16">
        <f t="shared" si="5"/>
        <v>0</v>
      </c>
      <c r="P107" s="16">
        <f t="shared" si="6"/>
        <v>0</v>
      </c>
      <c r="Q107" s="25"/>
      <c r="R107" s="16">
        <v>0</v>
      </c>
      <c r="S107" s="22">
        <f t="shared" si="7"/>
        <v>0</v>
      </c>
      <c r="T107" s="23"/>
    </row>
    <row r="108" spans="1:20" x14ac:dyDescent="0.2">
      <c r="A108" s="51">
        <f>+'SERVICIO FAENA'!A108</f>
        <v>0</v>
      </c>
      <c r="B108" s="32">
        <f>+'SERVICIO FAENA'!B108</f>
        <v>0</v>
      </c>
      <c r="C108" s="11">
        <f>+'SERVICIO FAENA'!C108</f>
        <v>0</v>
      </c>
      <c r="D108" s="80"/>
      <c r="E108" s="80"/>
      <c r="F108" s="33"/>
      <c r="G108" s="33"/>
      <c r="H108" s="16"/>
      <c r="I108" s="16"/>
      <c r="J108" s="16"/>
      <c r="K108" s="11"/>
      <c r="L108" s="16">
        <f t="shared" si="4"/>
        <v>0</v>
      </c>
      <c r="M108" s="11"/>
      <c r="N108" s="11"/>
      <c r="O108" s="16">
        <f t="shared" si="5"/>
        <v>0</v>
      </c>
      <c r="P108" s="16">
        <f t="shared" si="6"/>
        <v>0</v>
      </c>
      <c r="Q108" s="18"/>
      <c r="R108" s="16">
        <v>0</v>
      </c>
      <c r="S108" s="22">
        <f t="shared" si="7"/>
        <v>0</v>
      </c>
      <c r="T108" s="11"/>
    </row>
    <row r="109" spans="1:20" x14ac:dyDescent="0.2">
      <c r="A109" s="51">
        <f>+'SERVICIO FAENA'!A109</f>
        <v>0</v>
      </c>
      <c r="B109" s="32">
        <f>+'SERVICIO FAENA'!B109</f>
        <v>0</v>
      </c>
      <c r="C109" s="11">
        <f>+'SERVICIO FAENA'!C109</f>
        <v>0</v>
      </c>
      <c r="D109" s="81"/>
      <c r="E109" s="81"/>
      <c r="F109" s="26"/>
      <c r="G109" s="26"/>
      <c r="H109" s="42"/>
      <c r="I109" s="42"/>
      <c r="J109" s="42"/>
      <c r="K109" s="23"/>
      <c r="L109" s="16">
        <f t="shared" si="4"/>
        <v>0</v>
      </c>
      <c r="M109" s="23"/>
      <c r="N109" s="23"/>
      <c r="O109" s="16">
        <f t="shared" si="5"/>
        <v>0</v>
      </c>
      <c r="P109" s="16">
        <f t="shared" si="6"/>
        <v>0</v>
      </c>
      <c r="Q109" s="25"/>
      <c r="R109" s="16">
        <v>0</v>
      </c>
      <c r="S109" s="22">
        <f t="shared" si="7"/>
        <v>0</v>
      </c>
      <c r="T109" s="23"/>
    </row>
    <row r="110" spans="1:20" x14ac:dyDescent="0.2">
      <c r="A110" s="51">
        <f>+'SERVICIO FAENA'!A110</f>
        <v>0</v>
      </c>
      <c r="B110" s="32">
        <f>+'SERVICIO FAENA'!B110</f>
        <v>0</v>
      </c>
      <c r="C110" s="11">
        <f>+'SERVICIO FAENA'!C110</f>
        <v>0</v>
      </c>
      <c r="D110" s="80"/>
      <c r="E110" s="80"/>
      <c r="F110" s="33"/>
      <c r="G110" s="33"/>
      <c r="H110" s="16"/>
      <c r="I110" s="16"/>
      <c r="J110" s="16"/>
      <c r="K110" s="11"/>
      <c r="L110" s="16">
        <f t="shared" si="4"/>
        <v>0</v>
      </c>
      <c r="M110" s="11"/>
      <c r="N110" s="11"/>
      <c r="O110" s="16">
        <f t="shared" si="5"/>
        <v>0</v>
      </c>
      <c r="P110" s="16">
        <f t="shared" si="6"/>
        <v>0</v>
      </c>
      <c r="Q110" s="18"/>
      <c r="R110" s="16">
        <v>0</v>
      </c>
      <c r="S110" s="22">
        <f t="shared" si="7"/>
        <v>0</v>
      </c>
      <c r="T110" s="11"/>
    </row>
    <row r="111" spans="1:20" x14ac:dyDescent="0.2">
      <c r="A111" s="51">
        <f>+'SERVICIO FAENA'!A111</f>
        <v>0</v>
      </c>
      <c r="B111" s="32">
        <f>+'SERVICIO FAENA'!B111</f>
        <v>0</v>
      </c>
      <c r="C111" s="11">
        <f>+'SERVICIO FAENA'!C111</f>
        <v>0</v>
      </c>
      <c r="D111" s="81"/>
      <c r="E111" s="81"/>
      <c r="F111" s="26"/>
      <c r="G111" s="26"/>
      <c r="H111" s="42"/>
      <c r="I111" s="42"/>
      <c r="J111" s="42"/>
      <c r="K111" s="23"/>
      <c r="L111" s="16">
        <f t="shared" si="4"/>
        <v>0</v>
      </c>
      <c r="M111" s="23"/>
      <c r="N111" s="23"/>
      <c r="O111" s="16">
        <f t="shared" si="5"/>
        <v>0</v>
      </c>
      <c r="P111" s="16">
        <f t="shared" si="6"/>
        <v>0</v>
      </c>
      <c r="Q111" s="25"/>
      <c r="R111" s="16">
        <v>0</v>
      </c>
      <c r="S111" s="22">
        <f t="shared" si="7"/>
        <v>0</v>
      </c>
      <c r="T111" s="23"/>
    </row>
    <row r="112" spans="1:20" x14ac:dyDescent="0.2">
      <c r="A112" s="51">
        <f>+'SERVICIO FAENA'!A112</f>
        <v>0</v>
      </c>
      <c r="B112" s="32">
        <f>+'SERVICIO FAENA'!B112</f>
        <v>0</v>
      </c>
      <c r="C112" s="11">
        <f>+'SERVICIO FAENA'!C112</f>
        <v>0</v>
      </c>
      <c r="D112" s="80"/>
      <c r="E112" s="80"/>
      <c r="F112" s="33"/>
      <c r="G112" s="33"/>
      <c r="H112" s="16"/>
      <c r="I112" s="16"/>
      <c r="J112" s="16"/>
      <c r="K112" s="11"/>
      <c r="L112" s="16">
        <f t="shared" si="4"/>
        <v>0</v>
      </c>
      <c r="M112" s="11"/>
      <c r="N112" s="11"/>
      <c r="O112" s="16">
        <f t="shared" si="5"/>
        <v>0</v>
      </c>
      <c r="P112" s="16">
        <f t="shared" si="6"/>
        <v>0</v>
      </c>
      <c r="Q112" s="18"/>
      <c r="R112" s="16">
        <v>0</v>
      </c>
      <c r="S112" s="22">
        <f t="shared" si="7"/>
        <v>0</v>
      </c>
      <c r="T112" s="11"/>
    </row>
    <row r="113" spans="1:20" x14ac:dyDescent="0.2">
      <c r="A113" s="51">
        <f>+'SERVICIO FAENA'!A113</f>
        <v>0</v>
      </c>
      <c r="B113" s="32">
        <f>+'SERVICIO FAENA'!B113</f>
        <v>0</v>
      </c>
      <c r="C113" s="11">
        <f>+'SERVICIO FAENA'!C113</f>
        <v>0</v>
      </c>
      <c r="D113" s="81"/>
      <c r="E113" s="81"/>
      <c r="F113" s="26"/>
      <c r="G113" s="26"/>
      <c r="H113" s="42"/>
      <c r="I113" s="42"/>
      <c r="J113" s="42"/>
      <c r="K113" s="23"/>
      <c r="L113" s="16">
        <f t="shared" si="4"/>
        <v>0</v>
      </c>
      <c r="M113" s="23"/>
      <c r="N113" s="23"/>
      <c r="O113" s="16">
        <f t="shared" si="5"/>
        <v>0</v>
      </c>
      <c r="P113" s="16">
        <f t="shared" si="6"/>
        <v>0</v>
      </c>
      <c r="Q113" s="25"/>
      <c r="R113" s="16">
        <v>0</v>
      </c>
      <c r="S113" s="22">
        <f t="shared" si="7"/>
        <v>0</v>
      </c>
      <c r="T113" s="23"/>
    </row>
    <row r="114" spans="1:20" x14ac:dyDescent="0.2">
      <c r="A114" s="51">
        <f>+'SERVICIO FAENA'!A114</f>
        <v>0</v>
      </c>
      <c r="B114" s="32">
        <f>+'SERVICIO FAENA'!B114</f>
        <v>0</v>
      </c>
      <c r="C114" s="11">
        <f>+'SERVICIO FAENA'!C114</f>
        <v>0</v>
      </c>
      <c r="D114" s="80"/>
      <c r="E114" s="80"/>
      <c r="F114" s="33"/>
      <c r="G114" s="33"/>
      <c r="H114" s="16"/>
      <c r="I114" s="16"/>
      <c r="J114" s="16"/>
      <c r="K114" s="11"/>
      <c r="L114" s="16">
        <f t="shared" si="4"/>
        <v>0</v>
      </c>
      <c r="M114" s="11"/>
      <c r="N114" s="11"/>
      <c r="O114" s="16">
        <f t="shared" si="5"/>
        <v>0</v>
      </c>
      <c r="P114" s="16">
        <f t="shared" si="6"/>
        <v>0</v>
      </c>
      <c r="Q114" s="18"/>
      <c r="R114" s="16">
        <v>0</v>
      </c>
      <c r="S114" s="22">
        <f t="shared" si="7"/>
        <v>0</v>
      </c>
      <c r="T114" s="11"/>
    </row>
    <row r="115" spans="1:20" x14ac:dyDescent="0.2">
      <c r="A115" s="51">
        <f>+'SERVICIO FAENA'!A115</f>
        <v>0</v>
      </c>
      <c r="B115" s="32">
        <f>+'SERVICIO FAENA'!B115</f>
        <v>0</v>
      </c>
      <c r="C115" s="11">
        <f>+'SERVICIO FAENA'!C115</f>
        <v>0</v>
      </c>
      <c r="D115" s="81"/>
      <c r="E115" s="81"/>
      <c r="F115" s="26"/>
      <c r="G115" s="26"/>
      <c r="H115" s="42"/>
      <c r="I115" s="42"/>
      <c r="J115" s="42"/>
      <c r="K115" s="23"/>
      <c r="L115" s="16">
        <f t="shared" si="4"/>
        <v>0</v>
      </c>
      <c r="M115" s="23"/>
      <c r="N115" s="23"/>
      <c r="O115" s="16">
        <f t="shared" si="5"/>
        <v>0</v>
      </c>
      <c r="P115" s="16">
        <f t="shared" si="6"/>
        <v>0</v>
      </c>
      <c r="Q115" s="25"/>
      <c r="R115" s="16">
        <v>0</v>
      </c>
      <c r="S115" s="22">
        <f t="shared" si="7"/>
        <v>0</v>
      </c>
      <c r="T115" s="23"/>
    </row>
    <row r="116" spans="1:20" x14ac:dyDescent="0.2">
      <c r="A116" s="51">
        <f>+'SERVICIO FAENA'!A116</f>
        <v>0</v>
      </c>
      <c r="B116" s="32">
        <f>+'SERVICIO FAENA'!B116</f>
        <v>0</v>
      </c>
      <c r="C116" s="11">
        <f>+'SERVICIO FAENA'!C116</f>
        <v>0</v>
      </c>
      <c r="D116" s="80"/>
      <c r="E116" s="80"/>
      <c r="F116" s="33"/>
      <c r="G116" s="33"/>
      <c r="H116" s="16"/>
      <c r="I116" s="16"/>
      <c r="J116" s="16"/>
      <c r="K116" s="11"/>
      <c r="L116" s="16">
        <f t="shared" si="4"/>
        <v>0</v>
      </c>
      <c r="M116" s="11"/>
      <c r="N116" s="11"/>
      <c r="O116" s="16">
        <f t="shared" si="5"/>
        <v>0</v>
      </c>
      <c r="P116" s="16">
        <f t="shared" si="6"/>
        <v>0</v>
      </c>
      <c r="Q116" s="18"/>
      <c r="R116" s="16">
        <v>0</v>
      </c>
      <c r="S116" s="22">
        <f t="shared" si="7"/>
        <v>0</v>
      </c>
      <c r="T116" s="11"/>
    </row>
    <row r="117" spans="1:20" x14ac:dyDescent="0.2">
      <c r="A117" s="51">
        <f>+'SERVICIO FAENA'!A117</f>
        <v>0</v>
      </c>
      <c r="B117" s="32">
        <f>+'SERVICIO FAENA'!B117</f>
        <v>0</v>
      </c>
      <c r="C117" s="11">
        <f>+'SERVICIO FAENA'!C117</f>
        <v>0</v>
      </c>
      <c r="D117" s="81"/>
      <c r="E117" s="81"/>
      <c r="F117" s="26"/>
      <c r="G117" s="26"/>
      <c r="H117" s="42"/>
      <c r="I117" s="42"/>
      <c r="J117" s="42"/>
      <c r="K117" s="23"/>
      <c r="L117" s="16">
        <f t="shared" si="4"/>
        <v>0</v>
      </c>
      <c r="M117" s="23"/>
      <c r="N117" s="23"/>
      <c r="O117" s="16">
        <f t="shared" si="5"/>
        <v>0</v>
      </c>
      <c r="P117" s="16">
        <f t="shared" si="6"/>
        <v>0</v>
      </c>
      <c r="Q117" s="25"/>
      <c r="R117" s="16">
        <v>0</v>
      </c>
      <c r="S117" s="22">
        <f t="shared" si="7"/>
        <v>0</v>
      </c>
      <c r="T117" s="23"/>
    </row>
    <row r="118" spans="1:20" x14ac:dyDescent="0.2">
      <c r="A118" s="51">
        <f>+'SERVICIO FAENA'!A118</f>
        <v>0</v>
      </c>
      <c r="B118" s="32">
        <f>+'SERVICIO FAENA'!B118</f>
        <v>0</v>
      </c>
      <c r="C118" s="11">
        <f>+'SERVICIO FAENA'!C118</f>
        <v>0</v>
      </c>
      <c r="D118" s="80"/>
      <c r="E118" s="80"/>
      <c r="F118" s="33"/>
      <c r="G118" s="33"/>
      <c r="H118" s="16"/>
      <c r="I118" s="16"/>
      <c r="J118" s="16"/>
      <c r="K118" s="11"/>
      <c r="L118" s="16">
        <f t="shared" si="4"/>
        <v>0</v>
      </c>
      <c r="M118" s="11"/>
      <c r="N118" s="11"/>
      <c r="O118" s="16">
        <f t="shared" si="5"/>
        <v>0</v>
      </c>
      <c r="P118" s="16">
        <f t="shared" si="6"/>
        <v>0</v>
      </c>
      <c r="Q118" s="18"/>
      <c r="R118" s="16">
        <v>0</v>
      </c>
      <c r="S118" s="22">
        <f t="shared" si="7"/>
        <v>0</v>
      </c>
      <c r="T118" s="11"/>
    </row>
    <row r="119" spans="1:20" x14ac:dyDescent="0.2">
      <c r="A119" s="51">
        <f>+'SERVICIO FAENA'!A119</f>
        <v>0</v>
      </c>
      <c r="B119" s="32">
        <f>+'SERVICIO FAENA'!B119</f>
        <v>0</v>
      </c>
      <c r="C119" s="11">
        <f>+'SERVICIO FAENA'!C119</f>
        <v>0</v>
      </c>
      <c r="D119" s="81"/>
      <c r="E119" s="81"/>
      <c r="F119" s="26"/>
      <c r="G119" s="26"/>
      <c r="H119" s="42"/>
      <c r="I119" s="42"/>
      <c r="J119" s="42"/>
      <c r="K119" s="23"/>
      <c r="L119" s="16">
        <f t="shared" ref="L119:L182" si="8">+K119*F119</f>
        <v>0</v>
      </c>
      <c r="M119" s="23"/>
      <c r="N119" s="23"/>
      <c r="O119" s="16">
        <f t="shared" ref="O119:O182" si="9">+K119*F119</f>
        <v>0</v>
      </c>
      <c r="P119" s="16">
        <f t="shared" ref="P119:P182" si="10">+(L119*10.5/100)+L119</f>
        <v>0</v>
      </c>
      <c r="Q119" s="25"/>
      <c r="R119" s="16">
        <v>0</v>
      </c>
      <c r="S119" s="22">
        <f t="shared" ref="S119:S182" si="11">+R119-P119</f>
        <v>0</v>
      </c>
      <c r="T119" s="23"/>
    </row>
    <row r="120" spans="1:20" x14ac:dyDescent="0.2">
      <c r="A120" s="51">
        <f>+'SERVICIO FAENA'!A120</f>
        <v>0</v>
      </c>
      <c r="B120" s="32">
        <f>+'SERVICIO FAENA'!B120</f>
        <v>0</v>
      </c>
      <c r="C120" s="11">
        <f>+'SERVICIO FAENA'!C120</f>
        <v>0</v>
      </c>
      <c r="D120" s="80"/>
      <c r="E120" s="80"/>
      <c r="F120" s="33"/>
      <c r="G120" s="33"/>
      <c r="H120" s="16"/>
      <c r="I120" s="16"/>
      <c r="J120" s="16"/>
      <c r="K120" s="11"/>
      <c r="L120" s="16">
        <f t="shared" si="8"/>
        <v>0</v>
      </c>
      <c r="M120" s="11"/>
      <c r="N120" s="11"/>
      <c r="O120" s="16">
        <f t="shared" si="9"/>
        <v>0</v>
      </c>
      <c r="P120" s="16">
        <f t="shared" si="10"/>
        <v>0</v>
      </c>
      <c r="Q120" s="18"/>
      <c r="R120" s="16">
        <v>0</v>
      </c>
      <c r="S120" s="22">
        <f t="shared" si="11"/>
        <v>0</v>
      </c>
      <c r="T120" s="11"/>
    </row>
    <row r="121" spans="1:20" x14ac:dyDescent="0.2">
      <c r="A121" s="51">
        <f>+'SERVICIO FAENA'!A121</f>
        <v>0</v>
      </c>
      <c r="B121" s="32">
        <f>+'SERVICIO FAENA'!B121</f>
        <v>0</v>
      </c>
      <c r="C121" s="11">
        <f>+'SERVICIO FAENA'!C121</f>
        <v>0</v>
      </c>
      <c r="D121" s="81"/>
      <c r="E121" s="81"/>
      <c r="F121" s="26"/>
      <c r="G121" s="26"/>
      <c r="H121" s="42"/>
      <c r="I121" s="42"/>
      <c r="J121" s="42"/>
      <c r="K121" s="23"/>
      <c r="L121" s="16">
        <f t="shared" si="8"/>
        <v>0</v>
      </c>
      <c r="M121" s="23"/>
      <c r="N121" s="23"/>
      <c r="O121" s="16">
        <f t="shared" si="9"/>
        <v>0</v>
      </c>
      <c r="P121" s="16">
        <f t="shared" si="10"/>
        <v>0</v>
      </c>
      <c r="Q121" s="25"/>
      <c r="R121" s="16">
        <v>0</v>
      </c>
      <c r="S121" s="22">
        <f t="shared" si="11"/>
        <v>0</v>
      </c>
      <c r="T121" s="23"/>
    </row>
    <row r="122" spans="1:20" x14ac:dyDescent="0.2">
      <c r="A122" s="51">
        <f>+'SERVICIO FAENA'!A122</f>
        <v>0</v>
      </c>
      <c r="B122" s="32">
        <f>+'SERVICIO FAENA'!B122</f>
        <v>0</v>
      </c>
      <c r="C122" s="11">
        <f>+'SERVICIO FAENA'!C122</f>
        <v>0</v>
      </c>
      <c r="D122" s="80"/>
      <c r="E122" s="80"/>
      <c r="F122" s="33"/>
      <c r="G122" s="33"/>
      <c r="H122" s="16"/>
      <c r="I122" s="16"/>
      <c r="J122" s="16"/>
      <c r="K122" s="11"/>
      <c r="L122" s="16">
        <f t="shared" si="8"/>
        <v>0</v>
      </c>
      <c r="M122" s="11"/>
      <c r="N122" s="11"/>
      <c r="O122" s="16">
        <f t="shared" si="9"/>
        <v>0</v>
      </c>
      <c r="P122" s="16">
        <f t="shared" si="10"/>
        <v>0</v>
      </c>
      <c r="Q122" s="18"/>
      <c r="R122" s="16">
        <v>0</v>
      </c>
      <c r="S122" s="22">
        <f t="shared" si="11"/>
        <v>0</v>
      </c>
      <c r="T122" s="11"/>
    </row>
    <row r="123" spans="1:20" x14ac:dyDescent="0.2">
      <c r="A123" s="51">
        <f>+'SERVICIO FAENA'!A123</f>
        <v>0</v>
      </c>
      <c r="B123" s="32">
        <f>+'SERVICIO FAENA'!B123</f>
        <v>0</v>
      </c>
      <c r="C123" s="11">
        <f>+'SERVICIO FAENA'!C123</f>
        <v>0</v>
      </c>
      <c r="D123" s="81"/>
      <c r="E123" s="81"/>
      <c r="F123" s="26"/>
      <c r="G123" s="26"/>
      <c r="H123" s="42"/>
      <c r="I123" s="42"/>
      <c r="J123" s="42"/>
      <c r="K123" s="23"/>
      <c r="L123" s="16">
        <f t="shared" si="8"/>
        <v>0</v>
      </c>
      <c r="M123" s="23"/>
      <c r="N123" s="23"/>
      <c r="O123" s="16">
        <f t="shared" si="9"/>
        <v>0</v>
      </c>
      <c r="P123" s="16">
        <f t="shared" si="10"/>
        <v>0</v>
      </c>
      <c r="Q123" s="25"/>
      <c r="R123" s="16">
        <v>0</v>
      </c>
      <c r="S123" s="22">
        <f t="shared" si="11"/>
        <v>0</v>
      </c>
      <c r="T123" s="23"/>
    </row>
    <row r="124" spans="1:20" x14ac:dyDescent="0.2">
      <c r="A124" s="51">
        <f>+'SERVICIO FAENA'!A124</f>
        <v>0</v>
      </c>
      <c r="B124" s="32">
        <f>+'SERVICIO FAENA'!B124</f>
        <v>0</v>
      </c>
      <c r="C124" s="11">
        <f>+'SERVICIO FAENA'!C124</f>
        <v>0</v>
      </c>
      <c r="D124" s="80"/>
      <c r="E124" s="80"/>
      <c r="F124" s="33"/>
      <c r="G124" s="33"/>
      <c r="H124" s="16"/>
      <c r="I124" s="16"/>
      <c r="J124" s="16"/>
      <c r="K124" s="11"/>
      <c r="L124" s="16">
        <f t="shared" si="8"/>
        <v>0</v>
      </c>
      <c r="M124" s="11"/>
      <c r="N124" s="11"/>
      <c r="O124" s="16">
        <f t="shared" si="9"/>
        <v>0</v>
      </c>
      <c r="P124" s="16">
        <f t="shared" si="10"/>
        <v>0</v>
      </c>
      <c r="Q124" s="18"/>
      <c r="R124" s="16">
        <v>0</v>
      </c>
      <c r="S124" s="22">
        <f t="shared" si="11"/>
        <v>0</v>
      </c>
      <c r="T124" s="11"/>
    </row>
    <row r="125" spans="1:20" x14ac:dyDescent="0.2">
      <c r="A125" s="51">
        <f>+'SERVICIO FAENA'!A125</f>
        <v>0</v>
      </c>
      <c r="B125" s="32">
        <f>+'SERVICIO FAENA'!B125</f>
        <v>0</v>
      </c>
      <c r="C125" s="11">
        <f>+'SERVICIO FAENA'!C125</f>
        <v>0</v>
      </c>
      <c r="D125" s="81"/>
      <c r="E125" s="81"/>
      <c r="F125" s="26"/>
      <c r="G125" s="26"/>
      <c r="H125" s="42"/>
      <c r="I125" s="42"/>
      <c r="J125" s="42"/>
      <c r="K125" s="23"/>
      <c r="L125" s="16">
        <f t="shared" si="8"/>
        <v>0</v>
      </c>
      <c r="M125" s="23"/>
      <c r="N125" s="23"/>
      <c r="O125" s="16">
        <f t="shared" si="9"/>
        <v>0</v>
      </c>
      <c r="P125" s="16">
        <f t="shared" si="10"/>
        <v>0</v>
      </c>
      <c r="Q125" s="25"/>
      <c r="R125" s="16">
        <v>0</v>
      </c>
      <c r="S125" s="22">
        <f t="shared" si="11"/>
        <v>0</v>
      </c>
      <c r="T125" s="23"/>
    </row>
    <row r="126" spans="1:20" x14ac:dyDescent="0.2">
      <c r="A126" s="51">
        <f>+'SERVICIO FAENA'!A126</f>
        <v>0</v>
      </c>
      <c r="B126" s="32">
        <f>+'SERVICIO FAENA'!B126</f>
        <v>0</v>
      </c>
      <c r="C126" s="11">
        <f>+'SERVICIO FAENA'!C126</f>
        <v>0</v>
      </c>
      <c r="D126" s="80"/>
      <c r="E126" s="80"/>
      <c r="F126" s="33"/>
      <c r="G126" s="33"/>
      <c r="H126" s="16"/>
      <c r="I126" s="16"/>
      <c r="J126" s="16"/>
      <c r="K126" s="11"/>
      <c r="L126" s="16">
        <f t="shared" si="8"/>
        <v>0</v>
      </c>
      <c r="M126" s="11"/>
      <c r="N126" s="11"/>
      <c r="O126" s="16">
        <f t="shared" si="9"/>
        <v>0</v>
      </c>
      <c r="P126" s="16">
        <f t="shared" si="10"/>
        <v>0</v>
      </c>
      <c r="Q126" s="18"/>
      <c r="R126" s="16">
        <v>0</v>
      </c>
      <c r="S126" s="22">
        <f t="shared" si="11"/>
        <v>0</v>
      </c>
      <c r="T126" s="11"/>
    </row>
    <row r="127" spans="1:20" x14ac:dyDescent="0.2">
      <c r="A127" s="51">
        <f>+'SERVICIO FAENA'!A127</f>
        <v>0</v>
      </c>
      <c r="B127" s="32">
        <f>+'SERVICIO FAENA'!B127</f>
        <v>0</v>
      </c>
      <c r="C127" s="11">
        <f>+'SERVICIO FAENA'!C127</f>
        <v>0</v>
      </c>
      <c r="D127" s="81"/>
      <c r="E127" s="81"/>
      <c r="F127" s="26"/>
      <c r="G127" s="26"/>
      <c r="H127" s="42"/>
      <c r="I127" s="42"/>
      <c r="J127" s="42"/>
      <c r="K127" s="23"/>
      <c r="L127" s="16">
        <f t="shared" si="8"/>
        <v>0</v>
      </c>
      <c r="M127" s="23"/>
      <c r="N127" s="23"/>
      <c r="O127" s="16">
        <f t="shared" si="9"/>
        <v>0</v>
      </c>
      <c r="P127" s="16">
        <f t="shared" si="10"/>
        <v>0</v>
      </c>
      <c r="Q127" s="25"/>
      <c r="R127" s="16">
        <v>0</v>
      </c>
      <c r="S127" s="22">
        <f t="shared" si="11"/>
        <v>0</v>
      </c>
      <c r="T127" s="23"/>
    </row>
    <row r="128" spans="1:20" x14ac:dyDescent="0.2">
      <c r="A128" s="51">
        <f>+'SERVICIO FAENA'!A128</f>
        <v>0</v>
      </c>
      <c r="B128" s="32">
        <f>+'SERVICIO FAENA'!B128</f>
        <v>0</v>
      </c>
      <c r="C128" s="11">
        <f>+'SERVICIO FAENA'!C128</f>
        <v>0</v>
      </c>
      <c r="D128" s="80"/>
      <c r="E128" s="80"/>
      <c r="F128" s="33"/>
      <c r="G128" s="33"/>
      <c r="H128" s="16"/>
      <c r="I128" s="16"/>
      <c r="J128" s="16"/>
      <c r="K128" s="11"/>
      <c r="L128" s="16">
        <f t="shared" si="8"/>
        <v>0</v>
      </c>
      <c r="M128" s="11"/>
      <c r="N128" s="11"/>
      <c r="O128" s="16">
        <f t="shared" si="9"/>
        <v>0</v>
      </c>
      <c r="P128" s="16">
        <f t="shared" si="10"/>
        <v>0</v>
      </c>
      <c r="Q128" s="18"/>
      <c r="R128" s="16">
        <v>0</v>
      </c>
      <c r="S128" s="22">
        <f t="shared" si="11"/>
        <v>0</v>
      </c>
      <c r="T128" s="11"/>
    </row>
    <row r="129" spans="1:20" x14ac:dyDescent="0.2">
      <c r="A129" s="51">
        <f>+'SERVICIO FAENA'!A129</f>
        <v>0</v>
      </c>
      <c r="B129" s="32">
        <f>+'SERVICIO FAENA'!B129</f>
        <v>0</v>
      </c>
      <c r="C129" s="11">
        <f>+'SERVICIO FAENA'!C129</f>
        <v>0</v>
      </c>
      <c r="D129" s="81"/>
      <c r="E129" s="81"/>
      <c r="F129" s="26"/>
      <c r="G129" s="26"/>
      <c r="H129" s="42"/>
      <c r="I129" s="42"/>
      <c r="J129" s="42"/>
      <c r="K129" s="23"/>
      <c r="L129" s="16">
        <f t="shared" si="8"/>
        <v>0</v>
      </c>
      <c r="M129" s="23"/>
      <c r="N129" s="23"/>
      <c r="O129" s="16">
        <f t="shared" si="9"/>
        <v>0</v>
      </c>
      <c r="P129" s="16">
        <f t="shared" si="10"/>
        <v>0</v>
      </c>
      <c r="Q129" s="25"/>
      <c r="R129" s="16">
        <v>0</v>
      </c>
      <c r="S129" s="22">
        <f t="shared" si="11"/>
        <v>0</v>
      </c>
      <c r="T129" s="23"/>
    </row>
    <row r="130" spans="1:20" x14ac:dyDescent="0.2">
      <c r="A130" s="51">
        <f>+'SERVICIO FAENA'!A130</f>
        <v>0</v>
      </c>
      <c r="B130" s="32">
        <f>+'SERVICIO FAENA'!B130</f>
        <v>0</v>
      </c>
      <c r="C130" s="11">
        <f>+'SERVICIO FAENA'!C130</f>
        <v>0</v>
      </c>
      <c r="D130" s="80"/>
      <c r="E130" s="80"/>
      <c r="F130" s="33"/>
      <c r="G130" s="33"/>
      <c r="H130" s="16"/>
      <c r="I130" s="16"/>
      <c r="J130" s="16"/>
      <c r="K130" s="11"/>
      <c r="L130" s="16">
        <f t="shared" si="8"/>
        <v>0</v>
      </c>
      <c r="M130" s="11"/>
      <c r="N130" s="11"/>
      <c r="O130" s="16">
        <f t="shared" si="9"/>
        <v>0</v>
      </c>
      <c r="P130" s="16">
        <f t="shared" si="10"/>
        <v>0</v>
      </c>
      <c r="Q130" s="18"/>
      <c r="R130" s="16">
        <v>0</v>
      </c>
      <c r="S130" s="22">
        <f t="shared" si="11"/>
        <v>0</v>
      </c>
      <c r="T130" s="11"/>
    </row>
    <row r="131" spans="1:20" x14ac:dyDescent="0.2">
      <c r="A131" s="51">
        <f>+'SERVICIO FAENA'!A131</f>
        <v>0</v>
      </c>
      <c r="B131" s="32">
        <f>+'SERVICIO FAENA'!B131</f>
        <v>0</v>
      </c>
      <c r="C131" s="11">
        <f>+'SERVICIO FAENA'!C131</f>
        <v>0</v>
      </c>
      <c r="D131" s="81"/>
      <c r="E131" s="81"/>
      <c r="F131" s="26"/>
      <c r="G131" s="26"/>
      <c r="H131" s="42"/>
      <c r="I131" s="42"/>
      <c r="J131" s="42"/>
      <c r="K131" s="23"/>
      <c r="L131" s="16">
        <f t="shared" si="8"/>
        <v>0</v>
      </c>
      <c r="M131" s="23"/>
      <c r="N131" s="23"/>
      <c r="O131" s="16">
        <f t="shared" si="9"/>
        <v>0</v>
      </c>
      <c r="P131" s="16">
        <f t="shared" si="10"/>
        <v>0</v>
      </c>
      <c r="Q131" s="25"/>
      <c r="R131" s="16">
        <v>0</v>
      </c>
      <c r="S131" s="22">
        <f t="shared" si="11"/>
        <v>0</v>
      </c>
      <c r="T131" s="23"/>
    </row>
    <row r="132" spans="1:20" x14ac:dyDescent="0.2">
      <c r="A132" s="51">
        <f>+'SERVICIO FAENA'!A132</f>
        <v>0</v>
      </c>
      <c r="B132" s="32">
        <f>+'SERVICIO FAENA'!B132</f>
        <v>0</v>
      </c>
      <c r="C132" s="11">
        <f>+'SERVICIO FAENA'!C132</f>
        <v>0</v>
      </c>
      <c r="D132" s="80"/>
      <c r="E132" s="80"/>
      <c r="F132" s="33"/>
      <c r="G132" s="33"/>
      <c r="H132" s="16"/>
      <c r="I132" s="16"/>
      <c r="J132" s="16"/>
      <c r="K132" s="11"/>
      <c r="L132" s="16">
        <f t="shared" si="8"/>
        <v>0</v>
      </c>
      <c r="M132" s="11"/>
      <c r="N132" s="11"/>
      <c r="O132" s="16">
        <f t="shared" si="9"/>
        <v>0</v>
      </c>
      <c r="P132" s="16">
        <f t="shared" si="10"/>
        <v>0</v>
      </c>
      <c r="Q132" s="18"/>
      <c r="R132" s="16">
        <v>0</v>
      </c>
      <c r="S132" s="22">
        <f t="shared" si="11"/>
        <v>0</v>
      </c>
      <c r="T132" s="11"/>
    </row>
    <row r="133" spans="1:20" x14ac:dyDescent="0.2">
      <c r="A133" s="51">
        <f>+'SERVICIO FAENA'!A133</f>
        <v>0</v>
      </c>
      <c r="B133" s="32">
        <f>+'SERVICIO FAENA'!B133</f>
        <v>0</v>
      </c>
      <c r="C133" s="11">
        <f>+'SERVICIO FAENA'!C133</f>
        <v>0</v>
      </c>
      <c r="D133" s="81"/>
      <c r="E133" s="81"/>
      <c r="F133" s="26"/>
      <c r="G133" s="26"/>
      <c r="H133" s="42"/>
      <c r="I133" s="42"/>
      <c r="J133" s="42"/>
      <c r="K133" s="23"/>
      <c r="L133" s="16">
        <f t="shared" si="8"/>
        <v>0</v>
      </c>
      <c r="M133" s="23"/>
      <c r="N133" s="23"/>
      <c r="O133" s="16">
        <f t="shared" si="9"/>
        <v>0</v>
      </c>
      <c r="P133" s="16">
        <f t="shared" si="10"/>
        <v>0</v>
      </c>
      <c r="Q133" s="25"/>
      <c r="R133" s="16">
        <v>0</v>
      </c>
      <c r="S133" s="22">
        <f t="shared" si="11"/>
        <v>0</v>
      </c>
      <c r="T133" s="23"/>
    </row>
    <row r="134" spans="1:20" x14ac:dyDescent="0.2">
      <c r="A134" s="51">
        <f>+'SERVICIO FAENA'!A134</f>
        <v>0</v>
      </c>
      <c r="B134" s="32">
        <f>+'SERVICIO FAENA'!B134</f>
        <v>0</v>
      </c>
      <c r="C134" s="11">
        <f>+'SERVICIO FAENA'!C134</f>
        <v>0</v>
      </c>
      <c r="D134" s="80"/>
      <c r="E134" s="80"/>
      <c r="F134" s="33"/>
      <c r="G134" s="33"/>
      <c r="H134" s="16"/>
      <c r="I134" s="16"/>
      <c r="J134" s="16"/>
      <c r="K134" s="11"/>
      <c r="L134" s="16">
        <f t="shared" si="8"/>
        <v>0</v>
      </c>
      <c r="M134" s="11"/>
      <c r="N134" s="11"/>
      <c r="O134" s="16">
        <f t="shared" si="9"/>
        <v>0</v>
      </c>
      <c r="P134" s="16">
        <f t="shared" si="10"/>
        <v>0</v>
      </c>
      <c r="Q134" s="18"/>
      <c r="R134" s="16">
        <v>0</v>
      </c>
      <c r="S134" s="22">
        <f t="shared" si="11"/>
        <v>0</v>
      </c>
      <c r="T134" s="11"/>
    </row>
    <row r="135" spans="1:20" x14ac:dyDescent="0.2">
      <c r="A135" s="51">
        <f>+'SERVICIO FAENA'!A135</f>
        <v>0</v>
      </c>
      <c r="B135" s="32">
        <f>+'SERVICIO FAENA'!B135</f>
        <v>0</v>
      </c>
      <c r="C135" s="11">
        <f>+'SERVICIO FAENA'!C135</f>
        <v>0</v>
      </c>
      <c r="D135" s="81"/>
      <c r="E135" s="81"/>
      <c r="F135" s="26"/>
      <c r="G135" s="26"/>
      <c r="H135" s="42"/>
      <c r="I135" s="42"/>
      <c r="J135" s="42"/>
      <c r="K135" s="23"/>
      <c r="L135" s="16">
        <f t="shared" si="8"/>
        <v>0</v>
      </c>
      <c r="M135" s="23"/>
      <c r="N135" s="23"/>
      <c r="O135" s="16">
        <f t="shared" si="9"/>
        <v>0</v>
      </c>
      <c r="P135" s="16">
        <f t="shared" si="10"/>
        <v>0</v>
      </c>
      <c r="Q135" s="25"/>
      <c r="R135" s="16">
        <v>0</v>
      </c>
      <c r="S135" s="22">
        <f t="shared" si="11"/>
        <v>0</v>
      </c>
      <c r="T135" s="23"/>
    </row>
    <row r="136" spans="1:20" x14ac:dyDescent="0.2">
      <c r="A136" s="51">
        <f>+'SERVICIO FAENA'!A136</f>
        <v>0</v>
      </c>
      <c r="B136" s="32">
        <f>+'SERVICIO FAENA'!B136</f>
        <v>0</v>
      </c>
      <c r="C136" s="11">
        <f>+'SERVICIO FAENA'!C136</f>
        <v>0</v>
      </c>
      <c r="D136" s="80"/>
      <c r="E136" s="80"/>
      <c r="F136" s="33"/>
      <c r="G136" s="33"/>
      <c r="H136" s="16"/>
      <c r="I136" s="16"/>
      <c r="J136" s="16"/>
      <c r="K136" s="11"/>
      <c r="L136" s="16">
        <f t="shared" si="8"/>
        <v>0</v>
      </c>
      <c r="M136" s="11"/>
      <c r="N136" s="11"/>
      <c r="O136" s="16">
        <f t="shared" si="9"/>
        <v>0</v>
      </c>
      <c r="P136" s="16">
        <f t="shared" si="10"/>
        <v>0</v>
      </c>
      <c r="Q136" s="18"/>
      <c r="R136" s="16">
        <v>0</v>
      </c>
      <c r="S136" s="22">
        <f t="shared" si="11"/>
        <v>0</v>
      </c>
      <c r="T136" s="11"/>
    </row>
    <row r="137" spans="1:20" x14ac:dyDescent="0.2">
      <c r="A137" s="51">
        <f>+'SERVICIO FAENA'!A137</f>
        <v>0</v>
      </c>
      <c r="B137" s="32">
        <f>+'SERVICIO FAENA'!B137</f>
        <v>0</v>
      </c>
      <c r="C137" s="11">
        <f>+'SERVICIO FAENA'!C137</f>
        <v>0</v>
      </c>
      <c r="D137" s="81"/>
      <c r="E137" s="81"/>
      <c r="F137" s="26"/>
      <c r="G137" s="26"/>
      <c r="H137" s="42"/>
      <c r="I137" s="42"/>
      <c r="J137" s="42"/>
      <c r="K137" s="23"/>
      <c r="L137" s="16">
        <f t="shared" si="8"/>
        <v>0</v>
      </c>
      <c r="M137" s="23"/>
      <c r="N137" s="23"/>
      <c r="O137" s="16">
        <f t="shared" si="9"/>
        <v>0</v>
      </c>
      <c r="P137" s="16">
        <f t="shared" si="10"/>
        <v>0</v>
      </c>
      <c r="Q137" s="25"/>
      <c r="R137" s="16">
        <v>0</v>
      </c>
      <c r="S137" s="22">
        <f t="shared" si="11"/>
        <v>0</v>
      </c>
      <c r="T137" s="23"/>
    </row>
    <row r="138" spans="1:20" x14ac:dyDescent="0.2">
      <c r="A138" s="51">
        <f>+'SERVICIO FAENA'!A138</f>
        <v>0</v>
      </c>
      <c r="B138" s="32">
        <f>+'SERVICIO FAENA'!B138</f>
        <v>0</v>
      </c>
      <c r="C138" s="11">
        <f>+'SERVICIO FAENA'!C138</f>
        <v>0</v>
      </c>
      <c r="D138" s="80"/>
      <c r="E138" s="80"/>
      <c r="F138" s="33"/>
      <c r="G138" s="33"/>
      <c r="H138" s="16"/>
      <c r="I138" s="16"/>
      <c r="J138" s="16"/>
      <c r="K138" s="11"/>
      <c r="L138" s="16">
        <f t="shared" si="8"/>
        <v>0</v>
      </c>
      <c r="M138" s="11"/>
      <c r="N138" s="11"/>
      <c r="O138" s="16">
        <f t="shared" si="9"/>
        <v>0</v>
      </c>
      <c r="P138" s="16">
        <f t="shared" si="10"/>
        <v>0</v>
      </c>
      <c r="Q138" s="18"/>
      <c r="R138" s="16">
        <v>0</v>
      </c>
      <c r="S138" s="22">
        <f t="shared" si="11"/>
        <v>0</v>
      </c>
      <c r="T138" s="11"/>
    </row>
    <row r="139" spans="1:20" x14ac:dyDescent="0.2">
      <c r="A139" s="51">
        <f>+'SERVICIO FAENA'!A139</f>
        <v>0</v>
      </c>
      <c r="B139" s="32">
        <f>+'SERVICIO FAENA'!B139</f>
        <v>0</v>
      </c>
      <c r="C139" s="11">
        <f>+'SERVICIO FAENA'!C139</f>
        <v>0</v>
      </c>
      <c r="D139" s="81"/>
      <c r="E139" s="81"/>
      <c r="F139" s="26"/>
      <c r="G139" s="26"/>
      <c r="H139" s="42"/>
      <c r="I139" s="42"/>
      <c r="J139" s="42"/>
      <c r="K139" s="23"/>
      <c r="L139" s="16">
        <f t="shared" si="8"/>
        <v>0</v>
      </c>
      <c r="M139" s="23"/>
      <c r="N139" s="23"/>
      <c r="O139" s="16">
        <f t="shared" si="9"/>
        <v>0</v>
      </c>
      <c r="P139" s="16">
        <f t="shared" si="10"/>
        <v>0</v>
      </c>
      <c r="Q139" s="25"/>
      <c r="R139" s="16">
        <v>0</v>
      </c>
      <c r="S139" s="22">
        <f t="shared" si="11"/>
        <v>0</v>
      </c>
      <c r="T139" s="23"/>
    </row>
    <row r="140" spans="1:20" x14ac:dyDescent="0.2">
      <c r="A140" s="51">
        <f>+'SERVICIO FAENA'!A140</f>
        <v>0</v>
      </c>
      <c r="B140" s="32">
        <f>+'SERVICIO FAENA'!B140</f>
        <v>0</v>
      </c>
      <c r="C140" s="11">
        <f>+'SERVICIO FAENA'!C140</f>
        <v>0</v>
      </c>
      <c r="D140" s="80"/>
      <c r="E140" s="80"/>
      <c r="F140" s="33"/>
      <c r="G140" s="33"/>
      <c r="H140" s="16"/>
      <c r="I140" s="16"/>
      <c r="J140" s="16"/>
      <c r="K140" s="11"/>
      <c r="L140" s="16">
        <f t="shared" si="8"/>
        <v>0</v>
      </c>
      <c r="M140" s="11"/>
      <c r="N140" s="11"/>
      <c r="O140" s="16">
        <f t="shared" si="9"/>
        <v>0</v>
      </c>
      <c r="P140" s="16">
        <f t="shared" si="10"/>
        <v>0</v>
      </c>
      <c r="Q140" s="18"/>
      <c r="R140" s="16">
        <v>0</v>
      </c>
      <c r="S140" s="22">
        <f t="shared" si="11"/>
        <v>0</v>
      </c>
      <c r="T140" s="11"/>
    </row>
    <row r="141" spans="1:20" x14ac:dyDescent="0.2">
      <c r="A141" s="51">
        <f>+'SERVICIO FAENA'!A141</f>
        <v>0</v>
      </c>
      <c r="B141" s="32">
        <f>+'SERVICIO FAENA'!B141</f>
        <v>0</v>
      </c>
      <c r="C141" s="11">
        <f>+'SERVICIO FAENA'!C141</f>
        <v>0</v>
      </c>
      <c r="D141" s="81"/>
      <c r="E141" s="81"/>
      <c r="F141" s="26"/>
      <c r="G141" s="26"/>
      <c r="H141" s="42"/>
      <c r="I141" s="42"/>
      <c r="J141" s="42"/>
      <c r="K141" s="23"/>
      <c r="L141" s="16">
        <f t="shared" si="8"/>
        <v>0</v>
      </c>
      <c r="M141" s="23"/>
      <c r="N141" s="23"/>
      <c r="O141" s="16">
        <f t="shared" si="9"/>
        <v>0</v>
      </c>
      <c r="P141" s="16">
        <f t="shared" si="10"/>
        <v>0</v>
      </c>
      <c r="Q141" s="25"/>
      <c r="R141" s="16">
        <v>0</v>
      </c>
      <c r="S141" s="22">
        <f t="shared" si="11"/>
        <v>0</v>
      </c>
      <c r="T141" s="23"/>
    </row>
    <row r="142" spans="1:20" x14ac:dyDescent="0.2">
      <c r="A142" s="51">
        <f>+'SERVICIO FAENA'!A142</f>
        <v>0</v>
      </c>
      <c r="B142" s="32">
        <f>+'SERVICIO FAENA'!B142</f>
        <v>0</v>
      </c>
      <c r="C142" s="11">
        <f>+'SERVICIO FAENA'!C142</f>
        <v>0</v>
      </c>
      <c r="D142" s="80"/>
      <c r="E142" s="80"/>
      <c r="F142" s="33"/>
      <c r="G142" s="33"/>
      <c r="H142" s="16"/>
      <c r="I142" s="16"/>
      <c r="J142" s="16"/>
      <c r="K142" s="11"/>
      <c r="L142" s="16">
        <f t="shared" si="8"/>
        <v>0</v>
      </c>
      <c r="M142" s="11"/>
      <c r="N142" s="11"/>
      <c r="O142" s="16">
        <f t="shared" si="9"/>
        <v>0</v>
      </c>
      <c r="P142" s="16">
        <f t="shared" si="10"/>
        <v>0</v>
      </c>
      <c r="Q142" s="18"/>
      <c r="R142" s="16">
        <v>0</v>
      </c>
      <c r="S142" s="22">
        <f t="shared" si="11"/>
        <v>0</v>
      </c>
      <c r="T142" s="11"/>
    </row>
    <row r="143" spans="1:20" x14ac:dyDescent="0.2">
      <c r="A143" s="51">
        <f>+'SERVICIO FAENA'!A143</f>
        <v>0</v>
      </c>
      <c r="B143" s="32">
        <f>+'SERVICIO FAENA'!B143</f>
        <v>0</v>
      </c>
      <c r="C143" s="11">
        <f>+'SERVICIO FAENA'!C143</f>
        <v>0</v>
      </c>
      <c r="D143" s="81"/>
      <c r="E143" s="81"/>
      <c r="F143" s="26"/>
      <c r="G143" s="26"/>
      <c r="H143" s="42"/>
      <c r="I143" s="42"/>
      <c r="J143" s="42"/>
      <c r="K143" s="23"/>
      <c r="L143" s="16">
        <f t="shared" si="8"/>
        <v>0</v>
      </c>
      <c r="M143" s="23"/>
      <c r="N143" s="23"/>
      <c r="O143" s="16">
        <f t="shared" si="9"/>
        <v>0</v>
      </c>
      <c r="P143" s="16">
        <f t="shared" si="10"/>
        <v>0</v>
      </c>
      <c r="Q143" s="25"/>
      <c r="R143" s="16">
        <v>0</v>
      </c>
      <c r="S143" s="22">
        <f t="shared" si="11"/>
        <v>0</v>
      </c>
      <c r="T143" s="23"/>
    </row>
    <row r="144" spans="1:20" x14ac:dyDescent="0.2">
      <c r="A144" s="51">
        <f>+'SERVICIO FAENA'!A144</f>
        <v>0</v>
      </c>
      <c r="B144" s="32">
        <f>+'SERVICIO FAENA'!B144</f>
        <v>0</v>
      </c>
      <c r="C144" s="11">
        <f>+'SERVICIO FAENA'!C144</f>
        <v>0</v>
      </c>
      <c r="D144" s="80"/>
      <c r="E144" s="80"/>
      <c r="F144" s="33"/>
      <c r="G144" s="33"/>
      <c r="H144" s="16"/>
      <c r="I144" s="16"/>
      <c r="J144" s="16"/>
      <c r="K144" s="11"/>
      <c r="L144" s="16">
        <f t="shared" si="8"/>
        <v>0</v>
      </c>
      <c r="M144" s="11"/>
      <c r="N144" s="11"/>
      <c r="O144" s="16">
        <f t="shared" si="9"/>
        <v>0</v>
      </c>
      <c r="P144" s="16">
        <f t="shared" si="10"/>
        <v>0</v>
      </c>
      <c r="Q144" s="18"/>
      <c r="R144" s="16">
        <v>0</v>
      </c>
      <c r="S144" s="22">
        <f t="shared" si="11"/>
        <v>0</v>
      </c>
      <c r="T144" s="11"/>
    </row>
    <row r="145" spans="1:20" x14ac:dyDescent="0.2">
      <c r="A145" s="51">
        <f>+'SERVICIO FAENA'!A145</f>
        <v>0</v>
      </c>
      <c r="B145" s="32">
        <f>+'SERVICIO FAENA'!B145</f>
        <v>0</v>
      </c>
      <c r="C145" s="11">
        <f>+'SERVICIO FAENA'!C145</f>
        <v>0</v>
      </c>
      <c r="D145" s="81"/>
      <c r="E145" s="81"/>
      <c r="F145" s="26"/>
      <c r="G145" s="26"/>
      <c r="H145" s="42"/>
      <c r="I145" s="42"/>
      <c r="J145" s="42"/>
      <c r="K145" s="23"/>
      <c r="L145" s="16">
        <f t="shared" si="8"/>
        <v>0</v>
      </c>
      <c r="M145" s="23"/>
      <c r="N145" s="23"/>
      <c r="O145" s="16">
        <f t="shared" si="9"/>
        <v>0</v>
      </c>
      <c r="P145" s="16">
        <f t="shared" si="10"/>
        <v>0</v>
      </c>
      <c r="Q145" s="25"/>
      <c r="R145" s="16">
        <v>0</v>
      </c>
      <c r="S145" s="22">
        <f t="shared" si="11"/>
        <v>0</v>
      </c>
      <c r="T145" s="23"/>
    </row>
    <row r="146" spans="1:20" x14ac:dyDescent="0.2">
      <c r="A146" s="51">
        <f>+'SERVICIO FAENA'!A146</f>
        <v>0</v>
      </c>
      <c r="B146" s="32">
        <f>+'SERVICIO FAENA'!B146</f>
        <v>0</v>
      </c>
      <c r="C146" s="11">
        <f>+'SERVICIO FAENA'!C146</f>
        <v>0</v>
      </c>
      <c r="D146" s="80"/>
      <c r="E146" s="80"/>
      <c r="F146" s="33"/>
      <c r="G146" s="33"/>
      <c r="H146" s="16"/>
      <c r="I146" s="16"/>
      <c r="J146" s="16"/>
      <c r="K146" s="11"/>
      <c r="L146" s="16">
        <f t="shared" si="8"/>
        <v>0</v>
      </c>
      <c r="M146" s="11"/>
      <c r="N146" s="11"/>
      <c r="O146" s="16">
        <f t="shared" si="9"/>
        <v>0</v>
      </c>
      <c r="P146" s="16">
        <f t="shared" si="10"/>
        <v>0</v>
      </c>
      <c r="Q146" s="18"/>
      <c r="R146" s="16">
        <v>0</v>
      </c>
      <c r="S146" s="22">
        <f t="shared" si="11"/>
        <v>0</v>
      </c>
      <c r="T146" s="11"/>
    </row>
    <row r="147" spans="1:20" x14ac:dyDescent="0.2">
      <c r="A147" s="51">
        <f>+'SERVICIO FAENA'!A147</f>
        <v>0</v>
      </c>
      <c r="B147" s="32">
        <f>+'SERVICIO FAENA'!B147</f>
        <v>0</v>
      </c>
      <c r="C147" s="11">
        <f>+'SERVICIO FAENA'!C147</f>
        <v>0</v>
      </c>
      <c r="D147" s="81"/>
      <c r="E147" s="81"/>
      <c r="F147" s="26"/>
      <c r="G147" s="26"/>
      <c r="H147" s="42"/>
      <c r="I147" s="42"/>
      <c r="J147" s="42"/>
      <c r="K147" s="23"/>
      <c r="L147" s="16">
        <f t="shared" si="8"/>
        <v>0</v>
      </c>
      <c r="M147" s="23"/>
      <c r="N147" s="23"/>
      <c r="O147" s="16">
        <f t="shared" si="9"/>
        <v>0</v>
      </c>
      <c r="P147" s="16">
        <f t="shared" si="10"/>
        <v>0</v>
      </c>
      <c r="Q147" s="25"/>
      <c r="R147" s="16">
        <v>0</v>
      </c>
      <c r="S147" s="22">
        <f t="shared" si="11"/>
        <v>0</v>
      </c>
      <c r="T147" s="23"/>
    </row>
    <row r="148" spans="1:20" x14ac:dyDescent="0.2">
      <c r="A148" s="51">
        <f>+'SERVICIO FAENA'!A148</f>
        <v>0</v>
      </c>
      <c r="B148" s="32">
        <f>+'SERVICIO FAENA'!B148</f>
        <v>0</v>
      </c>
      <c r="C148" s="11">
        <f>+'SERVICIO FAENA'!C148</f>
        <v>0</v>
      </c>
      <c r="D148" s="80"/>
      <c r="E148" s="80"/>
      <c r="F148" s="33"/>
      <c r="G148" s="33"/>
      <c r="H148" s="16"/>
      <c r="I148" s="16"/>
      <c r="J148" s="16"/>
      <c r="K148" s="11"/>
      <c r="L148" s="16">
        <f t="shared" si="8"/>
        <v>0</v>
      </c>
      <c r="M148" s="11"/>
      <c r="N148" s="11"/>
      <c r="O148" s="16">
        <f t="shared" si="9"/>
        <v>0</v>
      </c>
      <c r="P148" s="16">
        <f t="shared" si="10"/>
        <v>0</v>
      </c>
      <c r="Q148" s="18"/>
      <c r="R148" s="16">
        <v>0</v>
      </c>
      <c r="S148" s="22">
        <f t="shared" si="11"/>
        <v>0</v>
      </c>
      <c r="T148" s="11"/>
    </row>
    <row r="149" spans="1:20" x14ac:dyDescent="0.2">
      <c r="A149" s="51">
        <f>+'SERVICIO FAENA'!A149</f>
        <v>0</v>
      </c>
      <c r="B149" s="32">
        <f>+'SERVICIO FAENA'!B149</f>
        <v>0</v>
      </c>
      <c r="C149" s="11">
        <f>+'SERVICIO FAENA'!C149</f>
        <v>0</v>
      </c>
      <c r="D149" s="81"/>
      <c r="E149" s="81"/>
      <c r="F149" s="26"/>
      <c r="G149" s="26"/>
      <c r="H149" s="42"/>
      <c r="I149" s="42"/>
      <c r="J149" s="42"/>
      <c r="K149" s="23"/>
      <c r="L149" s="16">
        <f t="shared" si="8"/>
        <v>0</v>
      </c>
      <c r="M149" s="23"/>
      <c r="N149" s="23"/>
      <c r="O149" s="16">
        <f t="shared" si="9"/>
        <v>0</v>
      </c>
      <c r="P149" s="16">
        <f t="shared" si="10"/>
        <v>0</v>
      </c>
      <c r="Q149" s="25"/>
      <c r="R149" s="16">
        <v>0</v>
      </c>
      <c r="S149" s="22">
        <f t="shared" si="11"/>
        <v>0</v>
      </c>
      <c r="T149" s="23"/>
    </row>
    <row r="150" spans="1:20" x14ac:dyDescent="0.2">
      <c r="A150" s="51">
        <f>+'SERVICIO FAENA'!A150</f>
        <v>0</v>
      </c>
      <c r="B150" s="32">
        <f>+'SERVICIO FAENA'!B150</f>
        <v>0</v>
      </c>
      <c r="C150" s="11">
        <f>+'SERVICIO FAENA'!C150</f>
        <v>0</v>
      </c>
      <c r="D150" s="80"/>
      <c r="E150" s="80"/>
      <c r="F150" s="33"/>
      <c r="G150" s="33"/>
      <c r="H150" s="16"/>
      <c r="I150" s="16"/>
      <c r="J150" s="16"/>
      <c r="K150" s="11"/>
      <c r="L150" s="16">
        <f t="shared" si="8"/>
        <v>0</v>
      </c>
      <c r="M150" s="11"/>
      <c r="N150" s="11"/>
      <c r="O150" s="16">
        <f t="shared" si="9"/>
        <v>0</v>
      </c>
      <c r="P150" s="16">
        <f t="shared" si="10"/>
        <v>0</v>
      </c>
      <c r="Q150" s="18"/>
      <c r="R150" s="16">
        <v>0</v>
      </c>
      <c r="S150" s="22">
        <f t="shared" si="11"/>
        <v>0</v>
      </c>
      <c r="T150" s="11"/>
    </row>
    <row r="151" spans="1:20" x14ac:dyDescent="0.2">
      <c r="A151" s="51">
        <f>+'SERVICIO FAENA'!A151</f>
        <v>0</v>
      </c>
      <c r="B151" s="32">
        <f>+'SERVICIO FAENA'!B151</f>
        <v>0</v>
      </c>
      <c r="C151" s="11">
        <f>+'SERVICIO FAENA'!C151</f>
        <v>0</v>
      </c>
      <c r="D151" s="81"/>
      <c r="E151" s="81"/>
      <c r="F151" s="26"/>
      <c r="G151" s="26"/>
      <c r="H151" s="42"/>
      <c r="I151" s="42"/>
      <c r="J151" s="42"/>
      <c r="K151" s="23"/>
      <c r="L151" s="16">
        <f t="shared" si="8"/>
        <v>0</v>
      </c>
      <c r="M151" s="23"/>
      <c r="N151" s="23"/>
      <c r="O151" s="16">
        <f t="shared" si="9"/>
        <v>0</v>
      </c>
      <c r="P151" s="16">
        <f t="shared" si="10"/>
        <v>0</v>
      </c>
      <c r="Q151" s="25"/>
      <c r="R151" s="16">
        <v>0</v>
      </c>
      <c r="S151" s="22">
        <f t="shared" si="11"/>
        <v>0</v>
      </c>
      <c r="T151" s="23"/>
    </row>
    <row r="152" spans="1:20" x14ac:dyDescent="0.2">
      <c r="A152" s="51">
        <f>+'SERVICIO FAENA'!A152</f>
        <v>0</v>
      </c>
      <c r="B152" s="32">
        <f>+'SERVICIO FAENA'!B152</f>
        <v>0</v>
      </c>
      <c r="C152" s="11">
        <f>+'SERVICIO FAENA'!C152</f>
        <v>0</v>
      </c>
      <c r="D152" s="80"/>
      <c r="E152" s="80"/>
      <c r="F152" s="33"/>
      <c r="G152" s="33"/>
      <c r="H152" s="16"/>
      <c r="I152" s="16"/>
      <c r="J152" s="16"/>
      <c r="K152" s="11"/>
      <c r="L152" s="16">
        <f t="shared" si="8"/>
        <v>0</v>
      </c>
      <c r="M152" s="11"/>
      <c r="N152" s="11"/>
      <c r="O152" s="16">
        <f t="shared" si="9"/>
        <v>0</v>
      </c>
      <c r="P152" s="16">
        <f t="shared" si="10"/>
        <v>0</v>
      </c>
      <c r="Q152" s="18"/>
      <c r="R152" s="16">
        <v>0</v>
      </c>
      <c r="S152" s="22">
        <f t="shared" si="11"/>
        <v>0</v>
      </c>
      <c r="T152" s="11"/>
    </row>
    <row r="153" spans="1:20" x14ac:dyDescent="0.2">
      <c r="A153" s="51">
        <f>+'SERVICIO FAENA'!A153</f>
        <v>0</v>
      </c>
      <c r="B153" s="32">
        <f>+'SERVICIO FAENA'!B153</f>
        <v>0</v>
      </c>
      <c r="C153" s="11">
        <f>+'SERVICIO FAENA'!C153</f>
        <v>0</v>
      </c>
      <c r="D153" s="81"/>
      <c r="E153" s="81"/>
      <c r="F153" s="26"/>
      <c r="G153" s="26"/>
      <c r="H153" s="42"/>
      <c r="I153" s="42"/>
      <c r="J153" s="42"/>
      <c r="K153" s="23"/>
      <c r="L153" s="16">
        <f t="shared" si="8"/>
        <v>0</v>
      </c>
      <c r="M153" s="23"/>
      <c r="N153" s="23"/>
      <c r="O153" s="16">
        <f t="shared" si="9"/>
        <v>0</v>
      </c>
      <c r="P153" s="16">
        <f t="shared" si="10"/>
        <v>0</v>
      </c>
      <c r="Q153" s="25"/>
      <c r="R153" s="16">
        <v>0</v>
      </c>
      <c r="S153" s="22">
        <f t="shared" si="11"/>
        <v>0</v>
      </c>
      <c r="T153" s="23"/>
    </row>
    <row r="154" spans="1:20" x14ac:dyDescent="0.2">
      <c r="A154" s="51">
        <f>+'SERVICIO FAENA'!A154</f>
        <v>0</v>
      </c>
      <c r="B154" s="32">
        <f>+'SERVICIO FAENA'!B154</f>
        <v>0</v>
      </c>
      <c r="C154" s="11">
        <f>+'SERVICIO FAENA'!C154</f>
        <v>0</v>
      </c>
      <c r="D154" s="80"/>
      <c r="E154" s="80"/>
      <c r="F154" s="33"/>
      <c r="G154" s="33"/>
      <c r="H154" s="16"/>
      <c r="I154" s="16"/>
      <c r="J154" s="16"/>
      <c r="K154" s="11"/>
      <c r="L154" s="16">
        <f t="shared" si="8"/>
        <v>0</v>
      </c>
      <c r="M154" s="11"/>
      <c r="N154" s="11"/>
      <c r="O154" s="16">
        <f t="shared" si="9"/>
        <v>0</v>
      </c>
      <c r="P154" s="16">
        <f t="shared" si="10"/>
        <v>0</v>
      </c>
      <c r="Q154" s="18"/>
      <c r="R154" s="16">
        <v>0</v>
      </c>
      <c r="S154" s="22">
        <f t="shared" si="11"/>
        <v>0</v>
      </c>
      <c r="T154" s="11"/>
    </row>
    <row r="155" spans="1:20" x14ac:dyDescent="0.2">
      <c r="A155" s="51">
        <f>+'SERVICIO FAENA'!A155</f>
        <v>0</v>
      </c>
      <c r="B155" s="32">
        <f>+'SERVICIO FAENA'!B155</f>
        <v>0</v>
      </c>
      <c r="C155" s="11">
        <f>+'SERVICIO FAENA'!C155</f>
        <v>0</v>
      </c>
      <c r="D155" s="81"/>
      <c r="E155" s="81"/>
      <c r="F155" s="26"/>
      <c r="G155" s="26"/>
      <c r="H155" s="42"/>
      <c r="I155" s="42"/>
      <c r="J155" s="42"/>
      <c r="K155" s="23"/>
      <c r="L155" s="16">
        <f t="shared" si="8"/>
        <v>0</v>
      </c>
      <c r="M155" s="23"/>
      <c r="N155" s="23"/>
      <c r="O155" s="16">
        <f t="shared" si="9"/>
        <v>0</v>
      </c>
      <c r="P155" s="16">
        <f t="shared" si="10"/>
        <v>0</v>
      </c>
      <c r="Q155" s="25"/>
      <c r="R155" s="16">
        <v>0</v>
      </c>
      <c r="S155" s="22">
        <f t="shared" si="11"/>
        <v>0</v>
      </c>
      <c r="T155" s="23"/>
    </row>
    <row r="156" spans="1:20" x14ac:dyDescent="0.2">
      <c r="A156" s="51">
        <f>+'SERVICIO FAENA'!A156</f>
        <v>0</v>
      </c>
      <c r="B156" s="32">
        <f>+'SERVICIO FAENA'!B156</f>
        <v>0</v>
      </c>
      <c r="C156" s="11">
        <f>+'SERVICIO FAENA'!C156</f>
        <v>0</v>
      </c>
      <c r="D156" s="80"/>
      <c r="E156" s="80"/>
      <c r="F156" s="33"/>
      <c r="G156" s="33"/>
      <c r="H156" s="16"/>
      <c r="I156" s="16"/>
      <c r="J156" s="16"/>
      <c r="K156" s="11"/>
      <c r="L156" s="16">
        <f t="shared" si="8"/>
        <v>0</v>
      </c>
      <c r="M156" s="11"/>
      <c r="N156" s="11"/>
      <c r="O156" s="16">
        <f t="shared" si="9"/>
        <v>0</v>
      </c>
      <c r="P156" s="16">
        <f t="shared" si="10"/>
        <v>0</v>
      </c>
      <c r="Q156" s="18"/>
      <c r="R156" s="16">
        <v>0</v>
      </c>
      <c r="S156" s="22">
        <f t="shared" si="11"/>
        <v>0</v>
      </c>
      <c r="T156" s="11"/>
    </row>
    <row r="157" spans="1:20" x14ac:dyDescent="0.2">
      <c r="A157" s="51">
        <f>+'SERVICIO FAENA'!A157</f>
        <v>0</v>
      </c>
      <c r="B157" s="32">
        <f>+'SERVICIO FAENA'!B157</f>
        <v>0</v>
      </c>
      <c r="C157" s="11">
        <f>+'SERVICIO FAENA'!C157</f>
        <v>0</v>
      </c>
      <c r="D157" s="81"/>
      <c r="E157" s="81"/>
      <c r="F157" s="26"/>
      <c r="G157" s="26"/>
      <c r="H157" s="42"/>
      <c r="I157" s="42"/>
      <c r="J157" s="42"/>
      <c r="K157" s="23"/>
      <c r="L157" s="16">
        <f t="shared" si="8"/>
        <v>0</v>
      </c>
      <c r="M157" s="23"/>
      <c r="N157" s="23"/>
      <c r="O157" s="16">
        <f t="shared" si="9"/>
        <v>0</v>
      </c>
      <c r="P157" s="16">
        <f t="shared" si="10"/>
        <v>0</v>
      </c>
      <c r="Q157" s="25"/>
      <c r="R157" s="16">
        <v>0</v>
      </c>
      <c r="S157" s="22">
        <f t="shared" si="11"/>
        <v>0</v>
      </c>
      <c r="T157" s="23"/>
    </row>
    <row r="158" spans="1:20" x14ac:dyDescent="0.2">
      <c r="A158" s="51">
        <f>+'SERVICIO FAENA'!A158</f>
        <v>0</v>
      </c>
      <c r="B158" s="32">
        <f>+'SERVICIO FAENA'!B158</f>
        <v>0</v>
      </c>
      <c r="C158" s="11">
        <f>+'SERVICIO FAENA'!C158</f>
        <v>0</v>
      </c>
      <c r="D158" s="80"/>
      <c r="E158" s="80"/>
      <c r="F158" s="33"/>
      <c r="G158" s="33"/>
      <c r="H158" s="16"/>
      <c r="I158" s="16"/>
      <c r="J158" s="16"/>
      <c r="K158" s="11"/>
      <c r="L158" s="16">
        <f t="shared" si="8"/>
        <v>0</v>
      </c>
      <c r="M158" s="11"/>
      <c r="N158" s="11"/>
      <c r="O158" s="16">
        <f t="shared" si="9"/>
        <v>0</v>
      </c>
      <c r="P158" s="16">
        <f t="shared" si="10"/>
        <v>0</v>
      </c>
      <c r="Q158" s="18"/>
      <c r="R158" s="16">
        <v>0</v>
      </c>
      <c r="S158" s="22">
        <f t="shared" si="11"/>
        <v>0</v>
      </c>
      <c r="T158" s="11"/>
    </row>
    <row r="159" spans="1:20" x14ac:dyDescent="0.2">
      <c r="A159" s="51">
        <f>+'SERVICIO FAENA'!A159</f>
        <v>0</v>
      </c>
      <c r="B159" s="32">
        <f>+'SERVICIO FAENA'!B159</f>
        <v>0</v>
      </c>
      <c r="C159" s="11">
        <f>+'SERVICIO FAENA'!C159</f>
        <v>0</v>
      </c>
      <c r="D159" s="81"/>
      <c r="E159" s="81"/>
      <c r="F159" s="26"/>
      <c r="G159" s="26"/>
      <c r="H159" s="42"/>
      <c r="I159" s="42"/>
      <c r="J159" s="42"/>
      <c r="K159" s="23"/>
      <c r="L159" s="16">
        <f t="shared" si="8"/>
        <v>0</v>
      </c>
      <c r="M159" s="23"/>
      <c r="N159" s="23"/>
      <c r="O159" s="16">
        <f t="shared" si="9"/>
        <v>0</v>
      </c>
      <c r="P159" s="16">
        <f t="shared" si="10"/>
        <v>0</v>
      </c>
      <c r="Q159" s="25"/>
      <c r="R159" s="16">
        <v>0</v>
      </c>
      <c r="S159" s="22">
        <f t="shared" si="11"/>
        <v>0</v>
      </c>
      <c r="T159" s="23"/>
    </row>
    <row r="160" spans="1:20" x14ac:dyDescent="0.2">
      <c r="A160" s="51">
        <f>+'SERVICIO FAENA'!A160</f>
        <v>0</v>
      </c>
      <c r="B160" s="32">
        <f>+'SERVICIO FAENA'!B160</f>
        <v>0</v>
      </c>
      <c r="C160" s="11">
        <f>+'SERVICIO FAENA'!C160</f>
        <v>0</v>
      </c>
      <c r="D160" s="80"/>
      <c r="E160" s="80"/>
      <c r="F160" s="33"/>
      <c r="G160" s="33"/>
      <c r="H160" s="16"/>
      <c r="I160" s="16"/>
      <c r="J160" s="16"/>
      <c r="K160" s="11"/>
      <c r="L160" s="16">
        <f t="shared" si="8"/>
        <v>0</v>
      </c>
      <c r="M160" s="11"/>
      <c r="N160" s="11"/>
      <c r="O160" s="16">
        <f t="shared" si="9"/>
        <v>0</v>
      </c>
      <c r="P160" s="16">
        <f t="shared" si="10"/>
        <v>0</v>
      </c>
      <c r="Q160" s="18"/>
      <c r="R160" s="16">
        <v>0</v>
      </c>
      <c r="S160" s="22">
        <f t="shared" si="11"/>
        <v>0</v>
      </c>
      <c r="T160" s="11"/>
    </row>
    <row r="161" spans="1:20" x14ac:dyDescent="0.2">
      <c r="A161" s="51">
        <f>+'SERVICIO FAENA'!A161</f>
        <v>0</v>
      </c>
      <c r="B161" s="32">
        <f>+'SERVICIO FAENA'!B161</f>
        <v>0</v>
      </c>
      <c r="C161" s="11">
        <f>+'SERVICIO FAENA'!C161</f>
        <v>0</v>
      </c>
      <c r="D161" s="81"/>
      <c r="E161" s="81"/>
      <c r="F161" s="26"/>
      <c r="G161" s="26"/>
      <c r="H161" s="42"/>
      <c r="I161" s="42"/>
      <c r="J161" s="42"/>
      <c r="K161" s="23"/>
      <c r="L161" s="16">
        <f t="shared" si="8"/>
        <v>0</v>
      </c>
      <c r="M161" s="23"/>
      <c r="N161" s="23"/>
      <c r="O161" s="16">
        <f t="shared" si="9"/>
        <v>0</v>
      </c>
      <c r="P161" s="16">
        <f t="shared" si="10"/>
        <v>0</v>
      </c>
      <c r="Q161" s="25"/>
      <c r="R161" s="16">
        <v>0</v>
      </c>
      <c r="S161" s="22">
        <f t="shared" si="11"/>
        <v>0</v>
      </c>
      <c r="T161" s="23"/>
    </row>
    <row r="162" spans="1:20" x14ac:dyDescent="0.2">
      <c r="A162" s="51">
        <f>+'SERVICIO FAENA'!A162</f>
        <v>0</v>
      </c>
      <c r="B162" s="32">
        <f>+'SERVICIO FAENA'!B162</f>
        <v>0</v>
      </c>
      <c r="C162" s="11">
        <f>+'SERVICIO FAENA'!C162</f>
        <v>0</v>
      </c>
      <c r="D162" s="80"/>
      <c r="E162" s="80"/>
      <c r="F162" s="33"/>
      <c r="G162" s="33"/>
      <c r="H162" s="16"/>
      <c r="I162" s="16"/>
      <c r="J162" s="16"/>
      <c r="K162" s="11"/>
      <c r="L162" s="16">
        <f t="shared" si="8"/>
        <v>0</v>
      </c>
      <c r="M162" s="11"/>
      <c r="N162" s="11"/>
      <c r="O162" s="16">
        <f t="shared" si="9"/>
        <v>0</v>
      </c>
      <c r="P162" s="16">
        <f t="shared" si="10"/>
        <v>0</v>
      </c>
      <c r="Q162" s="18"/>
      <c r="R162" s="16">
        <v>0</v>
      </c>
      <c r="S162" s="22">
        <f t="shared" si="11"/>
        <v>0</v>
      </c>
      <c r="T162" s="11"/>
    </row>
    <row r="163" spans="1:20" x14ac:dyDescent="0.2">
      <c r="A163" s="51">
        <f>+'SERVICIO FAENA'!A163</f>
        <v>0</v>
      </c>
      <c r="B163" s="32">
        <f>+'SERVICIO FAENA'!B163</f>
        <v>0</v>
      </c>
      <c r="C163" s="11">
        <f>+'SERVICIO FAENA'!C163</f>
        <v>0</v>
      </c>
      <c r="D163" s="81"/>
      <c r="E163" s="81"/>
      <c r="F163" s="26"/>
      <c r="G163" s="26"/>
      <c r="H163" s="42"/>
      <c r="I163" s="42"/>
      <c r="J163" s="42"/>
      <c r="K163" s="23"/>
      <c r="L163" s="16">
        <f t="shared" si="8"/>
        <v>0</v>
      </c>
      <c r="M163" s="23"/>
      <c r="N163" s="23"/>
      <c r="O163" s="16">
        <f t="shared" si="9"/>
        <v>0</v>
      </c>
      <c r="P163" s="16">
        <f t="shared" si="10"/>
        <v>0</v>
      </c>
      <c r="Q163" s="25"/>
      <c r="R163" s="16">
        <v>0</v>
      </c>
      <c r="S163" s="22">
        <f t="shared" si="11"/>
        <v>0</v>
      </c>
      <c r="T163" s="23"/>
    </row>
    <row r="164" spans="1:20" x14ac:dyDescent="0.2">
      <c r="A164" s="51">
        <f>+'SERVICIO FAENA'!A164</f>
        <v>0</v>
      </c>
      <c r="B164" s="32">
        <f>+'SERVICIO FAENA'!B164</f>
        <v>0</v>
      </c>
      <c r="C164" s="11">
        <f>+'SERVICIO FAENA'!C164</f>
        <v>0</v>
      </c>
      <c r="D164" s="80"/>
      <c r="E164" s="80"/>
      <c r="F164" s="33"/>
      <c r="G164" s="33"/>
      <c r="H164" s="16"/>
      <c r="I164" s="16"/>
      <c r="J164" s="16"/>
      <c r="K164" s="11"/>
      <c r="L164" s="16">
        <f t="shared" si="8"/>
        <v>0</v>
      </c>
      <c r="M164" s="11"/>
      <c r="N164" s="11"/>
      <c r="O164" s="16">
        <f t="shared" si="9"/>
        <v>0</v>
      </c>
      <c r="P164" s="16">
        <f t="shared" si="10"/>
        <v>0</v>
      </c>
      <c r="Q164" s="18"/>
      <c r="R164" s="16">
        <v>0</v>
      </c>
      <c r="S164" s="22">
        <f t="shared" si="11"/>
        <v>0</v>
      </c>
      <c r="T164" s="11"/>
    </row>
    <row r="165" spans="1:20" x14ac:dyDescent="0.2">
      <c r="A165" s="51">
        <f>+'SERVICIO FAENA'!A165</f>
        <v>0</v>
      </c>
      <c r="B165" s="32">
        <f>+'SERVICIO FAENA'!B165</f>
        <v>0</v>
      </c>
      <c r="C165" s="11">
        <f>+'SERVICIO FAENA'!C165</f>
        <v>0</v>
      </c>
      <c r="D165" s="81"/>
      <c r="E165" s="81"/>
      <c r="F165" s="26"/>
      <c r="G165" s="26"/>
      <c r="H165" s="42"/>
      <c r="I165" s="42"/>
      <c r="J165" s="42"/>
      <c r="K165" s="23"/>
      <c r="L165" s="16">
        <f t="shared" si="8"/>
        <v>0</v>
      </c>
      <c r="M165" s="23"/>
      <c r="N165" s="23"/>
      <c r="O165" s="16">
        <f t="shared" si="9"/>
        <v>0</v>
      </c>
      <c r="P165" s="16">
        <f t="shared" si="10"/>
        <v>0</v>
      </c>
      <c r="Q165" s="25"/>
      <c r="R165" s="16">
        <v>0</v>
      </c>
      <c r="S165" s="22">
        <f t="shared" si="11"/>
        <v>0</v>
      </c>
      <c r="T165" s="23"/>
    </row>
    <row r="166" spans="1:20" x14ac:dyDescent="0.2">
      <c r="A166" s="51">
        <f>+'SERVICIO FAENA'!A166</f>
        <v>0</v>
      </c>
      <c r="B166" s="32">
        <f>+'SERVICIO FAENA'!B166</f>
        <v>0</v>
      </c>
      <c r="C166" s="11">
        <f>+'SERVICIO FAENA'!C166</f>
        <v>0</v>
      </c>
      <c r="D166" s="80"/>
      <c r="E166" s="80"/>
      <c r="F166" s="33"/>
      <c r="G166" s="33"/>
      <c r="H166" s="16"/>
      <c r="I166" s="16"/>
      <c r="J166" s="16"/>
      <c r="K166" s="11"/>
      <c r="L166" s="16">
        <f t="shared" si="8"/>
        <v>0</v>
      </c>
      <c r="M166" s="11"/>
      <c r="N166" s="11"/>
      <c r="O166" s="16">
        <f t="shared" si="9"/>
        <v>0</v>
      </c>
      <c r="P166" s="16">
        <f t="shared" si="10"/>
        <v>0</v>
      </c>
      <c r="Q166" s="18"/>
      <c r="R166" s="16">
        <v>0</v>
      </c>
      <c r="S166" s="22">
        <f t="shared" si="11"/>
        <v>0</v>
      </c>
      <c r="T166" s="11"/>
    </row>
    <row r="167" spans="1:20" x14ac:dyDescent="0.2">
      <c r="A167" s="51">
        <f>+'SERVICIO FAENA'!A167</f>
        <v>0</v>
      </c>
      <c r="B167" s="32">
        <f>+'SERVICIO FAENA'!B167</f>
        <v>0</v>
      </c>
      <c r="C167" s="11">
        <f>+'SERVICIO FAENA'!C167</f>
        <v>0</v>
      </c>
      <c r="D167" s="81"/>
      <c r="E167" s="81"/>
      <c r="F167" s="26"/>
      <c r="G167" s="26"/>
      <c r="H167" s="42"/>
      <c r="I167" s="42"/>
      <c r="J167" s="42"/>
      <c r="K167" s="23"/>
      <c r="L167" s="16">
        <f t="shared" si="8"/>
        <v>0</v>
      </c>
      <c r="M167" s="23"/>
      <c r="N167" s="23"/>
      <c r="O167" s="16">
        <f t="shared" si="9"/>
        <v>0</v>
      </c>
      <c r="P167" s="16">
        <f t="shared" si="10"/>
        <v>0</v>
      </c>
      <c r="Q167" s="25"/>
      <c r="R167" s="16">
        <v>0</v>
      </c>
      <c r="S167" s="22">
        <f t="shared" si="11"/>
        <v>0</v>
      </c>
      <c r="T167" s="23"/>
    </row>
    <row r="168" spans="1:20" x14ac:dyDescent="0.2">
      <c r="A168" s="51">
        <f>+'SERVICIO FAENA'!A168</f>
        <v>0</v>
      </c>
      <c r="B168" s="32">
        <f>+'SERVICIO FAENA'!B168</f>
        <v>0</v>
      </c>
      <c r="C168" s="11">
        <f>+'SERVICIO FAENA'!C168</f>
        <v>0</v>
      </c>
      <c r="D168" s="80"/>
      <c r="E168" s="80"/>
      <c r="F168" s="33"/>
      <c r="G168" s="33"/>
      <c r="H168" s="16"/>
      <c r="I168" s="16"/>
      <c r="J168" s="16"/>
      <c r="K168" s="11"/>
      <c r="L168" s="16">
        <f t="shared" si="8"/>
        <v>0</v>
      </c>
      <c r="M168" s="11"/>
      <c r="N168" s="11"/>
      <c r="O168" s="16">
        <f t="shared" si="9"/>
        <v>0</v>
      </c>
      <c r="P168" s="16">
        <f t="shared" si="10"/>
        <v>0</v>
      </c>
      <c r="Q168" s="18"/>
      <c r="R168" s="16">
        <v>0</v>
      </c>
      <c r="S168" s="22">
        <f t="shared" si="11"/>
        <v>0</v>
      </c>
      <c r="T168" s="11"/>
    </row>
    <row r="169" spans="1:20" x14ac:dyDescent="0.2">
      <c r="A169" s="51">
        <f>+'SERVICIO FAENA'!A169</f>
        <v>0</v>
      </c>
      <c r="B169" s="32">
        <f>+'SERVICIO FAENA'!B169</f>
        <v>0</v>
      </c>
      <c r="C169" s="11">
        <f>+'SERVICIO FAENA'!C169</f>
        <v>0</v>
      </c>
      <c r="D169" s="81"/>
      <c r="E169" s="81"/>
      <c r="F169" s="26"/>
      <c r="G169" s="26"/>
      <c r="H169" s="42"/>
      <c r="I169" s="42"/>
      <c r="J169" s="42"/>
      <c r="K169" s="23"/>
      <c r="L169" s="16">
        <f t="shared" si="8"/>
        <v>0</v>
      </c>
      <c r="M169" s="23"/>
      <c r="N169" s="23"/>
      <c r="O169" s="16">
        <f t="shared" si="9"/>
        <v>0</v>
      </c>
      <c r="P169" s="16">
        <f t="shared" si="10"/>
        <v>0</v>
      </c>
      <c r="Q169" s="25"/>
      <c r="R169" s="16">
        <v>0</v>
      </c>
      <c r="S169" s="22">
        <f t="shared" si="11"/>
        <v>0</v>
      </c>
      <c r="T169" s="23"/>
    </row>
    <row r="170" spans="1:20" x14ac:dyDescent="0.2">
      <c r="A170" s="51">
        <f>+'SERVICIO FAENA'!A170</f>
        <v>0</v>
      </c>
      <c r="B170" s="32">
        <f>+'SERVICIO FAENA'!B170</f>
        <v>0</v>
      </c>
      <c r="C170" s="11">
        <f>+'SERVICIO FAENA'!C170</f>
        <v>0</v>
      </c>
      <c r="D170" s="80"/>
      <c r="E170" s="80"/>
      <c r="F170" s="33"/>
      <c r="G170" s="33"/>
      <c r="H170" s="16"/>
      <c r="I170" s="16"/>
      <c r="J170" s="16"/>
      <c r="K170" s="11"/>
      <c r="L170" s="16">
        <f t="shared" si="8"/>
        <v>0</v>
      </c>
      <c r="M170" s="11"/>
      <c r="N170" s="11"/>
      <c r="O170" s="16">
        <f t="shared" si="9"/>
        <v>0</v>
      </c>
      <c r="P170" s="16">
        <f t="shared" si="10"/>
        <v>0</v>
      </c>
      <c r="Q170" s="18"/>
      <c r="R170" s="16">
        <v>0</v>
      </c>
      <c r="S170" s="22">
        <f t="shared" si="11"/>
        <v>0</v>
      </c>
      <c r="T170" s="11"/>
    </row>
    <row r="171" spans="1:20" x14ac:dyDescent="0.2">
      <c r="A171" s="51">
        <f>+'SERVICIO FAENA'!A171</f>
        <v>0</v>
      </c>
      <c r="B171" s="32">
        <f>+'SERVICIO FAENA'!B171</f>
        <v>0</v>
      </c>
      <c r="C171" s="11">
        <f>+'SERVICIO FAENA'!C171</f>
        <v>0</v>
      </c>
      <c r="D171" s="81"/>
      <c r="E171" s="81"/>
      <c r="F171" s="26"/>
      <c r="G171" s="26"/>
      <c r="H171" s="42"/>
      <c r="I171" s="42"/>
      <c r="J171" s="42"/>
      <c r="K171" s="23"/>
      <c r="L171" s="16">
        <f t="shared" si="8"/>
        <v>0</v>
      </c>
      <c r="M171" s="23"/>
      <c r="N171" s="23"/>
      <c r="O171" s="16">
        <f t="shared" si="9"/>
        <v>0</v>
      </c>
      <c r="P171" s="16">
        <f t="shared" si="10"/>
        <v>0</v>
      </c>
      <c r="Q171" s="25"/>
      <c r="R171" s="16">
        <v>0</v>
      </c>
      <c r="S171" s="22">
        <f t="shared" si="11"/>
        <v>0</v>
      </c>
      <c r="T171" s="23"/>
    </row>
    <row r="172" spans="1:20" x14ac:dyDescent="0.2">
      <c r="A172" s="51">
        <f>+'SERVICIO FAENA'!A172</f>
        <v>0</v>
      </c>
      <c r="B172" s="32">
        <f>+'SERVICIO FAENA'!B172</f>
        <v>0</v>
      </c>
      <c r="C172" s="11">
        <f>+'SERVICIO FAENA'!C172</f>
        <v>0</v>
      </c>
      <c r="D172" s="80"/>
      <c r="E172" s="80"/>
      <c r="F172" s="33"/>
      <c r="G172" s="33"/>
      <c r="H172" s="16"/>
      <c r="I172" s="16"/>
      <c r="J172" s="16"/>
      <c r="K172" s="11"/>
      <c r="L172" s="16">
        <f t="shared" si="8"/>
        <v>0</v>
      </c>
      <c r="M172" s="11"/>
      <c r="N172" s="11"/>
      <c r="O172" s="16">
        <f t="shared" si="9"/>
        <v>0</v>
      </c>
      <c r="P172" s="16">
        <f t="shared" si="10"/>
        <v>0</v>
      </c>
      <c r="Q172" s="18"/>
      <c r="R172" s="16">
        <v>0</v>
      </c>
      <c r="S172" s="22">
        <f t="shared" si="11"/>
        <v>0</v>
      </c>
      <c r="T172" s="11"/>
    </row>
    <row r="173" spans="1:20" x14ac:dyDescent="0.2">
      <c r="A173" s="51">
        <f>+'SERVICIO FAENA'!A173</f>
        <v>0</v>
      </c>
      <c r="B173" s="32">
        <f>+'SERVICIO FAENA'!B173</f>
        <v>0</v>
      </c>
      <c r="C173" s="11">
        <f>+'SERVICIO FAENA'!C173</f>
        <v>0</v>
      </c>
      <c r="D173" s="81"/>
      <c r="E173" s="81"/>
      <c r="F173" s="26"/>
      <c r="G173" s="26"/>
      <c r="H173" s="42"/>
      <c r="I173" s="42"/>
      <c r="J173" s="42"/>
      <c r="K173" s="23"/>
      <c r="L173" s="16">
        <f t="shared" si="8"/>
        <v>0</v>
      </c>
      <c r="M173" s="23"/>
      <c r="N173" s="23"/>
      <c r="O173" s="16">
        <f t="shared" si="9"/>
        <v>0</v>
      </c>
      <c r="P173" s="16">
        <f t="shared" si="10"/>
        <v>0</v>
      </c>
      <c r="Q173" s="25"/>
      <c r="R173" s="16">
        <v>0</v>
      </c>
      <c r="S173" s="22">
        <f t="shared" si="11"/>
        <v>0</v>
      </c>
      <c r="T173" s="23"/>
    </row>
    <row r="174" spans="1:20" x14ac:dyDescent="0.2">
      <c r="A174" s="51">
        <f>+'SERVICIO FAENA'!A174</f>
        <v>0</v>
      </c>
      <c r="B174" s="32">
        <f>+'SERVICIO FAENA'!B174</f>
        <v>0</v>
      </c>
      <c r="C174" s="11">
        <f>+'SERVICIO FAENA'!C174</f>
        <v>0</v>
      </c>
      <c r="D174" s="80"/>
      <c r="E174" s="80"/>
      <c r="F174" s="33"/>
      <c r="G174" s="33"/>
      <c r="H174" s="16"/>
      <c r="I174" s="16"/>
      <c r="J174" s="16"/>
      <c r="K174" s="11"/>
      <c r="L174" s="16">
        <f t="shared" si="8"/>
        <v>0</v>
      </c>
      <c r="M174" s="11"/>
      <c r="N174" s="11"/>
      <c r="O174" s="16">
        <f t="shared" si="9"/>
        <v>0</v>
      </c>
      <c r="P174" s="16">
        <f t="shared" si="10"/>
        <v>0</v>
      </c>
      <c r="Q174" s="18"/>
      <c r="R174" s="16">
        <v>0</v>
      </c>
      <c r="S174" s="22">
        <f t="shared" si="11"/>
        <v>0</v>
      </c>
      <c r="T174" s="11"/>
    </row>
    <row r="175" spans="1:20" x14ac:dyDescent="0.2">
      <c r="A175" s="51">
        <f>+'SERVICIO FAENA'!A175</f>
        <v>0</v>
      </c>
      <c r="B175" s="32">
        <f>+'SERVICIO FAENA'!B175</f>
        <v>0</v>
      </c>
      <c r="C175" s="11">
        <f>+'SERVICIO FAENA'!C175</f>
        <v>0</v>
      </c>
      <c r="D175" s="81"/>
      <c r="E175" s="81"/>
      <c r="F175" s="26"/>
      <c r="G175" s="26"/>
      <c r="H175" s="42"/>
      <c r="I175" s="42"/>
      <c r="J175" s="42"/>
      <c r="K175" s="23"/>
      <c r="L175" s="16">
        <f t="shared" si="8"/>
        <v>0</v>
      </c>
      <c r="M175" s="23"/>
      <c r="N175" s="23"/>
      <c r="O175" s="16">
        <f t="shared" si="9"/>
        <v>0</v>
      </c>
      <c r="P175" s="16">
        <f t="shared" si="10"/>
        <v>0</v>
      </c>
      <c r="Q175" s="25"/>
      <c r="R175" s="16">
        <v>0</v>
      </c>
      <c r="S175" s="22">
        <f t="shared" si="11"/>
        <v>0</v>
      </c>
      <c r="T175" s="23"/>
    </row>
    <row r="176" spans="1:20" x14ac:dyDescent="0.2">
      <c r="A176" s="51">
        <f>+'SERVICIO FAENA'!A176</f>
        <v>0</v>
      </c>
      <c r="B176" s="32">
        <f>+'SERVICIO FAENA'!B176</f>
        <v>0</v>
      </c>
      <c r="C176" s="11">
        <f>+'SERVICIO FAENA'!C176</f>
        <v>0</v>
      </c>
      <c r="D176" s="80"/>
      <c r="E176" s="80"/>
      <c r="F176" s="33"/>
      <c r="G176" s="33"/>
      <c r="H176" s="16"/>
      <c r="I176" s="16"/>
      <c r="J176" s="16"/>
      <c r="K176" s="11"/>
      <c r="L176" s="16">
        <f t="shared" si="8"/>
        <v>0</v>
      </c>
      <c r="M176" s="11"/>
      <c r="N176" s="11"/>
      <c r="O176" s="16">
        <f t="shared" si="9"/>
        <v>0</v>
      </c>
      <c r="P176" s="16">
        <f t="shared" si="10"/>
        <v>0</v>
      </c>
      <c r="Q176" s="18"/>
      <c r="R176" s="16">
        <v>0</v>
      </c>
      <c r="S176" s="22">
        <f t="shared" si="11"/>
        <v>0</v>
      </c>
      <c r="T176" s="11"/>
    </row>
    <row r="177" spans="1:20" x14ac:dyDescent="0.2">
      <c r="A177" s="51">
        <f>+'SERVICIO FAENA'!A177</f>
        <v>0</v>
      </c>
      <c r="B177" s="32">
        <f>+'SERVICIO FAENA'!B177</f>
        <v>0</v>
      </c>
      <c r="C177" s="11">
        <f>+'SERVICIO FAENA'!C177</f>
        <v>0</v>
      </c>
      <c r="D177" s="81"/>
      <c r="E177" s="81"/>
      <c r="F177" s="26"/>
      <c r="G177" s="26"/>
      <c r="H177" s="42"/>
      <c r="I177" s="42"/>
      <c r="J177" s="42"/>
      <c r="K177" s="23"/>
      <c r="L177" s="16">
        <f t="shared" si="8"/>
        <v>0</v>
      </c>
      <c r="M177" s="23"/>
      <c r="N177" s="23"/>
      <c r="O177" s="16">
        <f t="shared" si="9"/>
        <v>0</v>
      </c>
      <c r="P177" s="16">
        <f t="shared" si="10"/>
        <v>0</v>
      </c>
      <c r="Q177" s="25"/>
      <c r="R177" s="16">
        <v>0</v>
      </c>
      <c r="S177" s="22">
        <f t="shared" si="11"/>
        <v>0</v>
      </c>
      <c r="T177" s="23"/>
    </row>
    <row r="178" spans="1:20" x14ac:dyDescent="0.2">
      <c r="A178" s="51">
        <f>+'SERVICIO FAENA'!A178</f>
        <v>0</v>
      </c>
      <c r="B178" s="32">
        <f>+'SERVICIO FAENA'!B178</f>
        <v>0</v>
      </c>
      <c r="C178" s="11">
        <f>+'SERVICIO FAENA'!C178</f>
        <v>0</v>
      </c>
      <c r="D178" s="80"/>
      <c r="E178" s="80"/>
      <c r="F178" s="33"/>
      <c r="G178" s="33"/>
      <c r="H178" s="16"/>
      <c r="I178" s="16"/>
      <c r="J178" s="16"/>
      <c r="K178" s="11"/>
      <c r="L178" s="16">
        <f t="shared" si="8"/>
        <v>0</v>
      </c>
      <c r="M178" s="11"/>
      <c r="N178" s="11"/>
      <c r="O178" s="16">
        <f t="shared" si="9"/>
        <v>0</v>
      </c>
      <c r="P178" s="16">
        <f t="shared" si="10"/>
        <v>0</v>
      </c>
      <c r="Q178" s="18"/>
      <c r="R178" s="16">
        <v>0</v>
      </c>
      <c r="S178" s="22">
        <f t="shared" si="11"/>
        <v>0</v>
      </c>
      <c r="T178" s="11"/>
    </row>
    <row r="179" spans="1:20" x14ac:dyDescent="0.2">
      <c r="A179" s="51">
        <f>+'SERVICIO FAENA'!A179</f>
        <v>0</v>
      </c>
      <c r="B179" s="32">
        <f>+'SERVICIO FAENA'!B179</f>
        <v>0</v>
      </c>
      <c r="C179" s="11">
        <f>+'SERVICIO FAENA'!C179</f>
        <v>0</v>
      </c>
      <c r="D179" s="81"/>
      <c r="E179" s="81"/>
      <c r="F179" s="26"/>
      <c r="G179" s="26"/>
      <c r="H179" s="42"/>
      <c r="I179" s="42"/>
      <c r="J179" s="42"/>
      <c r="K179" s="23"/>
      <c r="L179" s="16">
        <f t="shared" si="8"/>
        <v>0</v>
      </c>
      <c r="M179" s="23"/>
      <c r="N179" s="23"/>
      <c r="O179" s="16">
        <f t="shared" si="9"/>
        <v>0</v>
      </c>
      <c r="P179" s="16">
        <f t="shared" si="10"/>
        <v>0</v>
      </c>
      <c r="Q179" s="25"/>
      <c r="R179" s="16">
        <v>0</v>
      </c>
      <c r="S179" s="22">
        <f t="shared" si="11"/>
        <v>0</v>
      </c>
      <c r="T179" s="23"/>
    </row>
    <row r="180" spans="1:20" x14ac:dyDescent="0.2">
      <c r="A180" s="51">
        <f>+'SERVICIO FAENA'!A180</f>
        <v>0</v>
      </c>
      <c r="B180" s="32">
        <f>+'SERVICIO FAENA'!B180</f>
        <v>0</v>
      </c>
      <c r="C180" s="11">
        <f>+'SERVICIO FAENA'!C180</f>
        <v>0</v>
      </c>
      <c r="D180" s="80"/>
      <c r="E180" s="80"/>
      <c r="F180" s="33"/>
      <c r="G180" s="33"/>
      <c r="H180" s="16"/>
      <c r="I180" s="16"/>
      <c r="J180" s="16"/>
      <c r="K180" s="11"/>
      <c r="L180" s="16">
        <f t="shared" si="8"/>
        <v>0</v>
      </c>
      <c r="M180" s="11"/>
      <c r="N180" s="11"/>
      <c r="O180" s="16">
        <f t="shared" si="9"/>
        <v>0</v>
      </c>
      <c r="P180" s="16">
        <f t="shared" si="10"/>
        <v>0</v>
      </c>
      <c r="Q180" s="18"/>
      <c r="R180" s="16">
        <v>0</v>
      </c>
      <c r="S180" s="22">
        <f t="shared" si="11"/>
        <v>0</v>
      </c>
      <c r="T180" s="11"/>
    </row>
    <row r="181" spans="1:20" x14ac:dyDescent="0.2">
      <c r="A181" s="51">
        <f>+'SERVICIO FAENA'!A181</f>
        <v>0</v>
      </c>
      <c r="B181" s="32">
        <f>+'SERVICIO FAENA'!B181</f>
        <v>0</v>
      </c>
      <c r="C181" s="11">
        <f>+'SERVICIO FAENA'!C181</f>
        <v>0</v>
      </c>
      <c r="D181" s="81"/>
      <c r="E181" s="81"/>
      <c r="F181" s="26"/>
      <c r="G181" s="26"/>
      <c r="H181" s="42"/>
      <c r="I181" s="42"/>
      <c r="J181" s="42"/>
      <c r="K181" s="23"/>
      <c r="L181" s="16">
        <f t="shared" si="8"/>
        <v>0</v>
      </c>
      <c r="M181" s="23"/>
      <c r="N181" s="23"/>
      <c r="O181" s="16">
        <f t="shared" si="9"/>
        <v>0</v>
      </c>
      <c r="P181" s="16">
        <f t="shared" si="10"/>
        <v>0</v>
      </c>
      <c r="Q181" s="25"/>
      <c r="R181" s="16">
        <v>0</v>
      </c>
      <c r="S181" s="22">
        <f t="shared" si="11"/>
        <v>0</v>
      </c>
      <c r="T181" s="23"/>
    </row>
    <row r="182" spans="1:20" x14ac:dyDescent="0.2">
      <c r="A182" s="51">
        <f>+'SERVICIO FAENA'!A182</f>
        <v>0</v>
      </c>
      <c r="B182" s="32">
        <f>+'SERVICIO FAENA'!B182</f>
        <v>0</v>
      </c>
      <c r="C182" s="11">
        <f>+'SERVICIO FAENA'!C182</f>
        <v>0</v>
      </c>
      <c r="D182" s="80"/>
      <c r="E182" s="80"/>
      <c r="F182" s="33"/>
      <c r="G182" s="33"/>
      <c r="H182" s="16"/>
      <c r="I182" s="16"/>
      <c r="J182" s="16"/>
      <c r="K182" s="11"/>
      <c r="L182" s="16">
        <f t="shared" si="8"/>
        <v>0</v>
      </c>
      <c r="M182" s="11"/>
      <c r="N182" s="11"/>
      <c r="O182" s="16">
        <f t="shared" si="9"/>
        <v>0</v>
      </c>
      <c r="P182" s="16">
        <f t="shared" si="10"/>
        <v>0</v>
      </c>
      <c r="Q182" s="18"/>
      <c r="R182" s="16">
        <v>0</v>
      </c>
      <c r="S182" s="22">
        <f t="shared" si="11"/>
        <v>0</v>
      </c>
      <c r="T182" s="11"/>
    </row>
    <row r="183" spans="1:20" x14ac:dyDescent="0.2">
      <c r="A183" s="51">
        <f>+'SERVICIO FAENA'!A183</f>
        <v>0</v>
      </c>
      <c r="B183" s="32">
        <f>+'SERVICIO FAENA'!B183</f>
        <v>0</v>
      </c>
      <c r="C183" s="11">
        <f>+'SERVICIO FAENA'!C183</f>
        <v>0</v>
      </c>
      <c r="D183" s="81"/>
      <c r="E183" s="81"/>
      <c r="F183" s="26"/>
      <c r="G183" s="26"/>
      <c r="H183" s="42"/>
      <c r="I183" s="42"/>
      <c r="J183" s="42"/>
      <c r="K183" s="23"/>
      <c r="L183" s="16">
        <f t="shared" ref="L183:L246" si="12">+K183*F183</f>
        <v>0</v>
      </c>
      <c r="M183" s="23"/>
      <c r="N183" s="23"/>
      <c r="O183" s="16">
        <f t="shared" ref="O183:O246" si="13">+K183*F183</f>
        <v>0</v>
      </c>
      <c r="P183" s="16">
        <f t="shared" ref="P183:P246" si="14">+(L183*10.5/100)+L183</f>
        <v>0</v>
      </c>
      <c r="Q183" s="25"/>
      <c r="R183" s="16">
        <v>0</v>
      </c>
      <c r="S183" s="22">
        <f t="shared" ref="S183:S246" si="15">+R183-P183</f>
        <v>0</v>
      </c>
      <c r="T183" s="23"/>
    </row>
    <row r="184" spans="1:20" x14ac:dyDescent="0.2">
      <c r="A184" s="51">
        <f>+'SERVICIO FAENA'!A184</f>
        <v>0</v>
      </c>
      <c r="B184" s="32">
        <f>+'SERVICIO FAENA'!B184</f>
        <v>0</v>
      </c>
      <c r="C184" s="11">
        <f>+'SERVICIO FAENA'!C184</f>
        <v>0</v>
      </c>
      <c r="D184" s="80"/>
      <c r="E184" s="80"/>
      <c r="F184" s="33"/>
      <c r="G184" s="33"/>
      <c r="H184" s="16"/>
      <c r="I184" s="16"/>
      <c r="J184" s="16"/>
      <c r="K184" s="11"/>
      <c r="L184" s="16">
        <f t="shared" si="12"/>
        <v>0</v>
      </c>
      <c r="M184" s="11"/>
      <c r="N184" s="11"/>
      <c r="O184" s="16">
        <f t="shared" si="13"/>
        <v>0</v>
      </c>
      <c r="P184" s="16">
        <f t="shared" si="14"/>
        <v>0</v>
      </c>
      <c r="Q184" s="18"/>
      <c r="R184" s="16">
        <v>0</v>
      </c>
      <c r="S184" s="22">
        <f t="shared" si="15"/>
        <v>0</v>
      </c>
      <c r="T184" s="11"/>
    </row>
    <row r="185" spans="1:20" x14ac:dyDescent="0.2">
      <c r="A185" s="51">
        <f>+'SERVICIO FAENA'!A185</f>
        <v>0</v>
      </c>
      <c r="B185" s="32">
        <f>+'SERVICIO FAENA'!B185</f>
        <v>0</v>
      </c>
      <c r="C185" s="11">
        <f>+'SERVICIO FAENA'!C185</f>
        <v>0</v>
      </c>
      <c r="D185" s="81"/>
      <c r="E185" s="81"/>
      <c r="F185" s="26"/>
      <c r="G185" s="26"/>
      <c r="H185" s="42"/>
      <c r="I185" s="42"/>
      <c r="J185" s="42"/>
      <c r="K185" s="23"/>
      <c r="L185" s="16">
        <f t="shared" si="12"/>
        <v>0</v>
      </c>
      <c r="M185" s="23"/>
      <c r="N185" s="23"/>
      <c r="O185" s="16">
        <f t="shared" si="13"/>
        <v>0</v>
      </c>
      <c r="P185" s="16">
        <f t="shared" si="14"/>
        <v>0</v>
      </c>
      <c r="Q185" s="25"/>
      <c r="R185" s="16">
        <v>0</v>
      </c>
      <c r="S185" s="22">
        <f t="shared" si="15"/>
        <v>0</v>
      </c>
      <c r="T185" s="23"/>
    </row>
    <row r="186" spans="1:20" x14ac:dyDescent="0.2">
      <c r="A186" s="51">
        <f>+'SERVICIO FAENA'!A186</f>
        <v>0</v>
      </c>
      <c r="B186" s="32">
        <f>+'SERVICIO FAENA'!B186</f>
        <v>0</v>
      </c>
      <c r="C186" s="11">
        <f>+'SERVICIO FAENA'!C186</f>
        <v>0</v>
      </c>
      <c r="D186" s="80"/>
      <c r="E186" s="80"/>
      <c r="F186" s="33"/>
      <c r="G186" s="33"/>
      <c r="H186" s="16"/>
      <c r="I186" s="16"/>
      <c r="J186" s="16"/>
      <c r="K186" s="11"/>
      <c r="L186" s="16">
        <f t="shared" si="12"/>
        <v>0</v>
      </c>
      <c r="M186" s="11"/>
      <c r="N186" s="11"/>
      <c r="O186" s="16">
        <f t="shared" si="13"/>
        <v>0</v>
      </c>
      <c r="P186" s="16">
        <f t="shared" si="14"/>
        <v>0</v>
      </c>
      <c r="Q186" s="18"/>
      <c r="R186" s="16">
        <v>0</v>
      </c>
      <c r="S186" s="22">
        <f t="shared" si="15"/>
        <v>0</v>
      </c>
      <c r="T186" s="11"/>
    </row>
    <row r="187" spans="1:20" x14ac:dyDescent="0.2">
      <c r="A187" s="51">
        <f>+'SERVICIO FAENA'!A187</f>
        <v>0</v>
      </c>
      <c r="B187" s="32">
        <f>+'SERVICIO FAENA'!B187</f>
        <v>0</v>
      </c>
      <c r="C187" s="11">
        <f>+'SERVICIO FAENA'!C187</f>
        <v>0</v>
      </c>
      <c r="D187" s="81"/>
      <c r="E187" s="81"/>
      <c r="F187" s="26"/>
      <c r="G187" s="26"/>
      <c r="H187" s="42"/>
      <c r="I187" s="42"/>
      <c r="J187" s="42"/>
      <c r="K187" s="23"/>
      <c r="L187" s="16">
        <f t="shared" si="12"/>
        <v>0</v>
      </c>
      <c r="M187" s="23"/>
      <c r="N187" s="23"/>
      <c r="O187" s="16">
        <f t="shared" si="13"/>
        <v>0</v>
      </c>
      <c r="P187" s="16">
        <f t="shared" si="14"/>
        <v>0</v>
      </c>
      <c r="Q187" s="25"/>
      <c r="R187" s="16">
        <v>0</v>
      </c>
      <c r="S187" s="22">
        <f t="shared" si="15"/>
        <v>0</v>
      </c>
      <c r="T187" s="23"/>
    </row>
    <row r="188" spans="1:20" x14ac:dyDescent="0.2">
      <c r="A188" s="51">
        <f>+'SERVICIO FAENA'!A188</f>
        <v>0</v>
      </c>
      <c r="B188" s="32">
        <f>+'SERVICIO FAENA'!B188</f>
        <v>0</v>
      </c>
      <c r="C188" s="11">
        <f>+'SERVICIO FAENA'!C188</f>
        <v>0</v>
      </c>
      <c r="D188" s="80"/>
      <c r="E188" s="80"/>
      <c r="F188" s="33"/>
      <c r="G188" s="33"/>
      <c r="H188" s="16"/>
      <c r="I188" s="16"/>
      <c r="J188" s="16"/>
      <c r="K188" s="11"/>
      <c r="L188" s="16">
        <f t="shared" si="12"/>
        <v>0</v>
      </c>
      <c r="M188" s="11"/>
      <c r="N188" s="11"/>
      <c r="O188" s="16">
        <f t="shared" si="13"/>
        <v>0</v>
      </c>
      <c r="P188" s="16">
        <f t="shared" si="14"/>
        <v>0</v>
      </c>
      <c r="Q188" s="18"/>
      <c r="R188" s="16">
        <v>0</v>
      </c>
      <c r="S188" s="22">
        <f t="shared" si="15"/>
        <v>0</v>
      </c>
      <c r="T188" s="11"/>
    </row>
    <row r="189" spans="1:20" x14ac:dyDescent="0.2">
      <c r="A189" s="51">
        <f>+'SERVICIO FAENA'!A189</f>
        <v>0</v>
      </c>
      <c r="B189" s="32">
        <f>+'SERVICIO FAENA'!B189</f>
        <v>0</v>
      </c>
      <c r="C189" s="11">
        <f>+'SERVICIO FAENA'!C189</f>
        <v>0</v>
      </c>
      <c r="D189" s="81"/>
      <c r="E189" s="81"/>
      <c r="F189" s="26"/>
      <c r="G189" s="26"/>
      <c r="H189" s="42"/>
      <c r="I189" s="42"/>
      <c r="J189" s="42"/>
      <c r="K189" s="23"/>
      <c r="L189" s="16">
        <f t="shared" si="12"/>
        <v>0</v>
      </c>
      <c r="M189" s="23"/>
      <c r="N189" s="23"/>
      <c r="O189" s="16">
        <f t="shared" si="13"/>
        <v>0</v>
      </c>
      <c r="P189" s="16">
        <f t="shared" si="14"/>
        <v>0</v>
      </c>
      <c r="Q189" s="25"/>
      <c r="R189" s="16">
        <v>0</v>
      </c>
      <c r="S189" s="22">
        <f t="shared" si="15"/>
        <v>0</v>
      </c>
      <c r="T189" s="23"/>
    </row>
    <row r="190" spans="1:20" x14ac:dyDescent="0.2">
      <c r="A190" s="51">
        <f>+'SERVICIO FAENA'!A190</f>
        <v>0</v>
      </c>
      <c r="B190" s="32">
        <f>+'SERVICIO FAENA'!B190</f>
        <v>0</v>
      </c>
      <c r="C190" s="11">
        <f>+'SERVICIO FAENA'!C190</f>
        <v>0</v>
      </c>
      <c r="D190" s="80"/>
      <c r="E190" s="80"/>
      <c r="F190" s="33"/>
      <c r="G190" s="33"/>
      <c r="H190" s="16"/>
      <c r="I190" s="16"/>
      <c r="J190" s="16"/>
      <c r="K190" s="11"/>
      <c r="L190" s="16">
        <f t="shared" si="12"/>
        <v>0</v>
      </c>
      <c r="M190" s="11"/>
      <c r="N190" s="11"/>
      <c r="O190" s="16">
        <f t="shared" si="13"/>
        <v>0</v>
      </c>
      <c r="P190" s="16">
        <f t="shared" si="14"/>
        <v>0</v>
      </c>
      <c r="Q190" s="18"/>
      <c r="R190" s="16">
        <v>0</v>
      </c>
      <c r="S190" s="22">
        <f t="shared" si="15"/>
        <v>0</v>
      </c>
      <c r="T190" s="11"/>
    </row>
    <row r="191" spans="1:20" x14ac:dyDescent="0.2">
      <c r="A191" s="51">
        <f>+'SERVICIO FAENA'!A191</f>
        <v>0</v>
      </c>
      <c r="B191" s="32">
        <f>+'SERVICIO FAENA'!B191</f>
        <v>0</v>
      </c>
      <c r="C191" s="11">
        <f>+'SERVICIO FAENA'!C191</f>
        <v>0</v>
      </c>
      <c r="D191" s="81"/>
      <c r="E191" s="81"/>
      <c r="F191" s="26"/>
      <c r="G191" s="26"/>
      <c r="H191" s="42"/>
      <c r="I191" s="42"/>
      <c r="J191" s="42"/>
      <c r="K191" s="23"/>
      <c r="L191" s="16">
        <f t="shared" si="12"/>
        <v>0</v>
      </c>
      <c r="M191" s="23"/>
      <c r="N191" s="23"/>
      <c r="O191" s="16">
        <f t="shared" si="13"/>
        <v>0</v>
      </c>
      <c r="P191" s="16">
        <f t="shared" si="14"/>
        <v>0</v>
      </c>
      <c r="Q191" s="25"/>
      <c r="R191" s="16">
        <v>0</v>
      </c>
      <c r="S191" s="22">
        <f t="shared" si="15"/>
        <v>0</v>
      </c>
      <c r="T191" s="23"/>
    </row>
    <row r="192" spans="1:20" x14ac:dyDescent="0.2">
      <c r="A192" s="51">
        <f>+'SERVICIO FAENA'!A192</f>
        <v>0</v>
      </c>
      <c r="B192" s="32">
        <f>+'SERVICIO FAENA'!B192</f>
        <v>0</v>
      </c>
      <c r="C192" s="11">
        <f>+'SERVICIO FAENA'!C192</f>
        <v>0</v>
      </c>
      <c r="D192" s="80"/>
      <c r="E192" s="80"/>
      <c r="F192" s="33"/>
      <c r="G192" s="33"/>
      <c r="H192" s="16"/>
      <c r="I192" s="16"/>
      <c r="J192" s="16"/>
      <c r="K192" s="11"/>
      <c r="L192" s="16">
        <f t="shared" si="12"/>
        <v>0</v>
      </c>
      <c r="M192" s="11"/>
      <c r="N192" s="11"/>
      <c r="O192" s="16">
        <f t="shared" si="13"/>
        <v>0</v>
      </c>
      <c r="P192" s="16">
        <f t="shared" si="14"/>
        <v>0</v>
      </c>
      <c r="Q192" s="18"/>
      <c r="R192" s="16">
        <v>0</v>
      </c>
      <c r="S192" s="22">
        <f t="shared" si="15"/>
        <v>0</v>
      </c>
      <c r="T192" s="11"/>
    </row>
    <row r="193" spans="1:20" x14ac:dyDescent="0.2">
      <c r="A193" s="51">
        <f>+'SERVICIO FAENA'!A193</f>
        <v>0</v>
      </c>
      <c r="B193" s="32">
        <f>+'SERVICIO FAENA'!B193</f>
        <v>0</v>
      </c>
      <c r="C193" s="11">
        <f>+'SERVICIO FAENA'!C193</f>
        <v>0</v>
      </c>
      <c r="D193" s="81"/>
      <c r="E193" s="81"/>
      <c r="F193" s="26"/>
      <c r="G193" s="26"/>
      <c r="H193" s="42"/>
      <c r="I193" s="42"/>
      <c r="J193" s="42"/>
      <c r="K193" s="23"/>
      <c r="L193" s="16">
        <f t="shared" si="12"/>
        <v>0</v>
      </c>
      <c r="M193" s="23"/>
      <c r="N193" s="23"/>
      <c r="O193" s="16">
        <f t="shared" si="13"/>
        <v>0</v>
      </c>
      <c r="P193" s="16">
        <f t="shared" si="14"/>
        <v>0</v>
      </c>
      <c r="Q193" s="25"/>
      <c r="R193" s="16">
        <v>0</v>
      </c>
      <c r="S193" s="22">
        <f t="shared" si="15"/>
        <v>0</v>
      </c>
      <c r="T193" s="23"/>
    </row>
    <row r="194" spans="1:20" x14ac:dyDescent="0.2">
      <c r="A194" s="51">
        <f>+'SERVICIO FAENA'!A194</f>
        <v>0</v>
      </c>
      <c r="B194" s="32">
        <f>+'SERVICIO FAENA'!B194</f>
        <v>0</v>
      </c>
      <c r="C194" s="11">
        <f>+'SERVICIO FAENA'!C194</f>
        <v>0</v>
      </c>
      <c r="D194" s="80"/>
      <c r="E194" s="80"/>
      <c r="F194" s="33"/>
      <c r="G194" s="33"/>
      <c r="H194" s="16"/>
      <c r="I194" s="16"/>
      <c r="J194" s="16"/>
      <c r="K194" s="11"/>
      <c r="L194" s="16">
        <f t="shared" si="12"/>
        <v>0</v>
      </c>
      <c r="M194" s="11"/>
      <c r="N194" s="11"/>
      <c r="O194" s="16">
        <f t="shared" si="13"/>
        <v>0</v>
      </c>
      <c r="P194" s="16">
        <f t="shared" si="14"/>
        <v>0</v>
      </c>
      <c r="Q194" s="18"/>
      <c r="R194" s="16">
        <v>0</v>
      </c>
      <c r="S194" s="22">
        <f t="shared" si="15"/>
        <v>0</v>
      </c>
      <c r="T194" s="11"/>
    </row>
    <row r="195" spans="1:20" x14ac:dyDescent="0.2">
      <c r="A195" s="51">
        <f>+'SERVICIO FAENA'!A195</f>
        <v>0</v>
      </c>
      <c r="B195" s="32">
        <f>+'SERVICIO FAENA'!B195</f>
        <v>0</v>
      </c>
      <c r="C195" s="11">
        <f>+'SERVICIO FAENA'!C195</f>
        <v>0</v>
      </c>
      <c r="D195" s="81"/>
      <c r="E195" s="81"/>
      <c r="F195" s="26"/>
      <c r="G195" s="26"/>
      <c r="H195" s="42"/>
      <c r="I195" s="42"/>
      <c r="J195" s="42"/>
      <c r="K195" s="23"/>
      <c r="L195" s="16">
        <f t="shared" si="12"/>
        <v>0</v>
      </c>
      <c r="M195" s="23"/>
      <c r="N195" s="23"/>
      <c r="O195" s="16">
        <f t="shared" si="13"/>
        <v>0</v>
      </c>
      <c r="P195" s="16">
        <f t="shared" si="14"/>
        <v>0</v>
      </c>
      <c r="Q195" s="25"/>
      <c r="R195" s="16">
        <v>0</v>
      </c>
      <c r="S195" s="22">
        <f t="shared" si="15"/>
        <v>0</v>
      </c>
      <c r="T195" s="23"/>
    </row>
    <row r="196" spans="1:20" x14ac:dyDescent="0.2">
      <c r="A196" s="51">
        <f>+'SERVICIO FAENA'!A196</f>
        <v>0</v>
      </c>
      <c r="B196" s="32">
        <f>+'SERVICIO FAENA'!B196</f>
        <v>0</v>
      </c>
      <c r="C196" s="11">
        <f>+'SERVICIO FAENA'!C196</f>
        <v>0</v>
      </c>
      <c r="D196" s="80"/>
      <c r="E196" s="80"/>
      <c r="F196" s="33"/>
      <c r="G196" s="33"/>
      <c r="H196" s="16"/>
      <c r="I196" s="16"/>
      <c r="J196" s="16"/>
      <c r="K196" s="11"/>
      <c r="L196" s="16">
        <f t="shared" si="12"/>
        <v>0</v>
      </c>
      <c r="M196" s="11"/>
      <c r="N196" s="11"/>
      <c r="O196" s="16">
        <f t="shared" si="13"/>
        <v>0</v>
      </c>
      <c r="P196" s="16">
        <f t="shared" si="14"/>
        <v>0</v>
      </c>
      <c r="Q196" s="18"/>
      <c r="R196" s="16">
        <v>0</v>
      </c>
      <c r="S196" s="22">
        <f t="shared" si="15"/>
        <v>0</v>
      </c>
      <c r="T196" s="11"/>
    </row>
    <row r="197" spans="1:20" x14ac:dyDescent="0.2">
      <c r="A197" s="51">
        <f>+'SERVICIO FAENA'!A197</f>
        <v>0</v>
      </c>
      <c r="B197" s="32">
        <f>+'SERVICIO FAENA'!B197</f>
        <v>0</v>
      </c>
      <c r="C197" s="11">
        <f>+'SERVICIO FAENA'!C197</f>
        <v>0</v>
      </c>
      <c r="D197" s="81"/>
      <c r="E197" s="81"/>
      <c r="F197" s="26"/>
      <c r="G197" s="26"/>
      <c r="H197" s="42"/>
      <c r="I197" s="42"/>
      <c r="J197" s="42"/>
      <c r="K197" s="23"/>
      <c r="L197" s="16">
        <f t="shared" si="12"/>
        <v>0</v>
      </c>
      <c r="M197" s="23"/>
      <c r="N197" s="23"/>
      <c r="O197" s="16">
        <f t="shared" si="13"/>
        <v>0</v>
      </c>
      <c r="P197" s="16">
        <f t="shared" si="14"/>
        <v>0</v>
      </c>
      <c r="Q197" s="25"/>
      <c r="R197" s="16">
        <v>0</v>
      </c>
      <c r="S197" s="22">
        <f t="shared" si="15"/>
        <v>0</v>
      </c>
      <c r="T197" s="23"/>
    </row>
    <row r="198" spans="1:20" x14ac:dyDescent="0.2">
      <c r="A198" s="51">
        <f>+'SERVICIO FAENA'!A198</f>
        <v>0</v>
      </c>
      <c r="B198" s="32">
        <f>+'SERVICIO FAENA'!B198</f>
        <v>0</v>
      </c>
      <c r="C198" s="11">
        <f>+'SERVICIO FAENA'!C198</f>
        <v>0</v>
      </c>
      <c r="D198" s="80"/>
      <c r="E198" s="80"/>
      <c r="F198" s="33"/>
      <c r="G198" s="33"/>
      <c r="H198" s="16"/>
      <c r="I198" s="16"/>
      <c r="J198" s="16"/>
      <c r="K198" s="11"/>
      <c r="L198" s="16">
        <f t="shared" si="12"/>
        <v>0</v>
      </c>
      <c r="M198" s="11"/>
      <c r="N198" s="11"/>
      <c r="O198" s="16">
        <f t="shared" si="13"/>
        <v>0</v>
      </c>
      <c r="P198" s="16">
        <f t="shared" si="14"/>
        <v>0</v>
      </c>
      <c r="Q198" s="18"/>
      <c r="R198" s="16">
        <v>0</v>
      </c>
      <c r="S198" s="22">
        <f t="shared" si="15"/>
        <v>0</v>
      </c>
      <c r="T198" s="11"/>
    </row>
    <row r="199" spans="1:20" x14ac:dyDescent="0.2">
      <c r="A199" s="51">
        <f>+'SERVICIO FAENA'!A199</f>
        <v>0</v>
      </c>
      <c r="B199" s="32">
        <f>+'SERVICIO FAENA'!B199</f>
        <v>0</v>
      </c>
      <c r="C199" s="11">
        <f>+'SERVICIO FAENA'!C199</f>
        <v>0</v>
      </c>
      <c r="D199" s="81"/>
      <c r="E199" s="81"/>
      <c r="F199" s="26"/>
      <c r="G199" s="26"/>
      <c r="H199" s="42"/>
      <c r="I199" s="42"/>
      <c r="J199" s="42"/>
      <c r="K199" s="23"/>
      <c r="L199" s="16">
        <f t="shared" si="12"/>
        <v>0</v>
      </c>
      <c r="M199" s="23"/>
      <c r="N199" s="23"/>
      <c r="O199" s="16">
        <f t="shared" si="13"/>
        <v>0</v>
      </c>
      <c r="P199" s="16">
        <f t="shared" si="14"/>
        <v>0</v>
      </c>
      <c r="Q199" s="25"/>
      <c r="R199" s="16">
        <v>0</v>
      </c>
      <c r="S199" s="22">
        <f t="shared" si="15"/>
        <v>0</v>
      </c>
      <c r="T199" s="23"/>
    </row>
    <row r="200" spans="1:20" x14ac:dyDescent="0.2">
      <c r="A200" s="51">
        <f>+'SERVICIO FAENA'!A200</f>
        <v>0</v>
      </c>
      <c r="B200" s="32">
        <f>+'SERVICIO FAENA'!B200</f>
        <v>0</v>
      </c>
      <c r="C200" s="11">
        <f>+'SERVICIO FAENA'!C200</f>
        <v>0</v>
      </c>
      <c r="D200" s="80"/>
      <c r="E200" s="80"/>
      <c r="F200" s="33"/>
      <c r="G200" s="33"/>
      <c r="H200" s="16"/>
      <c r="I200" s="16"/>
      <c r="J200" s="16"/>
      <c r="K200" s="11"/>
      <c r="L200" s="16">
        <f t="shared" si="12"/>
        <v>0</v>
      </c>
      <c r="M200" s="11"/>
      <c r="N200" s="11"/>
      <c r="O200" s="16">
        <f t="shared" si="13"/>
        <v>0</v>
      </c>
      <c r="P200" s="16">
        <f t="shared" si="14"/>
        <v>0</v>
      </c>
      <c r="Q200" s="18"/>
      <c r="R200" s="16">
        <v>0</v>
      </c>
      <c r="S200" s="22">
        <f t="shared" si="15"/>
        <v>0</v>
      </c>
      <c r="T200" s="11"/>
    </row>
    <row r="201" spans="1:20" x14ac:dyDescent="0.2">
      <c r="A201" s="51">
        <f>+'SERVICIO FAENA'!A201</f>
        <v>0</v>
      </c>
      <c r="B201" s="32">
        <f>+'SERVICIO FAENA'!B201</f>
        <v>0</v>
      </c>
      <c r="C201" s="11">
        <f>+'SERVICIO FAENA'!C201</f>
        <v>0</v>
      </c>
      <c r="D201" s="81"/>
      <c r="E201" s="81"/>
      <c r="F201" s="26"/>
      <c r="G201" s="26"/>
      <c r="H201" s="42"/>
      <c r="I201" s="42"/>
      <c r="J201" s="42"/>
      <c r="K201" s="23"/>
      <c r="L201" s="16">
        <f t="shared" si="12"/>
        <v>0</v>
      </c>
      <c r="M201" s="23"/>
      <c r="N201" s="23"/>
      <c r="O201" s="16">
        <f t="shared" si="13"/>
        <v>0</v>
      </c>
      <c r="P201" s="16">
        <f t="shared" si="14"/>
        <v>0</v>
      </c>
      <c r="Q201" s="25"/>
      <c r="R201" s="16">
        <v>0</v>
      </c>
      <c r="S201" s="22">
        <f t="shared" si="15"/>
        <v>0</v>
      </c>
      <c r="T201" s="23"/>
    </row>
    <row r="202" spans="1:20" x14ac:dyDescent="0.2">
      <c r="A202" s="51">
        <f>+'SERVICIO FAENA'!A202</f>
        <v>0</v>
      </c>
      <c r="B202" s="32">
        <f>+'SERVICIO FAENA'!B202</f>
        <v>0</v>
      </c>
      <c r="C202" s="11">
        <f>+'SERVICIO FAENA'!C202</f>
        <v>0</v>
      </c>
      <c r="D202" s="80"/>
      <c r="E202" s="80"/>
      <c r="F202" s="33"/>
      <c r="G202" s="33"/>
      <c r="H202" s="16"/>
      <c r="I202" s="16"/>
      <c r="J202" s="16"/>
      <c r="K202" s="11"/>
      <c r="L202" s="16">
        <f t="shared" si="12"/>
        <v>0</v>
      </c>
      <c r="M202" s="11"/>
      <c r="N202" s="11"/>
      <c r="O202" s="16">
        <f t="shared" si="13"/>
        <v>0</v>
      </c>
      <c r="P202" s="16">
        <f t="shared" si="14"/>
        <v>0</v>
      </c>
      <c r="Q202" s="18"/>
      <c r="R202" s="16">
        <v>0</v>
      </c>
      <c r="S202" s="22">
        <f t="shared" si="15"/>
        <v>0</v>
      </c>
      <c r="T202" s="11"/>
    </row>
    <row r="203" spans="1:20" x14ac:dyDescent="0.2">
      <c r="A203" s="51">
        <f>+'SERVICIO FAENA'!A203</f>
        <v>0</v>
      </c>
      <c r="B203" s="32">
        <f>+'SERVICIO FAENA'!B203</f>
        <v>0</v>
      </c>
      <c r="C203" s="11">
        <f>+'SERVICIO FAENA'!C203</f>
        <v>0</v>
      </c>
      <c r="D203" s="81"/>
      <c r="E203" s="81"/>
      <c r="F203" s="26"/>
      <c r="G203" s="26"/>
      <c r="H203" s="42"/>
      <c r="I203" s="42"/>
      <c r="J203" s="42"/>
      <c r="K203" s="23"/>
      <c r="L203" s="16">
        <f t="shared" si="12"/>
        <v>0</v>
      </c>
      <c r="M203" s="23"/>
      <c r="N203" s="23"/>
      <c r="O203" s="16">
        <f t="shared" si="13"/>
        <v>0</v>
      </c>
      <c r="P203" s="16">
        <f t="shared" si="14"/>
        <v>0</v>
      </c>
      <c r="Q203" s="25"/>
      <c r="R203" s="16">
        <v>0</v>
      </c>
      <c r="S203" s="22">
        <f t="shared" si="15"/>
        <v>0</v>
      </c>
      <c r="T203" s="23"/>
    </row>
    <row r="204" spans="1:20" x14ac:dyDescent="0.2">
      <c r="A204" s="51">
        <f>+'SERVICIO FAENA'!A204</f>
        <v>0</v>
      </c>
      <c r="B204" s="32">
        <f>+'SERVICIO FAENA'!B204</f>
        <v>0</v>
      </c>
      <c r="C204" s="11">
        <f>+'SERVICIO FAENA'!C204</f>
        <v>0</v>
      </c>
      <c r="D204" s="80"/>
      <c r="E204" s="80"/>
      <c r="F204" s="33"/>
      <c r="G204" s="33"/>
      <c r="H204" s="16"/>
      <c r="I204" s="16"/>
      <c r="J204" s="16"/>
      <c r="K204" s="11"/>
      <c r="L204" s="16">
        <f t="shared" si="12"/>
        <v>0</v>
      </c>
      <c r="M204" s="11"/>
      <c r="N204" s="11"/>
      <c r="O204" s="16">
        <f t="shared" si="13"/>
        <v>0</v>
      </c>
      <c r="P204" s="16">
        <f t="shared" si="14"/>
        <v>0</v>
      </c>
      <c r="Q204" s="18"/>
      <c r="R204" s="16">
        <v>0</v>
      </c>
      <c r="S204" s="22">
        <f t="shared" si="15"/>
        <v>0</v>
      </c>
      <c r="T204" s="11"/>
    </row>
    <row r="205" spans="1:20" x14ac:dyDescent="0.2">
      <c r="A205" s="51">
        <f>+'SERVICIO FAENA'!A205</f>
        <v>0</v>
      </c>
      <c r="B205" s="32">
        <f>+'SERVICIO FAENA'!B205</f>
        <v>0</v>
      </c>
      <c r="C205" s="11">
        <f>+'SERVICIO FAENA'!C205</f>
        <v>0</v>
      </c>
      <c r="D205" s="81"/>
      <c r="E205" s="81"/>
      <c r="F205" s="26"/>
      <c r="G205" s="26"/>
      <c r="H205" s="42"/>
      <c r="I205" s="42"/>
      <c r="J205" s="42"/>
      <c r="K205" s="23"/>
      <c r="L205" s="16">
        <f t="shared" si="12"/>
        <v>0</v>
      </c>
      <c r="M205" s="23"/>
      <c r="N205" s="23"/>
      <c r="O205" s="16">
        <f t="shared" si="13"/>
        <v>0</v>
      </c>
      <c r="P205" s="16">
        <f t="shared" si="14"/>
        <v>0</v>
      </c>
      <c r="Q205" s="25"/>
      <c r="R205" s="16">
        <v>0</v>
      </c>
      <c r="S205" s="22">
        <f t="shared" si="15"/>
        <v>0</v>
      </c>
      <c r="T205" s="23"/>
    </row>
    <row r="206" spans="1:20" x14ac:dyDescent="0.2">
      <c r="A206" s="51">
        <f>+'SERVICIO FAENA'!A206</f>
        <v>0</v>
      </c>
      <c r="B206" s="32">
        <f>+'SERVICIO FAENA'!B206</f>
        <v>0</v>
      </c>
      <c r="C206" s="11">
        <f>+'SERVICIO FAENA'!C206</f>
        <v>0</v>
      </c>
      <c r="D206" s="80"/>
      <c r="E206" s="80"/>
      <c r="F206" s="33"/>
      <c r="G206" s="33"/>
      <c r="H206" s="16"/>
      <c r="I206" s="16"/>
      <c r="J206" s="16"/>
      <c r="K206" s="11"/>
      <c r="L206" s="16">
        <f t="shared" si="12"/>
        <v>0</v>
      </c>
      <c r="M206" s="11"/>
      <c r="N206" s="11"/>
      <c r="O206" s="16">
        <f t="shared" si="13"/>
        <v>0</v>
      </c>
      <c r="P206" s="16">
        <f t="shared" si="14"/>
        <v>0</v>
      </c>
      <c r="Q206" s="18"/>
      <c r="R206" s="16">
        <v>0</v>
      </c>
      <c r="S206" s="22">
        <f t="shared" si="15"/>
        <v>0</v>
      </c>
      <c r="T206" s="11"/>
    </row>
    <row r="207" spans="1:20" x14ac:dyDescent="0.2">
      <c r="A207" s="51">
        <f>+'SERVICIO FAENA'!A207</f>
        <v>0</v>
      </c>
      <c r="B207" s="32">
        <f>+'SERVICIO FAENA'!B207</f>
        <v>0</v>
      </c>
      <c r="C207" s="11">
        <f>+'SERVICIO FAENA'!C207</f>
        <v>0</v>
      </c>
      <c r="D207" s="81"/>
      <c r="E207" s="81"/>
      <c r="F207" s="26"/>
      <c r="G207" s="26"/>
      <c r="H207" s="42"/>
      <c r="I207" s="42"/>
      <c r="J207" s="42"/>
      <c r="K207" s="23"/>
      <c r="L207" s="16">
        <f t="shared" si="12"/>
        <v>0</v>
      </c>
      <c r="M207" s="23"/>
      <c r="N207" s="23"/>
      <c r="O207" s="16">
        <f t="shared" si="13"/>
        <v>0</v>
      </c>
      <c r="P207" s="16">
        <f t="shared" si="14"/>
        <v>0</v>
      </c>
      <c r="Q207" s="25"/>
      <c r="R207" s="16">
        <v>0</v>
      </c>
      <c r="S207" s="22">
        <f t="shared" si="15"/>
        <v>0</v>
      </c>
      <c r="T207" s="23"/>
    </row>
    <row r="208" spans="1:20" x14ac:dyDescent="0.2">
      <c r="A208" s="51">
        <f>+'SERVICIO FAENA'!A208</f>
        <v>0</v>
      </c>
      <c r="B208" s="32">
        <f>+'SERVICIO FAENA'!B208</f>
        <v>0</v>
      </c>
      <c r="C208" s="11">
        <f>+'SERVICIO FAENA'!C208</f>
        <v>0</v>
      </c>
      <c r="D208" s="80"/>
      <c r="E208" s="80"/>
      <c r="F208" s="33"/>
      <c r="G208" s="33"/>
      <c r="H208" s="16"/>
      <c r="I208" s="16"/>
      <c r="J208" s="16"/>
      <c r="K208" s="11"/>
      <c r="L208" s="16">
        <f t="shared" si="12"/>
        <v>0</v>
      </c>
      <c r="M208" s="11"/>
      <c r="N208" s="11"/>
      <c r="O208" s="16">
        <f t="shared" si="13"/>
        <v>0</v>
      </c>
      <c r="P208" s="16">
        <f t="shared" si="14"/>
        <v>0</v>
      </c>
      <c r="Q208" s="18"/>
      <c r="R208" s="16">
        <v>0</v>
      </c>
      <c r="S208" s="22">
        <f t="shared" si="15"/>
        <v>0</v>
      </c>
      <c r="T208" s="11"/>
    </row>
    <row r="209" spans="1:20" x14ac:dyDescent="0.2">
      <c r="A209" s="51">
        <f>+'SERVICIO FAENA'!A209</f>
        <v>0</v>
      </c>
      <c r="B209" s="32">
        <f>+'SERVICIO FAENA'!B209</f>
        <v>0</v>
      </c>
      <c r="C209" s="11">
        <f>+'SERVICIO FAENA'!C209</f>
        <v>0</v>
      </c>
      <c r="D209" s="81"/>
      <c r="E209" s="81"/>
      <c r="F209" s="26"/>
      <c r="G209" s="26"/>
      <c r="H209" s="42"/>
      <c r="I209" s="42"/>
      <c r="J209" s="42"/>
      <c r="K209" s="23"/>
      <c r="L209" s="16">
        <f t="shared" si="12"/>
        <v>0</v>
      </c>
      <c r="M209" s="23"/>
      <c r="N209" s="23"/>
      <c r="O209" s="16">
        <f t="shared" si="13"/>
        <v>0</v>
      </c>
      <c r="P209" s="16">
        <f t="shared" si="14"/>
        <v>0</v>
      </c>
      <c r="Q209" s="25"/>
      <c r="R209" s="16">
        <v>0</v>
      </c>
      <c r="S209" s="22">
        <f t="shared" si="15"/>
        <v>0</v>
      </c>
      <c r="T209" s="23"/>
    </row>
    <row r="210" spans="1:20" x14ac:dyDescent="0.2">
      <c r="A210" s="51">
        <f>+'SERVICIO FAENA'!A210</f>
        <v>0</v>
      </c>
      <c r="B210" s="32">
        <f>+'SERVICIO FAENA'!B210</f>
        <v>0</v>
      </c>
      <c r="C210" s="11">
        <f>+'SERVICIO FAENA'!C210</f>
        <v>0</v>
      </c>
      <c r="D210" s="80"/>
      <c r="E210" s="80"/>
      <c r="F210" s="33"/>
      <c r="G210" s="33"/>
      <c r="H210" s="16"/>
      <c r="I210" s="16"/>
      <c r="J210" s="16"/>
      <c r="K210" s="11"/>
      <c r="L210" s="16">
        <f t="shared" si="12"/>
        <v>0</v>
      </c>
      <c r="M210" s="11"/>
      <c r="N210" s="11"/>
      <c r="O210" s="16">
        <f t="shared" si="13"/>
        <v>0</v>
      </c>
      <c r="P210" s="16">
        <f t="shared" si="14"/>
        <v>0</v>
      </c>
      <c r="Q210" s="18"/>
      <c r="R210" s="16">
        <v>0</v>
      </c>
      <c r="S210" s="22">
        <f t="shared" si="15"/>
        <v>0</v>
      </c>
      <c r="T210" s="11"/>
    </row>
    <row r="211" spans="1:20" x14ac:dyDescent="0.2">
      <c r="A211" s="51">
        <f>+'SERVICIO FAENA'!A211</f>
        <v>0</v>
      </c>
      <c r="B211" s="32">
        <f>+'SERVICIO FAENA'!B211</f>
        <v>0</v>
      </c>
      <c r="C211" s="11">
        <f>+'SERVICIO FAENA'!C211</f>
        <v>0</v>
      </c>
      <c r="D211" s="81"/>
      <c r="E211" s="81"/>
      <c r="F211" s="26"/>
      <c r="G211" s="26"/>
      <c r="H211" s="42"/>
      <c r="I211" s="42"/>
      <c r="J211" s="42"/>
      <c r="K211" s="23"/>
      <c r="L211" s="16">
        <f t="shared" si="12"/>
        <v>0</v>
      </c>
      <c r="M211" s="23"/>
      <c r="N211" s="23"/>
      <c r="O211" s="16">
        <f t="shared" si="13"/>
        <v>0</v>
      </c>
      <c r="P211" s="16">
        <f t="shared" si="14"/>
        <v>0</v>
      </c>
      <c r="Q211" s="25"/>
      <c r="R211" s="16">
        <v>0</v>
      </c>
      <c r="S211" s="22">
        <f t="shared" si="15"/>
        <v>0</v>
      </c>
      <c r="T211" s="23"/>
    </row>
    <row r="212" spans="1:20" x14ac:dyDescent="0.2">
      <c r="A212" s="51">
        <f>+'SERVICIO FAENA'!A212</f>
        <v>0</v>
      </c>
      <c r="B212" s="32">
        <f>+'SERVICIO FAENA'!B212</f>
        <v>0</v>
      </c>
      <c r="C212" s="11">
        <f>+'SERVICIO FAENA'!C212</f>
        <v>0</v>
      </c>
      <c r="D212" s="80"/>
      <c r="E212" s="80"/>
      <c r="F212" s="33"/>
      <c r="G212" s="33"/>
      <c r="H212" s="16"/>
      <c r="I212" s="16"/>
      <c r="J212" s="16"/>
      <c r="K212" s="11"/>
      <c r="L212" s="16">
        <f t="shared" si="12"/>
        <v>0</v>
      </c>
      <c r="M212" s="11"/>
      <c r="N212" s="11"/>
      <c r="O212" s="16">
        <f t="shared" si="13"/>
        <v>0</v>
      </c>
      <c r="P212" s="16">
        <f t="shared" si="14"/>
        <v>0</v>
      </c>
      <c r="Q212" s="18"/>
      <c r="R212" s="16">
        <v>0</v>
      </c>
      <c r="S212" s="22">
        <f t="shared" si="15"/>
        <v>0</v>
      </c>
      <c r="T212" s="11"/>
    </row>
    <row r="213" spans="1:20" x14ac:dyDescent="0.2">
      <c r="A213" s="51">
        <f>+'SERVICIO FAENA'!A213</f>
        <v>0</v>
      </c>
      <c r="B213" s="32">
        <f>+'SERVICIO FAENA'!B213</f>
        <v>0</v>
      </c>
      <c r="C213" s="11">
        <f>+'SERVICIO FAENA'!C213</f>
        <v>0</v>
      </c>
      <c r="D213" s="81"/>
      <c r="E213" s="81"/>
      <c r="F213" s="26"/>
      <c r="G213" s="26"/>
      <c r="H213" s="42"/>
      <c r="I213" s="42"/>
      <c r="J213" s="42"/>
      <c r="K213" s="23"/>
      <c r="L213" s="16">
        <f t="shared" si="12"/>
        <v>0</v>
      </c>
      <c r="M213" s="23"/>
      <c r="N213" s="23"/>
      <c r="O213" s="16">
        <f t="shared" si="13"/>
        <v>0</v>
      </c>
      <c r="P213" s="16">
        <f t="shared" si="14"/>
        <v>0</v>
      </c>
      <c r="Q213" s="25"/>
      <c r="R213" s="16">
        <v>0</v>
      </c>
      <c r="S213" s="22">
        <f t="shared" si="15"/>
        <v>0</v>
      </c>
      <c r="T213" s="23"/>
    </row>
    <row r="214" spans="1:20" x14ac:dyDescent="0.2">
      <c r="A214" s="51">
        <f>+'SERVICIO FAENA'!A214</f>
        <v>0</v>
      </c>
      <c r="B214" s="32">
        <f>+'SERVICIO FAENA'!B214</f>
        <v>0</v>
      </c>
      <c r="C214" s="11">
        <f>+'SERVICIO FAENA'!C214</f>
        <v>0</v>
      </c>
      <c r="D214" s="80"/>
      <c r="E214" s="80"/>
      <c r="F214" s="33"/>
      <c r="G214" s="33"/>
      <c r="H214" s="16"/>
      <c r="I214" s="16"/>
      <c r="J214" s="16"/>
      <c r="K214" s="11"/>
      <c r="L214" s="16">
        <f t="shared" si="12"/>
        <v>0</v>
      </c>
      <c r="M214" s="11"/>
      <c r="N214" s="11"/>
      <c r="O214" s="16">
        <f t="shared" si="13"/>
        <v>0</v>
      </c>
      <c r="P214" s="16">
        <f t="shared" si="14"/>
        <v>0</v>
      </c>
      <c r="Q214" s="18"/>
      <c r="R214" s="16">
        <v>0</v>
      </c>
      <c r="S214" s="22">
        <f t="shared" si="15"/>
        <v>0</v>
      </c>
      <c r="T214" s="11"/>
    </row>
    <row r="215" spans="1:20" x14ac:dyDescent="0.2">
      <c r="A215" s="51">
        <f>+'SERVICIO FAENA'!A215</f>
        <v>0</v>
      </c>
      <c r="B215" s="32">
        <f>+'SERVICIO FAENA'!B215</f>
        <v>0</v>
      </c>
      <c r="C215" s="11">
        <f>+'SERVICIO FAENA'!C215</f>
        <v>0</v>
      </c>
      <c r="D215" s="81"/>
      <c r="E215" s="81"/>
      <c r="F215" s="26"/>
      <c r="G215" s="26"/>
      <c r="H215" s="42"/>
      <c r="I215" s="42"/>
      <c r="J215" s="42"/>
      <c r="K215" s="23"/>
      <c r="L215" s="16">
        <f t="shared" si="12"/>
        <v>0</v>
      </c>
      <c r="M215" s="23"/>
      <c r="N215" s="23"/>
      <c r="O215" s="16">
        <f t="shared" si="13"/>
        <v>0</v>
      </c>
      <c r="P215" s="16">
        <f t="shared" si="14"/>
        <v>0</v>
      </c>
      <c r="Q215" s="25"/>
      <c r="R215" s="16">
        <v>0</v>
      </c>
      <c r="S215" s="22">
        <f t="shared" si="15"/>
        <v>0</v>
      </c>
      <c r="T215" s="23"/>
    </row>
    <row r="216" spans="1:20" x14ac:dyDescent="0.2">
      <c r="A216" s="51">
        <f>+'SERVICIO FAENA'!A216</f>
        <v>0</v>
      </c>
      <c r="B216" s="32">
        <f>+'SERVICIO FAENA'!B216</f>
        <v>0</v>
      </c>
      <c r="C216" s="11">
        <f>+'SERVICIO FAENA'!C216</f>
        <v>0</v>
      </c>
      <c r="D216" s="80"/>
      <c r="E216" s="80"/>
      <c r="F216" s="33"/>
      <c r="G216" s="33"/>
      <c r="H216" s="16"/>
      <c r="I216" s="16"/>
      <c r="J216" s="16"/>
      <c r="K216" s="11"/>
      <c r="L216" s="16">
        <f t="shared" si="12"/>
        <v>0</v>
      </c>
      <c r="M216" s="11"/>
      <c r="N216" s="11"/>
      <c r="O216" s="16">
        <f t="shared" si="13"/>
        <v>0</v>
      </c>
      <c r="P216" s="16">
        <f t="shared" si="14"/>
        <v>0</v>
      </c>
      <c r="Q216" s="18"/>
      <c r="R216" s="16">
        <v>0</v>
      </c>
      <c r="S216" s="22">
        <f t="shared" si="15"/>
        <v>0</v>
      </c>
      <c r="T216" s="11"/>
    </row>
    <row r="217" spans="1:20" x14ac:dyDescent="0.2">
      <c r="A217" s="51">
        <f>+'SERVICIO FAENA'!A217</f>
        <v>0</v>
      </c>
      <c r="B217" s="32">
        <f>+'SERVICIO FAENA'!B217</f>
        <v>0</v>
      </c>
      <c r="C217" s="11">
        <f>+'SERVICIO FAENA'!C217</f>
        <v>0</v>
      </c>
      <c r="D217" s="81"/>
      <c r="E217" s="81"/>
      <c r="F217" s="26"/>
      <c r="G217" s="26"/>
      <c r="H217" s="42"/>
      <c r="I217" s="42"/>
      <c r="J217" s="42"/>
      <c r="K217" s="23"/>
      <c r="L217" s="16">
        <f t="shared" si="12"/>
        <v>0</v>
      </c>
      <c r="M217" s="23"/>
      <c r="N217" s="23"/>
      <c r="O217" s="16">
        <f t="shared" si="13"/>
        <v>0</v>
      </c>
      <c r="P217" s="16">
        <f t="shared" si="14"/>
        <v>0</v>
      </c>
      <c r="Q217" s="25"/>
      <c r="R217" s="16">
        <v>0</v>
      </c>
      <c r="S217" s="22">
        <f t="shared" si="15"/>
        <v>0</v>
      </c>
      <c r="T217" s="23"/>
    </row>
    <row r="218" spans="1:20" x14ac:dyDescent="0.2">
      <c r="A218" s="51">
        <f>+'SERVICIO FAENA'!A218</f>
        <v>0</v>
      </c>
      <c r="B218" s="32">
        <f>+'SERVICIO FAENA'!B218</f>
        <v>0</v>
      </c>
      <c r="C218" s="11">
        <f>+'SERVICIO FAENA'!C218</f>
        <v>0</v>
      </c>
      <c r="D218" s="80"/>
      <c r="E218" s="80"/>
      <c r="F218" s="33"/>
      <c r="G218" s="33"/>
      <c r="H218" s="16"/>
      <c r="I218" s="16"/>
      <c r="J218" s="16"/>
      <c r="K218" s="11"/>
      <c r="L218" s="16">
        <f t="shared" si="12"/>
        <v>0</v>
      </c>
      <c r="M218" s="11"/>
      <c r="N218" s="11"/>
      <c r="O218" s="16">
        <f t="shared" si="13"/>
        <v>0</v>
      </c>
      <c r="P218" s="16">
        <f t="shared" si="14"/>
        <v>0</v>
      </c>
      <c r="Q218" s="18"/>
      <c r="R218" s="16">
        <v>0</v>
      </c>
      <c r="S218" s="22">
        <f t="shared" si="15"/>
        <v>0</v>
      </c>
      <c r="T218" s="11"/>
    </row>
    <row r="219" spans="1:20" x14ac:dyDescent="0.2">
      <c r="A219" s="51">
        <f>+'SERVICIO FAENA'!A219</f>
        <v>0</v>
      </c>
      <c r="B219" s="32">
        <f>+'SERVICIO FAENA'!B219</f>
        <v>0</v>
      </c>
      <c r="C219" s="11">
        <f>+'SERVICIO FAENA'!C219</f>
        <v>0</v>
      </c>
      <c r="D219" s="81"/>
      <c r="E219" s="81"/>
      <c r="F219" s="26"/>
      <c r="G219" s="26"/>
      <c r="H219" s="42"/>
      <c r="I219" s="42"/>
      <c r="J219" s="42"/>
      <c r="K219" s="23"/>
      <c r="L219" s="16">
        <f t="shared" si="12"/>
        <v>0</v>
      </c>
      <c r="M219" s="23"/>
      <c r="N219" s="23"/>
      <c r="O219" s="16">
        <f t="shared" si="13"/>
        <v>0</v>
      </c>
      <c r="P219" s="16">
        <f t="shared" si="14"/>
        <v>0</v>
      </c>
      <c r="Q219" s="25"/>
      <c r="R219" s="16">
        <v>0</v>
      </c>
      <c r="S219" s="22">
        <f t="shared" si="15"/>
        <v>0</v>
      </c>
      <c r="T219" s="23"/>
    </row>
    <row r="220" spans="1:20" x14ac:dyDescent="0.2">
      <c r="A220" s="51">
        <f>+'SERVICIO FAENA'!A220</f>
        <v>0</v>
      </c>
      <c r="B220" s="32">
        <f>+'SERVICIO FAENA'!B220</f>
        <v>0</v>
      </c>
      <c r="C220" s="11">
        <f>+'SERVICIO FAENA'!C220</f>
        <v>0</v>
      </c>
      <c r="D220" s="80"/>
      <c r="E220" s="80"/>
      <c r="F220" s="33"/>
      <c r="G220" s="33"/>
      <c r="H220" s="16"/>
      <c r="I220" s="16"/>
      <c r="J220" s="16"/>
      <c r="K220" s="11"/>
      <c r="L220" s="16">
        <f t="shared" si="12"/>
        <v>0</v>
      </c>
      <c r="M220" s="11"/>
      <c r="N220" s="11"/>
      <c r="O220" s="16">
        <f t="shared" si="13"/>
        <v>0</v>
      </c>
      <c r="P220" s="16">
        <f t="shared" si="14"/>
        <v>0</v>
      </c>
      <c r="Q220" s="18"/>
      <c r="R220" s="16">
        <v>0</v>
      </c>
      <c r="S220" s="22">
        <f t="shared" si="15"/>
        <v>0</v>
      </c>
      <c r="T220" s="11"/>
    </row>
    <row r="221" spans="1:20" x14ac:dyDescent="0.2">
      <c r="A221" s="51">
        <f>+'SERVICIO FAENA'!A221</f>
        <v>0</v>
      </c>
      <c r="B221" s="32">
        <f>+'SERVICIO FAENA'!B221</f>
        <v>0</v>
      </c>
      <c r="C221" s="11">
        <f>+'SERVICIO FAENA'!C221</f>
        <v>0</v>
      </c>
      <c r="D221" s="81"/>
      <c r="E221" s="81"/>
      <c r="F221" s="26"/>
      <c r="G221" s="26"/>
      <c r="H221" s="42"/>
      <c r="I221" s="42"/>
      <c r="J221" s="42"/>
      <c r="K221" s="23"/>
      <c r="L221" s="16">
        <f t="shared" si="12"/>
        <v>0</v>
      </c>
      <c r="M221" s="23"/>
      <c r="N221" s="23"/>
      <c r="O221" s="16">
        <f t="shared" si="13"/>
        <v>0</v>
      </c>
      <c r="P221" s="16">
        <f t="shared" si="14"/>
        <v>0</v>
      </c>
      <c r="Q221" s="25"/>
      <c r="R221" s="16">
        <v>0</v>
      </c>
      <c r="S221" s="22">
        <f t="shared" si="15"/>
        <v>0</v>
      </c>
      <c r="T221" s="23"/>
    </row>
    <row r="222" spans="1:20" x14ac:dyDescent="0.2">
      <c r="A222" s="51">
        <f>+'SERVICIO FAENA'!A222</f>
        <v>0</v>
      </c>
      <c r="B222" s="32">
        <f>+'SERVICIO FAENA'!B222</f>
        <v>0</v>
      </c>
      <c r="C222" s="11">
        <f>+'SERVICIO FAENA'!C222</f>
        <v>0</v>
      </c>
      <c r="D222" s="80"/>
      <c r="E222" s="80"/>
      <c r="F222" s="33"/>
      <c r="G222" s="33"/>
      <c r="H222" s="16"/>
      <c r="I222" s="16"/>
      <c r="J222" s="16"/>
      <c r="K222" s="11"/>
      <c r="L222" s="16">
        <f t="shared" si="12"/>
        <v>0</v>
      </c>
      <c r="M222" s="11"/>
      <c r="N222" s="11"/>
      <c r="O222" s="16">
        <f t="shared" si="13"/>
        <v>0</v>
      </c>
      <c r="P222" s="16">
        <f t="shared" si="14"/>
        <v>0</v>
      </c>
      <c r="Q222" s="18"/>
      <c r="R222" s="16">
        <v>0</v>
      </c>
      <c r="S222" s="22">
        <f t="shared" si="15"/>
        <v>0</v>
      </c>
      <c r="T222" s="11"/>
    </row>
    <row r="223" spans="1:20" x14ac:dyDescent="0.2">
      <c r="A223" s="51">
        <f>+'SERVICIO FAENA'!A223</f>
        <v>0</v>
      </c>
      <c r="B223" s="32">
        <f>+'SERVICIO FAENA'!B223</f>
        <v>0</v>
      </c>
      <c r="C223" s="11">
        <f>+'SERVICIO FAENA'!C223</f>
        <v>0</v>
      </c>
      <c r="D223" s="81"/>
      <c r="E223" s="81"/>
      <c r="F223" s="26"/>
      <c r="G223" s="26"/>
      <c r="H223" s="42"/>
      <c r="I223" s="42"/>
      <c r="J223" s="42"/>
      <c r="K223" s="23"/>
      <c r="L223" s="16">
        <f t="shared" si="12"/>
        <v>0</v>
      </c>
      <c r="M223" s="23"/>
      <c r="N223" s="23"/>
      <c r="O223" s="16">
        <f t="shared" si="13"/>
        <v>0</v>
      </c>
      <c r="P223" s="16">
        <f t="shared" si="14"/>
        <v>0</v>
      </c>
      <c r="Q223" s="25"/>
      <c r="R223" s="16">
        <v>0</v>
      </c>
      <c r="S223" s="22">
        <f t="shared" si="15"/>
        <v>0</v>
      </c>
      <c r="T223" s="23"/>
    </row>
    <row r="224" spans="1:20" x14ac:dyDescent="0.2">
      <c r="A224" s="51">
        <f>+'SERVICIO FAENA'!A224</f>
        <v>0</v>
      </c>
      <c r="B224" s="32">
        <f>+'SERVICIO FAENA'!B224</f>
        <v>0</v>
      </c>
      <c r="C224" s="11">
        <f>+'SERVICIO FAENA'!C224</f>
        <v>0</v>
      </c>
      <c r="D224" s="80"/>
      <c r="E224" s="80"/>
      <c r="F224" s="33"/>
      <c r="G224" s="33"/>
      <c r="H224" s="16"/>
      <c r="I224" s="16"/>
      <c r="J224" s="16"/>
      <c r="K224" s="11"/>
      <c r="L224" s="16">
        <f t="shared" si="12"/>
        <v>0</v>
      </c>
      <c r="M224" s="11"/>
      <c r="N224" s="11"/>
      <c r="O224" s="16">
        <f t="shared" si="13"/>
        <v>0</v>
      </c>
      <c r="P224" s="16">
        <f t="shared" si="14"/>
        <v>0</v>
      </c>
      <c r="Q224" s="18"/>
      <c r="R224" s="16">
        <v>0</v>
      </c>
      <c r="S224" s="22">
        <f t="shared" si="15"/>
        <v>0</v>
      </c>
      <c r="T224" s="11"/>
    </row>
    <row r="225" spans="1:20" x14ac:dyDescent="0.2">
      <c r="A225" s="51">
        <f>+'SERVICIO FAENA'!A225</f>
        <v>0</v>
      </c>
      <c r="B225" s="32">
        <f>+'SERVICIO FAENA'!B225</f>
        <v>0</v>
      </c>
      <c r="C225" s="11">
        <f>+'SERVICIO FAENA'!C225</f>
        <v>0</v>
      </c>
      <c r="D225" s="81"/>
      <c r="E225" s="81"/>
      <c r="F225" s="26"/>
      <c r="G225" s="26"/>
      <c r="H225" s="42"/>
      <c r="I225" s="42"/>
      <c r="J225" s="42"/>
      <c r="K225" s="23"/>
      <c r="L225" s="16">
        <f t="shared" si="12"/>
        <v>0</v>
      </c>
      <c r="M225" s="23"/>
      <c r="N225" s="23"/>
      <c r="O225" s="16">
        <f t="shared" si="13"/>
        <v>0</v>
      </c>
      <c r="P225" s="16">
        <f t="shared" si="14"/>
        <v>0</v>
      </c>
      <c r="Q225" s="25"/>
      <c r="R225" s="16">
        <v>0</v>
      </c>
      <c r="S225" s="22">
        <f t="shared" si="15"/>
        <v>0</v>
      </c>
      <c r="T225" s="23"/>
    </row>
    <row r="226" spans="1:20" x14ac:dyDescent="0.2">
      <c r="A226" s="51">
        <f>+'SERVICIO FAENA'!A226</f>
        <v>0</v>
      </c>
      <c r="B226" s="32">
        <f>+'SERVICIO FAENA'!B226</f>
        <v>0</v>
      </c>
      <c r="C226" s="11">
        <f>+'SERVICIO FAENA'!C226</f>
        <v>0</v>
      </c>
      <c r="D226" s="80"/>
      <c r="E226" s="80"/>
      <c r="F226" s="33"/>
      <c r="G226" s="33"/>
      <c r="H226" s="16"/>
      <c r="I226" s="16"/>
      <c r="J226" s="16"/>
      <c r="K226" s="11"/>
      <c r="L226" s="16">
        <f t="shared" si="12"/>
        <v>0</v>
      </c>
      <c r="M226" s="11"/>
      <c r="N226" s="11"/>
      <c r="O226" s="16">
        <f t="shared" si="13"/>
        <v>0</v>
      </c>
      <c r="P226" s="16">
        <f t="shared" si="14"/>
        <v>0</v>
      </c>
      <c r="Q226" s="18"/>
      <c r="R226" s="16">
        <v>0</v>
      </c>
      <c r="S226" s="22">
        <f t="shared" si="15"/>
        <v>0</v>
      </c>
      <c r="T226" s="11"/>
    </row>
    <row r="227" spans="1:20" x14ac:dyDescent="0.2">
      <c r="A227" s="51">
        <f>+'SERVICIO FAENA'!A227</f>
        <v>0</v>
      </c>
      <c r="B227" s="32">
        <f>+'SERVICIO FAENA'!B227</f>
        <v>0</v>
      </c>
      <c r="C227" s="11">
        <f>+'SERVICIO FAENA'!C227</f>
        <v>0</v>
      </c>
      <c r="D227" s="81"/>
      <c r="E227" s="81"/>
      <c r="F227" s="26"/>
      <c r="G227" s="26"/>
      <c r="H227" s="42"/>
      <c r="I227" s="42"/>
      <c r="J227" s="42"/>
      <c r="K227" s="23"/>
      <c r="L227" s="16">
        <f t="shared" si="12"/>
        <v>0</v>
      </c>
      <c r="M227" s="23"/>
      <c r="N227" s="23"/>
      <c r="O227" s="16">
        <f t="shared" si="13"/>
        <v>0</v>
      </c>
      <c r="P227" s="16">
        <f t="shared" si="14"/>
        <v>0</v>
      </c>
      <c r="Q227" s="25"/>
      <c r="R227" s="16">
        <v>0</v>
      </c>
      <c r="S227" s="22">
        <f t="shared" si="15"/>
        <v>0</v>
      </c>
      <c r="T227" s="23"/>
    </row>
    <row r="228" spans="1:20" x14ac:dyDescent="0.2">
      <c r="A228" s="51">
        <f>+'SERVICIO FAENA'!A228</f>
        <v>0</v>
      </c>
      <c r="B228" s="32">
        <f>+'SERVICIO FAENA'!B228</f>
        <v>0</v>
      </c>
      <c r="C228" s="11">
        <f>+'SERVICIO FAENA'!C228</f>
        <v>0</v>
      </c>
      <c r="D228" s="80"/>
      <c r="E228" s="80"/>
      <c r="F228" s="33"/>
      <c r="G228" s="33"/>
      <c r="H228" s="16"/>
      <c r="I228" s="16"/>
      <c r="J228" s="16"/>
      <c r="K228" s="11"/>
      <c r="L228" s="16">
        <f t="shared" si="12"/>
        <v>0</v>
      </c>
      <c r="M228" s="11"/>
      <c r="N228" s="11"/>
      <c r="O228" s="16">
        <f t="shared" si="13"/>
        <v>0</v>
      </c>
      <c r="P228" s="16">
        <f t="shared" si="14"/>
        <v>0</v>
      </c>
      <c r="Q228" s="18"/>
      <c r="R228" s="16">
        <v>0</v>
      </c>
      <c r="S228" s="22">
        <f t="shared" si="15"/>
        <v>0</v>
      </c>
      <c r="T228" s="11"/>
    </row>
    <row r="229" spans="1:20" x14ac:dyDescent="0.2">
      <c r="A229" s="51">
        <f>+'SERVICIO FAENA'!A229</f>
        <v>0</v>
      </c>
      <c r="B229" s="32">
        <f>+'SERVICIO FAENA'!B229</f>
        <v>0</v>
      </c>
      <c r="C229" s="11">
        <f>+'SERVICIO FAENA'!C229</f>
        <v>0</v>
      </c>
      <c r="D229" s="81"/>
      <c r="E229" s="81"/>
      <c r="F229" s="26"/>
      <c r="G229" s="26"/>
      <c r="H229" s="42"/>
      <c r="I229" s="42"/>
      <c r="J229" s="42"/>
      <c r="K229" s="23"/>
      <c r="L229" s="16">
        <f t="shared" si="12"/>
        <v>0</v>
      </c>
      <c r="M229" s="23"/>
      <c r="N229" s="23"/>
      <c r="O229" s="16">
        <f t="shared" si="13"/>
        <v>0</v>
      </c>
      <c r="P229" s="16">
        <f t="shared" si="14"/>
        <v>0</v>
      </c>
      <c r="Q229" s="25"/>
      <c r="R229" s="16">
        <v>0</v>
      </c>
      <c r="S229" s="22">
        <f t="shared" si="15"/>
        <v>0</v>
      </c>
      <c r="T229" s="23"/>
    </row>
    <row r="230" spans="1:20" x14ac:dyDescent="0.2">
      <c r="A230" s="51">
        <f>+'SERVICIO FAENA'!A230</f>
        <v>0</v>
      </c>
      <c r="B230" s="32">
        <f>+'SERVICIO FAENA'!B230</f>
        <v>0</v>
      </c>
      <c r="C230" s="11">
        <f>+'SERVICIO FAENA'!C230</f>
        <v>0</v>
      </c>
      <c r="D230" s="80"/>
      <c r="E230" s="80"/>
      <c r="F230" s="33"/>
      <c r="G230" s="33"/>
      <c r="H230" s="16"/>
      <c r="I230" s="16"/>
      <c r="J230" s="16"/>
      <c r="K230" s="11"/>
      <c r="L230" s="16">
        <f t="shared" si="12"/>
        <v>0</v>
      </c>
      <c r="M230" s="11"/>
      <c r="N230" s="11"/>
      <c r="O230" s="16">
        <f t="shared" si="13"/>
        <v>0</v>
      </c>
      <c r="P230" s="16">
        <f t="shared" si="14"/>
        <v>0</v>
      </c>
      <c r="Q230" s="18"/>
      <c r="R230" s="16">
        <v>0</v>
      </c>
      <c r="S230" s="22">
        <f t="shared" si="15"/>
        <v>0</v>
      </c>
      <c r="T230" s="11"/>
    </row>
    <row r="231" spans="1:20" x14ac:dyDescent="0.2">
      <c r="A231" s="51">
        <f>+'SERVICIO FAENA'!A231</f>
        <v>0</v>
      </c>
      <c r="B231" s="32">
        <f>+'SERVICIO FAENA'!B231</f>
        <v>0</v>
      </c>
      <c r="C231" s="11">
        <f>+'SERVICIO FAENA'!C231</f>
        <v>0</v>
      </c>
      <c r="D231" s="81"/>
      <c r="E231" s="81"/>
      <c r="F231" s="26"/>
      <c r="G231" s="26"/>
      <c r="H231" s="42"/>
      <c r="I231" s="42"/>
      <c r="J231" s="42"/>
      <c r="K231" s="23"/>
      <c r="L231" s="16">
        <f t="shared" si="12"/>
        <v>0</v>
      </c>
      <c r="M231" s="23"/>
      <c r="N231" s="23"/>
      <c r="O231" s="16">
        <f t="shared" si="13"/>
        <v>0</v>
      </c>
      <c r="P231" s="16">
        <f t="shared" si="14"/>
        <v>0</v>
      </c>
      <c r="Q231" s="25"/>
      <c r="R231" s="16">
        <v>0</v>
      </c>
      <c r="S231" s="22">
        <f t="shared" si="15"/>
        <v>0</v>
      </c>
      <c r="T231" s="23"/>
    </row>
    <row r="232" spans="1:20" x14ac:dyDescent="0.2">
      <c r="A232" s="51">
        <f>+'SERVICIO FAENA'!A232</f>
        <v>0</v>
      </c>
      <c r="B232" s="32">
        <f>+'SERVICIO FAENA'!B232</f>
        <v>0</v>
      </c>
      <c r="C232" s="11">
        <f>+'SERVICIO FAENA'!C232</f>
        <v>0</v>
      </c>
      <c r="D232" s="80"/>
      <c r="E232" s="80"/>
      <c r="F232" s="33"/>
      <c r="G232" s="33"/>
      <c r="H232" s="16"/>
      <c r="I232" s="16"/>
      <c r="J232" s="16"/>
      <c r="K232" s="11"/>
      <c r="L232" s="16">
        <f t="shared" si="12"/>
        <v>0</v>
      </c>
      <c r="M232" s="11"/>
      <c r="N232" s="11"/>
      <c r="O232" s="16">
        <f t="shared" si="13"/>
        <v>0</v>
      </c>
      <c r="P232" s="16">
        <f t="shared" si="14"/>
        <v>0</v>
      </c>
      <c r="Q232" s="18"/>
      <c r="R232" s="16">
        <v>0</v>
      </c>
      <c r="S232" s="22">
        <f t="shared" si="15"/>
        <v>0</v>
      </c>
      <c r="T232" s="11"/>
    </row>
    <row r="233" spans="1:20" x14ac:dyDescent="0.2">
      <c r="A233" s="51">
        <f>+'SERVICIO FAENA'!A233</f>
        <v>0</v>
      </c>
      <c r="B233" s="32">
        <f>+'SERVICIO FAENA'!B233</f>
        <v>0</v>
      </c>
      <c r="C233" s="11">
        <f>+'SERVICIO FAENA'!C233</f>
        <v>0</v>
      </c>
      <c r="D233" s="81"/>
      <c r="E233" s="81"/>
      <c r="F233" s="26"/>
      <c r="G233" s="26"/>
      <c r="H233" s="42"/>
      <c r="I233" s="42"/>
      <c r="J233" s="42"/>
      <c r="K233" s="23"/>
      <c r="L233" s="16">
        <f t="shared" si="12"/>
        <v>0</v>
      </c>
      <c r="M233" s="23"/>
      <c r="N233" s="23"/>
      <c r="O233" s="16">
        <f t="shared" si="13"/>
        <v>0</v>
      </c>
      <c r="P233" s="16">
        <f t="shared" si="14"/>
        <v>0</v>
      </c>
      <c r="Q233" s="25"/>
      <c r="R233" s="16">
        <v>0</v>
      </c>
      <c r="S233" s="22">
        <f t="shared" si="15"/>
        <v>0</v>
      </c>
      <c r="T233" s="23"/>
    </row>
    <row r="234" spans="1:20" x14ac:dyDescent="0.2">
      <c r="A234" s="51">
        <f>+'SERVICIO FAENA'!A234</f>
        <v>0</v>
      </c>
      <c r="B234" s="32">
        <f>+'SERVICIO FAENA'!B234</f>
        <v>0</v>
      </c>
      <c r="C234" s="11">
        <f>+'SERVICIO FAENA'!C234</f>
        <v>0</v>
      </c>
      <c r="D234" s="80"/>
      <c r="E234" s="80"/>
      <c r="F234" s="33"/>
      <c r="G234" s="33"/>
      <c r="H234" s="16"/>
      <c r="I234" s="16"/>
      <c r="J234" s="16"/>
      <c r="K234" s="11"/>
      <c r="L234" s="16">
        <f t="shared" si="12"/>
        <v>0</v>
      </c>
      <c r="M234" s="11"/>
      <c r="N234" s="11"/>
      <c r="O234" s="16">
        <f t="shared" si="13"/>
        <v>0</v>
      </c>
      <c r="P234" s="16">
        <f t="shared" si="14"/>
        <v>0</v>
      </c>
      <c r="Q234" s="18"/>
      <c r="R234" s="16">
        <v>0</v>
      </c>
      <c r="S234" s="22">
        <f t="shared" si="15"/>
        <v>0</v>
      </c>
      <c r="T234" s="11"/>
    </row>
    <row r="235" spans="1:20" x14ac:dyDescent="0.2">
      <c r="A235" s="51">
        <f>+'SERVICIO FAENA'!A235</f>
        <v>0</v>
      </c>
      <c r="B235" s="32">
        <f>+'SERVICIO FAENA'!B235</f>
        <v>0</v>
      </c>
      <c r="C235" s="11">
        <f>+'SERVICIO FAENA'!C235</f>
        <v>0</v>
      </c>
      <c r="D235" s="81"/>
      <c r="E235" s="81"/>
      <c r="F235" s="26"/>
      <c r="G235" s="26"/>
      <c r="H235" s="42"/>
      <c r="I235" s="42"/>
      <c r="J235" s="42"/>
      <c r="K235" s="23"/>
      <c r="L235" s="16">
        <f t="shared" si="12"/>
        <v>0</v>
      </c>
      <c r="M235" s="23"/>
      <c r="N235" s="23"/>
      <c r="O235" s="16">
        <f t="shared" si="13"/>
        <v>0</v>
      </c>
      <c r="P235" s="16">
        <f t="shared" si="14"/>
        <v>0</v>
      </c>
      <c r="Q235" s="25"/>
      <c r="R235" s="16">
        <v>0</v>
      </c>
      <c r="S235" s="22">
        <f t="shared" si="15"/>
        <v>0</v>
      </c>
      <c r="T235" s="23"/>
    </row>
    <row r="236" spans="1:20" x14ac:dyDescent="0.2">
      <c r="A236" s="51">
        <f>+'SERVICIO FAENA'!A236</f>
        <v>0</v>
      </c>
      <c r="B236" s="32">
        <f>+'SERVICIO FAENA'!B236</f>
        <v>0</v>
      </c>
      <c r="C236" s="11">
        <f>+'SERVICIO FAENA'!C236</f>
        <v>0</v>
      </c>
      <c r="D236" s="80"/>
      <c r="E236" s="80"/>
      <c r="F236" s="33"/>
      <c r="G236" s="33"/>
      <c r="H236" s="16"/>
      <c r="I236" s="16"/>
      <c r="J236" s="16"/>
      <c r="K236" s="11"/>
      <c r="L236" s="16">
        <f t="shared" si="12"/>
        <v>0</v>
      </c>
      <c r="M236" s="11"/>
      <c r="N236" s="11"/>
      <c r="O236" s="16">
        <f t="shared" si="13"/>
        <v>0</v>
      </c>
      <c r="P236" s="16">
        <f t="shared" si="14"/>
        <v>0</v>
      </c>
      <c r="Q236" s="18"/>
      <c r="R236" s="16">
        <v>0</v>
      </c>
      <c r="S236" s="22">
        <f t="shared" si="15"/>
        <v>0</v>
      </c>
      <c r="T236" s="11"/>
    </row>
    <row r="237" spans="1:20" x14ac:dyDescent="0.2">
      <c r="A237" s="51">
        <f>+'SERVICIO FAENA'!A237</f>
        <v>0</v>
      </c>
      <c r="B237" s="32">
        <f>+'SERVICIO FAENA'!B237</f>
        <v>0</v>
      </c>
      <c r="C237" s="11">
        <f>+'SERVICIO FAENA'!C237</f>
        <v>0</v>
      </c>
      <c r="D237" s="81"/>
      <c r="E237" s="81"/>
      <c r="F237" s="26"/>
      <c r="G237" s="26"/>
      <c r="H237" s="42"/>
      <c r="I237" s="42"/>
      <c r="J237" s="42"/>
      <c r="K237" s="23"/>
      <c r="L237" s="16">
        <f t="shared" si="12"/>
        <v>0</v>
      </c>
      <c r="M237" s="23"/>
      <c r="N237" s="23"/>
      <c r="O237" s="16">
        <f t="shared" si="13"/>
        <v>0</v>
      </c>
      <c r="P237" s="16">
        <f t="shared" si="14"/>
        <v>0</v>
      </c>
      <c r="Q237" s="25"/>
      <c r="R237" s="16">
        <v>0</v>
      </c>
      <c r="S237" s="22">
        <f t="shared" si="15"/>
        <v>0</v>
      </c>
      <c r="T237" s="23"/>
    </row>
    <row r="238" spans="1:20" x14ac:dyDescent="0.2">
      <c r="A238" s="51">
        <f>+'SERVICIO FAENA'!A238</f>
        <v>0</v>
      </c>
      <c r="B238" s="32">
        <f>+'SERVICIO FAENA'!B238</f>
        <v>0</v>
      </c>
      <c r="C238" s="11">
        <f>+'SERVICIO FAENA'!C238</f>
        <v>0</v>
      </c>
      <c r="D238" s="80"/>
      <c r="E238" s="80"/>
      <c r="F238" s="33"/>
      <c r="G238" s="33"/>
      <c r="H238" s="16"/>
      <c r="I238" s="16"/>
      <c r="J238" s="16"/>
      <c r="K238" s="11"/>
      <c r="L238" s="16">
        <f t="shared" si="12"/>
        <v>0</v>
      </c>
      <c r="M238" s="11"/>
      <c r="N238" s="11"/>
      <c r="O238" s="16">
        <f t="shared" si="13"/>
        <v>0</v>
      </c>
      <c r="P238" s="16">
        <f t="shared" si="14"/>
        <v>0</v>
      </c>
      <c r="Q238" s="18"/>
      <c r="R238" s="16">
        <v>0</v>
      </c>
      <c r="S238" s="22">
        <f t="shared" si="15"/>
        <v>0</v>
      </c>
      <c r="T238" s="11"/>
    </row>
    <row r="239" spans="1:20" x14ac:dyDescent="0.2">
      <c r="A239" s="51">
        <f>+'SERVICIO FAENA'!A239</f>
        <v>0</v>
      </c>
      <c r="B239" s="32">
        <f>+'SERVICIO FAENA'!B239</f>
        <v>0</v>
      </c>
      <c r="C239" s="11">
        <f>+'SERVICIO FAENA'!C239</f>
        <v>0</v>
      </c>
      <c r="D239" s="81"/>
      <c r="E239" s="81"/>
      <c r="F239" s="26"/>
      <c r="G239" s="26"/>
      <c r="H239" s="42"/>
      <c r="I239" s="42"/>
      <c r="J239" s="42"/>
      <c r="K239" s="23"/>
      <c r="L239" s="16">
        <f t="shared" si="12"/>
        <v>0</v>
      </c>
      <c r="M239" s="23"/>
      <c r="N239" s="23"/>
      <c r="O239" s="16">
        <f t="shared" si="13"/>
        <v>0</v>
      </c>
      <c r="P239" s="16">
        <f t="shared" si="14"/>
        <v>0</v>
      </c>
      <c r="Q239" s="25"/>
      <c r="R239" s="16">
        <v>0</v>
      </c>
      <c r="S239" s="22">
        <f t="shared" si="15"/>
        <v>0</v>
      </c>
      <c r="T239" s="23"/>
    </row>
    <row r="240" spans="1:20" x14ac:dyDescent="0.2">
      <c r="A240" s="51">
        <f>+'SERVICIO FAENA'!A240</f>
        <v>0</v>
      </c>
      <c r="B240" s="32">
        <f>+'SERVICIO FAENA'!B240</f>
        <v>0</v>
      </c>
      <c r="C240" s="11">
        <f>+'SERVICIO FAENA'!C240</f>
        <v>0</v>
      </c>
      <c r="D240" s="80"/>
      <c r="E240" s="80"/>
      <c r="F240" s="33"/>
      <c r="G240" s="33"/>
      <c r="H240" s="16"/>
      <c r="I240" s="16"/>
      <c r="J240" s="16"/>
      <c r="K240" s="11"/>
      <c r="L240" s="16">
        <f t="shared" si="12"/>
        <v>0</v>
      </c>
      <c r="M240" s="11"/>
      <c r="N240" s="11"/>
      <c r="O240" s="16">
        <f t="shared" si="13"/>
        <v>0</v>
      </c>
      <c r="P240" s="16">
        <f t="shared" si="14"/>
        <v>0</v>
      </c>
      <c r="Q240" s="18"/>
      <c r="R240" s="16">
        <v>0</v>
      </c>
      <c r="S240" s="22">
        <f t="shared" si="15"/>
        <v>0</v>
      </c>
      <c r="T240" s="11"/>
    </row>
    <row r="241" spans="1:20" x14ac:dyDescent="0.2">
      <c r="A241" s="51">
        <f>+'SERVICIO FAENA'!A241</f>
        <v>0</v>
      </c>
      <c r="B241" s="32">
        <f>+'SERVICIO FAENA'!B241</f>
        <v>0</v>
      </c>
      <c r="C241" s="11">
        <f>+'SERVICIO FAENA'!C241</f>
        <v>0</v>
      </c>
      <c r="D241" s="81"/>
      <c r="E241" s="81"/>
      <c r="F241" s="26"/>
      <c r="G241" s="26"/>
      <c r="H241" s="42"/>
      <c r="I241" s="42"/>
      <c r="J241" s="42"/>
      <c r="K241" s="23"/>
      <c r="L241" s="16">
        <f t="shared" si="12"/>
        <v>0</v>
      </c>
      <c r="M241" s="23"/>
      <c r="N241" s="23"/>
      <c r="O241" s="16">
        <f t="shared" si="13"/>
        <v>0</v>
      </c>
      <c r="P241" s="16">
        <f t="shared" si="14"/>
        <v>0</v>
      </c>
      <c r="Q241" s="25"/>
      <c r="R241" s="16">
        <v>0</v>
      </c>
      <c r="S241" s="22">
        <f t="shared" si="15"/>
        <v>0</v>
      </c>
      <c r="T241" s="23"/>
    </row>
    <row r="242" spans="1:20" x14ac:dyDescent="0.2">
      <c r="A242" s="51">
        <f>+'SERVICIO FAENA'!A242</f>
        <v>0</v>
      </c>
      <c r="B242" s="32">
        <f>+'SERVICIO FAENA'!B242</f>
        <v>0</v>
      </c>
      <c r="C242" s="11">
        <f>+'SERVICIO FAENA'!C242</f>
        <v>0</v>
      </c>
      <c r="D242" s="80"/>
      <c r="E242" s="80"/>
      <c r="F242" s="33"/>
      <c r="G242" s="33"/>
      <c r="H242" s="16"/>
      <c r="I242" s="16"/>
      <c r="J242" s="16"/>
      <c r="K242" s="11"/>
      <c r="L242" s="16">
        <f t="shared" si="12"/>
        <v>0</v>
      </c>
      <c r="M242" s="11"/>
      <c r="N242" s="11"/>
      <c r="O242" s="16">
        <f t="shared" si="13"/>
        <v>0</v>
      </c>
      <c r="P242" s="16">
        <f t="shared" si="14"/>
        <v>0</v>
      </c>
      <c r="Q242" s="18"/>
      <c r="R242" s="16">
        <v>0</v>
      </c>
      <c r="S242" s="22">
        <f t="shared" si="15"/>
        <v>0</v>
      </c>
      <c r="T242" s="11"/>
    </row>
    <row r="243" spans="1:20" x14ac:dyDescent="0.2">
      <c r="A243" s="51">
        <f>+'SERVICIO FAENA'!A243</f>
        <v>0</v>
      </c>
      <c r="B243" s="32">
        <f>+'SERVICIO FAENA'!B243</f>
        <v>0</v>
      </c>
      <c r="C243" s="11">
        <f>+'SERVICIO FAENA'!C243</f>
        <v>0</v>
      </c>
      <c r="D243" s="81"/>
      <c r="E243" s="81"/>
      <c r="F243" s="26"/>
      <c r="G243" s="26"/>
      <c r="H243" s="42"/>
      <c r="I243" s="42"/>
      <c r="J243" s="42"/>
      <c r="K243" s="23"/>
      <c r="L243" s="16">
        <f t="shared" si="12"/>
        <v>0</v>
      </c>
      <c r="M243" s="23"/>
      <c r="N243" s="23"/>
      <c r="O243" s="16">
        <f t="shared" si="13"/>
        <v>0</v>
      </c>
      <c r="P243" s="16">
        <f t="shared" si="14"/>
        <v>0</v>
      </c>
      <c r="Q243" s="25"/>
      <c r="R243" s="16">
        <v>0</v>
      </c>
      <c r="S243" s="22">
        <f t="shared" si="15"/>
        <v>0</v>
      </c>
      <c r="T243" s="23"/>
    </row>
    <row r="244" spans="1:20" x14ac:dyDescent="0.2">
      <c r="A244" s="51">
        <f>+'SERVICIO FAENA'!A244</f>
        <v>0</v>
      </c>
      <c r="B244" s="32">
        <f>+'SERVICIO FAENA'!B244</f>
        <v>0</v>
      </c>
      <c r="C244" s="11">
        <f>+'SERVICIO FAENA'!C244</f>
        <v>0</v>
      </c>
      <c r="D244" s="80"/>
      <c r="E244" s="80"/>
      <c r="F244" s="33"/>
      <c r="G244" s="33"/>
      <c r="H244" s="16"/>
      <c r="I244" s="16"/>
      <c r="J244" s="16"/>
      <c r="K244" s="11"/>
      <c r="L244" s="16">
        <f t="shared" si="12"/>
        <v>0</v>
      </c>
      <c r="M244" s="11"/>
      <c r="N244" s="11"/>
      <c r="O244" s="16">
        <f t="shared" si="13"/>
        <v>0</v>
      </c>
      <c r="P244" s="16">
        <f t="shared" si="14"/>
        <v>0</v>
      </c>
      <c r="Q244" s="18"/>
      <c r="R244" s="16">
        <v>0</v>
      </c>
      <c r="S244" s="22">
        <f t="shared" si="15"/>
        <v>0</v>
      </c>
      <c r="T244" s="11"/>
    </row>
    <row r="245" spans="1:20" x14ac:dyDescent="0.2">
      <c r="A245" s="51">
        <f>+'SERVICIO FAENA'!A245</f>
        <v>0</v>
      </c>
      <c r="B245" s="32">
        <f>+'SERVICIO FAENA'!B245</f>
        <v>0</v>
      </c>
      <c r="C245" s="11">
        <f>+'SERVICIO FAENA'!C245</f>
        <v>0</v>
      </c>
      <c r="D245" s="81"/>
      <c r="E245" s="81"/>
      <c r="F245" s="26"/>
      <c r="G245" s="26"/>
      <c r="H245" s="42"/>
      <c r="I245" s="42"/>
      <c r="J245" s="42"/>
      <c r="K245" s="23"/>
      <c r="L245" s="16">
        <f t="shared" si="12"/>
        <v>0</v>
      </c>
      <c r="M245" s="23"/>
      <c r="N245" s="23"/>
      <c r="O245" s="16">
        <f t="shared" si="13"/>
        <v>0</v>
      </c>
      <c r="P245" s="16">
        <f t="shared" si="14"/>
        <v>0</v>
      </c>
      <c r="Q245" s="25"/>
      <c r="R245" s="16">
        <v>0</v>
      </c>
      <c r="S245" s="22">
        <f t="shared" si="15"/>
        <v>0</v>
      </c>
      <c r="T245" s="23"/>
    </row>
    <row r="246" spans="1:20" x14ac:dyDescent="0.2">
      <c r="A246" s="51">
        <f>+'SERVICIO FAENA'!A246</f>
        <v>0</v>
      </c>
      <c r="B246" s="32">
        <f>+'SERVICIO FAENA'!B246</f>
        <v>0</v>
      </c>
      <c r="C246" s="11">
        <f>+'SERVICIO FAENA'!C246</f>
        <v>0</v>
      </c>
      <c r="D246" s="80"/>
      <c r="E246" s="80"/>
      <c r="F246" s="33"/>
      <c r="G246" s="33"/>
      <c r="H246" s="16"/>
      <c r="I246" s="16"/>
      <c r="J246" s="16"/>
      <c r="K246" s="11"/>
      <c r="L246" s="16">
        <f t="shared" si="12"/>
        <v>0</v>
      </c>
      <c r="M246" s="11"/>
      <c r="N246" s="11"/>
      <c r="O246" s="16">
        <f t="shared" si="13"/>
        <v>0</v>
      </c>
      <c r="P246" s="16">
        <f t="shared" si="14"/>
        <v>0</v>
      </c>
      <c r="Q246" s="18"/>
      <c r="R246" s="16">
        <v>0</v>
      </c>
      <c r="S246" s="22">
        <f t="shared" si="15"/>
        <v>0</v>
      </c>
      <c r="T246" s="11"/>
    </row>
    <row r="247" spans="1:20" x14ac:dyDescent="0.2">
      <c r="A247" s="51">
        <f>+'SERVICIO FAENA'!A247</f>
        <v>0</v>
      </c>
      <c r="B247" s="32">
        <f>+'SERVICIO FAENA'!B247</f>
        <v>0</v>
      </c>
      <c r="C247" s="11">
        <f>+'SERVICIO FAENA'!C247</f>
        <v>0</v>
      </c>
      <c r="D247" s="81"/>
      <c r="E247" s="81"/>
      <c r="F247" s="26"/>
      <c r="G247" s="26"/>
      <c r="H247" s="42"/>
      <c r="I247" s="42"/>
      <c r="J247" s="42"/>
      <c r="K247" s="23"/>
      <c r="L247" s="16">
        <f t="shared" ref="L247:L310" si="16">+K247*F247</f>
        <v>0</v>
      </c>
      <c r="M247" s="23"/>
      <c r="N247" s="23"/>
      <c r="O247" s="16">
        <f t="shared" ref="O247:O310" si="17">+K247*F247</f>
        <v>0</v>
      </c>
      <c r="P247" s="16">
        <f t="shared" ref="P247:P310" si="18">+(L247*10.5/100)+L247</f>
        <v>0</v>
      </c>
      <c r="Q247" s="25"/>
      <c r="R247" s="16">
        <v>0</v>
      </c>
      <c r="S247" s="22">
        <f t="shared" ref="S247:S310" si="19">+R247-P247</f>
        <v>0</v>
      </c>
      <c r="T247" s="23"/>
    </row>
    <row r="248" spans="1:20" x14ac:dyDescent="0.2">
      <c r="A248" s="51">
        <f>+'SERVICIO FAENA'!A248</f>
        <v>0</v>
      </c>
      <c r="B248" s="32">
        <f>+'SERVICIO FAENA'!B248</f>
        <v>0</v>
      </c>
      <c r="C248" s="11">
        <f>+'SERVICIO FAENA'!C248</f>
        <v>0</v>
      </c>
      <c r="D248" s="80"/>
      <c r="E248" s="80"/>
      <c r="F248" s="33"/>
      <c r="G248" s="33"/>
      <c r="H248" s="16"/>
      <c r="I248" s="16"/>
      <c r="J248" s="16"/>
      <c r="K248" s="11"/>
      <c r="L248" s="16">
        <f t="shared" si="16"/>
        <v>0</v>
      </c>
      <c r="M248" s="11"/>
      <c r="N248" s="11"/>
      <c r="O248" s="16">
        <f t="shared" si="17"/>
        <v>0</v>
      </c>
      <c r="P248" s="16">
        <f t="shared" si="18"/>
        <v>0</v>
      </c>
      <c r="Q248" s="18"/>
      <c r="R248" s="16">
        <v>0</v>
      </c>
      <c r="S248" s="22">
        <f t="shared" si="19"/>
        <v>0</v>
      </c>
      <c r="T248" s="11"/>
    </row>
    <row r="249" spans="1:20" x14ac:dyDescent="0.2">
      <c r="A249" s="51">
        <f>+'SERVICIO FAENA'!A249</f>
        <v>0</v>
      </c>
      <c r="B249" s="32">
        <f>+'SERVICIO FAENA'!B249</f>
        <v>0</v>
      </c>
      <c r="C249" s="11">
        <f>+'SERVICIO FAENA'!C249</f>
        <v>0</v>
      </c>
      <c r="D249" s="81"/>
      <c r="E249" s="81"/>
      <c r="F249" s="26"/>
      <c r="G249" s="26"/>
      <c r="H249" s="42"/>
      <c r="I249" s="42"/>
      <c r="J249" s="42"/>
      <c r="K249" s="23"/>
      <c r="L249" s="16">
        <f t="shared" si="16"/>
        <v>0</v>
      </c>
      <c r="M249" s="23"/>
      <c r="N249" s="23"/>
      <c r="O249" s="16">
        <f t="shared" si="17"/>
        <v>0</v>
      </c>
      <c r="P249" s="16">
        <f t="shared" si="18"/>
        <v>0</v>
      </c>
      <c r="Q249" s="25"/>
      <c r="R249" s="16">
        <v>0</v>
      </c>
      <c r="S249" s="22">
        <f t="shared" si="19"/>
        <v>0</v>
      </c>
      <c r="T249" s="23"/>
    </row>
    <row r="250" spans="1:20" x14ac:dyDescent="0.2">
      <c r="A250" s="51">
        <f>+'SERVICIO FAENA'!A250</f>
        <v>0</v>
      </c>
      <c r="B250" s="32">
        <f>+'SERVICIO FAENA'!B250</f>
        <v>0</v>
      </c>
      <c r="C250" s="11">
        <f>+'SERVICIO FAENA'!C250</f>
        <v>0</v>
      </c>
      <c r="D250" s="80"/>
      <c r="E250" s="80"/>
      <c r="F250" s="33"/>
      <c r="G250" s="33"/>
      <c r="H250" s="16"/>
      <c r="I250" s="16"/>
      <c r="J250" s="16"/>
      <c r="K250" s="11"/>
      <c r="L250" s="16">
        <f t="shared" si="16"/>
        <v>0</v>
      </c>
      <c r="M250" s="11"/>
      <c r="N250" s="11"/>
      <c r="O250" s="16">
        <f t="shared" si="17"/>
        <v>0</v>
      </c>
      <c r="P250" s="16">
        <f t="shared" si="18"/>
        <v>0</v>
      </c>
      <c r="Q250" s="18"/>
      <c r="R250" s="16">
        <v>0</v>
      </c>
      <c r="S250" s="22">
        <f t="shared" si="19"/>
        <v>0</v>
      </c>
      <c r="T250" s="11"/>
    </row>
    <row r="251" spans="1:20" x14ac:dyDescent="0.2">
      <c r="A251" s="51">
        <f>+'SERVICIO FAENA'!A251</f>
        <v>0</v>
      </c>
      <c r="B251" s="32">
        <f>+'SERVICIO FAENA'!B251</f>
        <v>0</v>
      </c>
      <c r="C251" s="11">
        <f>+'SERVICIO FAENA'!C251</f>
        <v>0</v>
      </c>
      <c r="D251" s="81"/>
      <c r="E251" s="81"/>
      <c r="F251" s="26"/>
      <c r="G251" s="26"/>
      <c r="H251" s="42"/>
      <c r="I251" s="42"/>
      <c r="J251" s="42"/>
      <c r="K251" s="23"/>
      <c r="L251" s="16">
        <f t="shared" si="16"/>
        <v>0</v>
      </c>
      <c r="M251" s="23"/>
      <c r="N251" s="23"/>
      <c r="O251" s="16">
        <f t="shared" si="17"/>
        <v>0</v>
      </c>
      <c r="P251" s="16">
        <f t="shared" si="18"/>
        <v>0</v>
      </c>
      <c r="Q251" s="25"/>
      <c r="R251" s="16">
        <v>0</v>
      </c>
      <c r="S251" s="22">
        <f t="shared" si="19"/>
        <v>0</v>
      </c>
      <c r="T251" s="23"/>
    </row>
    <row r="252" spans="1:20" x14ac:dyDescent="0.2">
      <c r="A252" s="51">
        <f>+'SERVICIO FAENA'!A252</f>
        <v>0</v>
      </c>
      <c r="B252" s="32">
        <f>+'SERVICIO FAENA'!B252</f>
        <v>0</v>
      </c>
      <c r="C252" s="11">
        <f>+'SERVICIO FAENA'!C252</f>
        <v>0</v>
      </c>
      <c r="D252" s="80"/>
      <c r="E252" s="80"/>
      <c r="F252" s="33"/>
      <c r="G252" s="33"/>
      <c r="H252" s="16"/>
      <c r="I252" s="16"/>
      <c r="J252" s="16"/>
      <c r="K252" s="11"/>
      <c r="L252" s="16">
        <f t="shared" si="16"/>
        <v>0</v>
      </c>
      <c r="M252" s="11"/>
      <c r="N252" s="11"/>
      <c r="O252" s="16">
        <f t="shared" si="17"/>
        <v>0</v>
      </c>
      <c r="P252" s="16">
        <f t="shared" si="18"/>
        <v>0</v>
      </c>
      <c r="Q252" s="18"/>
      <c r="R252" s="16">
        <v>0</v>
      </c>
      <c r="S252" s="22">
        <f t="shared" si="19"/>
        <v>0</v>
      </c>
      <c r="T252" s="11"/>
    </row>
    <row r="253" spans="1:20" x14ac:dyDescent="0.2">
      <c r="A253" s="51">
        <f>+'SERVICIO FAENA'!A253</f>
        <v>0</v>
      </c>
      <c r="B253" s="32">
        <f>+'SERVICIO FAENA'!B253</f>
        <v>0</v>
      </c>
      <c r="C253" s="11">
        <f>+'SERVICIO FAENA'!C253</f>
        <v>0</v>
      </c>
      <c r="D253" s="81"/>
      <c r="E253" s="81"/>
      <c r="F253" s="26"/>
      <c r="G253" s="26"/>
      <c r="H253" s="42"/>
      <c r="I253" s="42"/>
      <c r="J253" s="42"/>
      <c r="K253" s="23"/>
      <c r="L253" s="16">
        <f t="shared" si="16"/>
        <v>0</v>
      </c>
      <c r="M253" s="23"/>
      <c r="N253" s="23"/>
      <c r="O253" s="16">
        <f t="shared" si="17"/>
        <v>0</v>
      </c>
      <c r="P253" s="16">
        <f t="shared" si="18"/>
        <v>0</v>
      </c>
      <c r="Q253" s="25"/>
      <c r="R253" s="16">
        <v>0</v>
      </c>
      <c r="S253" s="22">
        <f t="shared" si="19"/>
        <v>0</v>
      </c>
      <c r="T253" s="23"/>
    </row>
    <row r="254" spans="1:20" x14ac:dyDescent="0.2">
      <c r="A254" s="51">
        <f>+'SERVICIO FAENA'!A254</f>
        <v>0</v>
      </c>
      <c r="B254" s="32">
        <f>+'SERVICIO FAENA'!B254</f>
        <v>0</v>
      </c>
      <c r="C254" s="11">
        <f>+'SERVICIO FAENA'!C254</f>
        <v>0</v>
      </c>
      <c r="D254" s="80"/>
      <c r="E254" s="80"/>
      <c r="F254" s="33"/>
      <c r="G254" s="33"/>
      <c r="H254" s="16"/>
      <c r="I254" s="16"/>
      <c r="J254" s="16"/>
      <c r="K254" s="11"/>
      <c r="L254" s="16">
        <f t="shared" si="16"/>
        <v>0</v>
      </c>
      <c r="M254" s="11"/>
      <c r="N254" s="11"/>
      <c r="O254" s="16">
        <f t="shared" si="17"/>
        <v>0</v>
      </c>
      <c r="P254" s="16">
        <f t="shared" si="18"/>
        <v>0</v>
      </c>
      <c r="Q254" s="18"/>
      <c r="R254" s="16">
        <v>0</v>
      </c>
      <c r="S254" s="22">
        <f t="shared" si="19"/>
        <v>0</v>
      </c>
      <c r="T254" s="11"/>
    </row>
    <row r="255" spans="1:20" x14ac:dyDescent="0.2">
      <c r="A255" s="51">
        <f>+'SERVICIO FAENA'!A255</f>
        <v>0</v>
      </c>
      <c r="B255" s="32">
        <f>+'SERVICIO FAENA'!B255</f>
        <v>0</v>
      </c>
      <c r="C255" s="11">
        <f>+'SERVICIO FAENA'!C255</f>
        <v>0</v>
      </c>
      <c r="D255" s="81"/>
      <c r="E255" s="81"/>
      <c r="F255" s="26"/>
      <c r="G255" s="26"/>
      <c r="H255" s="42"/>
      <c r="I255" s="42"/>
      <c r="J255" s="42"/>
      <c r="K255" s="23"/>
      <c r="L255" s="16">
        <f t="shared" si="16"/>
        <v>0</v>
      </c>
      <c r="M255" s="23"/>
      <c r="N255" s="23"/>
      <c r="O255" s="16">
        <f t="shared" si="17"/>
        <v>0</v>
      </c>
      <c r="P255" s="16">
        <f t="shared" si="18"/>
        <v>0</v>
      </c>
      <c r="Q255" s="25"/>
      <c r="R255" s="16">
        <v>0</v>
      </c>
      <c r="S255" s="22">
        <f t="shared" si="19"/>
        <v>0</v>
      </c>
      <c r="T255" s="23"/>
    </row>
    <row r="256" spans="1:20" x14ac:dyDescent="0.2">
      <c r="A256" s="51">
        <f>+'SERVICIO FAENA'!A256</f>
        <v>0</v>
      </c>
      <c r="B256" s="32">
        <f>+'SERVICIO FAENA'!B256</f>
        <v>0</v>
      </c>
      <c r="C256" s="11">
        <f>+'SERVICIO FAENA'!C256</f>
        <v>0</v>
      </c>
      <c r="D256" s="80"/>
      <c r="E256" s="80"/>
      <c r="F256" s="33"/>
      <c r="G256" s="33"/>
      <c r="H256" s="16"/>
      <c r="I256" s="16"/>
      <c r="J256" s="16"/>
      <c r="K256" s="11"/>
      <c r="L256" s="16">
        <f t="shared" si="16"/>
        <v>0</v>
      </c>
      <c r="M256" s="11"/>
      <c r="N256" s="11"/>
      <c r="O256" s="16">
        <f t="shared" si="17"/>
        <v>0</v>
      </c>
      <c r="P256" s="16">
        <f t="shared" si="18"/>
        <v>0</v>
      </c>
      <c r="Q256" s="18"/>
      <c r="R256" s="16">
        <v>0</v>
      </c>
      <c r="S256" s="22">
        <f t="shared" si="19"/>
        <v>0</v>
      </c>
      <c r="T256" s="11"/>
    </row>
    <row r="257" spans="1:20" x14ac:dyDescent="0.2">
      <c r="A257" s="51">
        <f>+'SERVICIO FAENA'!A257</f>
        <v>0</v>
      </c>
      <c r="B257" s="32">
        <f>+'SERVICIO FAENA'!B257</f>
        <v>0</v>
      </c>
      <c r="C257" s="11">
        <f>+'SERVICIO FAENA'!C257</f>
        <v>0</v>
      </c>
      <c r="D257" s="81"/>
      <c r="E257" s="81"/>
      <c r="F257" s="26"/>
      <c r="G257" s="26"/>
      <c r="H257" s="42"/>
      <c r="I257" s="42"/>
      <c r="J257" s="42"/>
      <c r="K257" s="23"/>
      <c r="L257" s="16">
        <f t="shared" si="16"/>
        <v>0</v>
      </c>
      <c r="M257" s="23"/>
      <c r="N257" s="23"/>
      <c r="O257" s="16">
        <f t="shared" si="17"/>
        <v>0</v>
      </c>
      <c r="P257" s="16">
        <f t="shared" si="18"/>
        <v>0</v>
      </c>
      <c r="Q257" s="25"/>
      <c r="R257" s="16">
        <v>0</v>
      </c>
      <c r="S257" s="22">
        <f t="shared" si="19"/>
        <v>0</v>
      </c>
      <c r="T257" s="23"/>
    </row>
    <row r="258" spans="1:20" x14ac:dyDescent="0.2">
      <c r="A258" s="51">
        <f>+'SERVICIO FAENA'!A258</f>
        <v>0</v>
      </c>
      <c r="B258" s="32">
        <f>+'SERVICIO FAENA'!B258</f>
        <v>0</v>
      </c>
      <c r="C258" s="11">
        <f>+'SERVICIO FAENA'!C258</f>
        <v>0</v>
      </c>
      <c r="D258" s="80"/>
      <c r="E258" s="80"/>
      <c r="F258" s="33"/>
      <c r="G258" s="33"/>
      <c r="H258" s="16"/>
      <c r="I258" s="16"/>
      <c r="J258" s="16"/>
      <c r="K258" s="11"/>
      <c r="L258" s="16">
        <f t="shared" si="16"/>
        <v>0</v>
      </c>
      <c r="M258" s="11"/>
      <c r="N258" s="11"/>
      <c r="O258" s="16">
        <f t="shared" si="17"/>
        <v>0</v>
      </c>
      <c r="P258" s="16">
        <f t="shared" si="18"/>
        <v>0</v>
      </c>
      <c r="Q258" s="18"/>
      <c r="R258" s="16">
        <v>0</v>
      </c>
      <c r="S258" s="22">
        <f t="shared" si="19"/>
        <v>0</v>
      </c>
      <c r="T258" s="11"/>
    </row>
    <row r="259" spans="1:20" x14ac:dyDescent="0.2">
      <c r="A259" s="51">
        <f>+'SERVICIO FAENA'!A259</f>
        <v>0</v>
      </c>
      <c r="B259" s="32">
        <f>+'SERVICIO FAENA'!B259</f>
        <v>0</v>
      </c>
      <c r="C259" s="11">
        <f>+'SERVICIO FAENA'!C259</f>
        <v>0</v>
      </c>
      <c r="D259" s="81"/>
      <c r="E259" s="81"/>
      <c r="F259" s="26"/>
      <c r="G259" s="26"/>
      <c r="H259" s="42"/>
      <c r="I259" s="42"/>
      <c r="J259" s="42"/>
      <c r="K259" s="23"/>
      <c r="L259" s="16">
        <f t="shared" si="16"/>
        <v>0</v>
      </c>
      <c r="M259" s="23"/>
      <c r="N259" s="23"/>
      <c r="O259" s="16">
        <f t="shared" si="17"/>
        <v>0</v>
      </c>
      <c r="P259" s="16">
        <f t="shared" si="18"/>
        <v>0</v>
      </c>
      <c r="Q259" s="25"/>
      <c r="R259" s="16">
        <v>0</v>
      </c>
      <c r="S259" s="22">
        <f t="shared" si="19"/>
        <v>0</v>
      </c>
      <c r="T259" s="23"/>
    </row>
    <row r="260" spans="1:20" x14ac:dyDescent="0.2">
      <c r="A260" s="51">
        <f>+'SERVICIO FAENA'!A260</f>
        <v>0</v>
      </c>
      <c r="B260" s="32">
        <f>+'SERVICIO FAENA'!B260</f>
        <v>0</v>
      </c>
      <c r="C260" s="11">
        <f>+'SERVICIO FAENA'!C260</f>
        <v>0</v>
      </c>
      <c r="D260" s="80"/>
      <c r="E260" s="80"/>
      <c r="F260" s="33"/>
      <c r="G260" s="33"/>
      <c r="H260" s="16"/>
      <c r="I260" s="16"/>
      <c r="J260" s="16"/>
      <c r="K260" s="11"/>
      <c r="L260" s="16">
        <f t="shared" si="16"/>
        <v>0</v>
      </c>
      <c r="M260" s="11"/>
      <c r="N260" s="11"/>
      <c r="O260" s="16">
        <f t="shared" si="17"/>
        <v>0</v>
      </c>
      <c r="P260" s="16">
        <f t="shared" si="18"/>
        <v>0</v>
      </c>
      <c r="Q260" s="18"/>
      <c r="R260" s="16">
        <v>0</v>
      </c>
      <c r="S260" s="22">
        <f t="shared" si="19"/>
        <v>0</v>
      </c>
      <c r="T260" s="11"/>
    </row>
    <row r="261" spans="1:20" x14ac:dyDescent="0.2">
      <c r="A261" s="51">
        <f>+'SERVICIO FAENA'!A261</f>
        <v>0</v>
      </c>
      <c r="B261" s="32">
        <f>+'SERVICIO FAENA'!B261</f>
        <v>0</v>
      </c>
      <c r="C261" s="11">
        <f>+'SERVICIO FAENA'!C261</f>
        <v>0</v>
      </c>
      <c r="D261" s="81"/>
      <c r="E261" s="81"/>
      <c r="F261" s="26"/>
      <c r="G261" s="26"/>
      <c r="H261" s="42"/>
      <c r="I261" s="42"/>
      <c r="J261" s="42"/>
      <c r="K261" s="23"/>
      <c r="L261" s="16">
        <f t="shared" si="16"/>
        <v>0</v>
      </c>
      <c r="M261" s="23"/>
      <c r="N261" s="23"/>
      <c r="O261" s="16">
        <f t="shared" si="17"/>
        <v>0</v>
      </c>
      <c r="P261" s="16">
        <f t="shared" si="18"/>
        <v>0</v>
      </c>
      <c r="Q261" s="25"/>
      <c r="R261" s="16">
        <v>0</v>
      </c>
      <c r="S261" s="22">
        <f t="shared" si="19"/>
        <v>0</v>
      </c>
      <c r="T261" s="23"/>
    </row>
    <row r="262" spans="1:20" x14ac:dyDescent="0.2">
      <c r="A262" s="51">
        <f>+'SERVICIO FAENA'!A262</f>
        <v>0</v>
      </c>
      <c r="B262" s="32">
        <f>+'SERVICIO FAENA'!B262</f>
        <v>0</v>
      </c>
      <c r="C262" s="11">
        <f>+'SERVICIO FAENA'!C262</f>
        <v>0</v>
      </c>
      <c r="D262" s="80"/>
      <c r="E262" s="80"/>
      <c r="F262" s="33"/>
      <c r="G262" s="33"/>
      <c r="H262" s="16"/>
      <c r="I262" s="16"/>
      <c r="J262" s="16"/>
      <c r="K262" s="11"/>
      <c r="L262" s="16">
        <f t="shared" si="16"/>
        <v>0</v>
      </c>
      <c r="M262" s="11"/>
      <c r="N262" s="11"/>
      <c r="O262" s="16">
        <f t="shared" si="17"/>
        <v>0</v>
      </c>
      <c r="P262" s="16">
        <f t="shared" si="18"/>
        <v>0</v>
      </c>
      <c r="Q262" s="18"/>
      <c r="R262" s="16">
        <v>0</v>
      </c>
      <c r="S262" s="22">
        <f t="shared" si="19"/>
        <v>0</v>
      </c>
      <c r="T262" s="11"/>
    </row>
    <row r="263" spans="1:20" x14ac:dyDescent="0.2">
      <c r="A263" s="51">
        <f>+'SERVICIO FAENA'!A263</f>
        <v>0</v>
      </c>
      <c r="B263" s="32">
        <f>+'SERVICIO FAENA'!B263</f>
        <v>0</v>
      </c>
      <c r="C263" s="11">
        <f>+'SERVICIO FAENA'!C263</f>
        <v>0</v>
      </c>
      <c r="D263" s="81"/>
      <c r="E263" s="81"/>
      <c r="F263" s="26"/>
      <c r="G263" s="26"/>
      <c r="H263" s="42"/>
      <c r="I263" s="42"/>
      <c r="J263" s="42"/>
      <c r="K263" s="23"/>
      <c r="L263" s="16">
        <f t="shared" si="16"/>
        <v>0</v>
      </c>
      <c r="M263" s="23"/>
      <c r="N263" s="23"/>
      <c r="O263" s="16">
        <f t="shared" si="17"/>
        <v>0</v>
      </c>
      <c r="P263" s="16">
        <f t="shared" si="18"/>
        <v>0</v>
      </c>
      <c r="Q263" s="25"/>
      <c r="R263" s="16">
        <v>0</v>
      </c>
      <c r="S263" s="22">
        <f t="shared" si="19"/>
        <v>0</v>
      </c>
      <c r="T263" s="23"/>
    </row>
    <row r="264" spans="1:20" x14ac:dyDescent="0.2">
      <c r="A264" s="51">
        <f>+'SERVICIO FAENA'!A264</f>
        <v>0</v>
      </c>
      <c r="B264" s="32">
        <f>+'SERVICIO FAENA'!B264</f>
        <v>0</v>
      </c>
      <c r="C264" s="11">
        <f>+'SERVICIO FAENA'!C264</f>
        <v>0</v>
      </c>
      <c r="D264" s="80"/>
      <c r="E264" s="80"/>
      <c r="F264" s="33"/>
      <c r="G264" s="33"/>
      <c r="H264" s="16"/>
      <c r="I264" s="16"/>
      <c r="J264" s="16"/>
      <c r="K264" s="11"/>
      <c r="L264" s="16">
        <f t="shared" si="16"/>
        <v>0</v>
      </c>
      <c r="M264" s="11"/>
      <c r="N264" s="11"/>
      <c r="O264" s="16">
        <f t="shared" si="17"/>
        <v>0</v>
      </c>
      <c r="P264" s="16">
        <f t="shared" si="18"/>
        <v>0</v>
      </c>
      <c r="Q264" s="18"/>
      <c r="R264" s="16">
        <v>0</v>
      </c>
      <c r="S264" s="22">
        <f t="shared" si="19"/>
        <v>0</v>
      </c>
      <c r="T264" s="11"/>
    </row>
    <row r="265" spans="1:20" x14ac:dyDescent="0.2">
      <c r="A265" s="51">
        <f>+'SERVICIO FAENA'!A265</f>
        <v>0</v>
      </c>
      <c r="B265" s="32">
        <f>+'SERVICIO FAENA'!B265</f>
        <v>0</v>
      </c>
      <c r="C265" s="11">
        <f>+'SERVICIO FAENA'!C265</f>
        <v>0</v>
      </c>
      <c r="D265" s="81"/>
      <c r="E265" s="81"/>
      <c r="F265" s="26"/>
      <c r="G265" s="26"/>
      <c r="H265" s="42"/>
      <c r="I265" s="42"/>
      <c r="J265" s="42"/>
      <c r="K265" s="23"/>
      <c r="L265" s="16">
        <f t="shared" si="16"/>
        <v>0</v>
      </c>
      <c r="M265" s="23"/>
      <c r="N265" s="23"/>
      <c r="O265" s="16">
        <f t="shared" si="17"/>
        <v>0</v>
      </c>
      <c r="P265" s="16">
        <f t="shared" si="18"/>
        <v>0</v>
      </c>
      <c r="Q265" s="25"/>
      <c r="R265" s="16">
        <v>0</v>
      </c>
      <c r="S265" s="22">
        <f t="shared" si="19"/>
        <v>0</v>
      </c>
      <c r="T265" s="23"/>
    </row>
    <row r="266" spans="1:20" x14ac:dyDescent="0.2">
      <c r="A266" s="51">
        <f>+'SERVICIO FAENA'!A266</f>
        <v>0</v>
      </c>
      <c r="B266" s="32">
        <f>+'SERVICIO FAENA'!B266</f>
        <v>0</v>
      </c>
      <c r="C266" s="11">
        <f>+'SERVICIO FAENA'!C266</f>
        <v>0</v>
      </c>
      <c r="D266" s="80"/>
      <c r="E266" s="80"/>
      <c r="F266" s="33"/>
      <c r="G266" s="33"/>
      <c r="H266" s="16"/>
      <c r="I266" s="16"/>
      <c r="J266" s="16"/>
      <c r="K266" s="11"/>
      <c r="L266" s="16">
        <f t="shared" si="16"/>
        <v>0</v>
      </c>
      <c r="M266" s="11"/>
      <c r="N266" s="11"/>
      <c r="O266" s="16">
        <f t="shared" si="17"/>
        <v>0</v>
      </c>
      <c r="P266" s="16">
        <f t="shared" si="18"/>
        <v>0</v>
      </c>
      <c r="Q266" s="18"/>
      <c r="R266" s="16">
        <v>0</v>
      </c>
      <c r="S266" s="22">
        <f t="shared" si="19"/>
        <v>0</v>
      </c>
      <c r="T266" s="11"/>
    </row>
    <row r="267" spans="1:20" x14ac:dyDescent="0.2">
      <c r="A267" s="51">
        <f>+'SERVICIO FAENA'!A267</f>
        <v>0</v>
      </c>
      <c r="B267" s="32">
        <f>+'SERVICIO FAENA'!B267</f>
        <v>0</v>
      </c>
      <c r="C267" s="11">
        <f>+'SERVICIO FAENA'!C267</f>
        <v>0</v>
      </c>
      <c r="D267" s="81"/>
      <c r="E267" s="81"/>
      <c r="F267" s="26"/>
      <c r="G267" s="26"/>
      <c r="H267" s="42"/>
      <c r="I267" s="42"/>
      <c r="J267" s="42"/>
      <c r="K267" s="23"/>
      <c r="L267" s="16">
        <f t="shared" si="16"/>
        <v>0</v>
      </c>
      <c r="M267" s="23"/>
      <c r="N267" s="23"/>
      <c r="O267" s="16">
        <f t="shared" si="17"/>
        <v>0</v>
      </c>
      <c r="P267" s="16">
        <f t="shared" si="18"/>
        <v>0</v>
      </c>
      <c r="Q267" s="25"/>
      <c r="R267" s="16">
        <v>0</v>
      </c>
      <c r="S267" s="22">
        <f t="shared" si="19"/>
        <v>0</v>
      </c>
      <c r="T267" s="23"/>
    </row>
    <row r="268" spans="1:20" x14ac:dyDescent="0.2">
      <c r="A268" s="51">
        <f>+'SERVICIO FAENA'!A268</f>
        <v>0</v>
      </c>
      <c r="B268" s="32">
        <f>+'SERVICIO FAENA'!B268</f>
        <v>0</v>
      </c>
      <c r="C268" s="11">
        <f>+'SERVICIO FAENA'!C268</f>
        <v>0</v>
      </c>
      <c r="D268" s="80"/>
      <c r="E268" s="80"/>
      <c r="F268" s="33"/>
      <c r="G268" s="33"/>
      <c r="H268" s="16"/>
      <c r="I268" s="16"/>
      <c r="J268" s="16"/>
      <c r="K268" s="11"/>
      <c r="L268" s="16">
        <f t="shared" si="16"/>
        <v>0</v>
      </c>
      <c r="M268" s="11"/>
      <c r="N268" s="11"/>
      <c r="O268" s="16">
        <f t="shared" si="17"/>
        <v>0</v>
      </c>
      <c r="P268" s="16">
        <f t="shared" si="18"/>
        <v>0</v>
      </c>
      <c r="Q268" s="18"/>
      <c r="R268" s="16">
        <v>0</v>
      </c>
      <c r="S268" s="22">
        <f t="shared" si="19"/>
        <v>0</v>
      </c>
      <c r="T268" s="11"/>
    </row>
    <row r="269" spans="1:20" x14ac:dyDescent="0.2">
      <c r="A269" s="51">
        <f>+'SERVICIO FAENA'!A269</f>
        <v>0</v>
      </c>
      <c r="B269" s="32">
        <f>+'SERVICIO FAENA'!B269</f>
        <v>0</v>
      </c>
      <c r="C269" s="11">
        <f>+'SERVICIO FAENA'!C269</f>
        <v>0</v>
      </c>
      <c r="D269" s="81"/>
      <c r="E269" s="81"/>
      <c r="F269" s="26"/>
      <c r="G269" s="26"/>
      <c r="H269" s="42"/>
      <c r="I269" s="42"/>
      <c r="J269" s="42"/>
      <c r="K269" s="23"/>
      <c r="L269" s="16">
        <f t="shared" si="16"/>
        <v>0</v>
      </c>
      <c r="M269" s="23"/>
      <c r="N269" s="23"/>
      <c r="O269" s="16">
        <f t="shared" si="17"/>
        <v>0</v>
      </c>
      <c r="P269" s="16">
        <f t="shared" si="18"/>
        <v>0</v>
      </c>
      <c r="Q269" s="25"/>
      <c r="R269" s="16">
        <v>0</v>
      </c>
      <c r="S269" s="22">
        <f t="shared" si="19"/>
        <v>0</v>
      </c>
      <c r="T269" s="23"/>
    </row>
    <row r="270" spans="1:20" x14ac:dyDescent="0.2">
      <c r="A270" s="51">
        <f>+'SERVICIO FAENA'!A270</f>
        <v>0</v>
      </c>
      <c r="B270" s="32">
        <f>+'SERVICIO FAENA'!B270</f>
        <v>0</v>
      </c>
      <c r="C270" s="11">
        <f>+'SERVICIO FAENA'!C270</f>
        <v>0</v>
      </c>
      <c r="D270" s="80"/>
      <c r="E270" s="80"/>
      <c r="F270" s="33"/>
      <c r="G270" s="33"/>
      <c r="H270" s="16"/>
      <c r="I270" s="16"/>
      <c r="J270" s="16"/>
      <c r="K270" s="11"/>
      <c r="L270" s="16">
        <f t="shared" si="16"/>
        <v>0</v>
      </c>
      <c r="M270" s="11"/>
      <c r="N270" s="11"/>
      <c r="O270" s="16">
        <f t="shared" si="17"/>
        <v>0</v>
      </c>
      <c r="P270" s="16">
        <f t="shared" si="18"/>
        <v>0</v>
      </c>
      <c r="Q270" s="18"/>
      <c r="R270" s="16">
        <v>0</v>
      </c>
      <c r="S270" s="22">
        <f t="shared" si="19"/>
        <v>0</v>
      </c>
      <c r="T270" s="11"/>
    </row>
    <row r="271" spans="1:20" x14ac:dyDescent="0.2">
      <c r="A271" s="51">
        <f>+'SERVICIO FAENA'!A271</f>
        <v>0</v>
      </c>
      <c r="B271" s="32">
        <f>+'SERVICIO FAENA'!B271</f>
        <v>0</v>
      </c>
      <c r="C271" s="11">
        <f>+'SERVICIO FAENA'!C271</f>
        <v>0</v>
      </c>
      <c r="D271" s="81"/>
      <c r="E271" s="81"/>
      <c r="F271" s="26"/>
      <c r="G271" s="26"/>
      <c r="H271" s="42"/>
      <c r="I271" s="42"/>
      <c r="J271" s="42"/>
      <c r="K271" s="23"/>
      <c r="L271" s="16">
        <f t="shared" si="16"/>
        <v>0</v>
      </c>
      <c r="M271" s="23"/>
      <c r="N271" s="23"/>
      <c r="O271" s="16">
        <f t="shared" si="17"/>
        <v>0</v>
      </c>
      <c r="P271" s="16">
        <f t="shared" si="18"/>
        <v>0</v>
      </c>
      <c r="Q271" s="25"/>
      <c r="R271" s="16">
        <v>0</v>
      </c>
      <c r="S271" s="22">
        <f t="shared" si="19"/>
        <v>0</v>
      </c>
      <c r="T271" s="23"/>
    </row>
    <row r="272" spans="1:20" x14ac:dyDescent="0.2">
      <c r="A272" s="51">
        <f>+'SERVICIO FAENA'!A272</f>
        <v>0</v>
      </c>
      <c r="B272" s="32">
        <f>+'SERVICIO FAENA'!B272</f>
        <v>0</v>
      </c>
      <c r="C272" s="11">
        <f>+'SERVICIO FAENA'!C272</f>
        <v>0</v>
      </c>
      <c r="D272" s="80"/>
      <c r="E272" s="80"/>
      <c r="F272" s="33"/>
      <c r="G272" s="33"/>
      <c r="H272" s="16"/>
      <c r="I272" s="16"/>
      <c r="J272" s="16"/>
      <c r="K272" s="11"/>
      <c r="L272" s="16">
        <f t="shared" si="16"/>
        <v>0</v>
      </c>
      <c r="M272" s="11"/>
      <c r="N272" s="11"/>
      <c r="O272" s="16">
        <f t="shared" si="17"/>
        <v>0</v>
      </c>
      <c r="P272" s="16">
        <f t="shared" si="18"/>
        <v>0</v>
      </c>
      <c r="Q272" s="18"/>
      <c r="R272" s="16">
        <v>0</v>
      </c>
      <c r="S272" s="22">
        <f t="shared" si="19"/>
        <v>0</v>
      </c>
      <c r="T272" s="11"/>
    </row>
    <row r="273" spans="1:20" x14ac:dyDescent="0.2">
      <c r="A273" s="51">
        <f>+'SERVICIO FAENA'!A273</f>
        <v>0</v>
      </c>
      <c r="B273" s="32">
        <f>+'SERVICIO FAENA'!B273</f>
        <v>0</v>
      </c>
      <c r="C273" s="11">
        <f>+'SERVICIO FAENA'!C273</f>
        <v>0</v>
      </c>
      <c r="D273" s="81"/>
      <c r="E273" s="81"/>
      <c r="F273" s="26"/>
      <c r="G273" s="26"/>
      <c r="H273" s="42"/>
      <c r="I273" s="42"/>
      <c r="J273" s="42"/>
      <c r="K273" s="23"/>
      <c r="L273" s="16">
        <f t="shared" si="16"/>
        <v>0</v>
      </c>
      <c r="M273" s="23"/>
      <c r="N273" s="23"/>
      <c r="O273" s="16">
        <f t="shared" si="17"/>
        <v>0</v>
      </c>
      <c r="P273" s="16">
        <f t="shared" si="18"/>
        <v>0</v>
      </c>
      <c r="Q273" s="25"/>
      <c r="R273" s="16">
        <v>0</v>
      </c>
      <c r="S273" s="22">
        <f t="shared" si="19"/>
        <v>0</v>
      </c>
      <c r="T273" s="23"/>
    </row>
    <row r="274" spans="1:20" x14ac:dyDescent="0.2">
      <c r="A274" s="51">
        <f>+'SERVICIO FAENA'!A274</f>
        <v>0</v>
      </c>
      <c r="B274" s="32">
        <f>+'SERVICIO FAENA'!B274</f>
        <v>0</v>
      </c>
      <c r="C274" s="11">
        <f>+'SERVICIO FAENA'!C274</f>
        <v>0</v>
      </c>
      <c r="D274" s="80"/>
      <c r="E274" s="80"/>
      <c r="F274" s="33"/>
      <c r="G274" s="33"/>
      <c r="H274" s="16"/>
      <c r="I274" s="16"/>
      <c r="J274" s="16"/>
      <c r="K274" s="11"/>
      <c r="L274" s="16">
        <f t="shared" si="16"/>
        <v>0</v>
      </c>
      <c r="M274" s="11"/>
      <c r="N274" s="11"/>
      <c r="O274" s="16">
        <f t="shared" si="17"/>
        <v>0</v>
      </c>
      <c r="P274" s="16">
        <f t="shared" si="18"/>
        <v>0</v>
      </c>
      <c r="Q274" s="18"/>
      <c r="R274" s="16">
        <v>0</v>
      </c>
      <c r="S274" s="22">
        <f t="shared" si="19"/>
        <v>0</v>
      </c>
      <c r="T274" s="11"/>
    </row>
    <row r="275" spans="1:20" x14ac:dyDescent="0.2">
      <c r="A275" s="51">
        <f>+'SERVICIO FAENA'!A275</f>
        <v>0</v>
      </c>
      <c r="B275" s="32">
        <f>+'SERVICIO FAENA'!B275</f>
        <v>0</v>
      </c>
      <c r="C275" s="11">
        <f>+'SERVICIO FAENA'!C275</f>
        <v>0</v>
      </c>
      <c r="D275" s="81"/>
      <c r="E275" s="81"/>
      <c r="F275" s="26"/>
      <c r="G275" s="26"/>
      <c r="H275" s="42"/>
      <c r="I275" s="42"/>
      <c r="J275" s="42"/>
      <c r="K275" s="23"/>
      <c r="L275" s="16">
        <f t="shared" si="16"/>
        <v>0</v>
      </c>
      <c r="M275" s="23"/>
      <c r="N275" s="23"/>
      <c r="O275" s="16">
        <f t="shared" si="17"/>
        <v>0</v>
      </c>
      <c r="P275" s="16">
        <f t="shared" si="18"/>
        <v>0</v>
      </c>
      <c r="Q275" s="25"/>
      <c r="R275" s="16">
        <v>0</v>
      </c>
      <c r="S275" s="22">
        <f t="shared" si="19"/>
        <v>0</v>
      </c>
      <c r="T275" s="23"/>
    </row>
    <row r="276" spans="1:20" x14ac:dyDescent="0.2">
      <c r="A276" s="51">
        <f>+'SERVICIO FAENA'!A276</f>
        <v>0</v>
      </c>
      <c r="B276" s="32">
        <f>+'SERVICIO FAENA'!B276</f>
        <v>0</v>
      </c>
      <c r="C276" s="11">
        <f>+'SERVICIO FAENA'!C276</f>
        <v>0</v>
      </c>
      <c r="D276" s="80"/>
      <c r="E276" s="80"/>
      <c r="F276" s="33"/>
      <c r="G276" s="33"/>
      <c r="H276" s="16"/>
      <c r="I276" s="16"/>
      <c r="J276" s="16"/>
      <c r="K276" s="11"/>
      <c r="L276" s="16">
        <f t="shared" si="16"/>
        <v>0</v>
      </c>
      <c r="M276" s="11"/>
      <c r="N276" s="11"/>
      <c r="O276" s="16">
        <f t="shared" si="17"/>
        <v>0</v>
      </c>
      <c r="P276" s="16">
        <f t="shared" si="18"/>
        <v>0</v>
      </c>
      <c r="Q276" s="18"/>
      <c r="R276" s="16">
        <v>0</v>
      </c>
      <c r="S276" s="22">
        <f t="shared" si="19"/>
        <v>0</v>
      </c>
      <c r="T276" s="11"/>
    </row>
    <row r="277" spans="1:20" x14ac:dyDescent="0.2">
      <c r="A277" s="51">
        <f>+'SERVICIO FAENA'!A277</f>
        <v>0</v>
      </c>
      <c r="B277" s="32">
        <f>+'SERVICIO FAENA'!B277</f>
        <v>0</v>
      </c>
      <c r="C277" s="11">
        <f>+'SERVICIO FAENA'!C277</f>
        <v>0</v>
      </c>
      <c r="D277" s="81"/>
      <c r="E277" s="81"/>
      <c r="F277" s="26"/>
      <c r="G277" s="26"/>
      <c r="H277" s="42"/>
      <c r="I277" s="42"/>
      <c r="J277" s="42"/>
      <c r="K277" s="23"/>
      <c r="L277" s="16">
        <f t="shared" si="16"/>
        <v>0</v>
      </c>
      <c r="M277" s="23"/>
      <c r="N277" s="23"/>
      <c r="O277" s="16">
        <f t="shared" si="17"/>
        <v>0</v>
      </c>
      <c r="P277" s="16">
        <f t="shared" si="18"/>
        <v>0</v>
      </c>
      <c r="Q277" s="25"/>
      <c r="R277" s="16">
        <v>0</v>
      </c>
      <c r="S277" s="22">
        <f t="shared" si="19"/>
        <v>0</v>
      </c>
      <c r="T277" s="23"/>
    </row>
    <row r="278" spans="1:20" x14ac:dyDescent="0.2">
      <c r="A278" s="51">
        <f>+'SERVICIO FAENA'!A278</f>
        <v>0</v>
      </c>
      <c r="B278" s="32">
        <f>+'SERVICIO FAENA'!B278</f>
        <v>0</v>
      </c>
      <c r="C278" s="11">
        <f>+'SERVICIO FAENA'!C278</f>
        <v>0</v>
      </c>
      <c r="D278" s="80"/>
      <c r="E278" s="80"/>
      <c r="F278" s="33"/>
      <c r="G278" s="33"/>
      <c r="H278" s="16"/>
      <c r="I278" s="16"/>
      <c r="J278" s="16"/>
      <c r="K278" s="11"/>
      <c r="L278" s="16">
        <f t="shared" si="16"/>
        <v>0</v>
      </c>
      <c r="M278" s="11"/>
      <c r="N278" s="11"/>
      <c r="O278" s="16">
        <f t="shared" si="17"/>
        <v>0</v>
      </c>
      <c r="P278" s="16">
        <f t="shared" si="18"/>
        <v>0</v>
      </c>
      <c r="Q278" s="18"/>
      <c r="R278" s="16">
        <v>0</v>
      </c>
      <c r="S278" s="22">
        <f t="shared" si="19"/>
        <v>0</v>
      </c>
      <c r="T278" s="11"/>
    </row>
    <row r="279" spans="1:20" x14ac:dyDescent="0.2">
      <c r="A279" s="51">
        <f>+'SERVICIO FAENA'!A279</f>
        <v>0</v>
      </c>
      <c r="B279" s="32">
        <f>+'SERVICIO FAENA'!B279</f>
        <v>0</v>
      </c>
      <c r="C279" s="11">
        <f>+'SERVICIO FAENA'!C279</f>
        <v>0</v>
      </c>
      <c r="D279" s="81"/>
      <c r="E279" s="81"/>
      <c r="F279" s="26"/>
      <c r="G279" s="26"/>
      <c r="H279" s="42"/>
      <c r="I279" s="42"/>
      <c r="J279" s="42"/>
      <c r="K279" s="23"/>
      <c r="L279" s="16">
        <f t="shared" si="16"/>
        <v>0</v>
      </c>
      <c r="M279" s="23"/>
      <c r="N279" s="23"/>
      <c r="O279" s="16">
        <f t="shared" si="17"/>
        <v>0</v>
      </c>
      <c r="P279" s="16">
        <f t="shared" si="18"/>
        <v>0</v>
      </c>
      <c r="Q279" s="25"/>
      <c r="R279" s="16">
        <v>0</v>
      </c>
      <c r="S279" s="22">
        <f t="shared" si="19"/>
        <v>0</v>
      </c>
      <c r="T279" s="23"/>
    </row>
    <row r="280" spans="1:20" x14ac:dyDescent="0.2">
      <c r="A280" s="51">
        <f>+'SERVICIO FAENA'!A280</f>
        <v>0</v>
      </c>
      <c r="B280" s="32">
        <f>+'SERVICIO FAENA'!B280</f>
        <v>0</v>
      </c>
      <c r="C280" s="11">
        <f>+'SERVICIO FAENA'!C280</f>
        <v>0</v>
      </c>
      <c r="D280" s="80"/>
      <c r="E280" s="80"/>
      <c r="F280" s="33"/>
      <c r="G280" s="33"/>
      <c r="H280" s="16"/>
      <c r="I280" s="16"/>
      <c r="J280" s="16"/>
      <c r="K280" s="11"/>
      <c r="L280" s="16">
        <f t="shared" si="16"/>
        <v>0</v>
      </c>
      <c r="M280" s="11"/>
      <c r="N280" s="11"/>
      <c r="O280" s="16">
        <f t="shared" si="17"/>
        <v>0</v>
      </c>
      <c r="P280" s="16">
        <f t="shared" si="18"/>
        <v>0</v>
      </c>
      <c r="Q280" s="18"/>
      <c r="R280" s="16">
        <v>0</v>
      </c>
      <c r="S280" s="22">
        <f t="shared" si="19"/>
        <v>0</v>
      </c>
      <c r="T280" s="11"/>
    </row>
    <row r="281" spans="1:20" x14ac:dyDescent="0.2">
      <c r="A281" s="51">
        <f>+'SERVICIO FAENA'!A281</f>
        <v>0</v>
      </c>
      <c r="B281" s="32">
        <f>+'SERVICIO FAENA'!B281</f>
        <v>0</v>
      </c>
      <c r="C281" s="11">
        <f>+'SERVICIO FAENA'!C281</f>
        <v>0</v>
      </c>
      <c r="D281" s="81"/>
      <c r="E281" s="81"/>
      <c r="F281" s="26"/>
      <c r="G281" s="26"/>
      <c r="H281" s="42"/>
      <c r="I281" s="42"/>
      <c r="J281" s="42"/>
      <c r="K281" s="23"/>
      <c r="L281" s="16">
        <f t="shared" si="16"/>
        <v>0</v>
      </c>
      <c r="M281" s="23"/>
      <c r="N281" s="23"/>
      <c r="O281" s="16">
        <f t="shared" si="17"/>
        <v>0</v>
      </c>
      <c r="P281" s="16">
        <f t="shared" si="18"/>
        <v>0</v>
      </c>
      <c r="Q281" s="25"/>
      <c r="R281" s="16">
        <v>0</v>
      </c>
      <c r="S281" s="22">
        <f t="shared" si="19"/>
        <v>0</v>
      </c>
      <c r="T281" s="23"/>
    </row>
    <row r="282" spans="1:20" x14ac:dyDescent="0.2">
      <c r="A282" s="51">
        <f>+'SERVICIO FAENA'!A282</f>
        <v>0</v>
      </c>
      <c r="B282" s="32">
        <f>+'SERVICIO FAENA'!B282</f>
        <v>0</v>
      </c>
      <c r="C282" s="11">
        <f>+'SERVICIO FAENA'!C282</f>
        <v>0</v>
      </c>
      <c r="D282" s="80"/>
      <c r="E282" s="80"/>
      <c r="F282" s="33"/>
      <c r="G282" s="33"/>
      <c r="H282" s="16"/>
      <c r="I282" s="16"/>
      <c r="J282" s="16"/>
      <c r="K282" s="11"/>
      <c r="L282" s="16">
        <f t="shared" si="16"/>
        <v>0</v>
      </c>
      <c r="M282" s="11"/>
      <c r="N282" s="11"/>
      <c r="O282" s="16">
        <f t="shared" si="17"/>
        <v>0</v>
      </c>
      <c r="P282" s="16">
        <f t="shared" si="18"/>
        <v>0</v>
      </c>
      <c r="Q282" s="18"/>
      <c r="R282" s="16">
        <v>0</v>
      </c>
      <c r="S282" s="22">
        <f t="shared" si="19"/>
        <v>0</v>
      </c>
      <c r="T282" s="11"/>
    </row>
    <row r="283" spans="1:20" x14ac:dyDescent="0.2">
      <c r="A283" s="51">
        <f>+'SERVICIO FAENA'!A283</f>
        <v>0</v>
      </c>
      <c r="B283" s="32">
        <f>+'SERVICIO FAENA'!B283</f>
        <v>0</v>
      </c>
      <c r="C283" s="11">
        <f>+'SERVICIO FAENA'!C283</f>
        <v>0</v>
      </c>
      <c r="D283" s="81"/>
      <c r="E283" s="81"/>
      <c r="F283" s="26"/>
      <c r="G283" s="26"/>
      <c r="H283" s="42"/>
      <c r="I283" s="42"/>
      <c r="J283" s="42"/>
      <c r="K283" s="23"/>
      <c r="L283" s="16">
        <f t="shared" si="16"/>
        <v>0</v>
      </c>
      <c r="M283" s="23"/>
      <c r="N283" s="23"/>
      <c r="O283" s="16">
        <f t="shared" si="17"/>
        <v>0</v>
      </c>
      <c r="P283" s="16">
        <f t="shared" si="18"/>
        <v>0</v>
      </c>
      <c r="Q283" s="25"/>
      <c r="R283" s="16">
        <v>0</v>
      </c>
      <c r="S283" s="22">
        <f t="shared" si="19"/>
        <v>0</v>
      </c>
      <c r="T283" s="23"/>
    </row>
    <row r="284" spans="1:20" x14ac:dyDescent="0.2">
      <c r="A284" s="51">
        <f>+'SERVICIO FAENA'!A284</f>
        <v>0</v>
      </c>
      <c r="B284" s="32">
        <f>+'SERVICIO FAENA'!B284</f>
        <v>0</v>
      </c>
      <c r="C284" s="11">
        <f>+'SERVICIO FAENA'!C284</f>
        <v>0</v>
      </c>
      <c r="D284" s="80"/>
      <c r="E284" s="80"/>
      <c r="F284" s="33"/>
      <c r="G284" s="33"/>
      <c r="H284" s="16"/>
      <c r="I284" s="16"/>
      <c r="J284" s="16"/>
      <c r="K284" s="11"/>
      <c r="L284" s="16">
        <f t="shared" si="16"/>
        <v>0</v>
      </c>
      <c r="M284" s="11"/>
      <c r="N284" s="11"/>
      <c r="O284" s="16">
        <f t="shared" si="17"/>
        <v>0</v>
      </c>
      <c r="P284" s="16">
        <f t="shared" si="18"/>
        <v>0</v>
      </c>
      <c r="Q284" s="18"/>
      <c r="R284" s="16">
        <v>0</v>
      </c>
      <c r="S284" s="22">
        <f t="shared" si="19"/>
        <v>0</v>
      </c>
      <c r="T284" s="11"/>
    </row>
    <row r="285" spans="1:20" x14ac:dyDescent="0.2">
      <c r="A285" s="51">
        <f>+'SERVICIO FAENA'!A285</f>
        <v>0</v>
      </c>
      <c r="B285" s="32">
        <f>+'SERVICIO FAENA'!B285</f>
        <v>0</v>
      </c>
      <c r="C285" s="11">
        <f>+'SERVICIO FAENA'!C285</f>
        <v>0</v>
      </c>
      <c r="D285" s="81"/>
      <c r="E285" s="81"/>
      <c r="F285" s="26"/>
      <c r="G285" s="26"/>
      <c r="H285" s="42"/>
      <c r="I285" s="42"/>
      <c r="J285" s="42"/>
      <c r="K285" s="23"/>
      <c r="L285" s="16">
        <f t="shared" si="16"/>
        <v>0</v>
      </c>
      <c r="M285" s="23"/>
      <c r="N285" s="23"/>
      <c r="O285" s="16">
        <f t="shared" si="17"/>
        <v>0</v>
      </c>
      <c r="P285" s="16">
        <f t="shared" si="18"/>
        <v>0</v>
      </c>
      <c r="Q285" s="25"/>
      <c r="R285" s="16">
        <v>0</v>
      </c>
      <c r="S285" s="22">
        <f t="shared" si="19"/>
        <v>0</v>
      </c>
      <c r="T285" s="23"/>
    </row>
    <row r="286" spans="1:20" x14ac:dyDescent="0.2">
      <c r="A286" s="51">
        <f>+'SERVICIO FAENA'!A286</f>
        <v>0</v>
      </c>
      <c r="B286" s="32">
        <f>+'SERVICIO FAENA'!B286</f>
        <v>0</v>
      </c>
      <c r="C286" s="11">
        <f>+'SERVICIO FAENA'!C286</f>
        <v>0</v>
      </c>
      <c r="D286" s="80"/>
      <c r="E286" s="80"/>
      <c r="F286" s="33"/>
      <c r="G286" s="33"/>
      <c r="H286" s="16"/>
      <c r="I286" s="16"/>
      <c r="J286" s="16"/>
      <c r="K286" s="11"/>
      <c r="L286" s="16">
        <f t="shared" si="16"/>
        <v>0</v>
      </c>
      <c r="M286" s="11"/>
      <c r="N286" s="11"/>
      <c r="O286" s="16">
        <f t="shared" si="17"/>
        <v>0</v>
      </c>
      <c r="P286" s="16">
        <f t="shared" si="18"/>
        <v>0</v>
      </c>
      <c r="Q286" s="18"/>
      <c r="R286" s="16">
        <v>0</v>
      </c>
      <c r="S286" s="22">
        <f t="shared" si="19"/>
        <v>0</v>
      </c>
      <c r="T286" s="11"/>
    </row>
    <row r="287" spans="1:20" x14ac:dyDescent="0.2">
      <c r="A287" s="51">
        <f>+'SERVICIO FAENA'!A287</f>
        <v>0</v>
      </c>
      <c r="B287" s="32">
        <f>+'SERVICIO FAENA'!B287</f>
        <v>0</v>
      </c>
      <c r="C287" s="11">
        <f>+'SERVICIO FAENA'!C287</f>
        <v>0</v>
      </c>
      <c r="D287" s="81"/>
      <c r="E287" s="81"/>
      <c r="F287" s="26"/>
      <c r="G287" s="26"/>
      <c r="H287" s="42"/>
      <c r="I287" s="42"/>
      <c r="J287" s="42"/>
      <c r="K287" s="23"/>
      <c r="L287" s="16">
        <f t="shared" si="16"/>
        <v>0</v>
      </c>
      <c r="M287" s="23"/>
      <c r="N287" s="23"/>
      <c r="O287" s="16">
        <f t="shared" si="17"/>
        <v>0</v>
      </c>
      <c r="P287" s="16">
        <f t="shared" si="18"/>
        <v>0</v>
      </c>
      <c r="Q287" s="25"/>
      <c r="R287" s="16">
        <v>0</v>
      </c>
      <c r="S287" s="22">
        <f t="shared" si="19"/>
        <v>0</v>
      </c>
      <c r="T287" s="23"/>
    </row>
    <row r="288" spans="1:20" x14ac:dyDescent="0.2">
      <c r="A288" s="51">
        <f>+'SERVICIO FAENA'!A288</f>
        <v>0</v>
      </c>
      <c r="B288" s="32">
        <f>+'SERVICIO FAENA'!B288</f>
        <v>0</v>
      </c>
      <c r="C288" s="11">
        <f>+'SERVICIO FAENA'!C288</f>
        <v>0</v>
      </c>
      <c r="D288" s="80"/>
      <c r="E288" s="80"/>
      <c r="F288" s="33"/>
      <c r="G288" s="33"/>
      <c r="H288" s="16"/>
      <c r="I288" s="16"/>
      <c r="J288" s="16"/>
      <c r="K288" s="11"/>
      <c r="L288" s="16">
        <f t="shared" si="16"/>
        <v>0</v>
      </c>
      <c r="M288" s="11"/>
      <c r="N288" s="11"/>
      <c r="O288" s="16">
        <f t="shared" si="17"/>
        <v>0</v>
      </c>
      <c r="P288" s="16">
        <f t="shared" si="18"/>
        <v>0</v>
      </c>
      <c r="Q288" s="18"/>
      <c r="R288" s="16">
        <v>0</v>
      </c>
      <c r="S288" s="22">
        <f t="shared" si="19"/>
        <v>0</v>
      </c>
      <c r="T288" s="11"/>
    </row>
    <row r="289" spans="1:20" x14ac:dyDescent="0.2">
      <c r="A289" s="51">
        <f>+'SERVICIO FAENA'!A289</f>
        <v>0</v>
      </c>
      <c r="B289" s="32">
        <f>+'SERVICIO FAENA'!B289</f>
        <v>0</v>
      </c>
      <c r="C289" s="11">
        <f>+'SERVICIO FAENA'!C289</f>
        <v>0</v>
      </c>
      <c r="D289" s="81"/>
      <c r="E289" s="81"/>
      <c r="F289" s="26"/>
      <c r="G289" s="26"/>
      <c r="H289" s="42"/>
      <c r="I289" s="42"/>
      <c r="J289" s="42"/>
      <c r="K289" s="23"/>
      <c r="L289" s="16">
        <f t="shared" si="16"/>
        <v>0</v>
      </c>
      <c r="M289" s="23"/>
      <c r="N289" s="23"/>
      <c r="O289" s="16">
        <f t="shared" si="17"/>
        <v>0</v>
      </c>
      <c r="P289" s="16">
        <f t="shared" si="18"/>
        <v>0</v>
      </c>
      <c r="Q289" s="25"/>
      <c r="R289" s="16">
        <v>0</v>
      </c>
      <c r="S289" s="22">
        <f t="shared" si="19"/>
        <v>0</v>
      </c>
      <c r="T289" s="23"/>
    </row>
    <row r="290" spans="1:20" x14ac:dyDescent="0.2">
      <c r="A290" s="51">
        <f>+'SERVICIO FAENA'!A290</f>
        <v>0</v>
      </c>
      <c r="B290" s="32">
        <f>+'SERVICIO FAENA'!B290</f>
        <v>0</v>
      </c>
      <c r="C290" s="11">
        <f>+'SERVICIO FAENA'!C290</f>
        <v>0</v>
      </c>
      <c r="D290" s="80"/>
      <c r="E290" s="80"/>
      <c r="F290" s="33"/>
      <c r="G290" s="33"/>
      <c r="H290" s="16"/>
      <c r="I290" s="16"/>
      <c r="J290" s="16"/>
      <c r="K290" s="11"/>
      <c r="L290" s="16">
        <f t="shared" si="16"/>
        <v>0</v>
      </c>
      <c r="M290" s="11"/>
      <c r="N290" s="11"/>
      <c r="O290" s="16">
        <f t="shared" si="17"/>
        <v>0</v>
      </c>
      <c r="P290" s="16">
        <f t="shared" si="18"/>
        <v>0</v>
      </c>
      <c r="Q290" s="18"/>
      <c r="R290" s="16">
        <v>0</v>
      </c>
      <c r="S290" s="22">
        <f t="shared" si="19"/>
        <v>0</v>
      </c>
      <c r="T290" s="11"/>
    </row>
    <row r="291" spans="1:20" x14ac:dyDescent="0.2">
      <c r="A291" s="51">
        <f>+'SERVICIO FAENA'!A291</f>
        <v>0</v>
      </c>
      <c r="B291" s="32">
        <f>+'SERVICIO FAENA'!B291</f>
        <v>0</v>
      </c>
      <c r="C291" s="11">
        <f>+'SERVICIO FAENA'!C291</f>
        <v>0</v>
      </c>
      <c r="D291" s="81"/>
      <c r="E291" s="81"/>
      <c r="F291" s="26"/>
      <c r="G291" s="26"/>
      <c r="H291" s="42"/>
      <c r="I291" s="42"/>
      <c r="J291" s="42"/>
      <c r="K291" s="23"/>
      <c r="L291" s="16">
        <f t="shared" si="16"/>
        <v>0</v>
      </c>
      <c r="M291" s="23"/>
      <c r="N291" s="23"/>
      <c r="O291" s="16">
        <f t="shared" si="17"/>
        <v>0</v>
      </c>
      <c r="P291" s="16">
        <f t="shared" si="18"/>
        <v>0</v>
      </c>
      <c r="Q291" s="25"/>
      <c r="R291" s="16">
        <v>0</v>
      </c>
      <c r="S291" s="22">
        <f t="shared" si="19"/>
        <v>0</v>
      </c>
      <c r="T291" s="23"/>
    </row>
    <row r="292" spans="1:20" x14ac:dyDescent="0.2">
      <c r="A292" s="51">
        <f>+'SERVICIO FAENA'!A292</f>
        <v>0</v>
      </c>
      <c r="B292" s="32">
        <f>+'SERVICIO FAENA'!B292</f>
        <v>0</v>
      </c>
      <c r="C292" s="11">
        <f>+'SERVICIO FAENA'!C292</f>
        <v>0</v>
      </c>
      <c r="D292" s="80"/>
      <c r="E292" s="80"/>
      <c r="F292" s="33"/>
      <c r="G292" s="33"/>
      <c r="H292" s="16"/>
      <c r="I292" s="16"/>
      <c r="J292" s="16"/>
      <c r="K292" s="11"/>
      <c r="L292" s="16">
        <f t="shared" si="16"/>
        <v>0</v>
      </c>
      <c r="M292" s="11"/>
      <c r="N292" s="11"/>
      <c r="O292" s="16">
        <f t="shared" si="17"/>
        <v>0</v>
      </c>
      <c r="P292" s="16">
        <f t="shared" si="18"/>
        <v>0</v>
      </c>
      <c r="Q292" s="18"/>
      <c r="R292" s="16">
        <v>0</v>
      </c>
      <c r="S292" s="22">
        <f t="shared" si="19"/>
        <v>0</v>
      </c>
      <c r="T292" s="11"/>
    </row>
    <row r="293" spans="1:20" x14ac:dyDescent="0.2">
      <c r="A293" s="51">
        <f>+'SERVICIO FAENA'!A293</f>
        <v>0</v>
      </c>
      <c r="B293" s="32">
        <f>+'SERVICIO FAENA'!B293</f>
        <v>0</v>
      </c>
      <c r="C293" s="11">
        <f>+'SERVICIO FAENA'!C293</f>
        <v>0</v>
      </c>
      <c r="D293" s="81"/>
      <c r="E293" s="81"/>
      <c r="F293" s="26"/>
      <c r="G293" s="26"/>
      <c r="H293" s="42"/>
      <c r="I293" s="42"/>
      <c r="J293" s="42"/>
      <c r="K293" s="23"/>
      <c r="L293" s="16">
        <f t="shared" si="16"/>
        <v>0</v>
      </c>
      <c r="M293" s="23"/>
      <c r="N293" s="23"/>
      <c r="O293" s="16">
        <f t="shared" si="17"/>
        <v>0</v>
      </c>
      <c r="P293" s="16">
        <f t="shared" si="18"/>
        <v>0</v>
      </c>
      <c r="Q293" s="25"/>
      <c r="R293" s="16">
        <v>0</v>
      </c>
      <c r="S293" s="22">
        <f t="shared" si="19"/>
        <v>0</v>
      </c>
      <c r="T293" s="23"/>
    </row>
    <row r="294" spans="1:20" x14ac:dyDescent="0.2">
      <c r="A294" s="51">
        <f>+'SERVICIO FAENA'!A294</f>
        <v>0</v>
      </c>
      <c r="B294" s="32">
        <f>+'SERVICIO FAENA'!B294</f>
        <v>0</v>
      </c>
      <c r="C294" s="11">
        <f>+'SERVICIO FAENA'!C294</f>
        <v>0</v>
      </c>
      <c r="D294" s="80"/>
      <c r="E294" s="80"/>
      <c r="F294" s="33"/>
      <c r="G294" s="33"/>
      <c r="H294" s="16"/>
      <c r="I294" s="16"/>
      <c r="J294" s="16"/>
      <c r="K294" s="11"/>
      <c r="L294" s="16">
        <f t="shared" si="16"/>
        <v>0</v>
      </c>
      <c r="M294" s="11"/>
      <c r="N294" s="11"/>
      <c r="O294" s="16">
        <f t="shared" si="17"/>
        <v>0</v>
      </c>
      <c r="P294" s="16">
        <f t="shared" si="18"/>
        <v>0</v>
      </c>
      <c r="Q294" s="18"/>
      <c r="R294" s="16">
        <v>0</v>
      </c>
      <c r="S294" s="22">
        <f t="shared" si="19"/>
        <v>0</v>
      </c>
      <c r="T294" s="11"/>
    </row>
    <row r="295" spans="1:20" x14ac:dyDescent="0.2">
      <c r="A295" s="51">
        <f>+'SERVICIO FAENA'!A295</f>
        <v>0</v>
      </c>
      <c r="B295" s="32">
        <f>+'SERVICIO FAENA'!B295</f>
        <v>0</v>
      </c>
      <c r="C295" s="11">
        <f>+'SERVICIO FAENA'!C295</f>
        <v>0</v>
      </c>
      <c r="D295" s="81"/>
      <c r="E295" s="81"/>
      <c r="F295" s="26"/>
      <c r="G295" s="26"/>
      <c r="H295" s="42"/>
      <c r="I295" s="42"/>
      <c r="J295" s="42"/>
      <c r="K295" s="23"/>
      <c r="L295" s="16">
        <f t="shared" si="16"/>
        <v>0</v>
      </c>
      <c r="M295" s="23"/>
      <c r="N295" s="23"/>
      <c r="O295" s="16">
        <f t="shared" si="17"/>
        <v>0</v>
      </c>
      <c r="P295" s="16">
        <f t="shared" si="18"/>
        <v>0</v>
      </c>
      <c r="Q295" s="25"/>
      <c r="R295" s="16">
        <v>0</v>
      </c>
      <c r="S295" s="22">
        <f t="shared" si="19"/>
        <v>0</v>
      </c>
      <c r="T295" s="23"/>
    </row>
    <row r="296" spans="1:20" x14ac:dyDescent="0.2">
      <c r="A296" s="51">
        <f>+'SERVICIO FAENA'!A296</f>
        <v>0</v>
      </c>
      <c r="B296" s="32">
        <f>+'SERVICIO FAENA'!B296</f>
        <v>0</v>
      </c>
      <c r="C296" s="11">
        <f>+'SERVICIO FAENA'!C296</f>
        <v>0</v>
      </c>
      <c r="D296" s="80"/>
      <c r="E296" s="80"/>
      <c r="F296" s="33"/>
      <c r="G296" s="33"/>
      <c r="H296" s="16"/>
      <c r="I296" s="16"/>
      <c r="J296" s="16"/>
      <c r="K296" s="11"/>
      <c r="L296" s="16">
        <f t="shared" si="16"/>
        <v>0</v>
      </c>
      <c r="M296" s="11"/>
      <c r="N296" s="11"/>
      <c r="O296" s="16">
        <f t="shared" si="17"/>
        <v>0</v>
      </c>
      <c r="P296" s="16">
        <f t="shared" si="18"/>
        <v>0</v>
      </c>
      <c r="Q296" s="18"/>
      <c r="R296" s="16">
        <v>0</v>
      </c>
      <c r="S296" s="22">
        <f t="shared" si="19"/>
        <v>0</v>
      </c>
      <c r="T296" s="11"/>
    </row>
    <row r="297" spans="1:20" x14ac:dyDescent="0.2">
      <c r="A297" s="51">
        <f>+'SERVICIO FAENA'!A297</f>
        <v>0</v>
      </c>
      <c r="B297" s="32">
        <f>+'SERVICIO FAENA'!B297</f>
        <v>0</v>
      </c>
      <c r="C297" s="11">
        <f>+'SERVICIO FAENA'!C297</f>
        <v>0</v>
      </c>
      <c r="D297" s="81"/>
      <c r="E297" s="81"/>
      <c r="F297" s="26"/>
      <c r="G297" s="26"/>
      <c r="H297" s="42"/>
      <c r="I297" s="42"/>
      <c r="J297" s="42"/>
      <c r="K297" s="23"/>
      <c r="L297" s="16">
        <f t="shared" si="16"/>
        <v>0</v>
      </c>
      <c r="M297" s="23"/>
      <c r="N297" s="23"/>
      <c r="O297" s="16">
        <f t="shared" si="17"/>
        <v>0</v>
      </c>
      <c r="P297" s="16">
        <f t="shared" si="18"/>
        <v>0</v>
      </c>
      <c r="Q297" s="25"/>
      <c r="R297" s="16">
        <v>0</v>
      </c>
      <c r="S297" s="22">
        <f t="shared" si="19"/>
        <v>0</v>
      </c>
      <c r="T297" s="23"/>
    </row>
    <row r="298" spans="1:20" x14ac:dyDescent="0.2">
      <c r="A298" s="51">
        <f>+'SERVICIO FAENA'!A298</f>
        <v>0</v>
      </c>
      <c r="B298" s="32">
        <f>+'SERVICIO FAENA'!B298</f>
        <v>0</v>
      </c>
      <c r="C298" s="11">
        <f>+'SERVICIO FAENA'!C298</f>
        <v>0</v>
      </c>
      <c r="D298" s="80"/>
      <c r="E298" s="80"/>
      <c r="F298" s="33"/>
      <c r="G298" s="33"/>
      <c r="H298" s="16"/>
      <c r="I298" s="16"/>
      <c r="J298" s="16"/>
      <c r="K298" s="11"/>
      <c r="L298" s="16">
        <f t="shared" si="16"/>
        <v>0</v>
      </c>
      <c r="M298" s="11"/>
      <c r="N298" s="11"/>
      <c r="O298" s="16">
        <f t="shared" si="17"/>
        <v>0</v>
      </c>
      <c r="P298" s="16">
        <f t="shared" si="18"/>
        <v>0</v>
      </c>
      <c r="Q298" s="18"/>
      <c r="R298" s="16">
        <v>0</v>
      </c>
      <c r="S298" s="22">
        <f t="shared" si="19"/>
        <v>0</v>
      </c>
      <c r="T298" s="11"/>
    </row>
    <row r="299" spans="1:20" x14ac:dyDescent="0.2">
      <c r="A299" s="51">
        <f>+'SERVICIO FAENA'!A299</f>
        <v>0</v>
      </c>
      <c r="B299" s="32">
        <f>+'SERVICIO FAENA'!B299</f>
        <v>0</v>
      </c>
      <c r="C299" s="11">
        <f>+'SERVICIO FAENA'!C299</f>
        <v>0</v>
      </c>
      <c r="D299" s="81"/>
      <c r="E299" s="81"/>
      <c r="F299" s="26"/>
      <c r="G299" s="26"/>
      <c r="H299" s="42"/>
      <c r="I299" s="42"/>
      <c r="J299" s="42"/>
      <c r="K299" s="23"/>
      <c r="L299" s="16">
        <f t="shared" si="16"/>
        <v>0</v>
      </c>
      <c r="M299" s="23"/>
      <c r="N299" s="23"/>
      <c r="O299" s="16">
        <f t="shared" si="17"/>
        <v>0</v>
      </c>
      <c r="P299" s="16">
        <f t="shared" si="18"/>
        <v>0</v>
      </c>
      <c r="Q299" s="25"/>
      <c r="R299" s="16">
        <v>0</v>
      </c>
      <c r="S299" s="22">
        <f t="shared" si="19"/>
        <v>0</v>
      </c>
      <c r="T299" s="23"/>
    </row>
    <row r="300" spans="1:20" x14ac:dyDescent="0.2">
      <c r="A300" s="51">
        <f>+'SERVICIO FAENA'!A300</f>
        <v>0</v>
      </c>
      <c r="B300" s="32">
        <f>+'SERVICIO FAENA'!B300</f>
        <v>0</v>
      </c>
      <c r="C300" s="11">
        <f>+'SERVICIO FAENA'!C300</f>
        <v>0</v>
      </c>
      <c r="D300" s="80"/>
      <c r="E300" s="80"/>
      <c r="F300" s="33"/>
      <c r="G300" s="33"/>
      <c r="H300" s="16"/>
      <c r="I300" s="16"/>
      <c r="J300" s="16"/>
      <c r="K300" s="11"/>
      <c r="L300" s="16">
        <f t="shared" si="16"/>
        <v>0</v>
      </c>
      <c r="M300" s="11"/>
      <c r="N300" s="11"/>
      <c r="O300" s="16">
        <f t="shared" si="17"/>
        <v>0</v>
      </c>
      <c r="P300" s="16">
        <f t="shared" si="18"/>
        <v>0</v>
      </c>
      <c r="Q300" s="18"/>
      <c r="R300" s="16">
        <v>0</v>
      </c>
      <c r="S300" s="22">
        <f t="shared" si="19"/>
        <v>0</v>
      </c>
      <c r="T300" s="11"/>
    </row>
    <row r="301" spans="1:20" x14ac:dyDescent="0.2">
      <c r="A301" s="51">
        <f>+'SERVICIO FAENA'!A301</f>
        <v>0</v>
      </c>
      <c r="B301" s="32">
        <f>+'SERVICIO FAENA'!B301</f>
        <v>0</v>
      </c>
      <c r="C301" s="11">
        <f>+'SERVICIO FAENA'!C301</f>
        <v>0</v>
      </c>
      <c r="D301" s="81"/>
      <c r="E301" s="81"/>
      <c r="F301" s="26"/>
      <c r="G301" s="26"/>
      <c r="H301" s="42"/>
      <c r="I301" s="42"/>
      <c r="J301" s="42"/>
      <c r="K301" s="23"/>
      <c r="L301" s="16">
        <f t="shared" si="16"/>
        <v>0</v>
      </c>
      <c r="M301" s="23"/>
      <c r="N301" s="23"/>
      <c r="O301" s="16">
        <f t="shared" si="17"/>
        <v>0</v>
      </c>
      <c r="P301" s="16">
        <f t="shared" si="18"/>
        <v>0</v>
      </c>
      <c r="Q301" s="25"/>
      <c r="R301" s="16">
        <v>0</v>
      </c>
      <c r="S301" s="22">
        <f t="shared" si="19"/>
        <v>0</v>
      </c>
      <c r="T301" s="23"/>
    </row>
    <row r="302" spans="1:20" x14ac:dyDescent="0.2">
      <c r="A302" s="51">
        <f>+'SERVICIO FAENA'!A302</f>
        <v>0</v>
      </c>
      <c r="B302" s="32">
        <f>+'SERVICIO FAENA'!B302</f>
        <v>0</v>
      </c>
      <c r="C302" s="11">
        <f>+'SERVICIO FAENA'!C302</f>
        <v>0</v>
      </c>
      <c r="D302" s="80"/>
      <c r="E302" s="80"/>
      <c r="F302" s="33"/>
      <c r="G302" s="33"/>
      <c r="H302" s="16"/>
      <c r="I302" s="16"/>
      <c r="J302" s="16"/>
      <c r="K302" s="11"/>
      <c r="L302" s="16">
        <f t="shared" si="16"/>
        <v>0</v>
      </c>
      <c r="M302" s="11"/>
      <c r="N302" s="11"/>
      <c r="O302" s="16">
        <f t="shared" si="17"/>
        <v>0</v>
      </c>
      <c r="P302" s="16">
        <f t="shared" si="18"/>
        <v>0</v>
      </c>
      <c r="Q302" s="18"/>
      <c r="R302" s="16">
        <v>0</v>
      </c>
      <c r="S302" s="22">
        <f t="shared" si="19"/>
        <v>0</v>
      </c>
      <c r="T302" s="11"/>
    </row>
    <row r="303" spans="1:20" x14ac:dyDescent="0.2">
      <c r="A303" s="51">
        <f>+'SERVICIO FAENA'!A303</f>
        <v>0</v>
      </c>
      <c r="B303" s="32">
        <f>+'SERVICIO FAENA'!B303</f>
        <v>0</v>
      </c>
      <c r="C303" s="11">
        <f>+'SERVICIO FAENA'!C303</f>
        <v>0</v>
      </c>
      <c r="D303" s="81"/>
      <c r="E303" s="81"/>
      <c r="F303" s="26"/>
      <c r="G303" s="26"/>
      <c r="H303" s="42"/>
      <c r="I303" s="42"/>
      <c r="J303" s="42"/>
      <c r="K303" s="23"/>
      <c r="L303" s="16">
        <f t="shared" si="16"/>
        <v>0</v>
      </c>
      <c r="M303" s="23"/>
      <c r="N303" s="23"/>
      <c r="O303" s="16">
        <f t="shared" si="17"/>
        <v>0</v>
      </c>
      <c r="P303" s="16">
        <f t="shared" si="18"/>
        <v>0</v>
      </c>
      <c r="Q303" s="25"/>
      <c r="R303" s="16">
        <v>0</v>
      </c>
      <c r="S303" s="22">
        <f t="shared" si="19"/>
        <v>0</v>
      </c>
      <c r="T303" s="23"/>
    </row>
    <row r="304" spans="1:20" x14ac:dyDescent="0.2">
      <c r="A304" s="51">
        <f>+'SERVICIO FAENA'!A304</f>
        <v>0</v>
      </c>
      <c r="B304" s="32">
        <f>+'SERVICIO FAENA'!B304</f>
        <v>0</v>
      </c>
      <c r="C304" s="11">
        <f>+'SERVICIO FAENA'!C304</f>
        <v>0</v>
      </c>
      <c r="D304" s="80"/>
      <c r="E304" s="80"/>
      <c r="F304" s="33"/>
      <c r="G304" s="33"/>
      <c r="H304" s="16"/>
      <c r="I304" s="16"/>
      <c r="J304" s="16"/>
      <c r="K304" s="11"/>
      <c r="L304" s="16">
        <f t="shared" si="16"/>
        <v>0</v>
      </c>
      <c r="M304" s="11"/>
      <c r="N304" s="11"/>
      <c r="O304" s="16">
        <f t="shared" si="17"/>
        <v>0</v>
      </c>
      <c r="P304" s="16">
        <f t="shared" si="18"/>
        <v>0</v>
      </c>
      <c r="Q304" s="18"/>
      <c r="R304" s="16">
        <v>0</v>
      </c>
      <c r="S304" s="22">
        <f t="shared" si="19"/>
        <v>0</v>
      </c>
      <c r="T304" s="11"/>
    </row>
    <row r="305" spans="1:20" x14ac:dyDescent="0.2">
      <c r="A305" s="51">
        <f>+'SERVICIO FAENA'!A305</f>
        <v>0</v>
      </c>
      <c r="B305" s="32">
        <f>+'SERVICIO FAENA'!B305</f>
        <v>0</v>
      </c>
      <c r="C305" s="11">
        <f>+'SERVICIO FAENA'!C305</f>
        <v>0</v>
      </c>
      <c r="D305" s="81"/>
      <c r="E305" s="81"/>
      <c r="F305" s="26"/>
      <c r="G305" s="26"/>
      <c r="H305" s="42"/>
      <c r="I305" s="42"/>
      <c r="J305" s="42"/>
      <c r="K305" s="23"/>
      <c r="L305" s="16">
        <f t="shared" si="16"/>
        <v>0</v>
      </c>
      <c r="M305" s="23"/>
      <c r="N305" s="23"/>
      <c r="O305" s="16">
        <f t="shared" si="17"/>
        <v>0</v>
      </c>
      <c r="P305" s="16">
        <f t="shared" si="18"/>
        <v>0</v>
      </c>
      <c r="Q305" s="25"/>
      <c r="R305" s="16">
        <v>0</v>
      </c>
      <c r="S305" s="22">
        <f t="shared" si="19"/>
        <v>0</v>
      </c>
      <c r="T305" s="23"/>
    </row>
    <row r="306" spans="1:20" x14ac:dyDescent="0.2">
      <c r="A306" s="51">
        <f>+'SERVICIO FAENA'!A306</f>
        <v>0</v>
      </c>
      <c r="B306" s="32">
        <f>+'SERVICIO FAENA'!B306</f>
        <v>0</v>
      </c>
      <c r="C306" s="11">
        <f>+'SERVICIO FAENA'!C306</f>
        <v>0</v>
      </c>
      <c r="D306" s="80"/>
      <c r="E306" s="80"/>
      <c r="F306" s="33"/>
      <c r="G306" s="33"/>
      <c r="H306" s="16"/>
      <c r="I306" s="16"/>
      <c r="J306" s="16"/>
      <c r="K306" s="11"/>
      <c r="L306" s="16">
        <f t="shared" si="16"/>
        <v>0</v>
      </c>
      <c r="M306" s="11"/>
      <c r="N306" s="11"/>
      <c r="O306" s="16">
        <f t="shared" si="17"/>
        <v>0</v>
      </c>
      <c r="P306" s="16">
        <f t="shared" si="18"/>
        <v>0</v>
      </c>
      <c r="Q306" s="18"/>
      <c r="R306" s="16">
        <v>0</v>
      </c>
      <c r="S306" s="22">
        <f t="shared" si="19"/>
        <v>0</v>
      </c>
      <c r="T306" s="11"/>
    </row>
    <row r="307" spans="1:20" x14ac:dyDescent="0.2">
      <c r="A307" s="51">
        <f>+'SERVICIO FAENA'!A307</f>
        <v>0</v>
      </c>
      <c r="B307" s="32">
        <f>+'SERVICIO FAENA'!B307</f>
        <v>0</v>
      </c>
      <c r="C307" s="11">
        <f>+'SERVICIO FAENA'!C307</f>
        <v>0</v>
      </c>
      <c r="D307" s="81"/>
      <c r="E307" s="81"/>
      <c r="F307" s="26"/>
      <c r="G307" s="26"/>
      <c r="H307" s="42"/>
      <c r="I307" s="42"/>
      <c r="J307" s="42"/>
      <c r="K307" s="23"/>
      <c r="L307" s="16">
        <f t="shared" si="16"/>
        <v>0</v>
      </c>
      <c r="M307" s="23"/>
      <c r="N307" s="23"/>
      <c r="O307" s="16">
        <f t="shared" si="17"/>
        <v>0</v>
      </c>
      <c r="P307" s="16">
        <f t="shared" si="18"/>
        <v>0</v>
      </c>
      <c r="Q307" s="25"/>
      <c r="R307" s="16">
        <v>0</v>
      </c>
      <c r="S307" s="22">
        <f t="shared" si="19"/>
        <v>0</v>
      </c>
      <c r="T307" s="23"/>
    </row>
    <row r="308" spans="1:20" x14ac:dyDescent="0.2">
      <c r="A308" s="51">
        <f>+'SERVICIO FAENA'!A308</f>
        <v>0</v>
      </c>
      <c r="B308" s="32">
        <f>+'SERVICIO FAENA'!B308</f>
        <v>0</v>
      </c>
      <c r="C308" s="11">
        <f>+'SERVICIO FAENA'!C308</f>
        <v>0</v>
      </c>
      <c r="D308" s="80"/>
      <c r="E308" s="80"/>
      <c r="F308" s="33"/>
      <c r="G308" s="33"/>
      <c r="H308" s="16"/>
      <c r="I308" s="16"/>
      <c r="J308" s="16"/>
      <c r="K308" s="11"/>
      <c r="L308" s="16">
        <f t="shared" si="16"/>
        <v>0</v>
      </c>
      <c r="M308" s="11"/>
      <c r="N308" s="11"/>
      <c r="O308" s="16">
        <f t="shared" si="17"/>
        <v>0</v>
      </c>
      <c r="P308" s="16">
        <f t="shared" si="18"/>
        <v>0</v>
      </c>
      <c r="Q308" s="18"/>
      <c r="R308" s="16">
        <v>0</v>
      </c>
      <c r="S308" s="22">
        <f t="shared" si="19"/>
        <v>0</v>
      </c>
      <c r="T308" s="11"/>
    </row>
    <row r="309" spans="1:20" x14ac:dyDescent="0.2">
      <c r="A309" s="51">
        <f>+'SERVICIO FAENA'!A309</f>
        <v>0</v>
      </c>
      <c r="B309" s="32">
        <f>+'SERVICIO FAENA'!B309</f>
        <v>0</v>
      </c>
      <c r="C309" s="11">
        <f>+'SERVICIO FAENA'!C309</f>
        <v>0</v>
      </c>
      <c r="D309" s="81"/>
      <c r="E309" s="81"/>
      <c r="F309" s="26"/>
      <c r="G309" s="26"/>
      <c r="H309" s="42"/>
      <c r="I309" s="42"/>
      <c r="J309" s="42"/>
      <c r="K309" s="23"/>
      <c r="L309" s="16">
        <f t="shared" si="16"/>
        <v>0</v>
      </c>
      <c r="M309" s="23"/>
      <c r="N309" s="23"/>
      <c r="O309" s="16">
        <f t="shared" si="17"/>
        <v>0</v>
      </c>
      <c r="P309" s="16">
        <f t="shared" si="18"/>
        <v>0</v>
      </c>
      <c r="Q309" s="25"/>
      <c r="R309" s="16">
        <v>0</v>
      </c>
      <c r="S309" s="22">
        <f t="shared" si="19"/>
        <v>0</v>
      </c>
      <c r="T309" s="23"/>
    </row>
    <row r="310" spans="1:20" x14ac:dyDescent="0.2">
      <c r="A310" s="51">
        <f>+'SERVICIO FAENA'!A310</f>
        <v>0</v>
      </c>
      <c r="B310" s="32">
        <f>+'SERVICIO FAENA'!B310</f>
        <v>0</v>
      </c>
      <c r="C310" s="11">
        <f>+'SERVICIO FAENA'!C310</f>
        <v>0</v>
      </c>
      <c r="D310" s="80"/>
      <c r="E310" s="80"/>
      <c r="F310" s="33"/>
      <c r="G310" s="33"/>
      <c r="H310" s="16"/>
      <c r="I310" s="16"/>
      <c r="J310" s="16"/>
      <c r="K310" s="11"/>
      <c r="L310" s="16">
        <f t="shared" si="16"/>
        <v>0</v>
      </c>
      <c r="M310" s="11"/>
      <c r="N310" s="11"/>
      <c r="O310" s="16">
        <f t="shared" si="17"/>
        <v>0</v>
      </c>
      <c r="P310" s="16">
        <f t="shared" si="18"/>
        <v>0</v>
      </c>
      <c r="Q310" s="18"/>
      <c r="R310" s="16">
        <v>0</v>
      </c>
      <c r="S310" s="22">
        <f t="shared" si="19"/>
        <v>0</v>
      </c>
      <c r="T310" s="11"/>
    </row>
    <row r="311" spans="1:20" x14ac:dyDescent="0.2">
      <c r="A311" s="51">
        <f>+'SERVICIO FAENA'!A311</f>
        <v>0</v>
      </c>
      <c r="B311" s="32">
        <f>+'SERVICIO FAENA'!B311</f>
        <v>0</v>
      </c>
      <c r="C311" s="11">
        <f>+'SERVICIO FAENA'!C311</f>
        <v>0</v>
      </c>
      <c r="D311" s="81"/>
      <c r="E311" s="81"/>
      <c r="F311" s="26"/>
      <c r="G311" s="26"/>
      <c r="H311" s="42"/>
      <c r="I311" s="42"/>
      <c r="J311" s="42"/>
      <c r="K311" s="23"/>
      <c r="L311" s="16">
        <f t="shared" ref="L311:L354" si="20">+K311*F311</f>
        <v>0</v>
      </c>
      <c r="M311" s="23"/>
      <c r="N311" s="23"/>
      <c r="O311" s="16">
        <f t="shared" ref="O311:O354" si="21">+K311*F311</f>
        <v>0</v>
      </c>
      <c r="P311" s="16">
        <f t="shared" ref="P311:P354" si="22">+(L311*10.5/100)+L311</f>
        <v>0</v>
      </c>
      <c r="Q311" s="25"/>
      <c r="R311" s="16">
        <v>0</v>
      </c>
      <c r="S311" s="22">
        <f t="shared" ref="S311:S354" si="23">+R311-P311</f>
        <v>0</v>
      </c>
      <c r="T311" s="23"/>
    </row>
    <row r="312" spans="1:20" x14ac:dyDescent="0.2">
      <c r="A312" s="51">
        <f>+'SERVICIO FAENA'!A312</f>
        <v>0</v>
      </c>
      <c r="B312" s="32">
        <f>+'SERVICIO FAENA'!B312</f>
        <v>0</v>
      </c>
      <c r="C312" s="11">
        <f>+'SERVICIO FAENA'!C312</f>
        <v>0</v>
      </c>
      <c r="D312" s="80"/>
      <c r="E312" s="80"/>
      <c r="F312" s="33"/>
      <c r="G312" s="33"/>
      <c r="H312" s="16"/>
      <c r="I312" s="16"/>
      <c r="J312" s="16"/>
      <c r="K312" s="11"/>
      <c r="L312" s="16">
        <f t="shared" si="20"/>
        <v>0</v>
      </c>
      <c r="M312" s="11"/>
      <c r="N312" s="11"/>
      <c r="O312" s="16">
        <f t="shared" si="21"/>
        <v>0</v>
      </c>
      <c r="P312" s="16">
        <f t="shared" si="22"/>
        <v>0</v>
      </c>
      <c r="Q312" s="18"/>
      <c r="R312" s="16">
        <v>0</v>
      </c>
      <c r="S312" s="22">
        <f t="shared" si="23"/>
        <v>0</v>
      </c>
      <c r="T312" s="11"/>
    </row>
    <row r="313" spans="1:20" x14ac:dyDescent="0.2">
      <c r="A313" s="51">
        <f>+'SERVICIO FAENA'!A313</f>
        <v>0</v>
      </c>
      <c r="B313" s="32">
        <f>+'SERVICIO FAENA'!B313</f>
        <v>0</v>
      </c>
      <c r="C313" s="11">
        <f>+'SERVICIO FAENA'!C313</f>
        <v>0</v>
      </c>
      <c r="D313" s="81"/>
      <c r="E313" s="81"/>
      <c r="F313" s="26"/>
      <c r="G313" s="26"/>
      <c r="H313" s="42"/>
      <c r="I313" s="42"/>
      <c r="J313" s="42"/>
      <c r="K313" s="23"/>
      <c r="L313" s="16">
        <f t="shared" si="20"/>
        <v>0</v>
      </c>
      <c r="M313" s="23"/>
      <c r="N313" s="23"/>
      <c r="O313" s="16">
        <f t="shared" si="21"/>
        <v>0</v>
      </c>
      <c r="P313" s="16">
        <f t="shared" si="22"/>
        <v>0</v>
      </c>
      <c r="Q313" s="25"/>
      <c r="R313" s="16">
        <v>0</v>
      </c>
      <c r="S313" s="22">
        <f t="shared" si="23"/>
        <v>0</v>
      </c>
      <c r="T313" s="23"/>
    </row>
    <row r="314" spans="1:20" x14ac:dyDescent="0.2">
      <c r="A314" s="51">
        <f>+'SERVICIO FAENA'!A314</f>
        <v>0</v>
      </c>
      <c r="B314" s="32">
        <f>+'SERVICIO FAENA'!B314</f>
        <v>0</v>
      </c>
      <c r="C314" s="11">
        <f>+'SERVICIO FAENA'!C314</f>
        <v>0</v>
      </c>
      <c r="D314" s="80"/>
      <c r="E314" s="80"/>
      <c r="F314" s="33"/>
      <c r="G314" s="33"/>
      <c r="H314" s="16"/>
      <c r="I314" s="16"/>
      <c r="J314" s="16"/>
      <c r="K314" s="11"/>
      <c r="L314" s="16">
        <f t="shared" si="20"/>
        <v>0</v>
      </c>
      <c r="M314" s="11"/>
      <c r="N314" s="11"/>
      <c r="O314" s="16">
        <f t="shared" si="21"/>
        <v>0</v>
      </c>
      <c r="P314" s="16">
        <f t="shared" si="22"/>
        <v>0</v>
      </c>
      <c r="Q314" s="18"/>
      <c r="R314" s="16">
        <v>0</v>
      </c>
      <c r="S314" s="22">
        <f t="shared" si="23"/>
        <v>0</v>
      </c>
      <c r="T314" s="11"/>
    </row>
    <row r="315" spans="1:20" x14ac:dyDescent="0.2">
      <c r="A315" s="51">
        <f>+'SERVICIO FAENA'!A315</f>
        <v>0</v>
      </c>
      <c r="B315" s="32">
        <f>+'SERVICIO FAENA'!B315</f>
        <v>0</v>
      </c>
      <c r="C315" s="11">
        <f>+'SERVICIO FAENA'!C315</f>
        <v>0</v>
      </c>
      <c r="D315" s="81"/>
      <c r="E315" s="81"/>
      <c r="F315" s="26"/>
      <c r="G315" s="26"/>
      <c r="H315" s="42"/>
      <c r="I315" s="42"/>
      <c r="J315" s="42"/>
      <c r="K315" s="23"/>
      <c r="L315" s="16">
        <f t="shared" si="20"/>
        <v>0</v>
      </c>
      <c r="M315" s="23"/>
      <c r="N315" s="23"/>
      <c r="O315" s="16">
        <f t="shared" si="21"/>
        <v>0</v>
      </c>
      <c r="P315" s="16">
        <f t="shared" si="22"/>
        <v>0</v>
      </c>
      <c r="Q315" s="25"/>
      <c r="R315" s="16">
        <v>0</v>
      </c>
      <c r="S315" s="22">
        <f t="shared" si="23"/>
        <v>0</v>
      </c>
      <c r="T315" s="23"/>
    </row>
    <row r="316" spans="1:20" x14ac:dyDescent="0.2">
      <c r="A316" s="51">
        <f>+'SERVICIO FAENA'!A316</f>
        <v>0</v>
      </c>
      <c r="B316" s="32">
        <f>+'SERVICIO FAENA'!B316</f>
        <v>0</v>
      </c>
      <c r="C316" s="11">
        <f>+'SERVICIO FAENA'!C316</f>
        <v>0</v>
      </c>
      <c r="D316" s="80"/>
      <c r="E316" s="80"/>
      <c r="F316" s="33"/>
      <c r="G316" s="33"/>
      <c r="H316" s="16"/>
      <c r="I316" s="16"/>
      <c r="J316" s="16"/>
      <c r="K316" s="11"/>
      <c r="L316" s="16">
        <f t="shared" si="20"/>
        <v>0</v>
      </c>
      <c r="M316" s="11"/>
      <c r="N316" s="11"/>
      <c r="O316" s="16">
        <f t="shared" si="21"/>
        <v>0</v>
      </c>
      <c r="P316" s="16">
        <f t="shared" si="22"/>
        <v>0</v>
      </c>
      <c r="Q316" s="18"/>
      <c r="R316" s="16">
        <v>0</v>
      </c>
      <c r="S316" s="22">
        <f t="shared" si="23"/>
        <v>0</v>
      </c>
      <c r="T316" s="11"/>
    </row>
    <row r="317" spans="1:20" x14ac:dyDescent="0.2">
      <c r="A317" s="51">
        <f>+'SERVICIO FAENA'!A317</f>
        <v>0</v>
      </c>
      <c r="B317" s="32">
        <f>+'SERVICIO FAENA'!B317</f>
        <v>0</v>
      </c>
      <c r="C317" s="11">
        <f>+'SERVICIO FAENA'!C317</f>
        <v>0</v>
      </c>
      <c r="D317" s="81"/>
      <c r="E317" s="81"/>
      <c r="F317" s="26"/>
      <c r="G317" s="26"/>
      <c r="H317" s="42"/>
      <c r="I317" s="42"/>
      <c r="J317" s="42"/>
      <c r="K317" s="23"/>
      <c r="L317" s="16">
        <f t="shared" si="20"/>
        <v>0</v>
      </c>
      <c r="M317" s="23"/>
      <c r="N317" s="23"/>
      <c r="O317" s="16">
        <f t="shared" si="21"/>
        <v>0</v>
      </c>
      <c r="P317" s="16">
        <f t="shared" si="22"/>
        <v>0</v>
      </c>
      <c r="Q317" s="25"/>
      <c r="R317" s="16">
        <v>0</v>
      </c>
      <c r="S317" s="22">
        <f t="shared" si="23"/>
        <v>0</v>
      </c>
      <c r="T317" s="23"/>
    </row>
    <row r="318" spans="1:20" x14ac:dyDescent="0.2">
      <c r="A318" s="51">
        <f>+'SERVICIO FAENA'!A318</f>
        <v>0</v>
      </c>
      <c r="B318" s="32">
        <f>+'SERVICIO FAENA'!B318</f>
        <v>0</v>
      </c>
      <c r="C318" s="11">
        <f>+'SERVICIO FAENA'!C318</f>
        <v>0</v>
      </c>
      <c r="D318" s="80"/>
      <c r="E318" s="80"/>
      <c r="F318" s="33"/>
      <c r="G318" s="33"/>
      <c r="H318" s="16"/>
      <c r="I318" s="16"/>
      <c r="J318" s="16"/>
      <c r="K318" s="11"/>
      <c r="L318" s="16">
        <f t="shared" si="20"/>
        <v>0</v>
      </c>
      <c r="M318" s="11"/>
      <c r="N318" s="11"/>
      <c r="O318" s="16">
        <f t="shared" si="21"/>
        <v>0</v>
      </c>
      <c r="P318" s="16">
        <f t="shared" si="22"/>
        <v>0</v>
      </c>
      <c r="Q318" s="18"/>
      <c r="R318" s="16">
        <v>0</v>
      </c>
      <c r="S318" s="22">
        <f t="shared" si="23"/>
        <v>0</v>
      </c>
      <c r="T318" s="11"/>
    </row>
    <row r="319" spans="1:20" x14ac:dyDescent="0.2">
      <c r="A319" s="51">
        <f>+'SERVICIO FAENA'!A319</f>
        <v>0</v>
      </c>
      <c r="B319" s="32">
        <f>+'SERVICIO FAENA'!B319</f>
        <v>0</v>
      </c>
      <c r="C319" s="11">
        <f>+'SERVICIO FAENA'!C319</f>
        <v>0</v>
      </c>
      <c r="D319" s="81"/>
      <c r="E319" s="81"/>
      <c r="F319" s="26"/>
      <c r="G319" s="26"/>
      <c r="H319" s="42"/>
      <c r="I319" s="42"/>
      <c r="J319" s="42"/>
      <c r="K319" s="23"/>
      <c r="L319" s="16">
        <f t="shared" si="20"/>
        <v>0</v>
      </c>
      <c r="M319" s="23"/>
      <c r="N319" s="23"/>
      <c r="O319" s="16">
        <f t="shared" si="21"/>
        <v>0</v>
      </c>
      <c r="P319" s="16">
        <f t="shared" si="22"/>
        <v>0</v>
      </c>
      <c r="Q319" s="25"/>
      <c r="R319" s="16">
        <v>0</v>
      </c>
      <c r="S319" s="22">
        <f t="shared" si="23"/>
        <v>0</v>
      </c>
      <c r="T319" s="23"/>
    </row>
    <row r="320" spans="1:20" x14ac:dyDescent="0.2">
      <c r="A320" s="51">
        <f>+'SERVICIO FAENA'!A320</f>
        <v>0</v>
      </c>
      <c r="B320" s="32">
        <f>+'SERVICIO FAENA'!B320</f>
        <v>0</v>
      </c>
      <c r="C320" s="11">
        <f>+'SERVICIO FAENA'!C320</f>
        <v>0</v>
      </c>
      <c r="D320" s="80"/>
      <c r="E320" s="80"/>
      <c r="F320" s="33"/>
      <c r="G320" s="33"/>
      <c r="H320" s="16"/>
      <c r="I320" s="16"/>
      <c r="J320" s="16"/>
      <c r="K320" s="11"/>
      <c r="L320" s="16">
        <f t="shared" si="20"/>
        <v>0</v>
      </c>
      <c r="M320" s="11"/>
      <c r="N320" s="11"/>
      <c r="O320" s="16">
        <f t="shared" si="21"/>
        <v>0</v>
      </c>
      <c r="P320" s="16">
        <f t="shared" si="22"/>
        <v>0</v>
      </c>
      <c r="Q320" s="18"/>
      <c r="R320" s="16">
        <v>0</v>
      </c>
      <c r="S320" s="22">
        <f t="shared" si="23"/>
        <v>0</v>
      </c>
      <c r="T320" s="11"/>
    </row>
    <row r="321" spans="1:20" x14ac:dyDescent="0.2">
      <c r="A321" s="51">
        <f>+'SERVICIO FAENA'!A321</f>
        <v>0</v>
      </c>
      <c r="B321" s="32">
        <f>+'SERVICIO FAENA'!B321</f>
        <v>0</v>
      </c>
      <c r="C321" s="11">
        <f>+'SERVICIO FAENA'!C321</f>
        <v>0</v>
      </c>
      <c r="D321" s="81"/>
      <c r="E321" s="81"/>
      <c r="F321" s="26"/>
      <c r="G321" s="26"/>
      <c r="H321" s="42"/>
      <c r="I321" s="42"/>
      <c r="J321" s="42"/>
      <c r="K321" s="23"/>
      <c r="L321" s="16">
        <f t="shared" si="20"/>
        <v>0</v>
      </c>
      <c r="M321" s="23"/>
      <c r="N321" s="23"/>
      <c r="O321" s="16">
        <f t="shared" si="21"/>
        <v>0</v>
      </c>
      <c r="P321" s="16">
        <f t="shared" si="22"/>
        <v>0</v>
      </c>
      <c r="Q321" s="25"/>
      <c r="R321" s="16">
        <v>0</v>
      </c>
      <c r="S321" s="22">
        <f t="shared" si="23"/>
        <v>0</v>
      </c>
      <c r="T321" s="23"/>
    </row>
    <row r="322" spans="1:20" x14ac:dyDescent="0.2">
      <c r="A322" s="51">
        <f>+'SERVICIO FAENA'!A322</f>
        <v>0</v>
      </c>
      <c r="B322" s="32">
        <f>+'SERVICIO FAENA'!B322</f>
        <v>0</v>
      </c>
      <c r="C322" s="11">
        <f>+'SERVICIO FAENA'!C322</f>
        <v>0</v>
      </c>
      <c r="D322" s="80"/>
      <c r="E322" s="80"/>
      <c r="F322" s="33"/>
      <c r="G322" s="33"/>
      <c r="H322" s="16"/>
      <c r="I322" s="16"/>
      <c r="J322" s="16"/>
      <c r="K322" s="11"/>
      <c r="L322" s="16">
        <f t="shared" si="20"/>
        <v>0</v>
      </c>
      <c r="M322" s="11"/>
      <c r="N322" s="11"/>
      <c r="O322" s="16">
        <f t="shared" si="21"/>
        <v>0</v>
      </c>
      <c r="P322" s="16">
        <f t="shared" si="22"/>
        <v>0</v>
      </c>
      <c r="Q322" s="18"/>
      <c r="R322" s="16">
        <v>0</v>
      </c>
      <c r="S322" s="22">
        <f t="shared" si="23"/>
        <v>0</v>
      </c>
      <c r="T322" s="11"/>
    </row>
    <row r="323" spans="1:20" x14ac:dyDescent="0.2">
      <c r="A323" s="51">
        <f>+'SERVICIO FAENA'!A323</f>
        <v>0</v>
      </c>
      <c r="B323" s="32">
        <f>+'SERVICIO FAENA'!B323</f>
        <v>0</v>
      </c>
      <c r="C323" s="11">
        <f>+'SERVICIO FAENA'!C323</f>
        <v>0</v>
      </c>
      <c r="D323" s="81"/>
      <c r="E323" s="81"/>
      <c r="F323" s="26"/>
      <c r="G323" s="26"/>
      <c r="H323" s="42"/>
      <c r="I323" s="42"/>
      <c r="J323" s="42"/>
      <c r="K323" s="23"/>
      <c r="L323" s="16">
        <f t="shared" si="20"/>
        <v>0</v>
      </c>
      <c r="M323" s="23"/>
      <c r="N323" s="23"/>
      <c r="O323" s="16">
        <f t="shared" si="21"/>
        <v>0</v>
      </c>
      <c r="P323" s="16">
        <f t="shared" si="22"/>
        <v>0</v>
      </c>
      <c r="Q323" s="25"/>
      <c r="R323" s="16">
        <v>0</v>
      </c>
      <c r="S323" s="22">
        <f t="shared" si="23"/>
        <v>0</v>
      </c>
      <c r="T323" s="23"/>
    </row>
    <row r="324" spans="1:20" x14ac:dyDescent="0.2">
      <c r="A324" s="51">
        <f>+'SERVICIO FAENA'!A324</f>
        <v>0</v>
      </c>
      <c r="B324" s="32">
        <f>+'SERVICIO FAENA'!B324</f>
        <v>0</v>
      </c>
      <c r="C324" s="11">
        <f>+'SERVICIO FAENA'!C324</f>
        <v>0</v>
      </c>
      <c r="D324" s="80"/>
      <c r="E324" s="80"/>
      <c r="F324" s="33"/>
      <c r="G324" s="33"/>
      <c r="H324" s="16"/>
      <c r="I324" s="16"/>
      <c r="J324" s="16"/>
      <c r="K324" s="11"/>
      <c r="L324" s="16">
        <f t="shared" si="20"/>
        <v>0</v>
      </c>
      <c r="M324" s="11"/>
      <c r="N324" s="11"/>
      <c r="O324" s="16">
        <f t="shared" si="21"/>
        <v>0</v>
      </c>
      <c r="P324" s="16">
        <f t="shared" si="22"/>
        <v>0</v>
      </c>
      <c r="Q324" s="18"/>
      <c r="R324" s="16">
        <v>0</v>
      </c>
      <c r="S324" s="22">
        <f t="shared" si="23"/>
        <v>0</v>
      </c>
      <c r="T324" s="11"/>
    </row>
    <row r="325" spans="1:20" x14ac:dyDescent="0.2">
      <c r="A325" s="51">
        <f>+'SERVICIO FAENA'!A325</f>
        <v>0</v>
      </c>
      <c r="B325" s="32">
        <f>+'SERVICIO FAENA'!B325</f>
        <v>0</v>
      </c>
      <c r="C325" s="11">
        <f>+'SERVICIO FAENA'!C325</f>
        <v>0</v>
      </c>
      <c r="D325" s="81"/>
      <c r="E325" s="81"/>
      <c r="F325" s="26"/>
      <c r="G325" s="26"/>
      <c r="H325" s="42"/>
      <c r="I325" s="42"/>
      <c r="J325" s="42"/>
      <c r="K325" s="23"/>
      <c r="L325" s="16">
        <f t="shared" si="20"/>
        <v>0</v>
      </c>
      <c r="M325" s="23"/>
      <c r="N325" s="23"/>
      <c r="O325" s="16">
        <f t="shared" si="21"/>
        <v>0</v>
      </c>
      <c r="P325" s="16">
        <f t="shared" si="22"/>
        <v>0</v>
      </c>
      <c r="Q325" s="25"/>
      <c r="R325" s="16">
        <v>0</v>
      </c>
      <c r="S325" s="22">
        <f t="shared" si="23"/>
        <v>0</v>
      </c>
      <c r="T325" s="23"/>
    </row>
    <row r="326" spans="1:20" x14ac:dyDescent="0.2">
      <c r="A326" s="51">
        <f>+'SERVICIO FAENA'!A326</f>
        <v>0</v>
      </c>
      <c r="B326" s="32">
        <f>+'SERVICIO FAENA'!B326</f>
        <v>0</v>
      </c>
      <c r="C326" s="11">
        <f>+'SERVICIO FAENA'!C326</f>
        <v>0</v>
      </c>
      <c r="D326" s="80"/>
      <c r="E326" s="80"/>
      <c r="F326" s="33"/>
      <c r="G326" s="33"/>
      <c r="H326" s="16"/>
      <c r="I326" s="16"/>
      <c r="J326" s="16"/>
      <c r="K326" s="11"/>
      <c r="L326" s="16">
        <f t="shared" si="20"/>
        <v>0</v>
      </c>
      <c r="M326" s="11"/>
      <c r="N326" s="11"/>
      <c r="O326" s="16">
        <f t="shared" si="21"/>
        <v>0</v>
      </c>
      <c r="P326" s="16">
        <f t="shared" si="22"/>
        <v>0</v>
      </c>
      <c r="Q326" s="18"/>
      <c r="R326" s="16">
        <v>0</v>
      </c>
      <c r="S326" s="22">
        <f t="shared" si="23"/>
        <v>0</v>
      </c>
      <c r="T326" s="11"/>
    </row>
    <row r="327" spans="1:20" x14ac:dyDescent="0.2">
      <c r="A327" s="51">
        <f>+'SERVICIO FAENA'!A327</f>
        <v>0</v>
      </c>
      <c r="B327" s="32">
        <f>+'SERVICIO FAENA'!B327</f>
        <v>0</v>
      </c>
      <c r="C327" s="11">
        <f>+'SERVICIO FAENA'!C327</f>
        <v>0</v>
      </c>
      <c r="D327" s="81"/>
      <c r="E327" s="81"/>
      <c r="F327" s="26"/>
      <c r="G327" s="26"/>
      <c r="H327" s="42"/>
      <c r="I327" s="42"/>
      <c r="J327" s="42"/>
      <c r="K327" s="23"/>
      <c r="L327" s="16">
        <f t="shared" si="20"/>
        <v>0</v>
      </c>
      <c r="M327" s="23"/>
      <c r="N327" s="23"/>
      <c r="O327" s="16">
        <f t="shared" si="21"/>
        <v>0</v>
      </c>
      <c r="P327" s="16">
        <f t="shared" si="22"/>
        <v>0</v>
      </c>
      <c r="Q327" s="25"/>
      <c r="R327" s="16">
        <v>0</v>
      </c>
      <c r="S327" s="22">
        <f t="shared" si="23"/>
        <v>0</v>
      </c>
      <c r="T327" s="23"/>
    </row>
    <row r="328" spans="1:20" x14ac:dyDescent="0.2">
      <c r="A328" s="51">
        <f>+'SERVICIO FAENA'!A328</f>
        <v>0</v>
      </c>
      <c r="B328" s="32">
        <f>+'SERVICIO FAENA'!B328</f>
        <v>0</v>
      </c>
      <c r="C328" s="11">
        <f>+'SERVICIO FAENA'!C328</f>
        <v>0</v>
      </c>
      <c r="D328" s="80"/>
      <c r="E328" s="80"/>
      <c r="F328" s="33"/>
      <c r="G328" s="33"/>
      <c r="H328" s="16"/>
      <c r="I328" s="16"/>
      <c r="J328" s="16"/>
      <c r="K328" s="11"/>
      <c r="L328" s="16">
        <f t="shared" si="20"/>
        <v>0</v>
      </c>
      <c r="M328" s="11"/>
      <c r="N328" s="11"/>
      <c r="O328" s="16">
        <f t="shared" si="21"/>
        <v>0</v>
      </c>
      <c r="P328" s="16">
        <f t="shared" si="22"/>
        <v>0</v>
      </c>
      <c r="Q328" s="18"/>
      <c r="R328" s="16">
        <v>0</v>
      </c>
      <c r="S328" s="22">
        <f t="shared" si="23"/>
        <v>0</v>
      </c>
      <c r="T328" s="11"/>
    </row>
    <row r="329" spans="1:20" x14ac:dyDescent="0.2">
      <c r="A329" s="51">
        <f>+'SERVICIO FAENA'!A329</f>
        <v>0</v>
      </c>
      <c r="B329" s="32">
        <f>+'SERVICIO FAENA'!B329</f>
        <v>0</v>
      </c>
      <c r="C329" s="11">
        <f>+'SERVICIO FAENA'!C329</f>
        <v>0</v>
      </c>
      <c r="D329" s="81"/>
      <c r="E329" s="81"/>
      <c r="F329" s="26"/>
      <c r="G329" s="26"/>
      <c r="H329" s="42"/>
      <c r="I329" s="42"/>
      <c r="J329" s="42"/>
      <c r="K329" s="23"/>
      <c r="L329" s="16">
        <f t="shared" si="20"/>
        <v>0</v>
      </c>
      <c r="M329" s="23"/>
      <c r="N329" s="23"/>
      <c r="O329" s="16">
        <f t="shared" si="21"/>
        <v>0</v>
      </c>
      <c r="P329" s="16">
        <f t="shared" si="22"/>
        <v>0</v>
      </c>
      <c r="Q329" s="25"/>
      <c r="R329" s="16">
        <v>0</v>
      </c>
      <c r="S329" s="22">
        <f t="shared" si="23"/>
        <v>0</v>
      </c>
      <c r="T329" s="23"/>
    </row>
    <row r="330" spans="1:20" x14ac:dyDescent="0.2">
      <c r="A330" s="51">
        <f>+'SERVICIO FAENA'!A330</f>
        <v>0</v>
      </c>
      <c r="B330" s="32">
        <f>+'SERVICIO FAENA'!B330</f>
        <v>0</v>
      </c>
      <c r="C330" s="11">
        <f>+'SERVICIO FAENA'!C330</f>
        <v>0</v>
      </c>
      <c r="D330" s="80"/>
      <c r="E330" s="80"/>
      <c r="F330" s="33"/>
      <c r="G330" s="33"/>
      <c r="H330" s="16"/>
      <c r="I330" s="16"/>
      <c r="J330" s="16"/>
      <c r="K330" s="11"/>
      <c r="L330" s="16">
        <f t="shared" si="20"/>
        <v>0</v>
      </c>
      <c r="M330" s="11"/>
      <c r="N330" s="11"/>
      <c r="O330" s="16">
        <f t="shared" si="21"/>
        <v>0</v>
      </c>
      <c r="P330" s="16">
        <f t="shared" si="22"/>
        <v>0</v>
      </c>
      <c r="Q330" s="18"/>
      <c r="R330" s="16">
        <v>0</v>
      </c>
      <c r="S330" s="22">
        <f t="shared" si="23"/>
        <v>0</v>
      </c>
      <c r="T330" s="11"/>
    </row>
    <row r="331" spans="1:20" x14ac:dyDescent="0.2">
      <c r="A331" s="51">
        <f>+'SERVICIO FAENA'!A331</f>
        <v>0</v>
      </c>
      <c r="B331" s="32">
        <f>+'SERVICIO FAENA'!B331</f>
        <v>0</v>
      </c>
      <c r="C331" s="11">
        <f>+'SERVICIO FAENA'!C331</f>
        <v>0</v>
      </c>
      <c r="D331" s="81"/>
      <c r="E331" s="81"/>
      <c r="F331" s="26"/>
      <c r="G331" s="26"/>
      <c r="H331" s="42"/>
      <c r="I331" s="42"/>
      <c r="J331" s="42"/>
      <c r="K331" s="23"/>
      <c r="L331" s="16">
        <f t="shared" si="20"/>
        <v>0</v>
      </c>
      <c r="M331" s="23"/>
      <c r="N331" s="23"/>
      <c r="O331" s="16">
        <f t="shared" si="21"/>
        <v>0</v>
      </c>
      <c r="P331" s="16">
        <f t="shared" si="22"/>
        <v>0</v>
      </c>
      <c r="Q331" s="25"/>
      <c r="R331" s="16">
        <v>0</v>
      </c>
      <c r="S331" s="22">
        <f t="shared" si="23"/>
        <v>0</v>
      </c>
      <c r="T331" s="23"/>
    </row>
    <row r="332" spans="1:20" x14ac:dyDescent="0.2">
      <c r="A332" s="51">
        <f>+'SERVICIO FAENA'!A332</f>
        <v>0</v>
      </c>
      <c r="B332" s="32">
        <f>+'SERVICIO FAENA'!B332</f>
        <v>0</v>
      </c>
      <c r="C332" s="11">
        <f>+'SERVICIO FAENA'!C332</f>
        <v>0</v>
      </c>
      <c r="D332" s="80"/>
      <c r="E332" s="80"/>
      <c r="F332" s="33"/>
      <c r="G332" s="33"/>
      <c r="H332" s="16"/>
      <c r="I332" s="16"/>
      <c r="J332" s="16"/>
      <c r="K332" s="11"/>
      <c r="L332" s="16">
        <f t="shared" si="20"/>
        <v>0</v>
      </c>
      <c r="M332" s="11"/>
      <c r="N332" s="11"/>
      <c r="O332" s="16">
        <f t="shared" si="21"/>
        <v>0</v>
      </c>
      <c r="P332" s="16">
        <f t="shared" si="22"/>
        <v>0</v>
      </c>
      <c r="Q332" s="18"/>
      <c r="R332" s="16">
        <v>0</v>
      </c>
      <c r="S332" s="22">
        <f t="shared" si="23"/>
        <v>0</v>
      </c>
      <c r="T332" s="11"/>
    </row>
    <row r="333" spans="1:20" x14ac:dyDescent="0.2">
      <c r="A333" s="51">
        <f>+'SERVICIO FAENA'!A333</f>
        <v>0</v>
      </c>
      <c r="B333" s="32">
        <f>+'SERVICIO FAENA'!B333</f>
        <v>0</v>
      </c>
      <c r="C333" s="11">
        <f>+'SERVICIO FAENA'!C333</f>
        <v>0</v>
      </c>
      <c r="D333" s="81"/>
      <c r="E333" s="81"/>
      <c r="F333" s="26"/>
      <c r="G333" s="26"/>
      <c r="H333" s="42"/>
      <c r="I333" s="42"/>
      <c r="J333" s="42"/>
      <c r="K333" s="23"/>
      <c r="L333" s="16">
        <f t="shared" si="20"/>
        <v>0</v>
      </c>
      <c r="M333" s="23"/>
      <c r="N333" s="23"/>
      <c r="O333" s="16">
        <f t="shared" si="21"/>
        <v>0</v>
      </c>
      <c r="P333" s="16">
        <f t="shared" si="22"/>
        <v>0</v>
      </c>
      <c r="Q333" s="25"/>
      <c r="R333" s="16">
        <v>0</v>
      </c>
      <c r="S333" s="22">
        <f t="shared" si="23"/>
        <v>0</v>
      </c>
      <c r="T333" s="23"/>
    </row>
    <row r="334" spans="1:20" x14ac:dyDescent="0.2">
      <c r="A334" s="51">
        <f>+'SERVICIO FAENA'!A334</f>
        <v>0</v>
      </c>
      <c r="B334" s="32">
        <f>+'SERVICIO FAENA'!B334</f>
        <v>0</v>
      </c>
      <c r="C334" s="11">
        <f>+'SERVICIO FAENA'!C334</f>
        <v>0</v>
      </c>
      <c r="D334" s="80"/>
      <c r="E334" s="80"/>
      <c r="F334" s="33"/>
      <c r="G334" s="33"/>
      <c r="H334" s="16"/>
      <c r="I334" s="16"/>
      <c r="J334" s="16"/>
      <c r="K334" s="11"/>
      <c r="L334" s="16">
        <f t="shared" si="20"/>
        <v>0</v>
      </c>
      <c r="M334" s="11"/>
      <c r="N334" s="11"/>
      <c r="O334" s="16">
        <f t="shared" si="21"/>
        <v>0</v>
      </c>
      <c r="P334" s="16">
        <f t="shared" si="22"/>
        <v>0</v>
      </c>
      <c r="Q334" s="18"/>
      <c r="R334" s="16">
        <v>0</v>
      </c>
      <c r="S334" s="22">
        <f t="shared" si="23"/>
        <v>0</v>
      </c>
      <c r="T334" s="11"/>
    </row>
    <row r="335" spans="1:20" x14ac:dyDescent="0.2">
      <c r="A335" s="51">
        <f>+'SERVICIO FAENA'!A335</f>
        <v>0</v>
      </c>
      <c r="B335" s="32">
        <f>+'SERVICIO FAENA'!B335</f>
        <v>0</v>
      </c>
      <c r="C335" s="11">
        <f>+'SERVICIO FAENA'!C335</f>
        <v>0</v>
      </c>
      <c r="D335" s="81"/>
      <c r="E335" s="81"/>
      <c r="F335" s="26"/>
      <c r="G335" s="26"/>
      <c r="H335" s="42"/>
      <c r="I335" s="42"/>
      <c r="J335" s="42"/>
      <c r="K335" s="23"/>
      <c r="L335" s="16">
        <f t="shared" si="20"/>
        <v>0</v>
      </c>
      <c r="M335" s="23"/>
      <c r="N335" s="23"/>
      <c r="O335" s="16">
        <f t="shared" si="21"/>
        <v>0</v>
      </c>
      <c r="P335" s="16">
        <f t="shared" si="22"/>
        <v>0</v>
      </c>
      <c r="Q335" s="25"/>
      <c r="R335" s="16">
        <v>0</v>
      </c>
      <c r="S335" s="22">
        <f t="shared" si="23"/>
        <v>0</v>
      </c>
      <c r="T335" s="23"/>
    </row>
    <row r="336" spans="1:20" x14ac:dyDescent="0.2">
      <c r="A336" s="51">
        <f>+'SERVICIO FAENA'!A336</f>
        <v>0</v>
      </c>
      <c r="B336" s="32">
        <f>+'SERVICIO FAENA'!B336</f>
        <v>0</v>
      </c>
      <c r="C336" s="11">
        <f>+'SERVICIO FAENA'!C336</f>
        <v>0</v>
      </c>
      <c r="D336" s="80"/>
      <c r="E336" s="80"/>
      <c r="F336" s="33"/>
      <c r="G336" s="33"/>
      <c r="H336" s="16"/>
      <c r="I336" s="16"/>
      <c r="J336" s="16"/>
      <c r="K336" s="11"/>
      <c r="L336" s="16">
        <f t="shared" si="20"/>
        <v>0</v>
      </c>
      <c r="M336" s="11"/>
      <c r="N336" s="11"/>
      <c r="O336" s="16">
        <f t="shared" si="21"/>
        <v>0</v>
      </c>
      <c r="P336" s="16">
        <f t="shared" si="22"/>
        <v>0</v>
      </c>
      <c r="Q336" s="18"/>
      <c r="R336" s="16">
        <v>0</v>
      </c>
      <c r="S336" s="22">
        <f t="shared" si="23"/>
        <v>0</v>
      </c>
      <c r="T336" s="11"/>
    </row>
    <row r="337" spans="1:20" x14ac:dyDescent="0.2">
      <c r="A337" s="51">
        <f>+'SERVICIO FAENA'!A337</f>
        <v>0</v>
      </c>
      <c r="B337" s="32">
        <f>+'SERVICIO FAENA'!B337</f>
        <v>0</v>
      </c>
      <c r="C337" s="11">
        <f>+'SERVICIO FAENA'!C337</f>
        <v>0</v>
      </c>
      <c r="D337" s="81"/>
      <c r="E337" s="81"/>
      <c r="F337" s="26"/>
      <c r="G337" s="26"/>
      <c r="H337" s="42"/>
      <c r="I337" s="42"/>
      <c r="J337" s="42"/>
      <c r="K337" s="23"/>
      <c r="L337" s="16">
        <f t="shared" si="20"/>
        <v>0</v>
      </c>
      <c r="M337" s="23"/>
      <c r="N337" s="23"/>
      <c r="O337" s="16">
        <f t="shared" si="21"/>
        <v>0</v>
      </c>
      <c r="P337" s="16">
        <f t="shared" si="22"/>
        <v>0</v>
      </c>
      <c r="Q337" s="25"/>
      <c r="R337" s="16">
        <v>0</v>
      </c>
      <c r="S337" s="22">
        <f t="shared" si="23"/>
        <v>0</v>
      </c>
      <c r="T337" s="23"/>
    </row>
    <row r="338" spans="1:20" x14ac:dyDescent="0.2">
      <c r="A338" s="51">
        <f>+'SERVICIO FAENA'!A338</f>
        <v>0</v>
      </c>
      <c r="B338" s="32">
        <f>+'SERVICIO FAENA'!B338</f>
        <v>0</v>
      </c>
      <c r="C338" s="11">
        <f>+'SERVICIO FAENA'!C338</f>
        <v>0</v>
      </c>
      <c r="D338" s="80"/>
      <c r="E338" s="80"/>
      <c r="F338" s="33"/>
      <c r="G338" s="33"/>
      <c r="H338" s="16"/>
      <c r="I338" s="16"/>
      <c r="J338" s="16"/>
      <c r="K338" s="11"/>
      <c r="L338" s="16">
        <f t="shared" si="20"/>
        <v>0</v>
      </c>
      <c r="M338" s="11"/>
      <c r="N338" s="11"/>
      <c r="O338" s="16">
        <f t="shared" si="21"/>
        <v>0</v>
      </c>
      <c r="P338" s="16">
        <f t="shared" si="22"/>
        <v>0</v>
      </c>
      <c r="Q338" s="18"/>
      <c r="R338" s="16">
        <v>0</v>
      </c>
      <c r="S338" s="22">
        <f t="shared" si="23"/>
        <v>0</v>
      </c>
      <c r="T338" s="11"/>
    </row>
    <row r="339" spans="1:20" x14ac:dyDescent="0.2">
      <c r="A339" s="51">
        <f>+'SERVICIO FAENA'!A339</f>
        <v>0</v>
      </c>
      <c r="B339" s="32">
        <f>+'SERVICIO FAENA'!B339</f>
        <v>0</v>
      </c>
      <c r="C339" s="11">
        <f>+'SERVICIO FAENA'!C339</f>
        <v>0</v>
      </c>
      <c r="D339" s="81"/>
      <c r="E339" s="81"/>
      <c r="F339" s="26"/>
      <c r="G339" s="26"/>
      <c r="H339" s="42"/>
      <c r="I339" s="42"/>
      <c r="J339" s="42"/>
      <c r="K339" s="23"/>
      <c r="L339" s="16">
        <f t="shared" si="20"/>
        <v>0</v>
      </c>
      <c r="M339" s="23"/>
      <c r="N339" s="23"/>
      <c r="O339" s="16">
        <f t="shared" si="21"/>
        <v>0</v>
      </c>
      <c r="P339" s="16">
        <f t="shared" si="22"/>
        <v>0</v>
      </c>
      <c r="Q339" s="25"/>
      <c r="R339" s="16">
        <v>0</v>
      </c>
      <c r="S339" s="22">
        <f t="shared" si="23"/>
        <v>0</v>
      </c>
      <c r="T339" s="23"/>
    </row>
    <row r="340" spans="1:20" x14ac:dyDescent="0.2">
      <c r="A340" s="51">
        <f>+'SERVICIO FAENA'!A340</f>
        <v>0</v>
      </c>
      <c r="B340" s="32">
        <f>+'SERVICIO FAENA'!B340</f>
        <v>0</v>
      </c>
      <c r="C340" s="11">
        <f>+'SERVICIO FAENA'!C340</f>
        <v>0</v>
      </c>
      <c r="D340" s="80"/>
      <c r="E340" s="80"/>
      <c r="F340" s="33"/>
      <c r="G340" s="33"/>
      <c r="H340" s="16"/>
      <c r="I340" s="16"/>
      <c r="J340" s="16"/>
      <c r="K340" s="11"/>
      <c r="L340" s="16">
        <f t="shared" si="20"/>
        <v>0</v>
      </c>
      <c r="M340" s="11"/>
      <c r="N340" s="11"/>
      <c r="O340" s="16">
        <f t="shared" si="21"/>
        <v>0</v>
      </c>
      <c r="P340" s="16">
        <f t="shared" si="22"/>
        <v>0</v>
      </c>
      <c r="Q340" s="18"/>
      <c r="R340" s="16">
        <v>0</v>
      </c>
      <c r="S340" s="22">
        <f t="shared" si="23"/>
        <v>0</v>
      </c>
      <c r="T340" s="11"/>
    </row>
    <row r="341" spans="1:20" x14ac:dyDescent="0.2">
      <c r="A341" s="51">
        <f>+'SERVICIO FAENA'!A341</f>
        <v>0</v>
      </c>
      <c r="B341" s="32">
        <f>+'SERVICIO FAENA'!B341</f>
        <v>0</v>
      </c>
      <c r="C341" s="11">
        <f>+'SERVICIO FAENA'!C341</f>
        <v>0</v>
      </c>
      <c r="D341" s="81"/>
      <c r="E341" s="81"/>
      <c r="F341" s="26"/>
      <c r="G341" s="26"/>
      <c r="H341" s="42"/>
      <c r="I341" s="42"/>
      <c r="J341" s="42"/>
      <c r="K341" s="23"/>
      <c r="L341" s="16">
        <f t="shared" si="20"/>
        <v>0</v>
      </c>
      <c r="M341" s="23"/>
      <c r="N341" s="23"/>
      <c r="O341" s="16">
        <f t="shared" si="21"/>
        <v>0</v>
      </c>
      <c r="P341" s="16">
        <f t="shared" si="22"/>
        <v>0</v>
      </c>
      <c r="Q341" s="25"/>
      <c r="R341" s="16">
        <v>0</v>
      </c>
      <c r="S341" s="22">
        <f t="shared" si="23"/>
        <v>0</v>
      </c>
      <c r="T341" s="23"/>
    </row>
    <row r="342" spans="1:20" x14ac:dyDescent="0.2">
      <c r="A342" s="51">
        <f>+'SERVICIO FAENA'!A342</f>
        <v>0</v>
      </c>
      <c r="B342" s="32">
        <f>+'SERVICIO FAENA'!B342</f>
        <v>0</v>
      </c>
      <c r="C342" s="11">
        <f>+'SERVICIO FAENA'!C342</f>
        <v>0</v>
      </c>
      <c r="D342" s="80"/>
      <c r="E342" s="80"/>
      <c r="F342" s="33"/>
      <c r="G342" s="33"/>
      <c r="H342" s="16"/>
      <c r="I342" s="16"/>
      <c r="J342" s="16"/>
      <c r="K342" s="11"/>
      <c r="L342" s="16">
        <f t="shared" si="20"/>
        <v>0</v>
      </c>
      <c r="M342" s="11"/>
      <c r="N342" s="11"/>
      <c r="O342" s="16">
        <f t="shared" si="21"/>
        <v>0</v>
      </c>
      <c r="P342" s="16">
        <f t="shared" si="22"/>
        <v>0</v>
      </c>
      <c r="Q342" s="18"/>
      <c r="R342" s="16">
        <v>0</v>
      </c>
      <c r="S342" s="22">
        <f t="shared" si="23"/>
        <v>0</v>
      </c>
      <c r="T342" s="11"/>
    </row>
    <row r="343" spans="1:20" x14ac:dyDescent="0.2">
      <c r="A343" s="51">
        <f>+'SERVICIO FAENA'!A343</f>
        <v>0</v>
      </c>
      <c r="B343" s="32">
        <f>+'SERVICIO FAENA'!B343</f>
        <v>0</v>
      </c>
      <c r="C343" s="11">
        <f>+'SERVICIO FAENA'!C343</f>
        <v>0</v>
      </c>
      <c r="D343" s="81"/>
      <c r="E343" s="81"/>
      <c r="F343" s="26"/>
      <c r="G343" s="26"/>
      <c r="H343" s="42"/>
      <c r="I343" s="42"/>
      <c r="J343" s="42"/>
      <c r="K343" s="23"/>
      <c r="L343" s="16">
        <f t="shared" si="20"/>
        <v>0</v>
      </c>
      <c r="M343" s="23"/>
      <c r="N343" s="23"/>
      <c r="O343" s="16">
        <f t="shared" si="21"/>
        <v>0</v>
      </c>
      <c r="P343" s="16">
        <f t="shared" si="22"/>
        <v>0</v>
      </c>
      <c r="Q343" s="25"/>
      <c r="R343" s="16">
        <v>0</v>
      </c>
      <c r="S343" s="22">
        <f t="shared" si="23"/>
        <v>0</v>
      </c>
      <c r="T343" s="23"/>
    </row>
    <row r="344" spans="1:20" x14ac:dyDescent="0.2">
      <c r="A344" s="51">
        <f>+'SERVICIO FAENA'!A344</f>
        <v>0</v>
      </c>
      <c r="B344" s="32">
        <f>+'SERVICIO FAENA'!B344</f>
        <v>0</v>
      </c>
      <c r="C344" s="11">
        <f>+'SERVICIO FAENA'!C344</f>
        <v>0</v>
      </c>
      <c r="D344" s="80"/>
      <c r="E344" s="80"/>
      <c r="F344" s="33"/>
      <c r="G344" s="33"/>
      <c r="H344" s="16"/>
      <c r="I344" s="16"/>
      <c r="J344" s="16"/>
      <c r="K344" s="11"/>
      <c r="L344" s="16">
        <f t="shared" si="20"/>
        <v>0</v>
      </c>
      <c r="M344" s="11"/>
      <c r="N344" s="11"/>
      <c r="O344" s="16">
        <f t="shared" si="21"/>
        <v>0</v>
      </c>
      <c r="P344" s="16">
        <f t="shared" si="22"/>
        <v>0</v>
      </c>
      <c r="Q344" s="18"/>
      <c r="R344" s="16">
        <v>0</v>
      </c>
      <c r="S344" s="22">
        <f t="shared" si="23"/>
        <v>0</v>
      </c>
      <c r="T344" s="11"/>
    </row>
    <row r="345" spans="1:20" x14ac:dyDescent="0.2">
      <c r="A345" s="51">
        <f>+'SERVICIO FAENA'!A345</f>
        <v>0</v>
      </c>
      <c r="B345" s="32">
        <f>+'SERVICIO FAENA'!B345</f>
        <v>0</v>
      </c>
      <c r="C345" s="11">
        <f>+'SERVICIO FAENA'!C345</f>
        <v>0</v>
      </c>
      <c r="D345" s="81"/>
      <c r="E345" s="81"/>
      <c r="F345" s="26"/>
      <c r="G345" s="26"/>
      <c r="H345" s="42"/>
      <c r="I345" s="42"/>
      <c r="J345" s="42"/>
      <c r="K345" s="23"/>
      <c r="L345" s="16">
        <f t="shared" si="20"/>
        <v>0</v>
      </c>
      <c r="M345" s="23"/>
      <c r="N345" s="23"/>
      <c r="O345" s="16">
        <f t="shared" si="21"/>
        <v>0</v>
      </c>
      <c r="P345" s="16">
        <f t="shared" si="22"/>
        <v>0</v>
      </c>
      <c r="Q345" s="25"/>
      <c r="R345" s="16">
        <v>0</v>
      </c>
      <c r="S345" s="22">
        <f t="shared" si="23"/>
        <v>0</v>
      </c>
      <c r="T345" s="23"/>
    </row>
    <row r="346" spans="1:20" x14ac:dyDescent="0.2">
      <c r="A346" s="51">
        <f>+'SERVICIO FAENA'!A346</f>
        <v>0</v>
      </c>
      <c r="B346" s="32">
        <f>+'SERVICIO FAENA'!B346</f>
        <v>0</v>
      </c>
      <c r="C346" s="11">
        <f>+'SERVICIO FAENA'!C346</f>
        <v>0</v>
      </c>
      <c r="D346" s="80"/>
      <c r="E346" s="80"/>
      <c r="F346" s="33"/>
      <c r="G346" s="33"/>
      <c r="H346" s="16"/>
      <c r="I346" s="16"/>
      <c r="J346" s="16"/>
      <c r="K346" s="11"/>
      <c r="L346" s="16">
        <f t="shared" si="20"/>
        <v>0</v>
      </c>
      <c r="M346" s="11"/>
      <c r="N346" s="11"/>
      <c r="O346" s="16">
        <f t="shared" si="21"/>
        <v>0</v>
      </c>
      <c r="P346" s="16">
        <f t="shared" si="22"/>
        <v>0</v>
      </c>
      <c r="Q346" s="18"/>
      <c r="R346" s="16">
        <v>0</v>
      </c>
      <c r="S346" s="22">
        <f t="shared" si="23"/>
        <v>0</v>
      </c>
      <c r="T346" s="11"/>
    </row>
    <row r="347" spans="1:20" x14ac:dyDescent="0.2">
      <c r="A347" s="51">
        <f>+'SERVICIO FAENA'!A347</f>
        <v>0</v>
      </c>
      <c r="B347" s="32">
        <f>+'SERVICIO FAENA'!B347</f>
        <v>0</v>
      </c>
      <c r="C347" s="11">
        <f>+'SERVICIO FAENA'!C347</f>
        <v>0</v>
      </c>
      <c r="D347" s="81"/>
      <c r="E347" s="81"/>
      <c r="F347" s="26"/>
      <c r="G347" s="26"/>
      <c r="H347" s="42"/>
      <c r="I347" s="42"/>
      <c r="J347" s="42"/>
      <c r="K347" s="23"/>
      <c r="L347" s="16">
        <f t="shared" si="20"/>
        <v>0</v>
      </c>
      <c r="M347" s="23"/>
      <c r="N347" s="23"/>
      <c r="O347" s="16">
        <f t="shared" si="21"/>
        <v>0</v>
      </c>
      <c r="P347" s="16">
        <f t="shared" si="22"/>
        <v>0</v>
      </c>
      <c r="Q347" s="25"/>
      <c r="R347" s="16">
        <v>0</v>
      </c>
      <c r="S347" s="22">
        <f t="shared" si="23"/>
        <v>0</v>
      </c>
      <c r="T347" s="23"/>
    </row>
    <row r="348" spans="1:20" x14ac:dyDescent="0.2">
      <c r="A348" s="51">
        <f>+'SERVICIO FAENA'!A348</f>
        <v>0</v>
      </c>
      <c r="B348" s="32">
        <f>+'SERVICIO FAENA'!B348</f>
        <v>0</v>
      </c>
      <c r="C348" s="11">
        <f>+'SERVICIO FAENA'!C348</f>
        <v>0</v>
      </c>
      <c r="D348" s="80"/>
      <c r="E348" s="80"/>
      <c r="F348" s="33"/>
      <c r="G348" s="33"/>
      <c r="H348" s="16"/>
      <c r="I348" s="16"/>
      <c r="J348" s="16"/>
      <c r="K348" s="11"/>
      <c r="L348" s="16">
        <f t="shared" si="20"/>
        <v>0</v>
      </c>
      <c r="M348" s="11"/>
      <c r="N348" s="11"/>
      <c r="O348" s="16">
        <f t="shared" si="21"/>
        <v>0</v>
      </c>
      <c r="P348" s="16">
        <f t="shared" si="22"/>
        <v>0</v>
      </c>
      <c r="Q348" s="18"/>
      <c r="R348" s="16">
        <v>0</v>
      </c>
      <c r="S348" s="22">
        <f t="shared" si="23"/>
        <v>0</v>
      </c>
      <c r="T348" s="11"/>
    </row>
    <row r="349" spans="1:20" x14ac:dyDescent="0.2">
      <c r="A349" s="51">
        <f>+'SERVICIO FAENA'!A349</f>
        <v>0</v>
      </c>
      <c r="B349" s="32">
        <f>+'SERVICIO FAENA'!B349</f>
        <v>0</v>
      </c>
      <c r="C349" s="11">
        <f>+'SERVICIO FAENA'!C349</f>
        <v>0</v>
      </c>
      <c r="D349" s="81"/>
      <c r="E349" s="81"/>
      <c r="F349" s="26"/>
      <c r="G349" s="26"/>
      <c r="H349" s="42"/>
      <c r="I349" s="42"/>
      <c r="J349" s="42"/>
      <c r="K349" s="23"/>
      <c r="L349" s="16">
        <f t="shared" si="20"/>
        <v>0</v>
      </c>
      <c r="M349" s="23"/>
      <c r="N349" s="23"/>
      <c r="O349" s="16">
        <f t="shared" si="21"/>
        <v>0</v>
      </c>
      <c r="P349" s="16">
        <f t="shared" si="22"/>
        <v>0</v>
      </c>
      <c r="Q349" s="25"/>
      <c r="R349" s="16">
        <v>0</v>
      </c>
      <c r="S349" s="22">
        <f t="shared" si="23"/>
        <v>0</v>
      </c>
      <c r="T349" s="23"/>
    </row>
    <row r="350" spans="1:20" x14ac:dyDescent="0.2">
      <c r="A350" s="51">
        <f>+'SERVICIO FAENA'!A350</f>
        <v>0</v>
      </c>
      <c r="B350" s="32">
        <f>+'SERVICIO FAENA'!B350</f>
        <v>0</v>
      </c>
      <c r="C350" s="11">
        <f>+'SERVICIO FAENA'!C350</f>
        <v>0</v>
      </c>
      <c r="D350" s="80"/>
      <c r="E350" s="80"/>
      <c r="F350" s="33"/>
      <c r="G350" s="33"/>
      <c r="H350" s="16"/>
      <c r="I350" s="16"/>
      <c r="J350" s="16"/>
      <c r="K350" s="11"/>
      <c r="L350" s="16">
        <f t="shared" si="20"/>
        <v>0</v>
      </c>
      <c r="M350" s="11"/>
      <c r="N350" s="11"/>
      <c r="O350" s="16">
        <f t="shared" si="21"/>
        <v>0</v>
      </c>
      <c r="P350" s="16">
        <f t="shared" si="22"/>
        <v>0</v>
      </c>
      <c r="Q350" s="18"/>
      <c r="R350" s="16">
        <v>0</v>
      </c>
      <c r="S350" s="22">
        <f t="shared" si="23"/>
        <v>0</v>
      </c>
      <c r="T350" s="11"/>
    </row>
    <row r="351" spans="1:20" x14ac:dyDescent="0.2">
      <c r="A351" s="51">
        <f>+'SERVICIO FAENA'!A351</f>
        <v>0</v>
      </c>
      <c r="B351" s="32">
        <f>+'SERVICIO FAENA'!B351</f>
        <v>0</v>
      </c>
      <c r="C351" s="11">
        <f>+'SERVICIO FAENA'!C351</f>
        <v>0</v>
      </c>
      <c r="D351" s="81"/>
      <c r="E351" s="81"/>
      <c r="F351" s="26"/>
      <c r="G351" s="26"/>
      <c r="H351" s="42"/>
      <c r="I351" s="42"/>
      <c r="J351" s="42"/>
      <c r="K351" s="23"/>
      <c r="L351" s="16">
        <f t="shared" si="20"/>
        <v>0</v>
      </c>
      <c r="M351" s="23"/>
      <c r="N351" s="23"/>
      <c r="O351" s="16">
        <f t="shared" si="21"/>
        <v>0</v>
      </c>
      <c r="P351" s="16">
        <f t="shared" si="22"/>
        <v>0</v>
      </c>
      <c r="Q351" s="25"/>
      <c r="R351" s="16">
        <v>0</v>
      </c>
      <c r="S351" s="22">
        <f t="shared" si="23"/>
        <v>0</v>
      </c>
      <c r="T351" s="23"/>
    </row>
    <row r="352" spans="1:20" x14ac:dyDescent="0.2">
      <c r="A352" s="51">
        <f>+'SERVICIO FAENA'!A352</f>
        <v>0</v>
      </c>
      <c r="B352" s="32">
        <f>+'SERVICIO FAENA'!B352</f>
        <v>0</v>
      </c>
      <c r="C352" s="11">
        <f>+'SERVICIO FAENA'!C352</f>
        <v>0</v>
      </c>
      <c r="D352" s="80"/>
      <c r="E352" s="80"/>
      <c r="F352" s="33"/>
      <c r="G352" s="33"/>
      <c r="H352" s="16"/>
      <c r="I352" s="16"/>
      <c r="J352" s="16"/>
      <c r="K352" s="11"/>
      <c r="L352" s="16">
        <f t="shared" si="20"/>
        <v>0</v>
      </c>
      <c r="M352" s="11"/>
      <c r="N352" s="11"/>
      <c r="O352" s="16">
        <f t="shared" si="21"/>
        <v>0</v>
      </c>
      <c r="P352" s="16">
        <f t="shared" si="22"/>
        <v>0</v>
      </c>
      <c r="Q352" s="18"/>
      <c r="R352" s="16">
        <v>0</v>
      </c>
      <c r="S352" s="22">
        <f t="shared" si="23"/>
        <v>0</v>
      </c>
      <c r="T352" s="11"/>
    </row>
    <row r="353" spans="1:20" x14ac:dyDescent="0.2">
      <c r="A353" s="51">
        <f>+'SERVICIO FAENA'!A353</f>
        <v>0</v>
      </c>
      <c r="B353" s="32">
        <f>+'SERVICIO FAENA'!B353</f>
        <v>0</v>
      </c>
      <c r="C353" s="11">
        <f>+'SERVICIO FAENA'!C353</f>
        <v>0</v>
      </c>
      <c r="D353" s="81"/>
      <c r="E353" s="81"/>
      <c r="F353" s="26"/>
      <c r="G353" s="26"/>
      <c r="H353" s="42"/>
      <c r="I353" s="42"/>
      <c r="J353" s="42"/>
      <c r="K353" s="23"/>
      <c r="L353" s="16">
        <f t="shared" si="20"/>
        <v>0</v>
      </c>
      <c r="M353" s="23"/>
      <c r="N353" s="23"/>
      <c r="O353" s="16">
        <f t="shared" si="21"/>
        <v>0</v>
      </c>
      <c r="P353" s="16">
        <f t="shared" si="22"/>
        <v>0</v>
      </c>
      <c r="Q353" s="25"/>
      <c r="R353" s="16">
        <v>0</v>
      </c>
      <c r="S353" s="22">
        <f t="shared" si="23"/>
        <v>0</v>
      </c>
      <c r="T353" s="23"/>
    </row>
    <row r="354" spans="1:20" x14ac:dyDescent="0.2">
      <c r="A354" s="51">
        <f>+'SERVICIO FAENA'!A354</f>
        <v>0</v>
      </c>
      <c r="B354" s="32">
        <f>+'SERVICIO FAENA'!B354</f>
        <v>0</v>
      </c>
      <c r="C354" s="11">
        <f>+'SERVICIO FAENA'!C354</f>
        <v>0</v>
      </c>
      <c r="D354" s="80"/>
      <c r="E354" s="80"/>
      <c r="F354" s="33"/>
      <c r="G354" s="33"/>
      <c r="H354" s="16"/>
      <c r="I354" s="16"/>
      <c r="J354" s="16"/>
      <c r="K354" s="11"/>
      <c r="L354" s="16">
        <f t="shared" si="20"/>
        <v>0</v>
      </c>
      <c r="M354" s="11"/>
      <c r="N354" s="11"/>
      <c r="O354" s="16">
        <f t="shared" si="21"/>
        <v>0</v>
      </c>
      <c r="P354" s="16">
        <f t="shared" si="22"/>
        <v>0</v>
      </c>
      <c r="Q354" s="18"/>
      <c r="R354" s="16">
        <v>0</v>
      </c>
      <c r="S354" s="22">
        <f t="shared" si="23"/>
        <v>0</v>
      </c>
      <c r="T354" s="11"/>
    </row>
  </sheetData>
  <autoFilter ref="A2:T2"/>
  <mergeCells count="2">
    <mergeCell ref="G1:I1"/>
    <mergeCell ref="K1:T1"/>
  </mergeCells>
  <conditionalFormatting sqref="S3:S354">
    <cfRule type="cellIs" dxfId="0" priority="1" operator="lessThan">
      <formula>" $ -   &lt;0"</formula>
    </cfRule>
  </conditionalFormatting>
  <pageMargins left="0.7" right="0.7" top="0.75" bottom="0.75" header="0.3" footer="0.3"/>
  <pageSetup paperSize="8" scale="7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rgb="FF92D050"/>
  </sheetPr>
  <dimension ref="A1:V302"/>
  <sheetViews>
    <sheetView zoomScaleNormal="100" workbookViewId="0">
      <pane ySplit="1" topLeftCell="A78" activePane="bottomLeft" state="frozen"/>
      <selection pane="bottomLeft" activeCell="D96" sqref="D96"/>
    </sheetView>
  </sheetViews>
  <sheetFormatPr baseColWidth="10" defaultColWidth="11.42578125" defaultRowHeight="12.75" x14ac:dyDescent="0.2"/>
  <cols>
    <col min="1" max="1" width="11.42578125" style="5"/>
    <col min="2" max="2" width="11.42578125" style="50"/>
    <col min="3" max="3" width="6.42578125" style="50" customWidth="1"/>
    <col min="4" max="4" width="6.85546875" style="50" customWidth="1"/>
    <col min="5" max="6" width="12.85546875" style="5" customWidth="1"/>
    <col min="7" max="7" width="12.85546875" style="39" customWidth="1"/>
    <col min="8" max="8" width="12.85546875" style="5" customWidth="1"/>
    <col min="9" max="9" width="12.85546875" style="39" customWidth="1"/>
    <col min="10" max="10" width="12.85546875" style="5" customWidth="1"/>
    <col min="11" max="11" width="11.85546875" style="5" bestFit="1" customWidth="1"/>
    <col min="12" max="12" width="11.42578125" style="5"/>
    <col min="13" max="13" width="13.28515625" style="5" bestFit="1" customWidth="1"/>
    <col min="14" max="14" width="11.42578125" style="5"/>
    <col min="15" max="15" width="39.5703125" style="5" bestFit="1" customWidth="1"/>
    <col min="16" max="16384" width="11.42578125" style="5"/>
  </cols>
  <sheetData>
    <row r="1" spans="1:22" ht="39.75" customHeight="1" thickBot="1" x14ac:dyDescent="0.25">
      <c r="A1" s="9" t="s">
        <v>22</v>
      </c>
      <c r="B1" s="21" t="s">
        <v>21</v>
      </c>
      <c r="C1" s="257" t="s">
        <v>66</v>
      </c>
      <c r="D1" s="258"/>
      <c r="E1" s="31" t="s">
        <v>26</v>
      </c>
      <c r="F1" s="9" t="s">
        <v>44</v>
      </c>
      <c r="G1" s="37" t="s">
        <v>32</v>
      </c>
      <c r="H1" s="9" t="s">
        <v>44</v>
      </c>
      <c r="I1" s="37" t="s">
        <v>49</v>
      </c>
      <c r="J1" s="9" t="s">
        <v>44</v>
      </c>
      <c r="K1" s="21" t="s">
        <v>23</v>
      </c>
      <c r="L1" s="21" t="s">
        <v>24</v>
      </c>
      <c r="M1" s="9" t="s">
        <v>25</v>
      </c>
      <c r="N1" s="21" t="s">
        <v>20</v>
      </c>
      <c r="O1" s="21" t="s">
        <v>13</v>
      </c>
      <c r="Q1" s="46" t="s">
        <v>58</v>
      </c>
      <c r="R1" s="47">
        <v>100</v>
      </c>
      <c r="T1" s="46" t="s">
        <v>63</v>
      </c>
      <c r="U1" s="62">
        <v>300</v>
      </c>
      <c r="V1" s="62">
        <v>60</v>
      </c>
    </row>
    <row r="2" spans="1:22" x14ac:dyDescent="0.2">
      <c r="A2" s="99">
        <v>46024</v>
      </c>
      <c r="B2" s="20">
        <f>+'SERVICIO FAENA'!A3</f>
        <v>1</v>
      </c>
      <c r="C2" s="65"/>
      <c r="D2" s="65"/>
      <c r="E2" s="23">
        <v>2260</v>
      </c>
      <c r="F2" s="16">
        <f t="shared" ref="F2:F7" si="0">+E2*C2</f>
        <v>0</v>
      </c>
      <c r="G2" s="38">
        <v>900</v>
      </c>
      <c r="H2" s="16">
        <f t="shared" ref="H2:H7" si="1">+G2*C2</f>
        <v>0</v>
      </c>
      <c r="I2" s="38">
        <v>560</v>
      </c>
      <c r="J2" s="16">
        <f t="shared" ref="J2:J7" si="2">+I2*D2</f>
        <v>0</v>
      </c>
      <c r="K2" s="23"/>
      <c r="L2" s="23"/>
      <c r="M2" s="16">
        <f t="shared" ref="M2:M7" si="3">+F2+H2+J2</f>
        <v>0</v>
      </c>
      <c r="N2" s="26"/>
      <c r="O2" s="23"/>
    </row>
    <row r="3" spans="1:22" x14ac:dyDescent="0.2">
      <c r="A3" s="18">
        <f>+'SERVICIO FAENA'!E4</f>
        <v>46024</v>
      </c>
      <c r="B3" s="20">
        <f>+'SERVICIO FAENA'!A4</f>
        <v>2</v>
      </c>
      <c r="C3" s="64"/>
      <c r="D3" s="64"/>
      <c r="E3" s="11"/>
      <c r="F3" s="16">
        <f t="shared" si="0"/>
        <v>0</v>
      </c>
      <c r="G3" s="38"/>
      <c r="H3" s="16">
        <f t="shared" si="1"/>
        <v>0</v>
      </c>
      <c r="I3" s="38"/>
      <c r="J3" s="16">
        <f t="shared" si="2"/>
        <v>0</v>
      </c>
      <c r="K3" s="11"/>
      <c r="L3" s="11"/>
      <c r="M3" s="16">
        <f t="shared" si="3"/>
        <v>0</v>
      </c>
      <c r="N3" s="24"/>
      <c r="O3" s="11"/>
    </row>
    <row r="4" spans="1:22" x14ac:dyDescent="0.2">
      <c r="A4" s="101">
        <f>+'SERVICIO FAENA'!E5</f>
        <v>46027</v>
      </c>
      <c r="B4" s="102">
        <f>+'SERVICIO FAENA'!A5</f>
        <v>3</v>
      </c>
      <c r="C4" s="103"/>
      <c r="D4" s="103"/>
      <c r="E4" s="104"/>
      <c r="F4" s="105">
        <f t="shared" si="0"/>
        <v>0</v>
      </c>
      <c r="G4" s="106"/>
      <c r="H4" s="105">
        <f t="shared" si="1"/>
        <v>0</v>
      </c>
      <c r="I4" s="106"/>
      <c r="J4" s="16">
        <f t="shared" si="2"/>
        <v>0</v>
      </c>
      <c r="K4" s="23"/>
      <c r="L4" s="23"/>
      <c r="M4" s="16">
        <f t="shared" si="3"/>
        <v>0</v>
      </c>
      <c r="N4" s="26"/>
      <c r="O4" s="259" t="s">
        <v>134</v>
      </c>
    </row>
    <row r="5" spans="1:22" x14ac:dyDescent="0.2">
      <c r="A5" s="101">
        <f>+'SERVICIO FAENA'!E6</f>
        <v>46027</v>
      </c>
      <c r="B5" s="102">
        <f>+'SERVICIO FAENA'!A6</f>
        <v>4</v>
      </c>
      <c r="C5" s="107"/>
      <c r="D5" s="107"/>
      <c r="E5" s="108"/>
      <c r="F5" s="105">
        <f t="shared" si="0"/>
        <v>0</v>
      </c>
      <c r="G5" s="106"/>
      <c r="H5" s="105">
        <f t="shared" si="1"/>
        <v>0</v>
      </c>
      <c r="I5" s="106"/>
      <c r="J5" s="16">
        <f t="shared" si="2"/>
        <v>0</v>
      </c>
      <c r="K5" s="11"/>
      <c r="L5" s="11"/>
      <c r="M5" s="16">
        <f t="shared" si="3"/>
        <v>0</v>
      </c>
      <c r="N5" s="24"/>
      <c r="O5" s="260"/>
    </row>
    <row r="6" spans="1:22" x14ac:dyDescent="0.2">
      <c r="A6" s="101">
        <f>+'SERVICIO FAENA'!E7</f>
        <v>46027</v>
      </c>
      <c r="B6" s="102">
        <f>+'SERVICIO FAENA'!A7</f>
        <v>5</v>
      </c>
      <c r="C6" s="103"/>
      <c r="D6" s="103"/>
      <c r="E6" s="104">
        <v>2620</v>
      </c>
      <c r="F6" s="105">
        <f t="shared" si="0"/>
        <v>0</v>
      </c>
      <c r="G6" s="106">
        <v>1420</v>
      </c>
      <c r="H6" s="105">
        <f t="shared" si="1"/>
        <v>0</v>
      </c>
      <c r="I6" s="106">
        <v>880</v>
      </c>
      <c r="J6" s="16">
        <f t="shared" si="2"/>
        <v>0</v>
      </c>
      <c r="K6" s="23"/>
      <c r="L6" s="23"/>
      <c r="M6" s="16">
        <f t="shared" si="3"/>
        <v>0</v>
      </c>
      <c r="N6" s="26"/>
      <c r="O6" s="260"/>
    </row>
    <row r="7" spans="1:22" x14ac:dyDescent="0.2">
      <c r="A7" s="101">
        <f>+'SERVICIO FAENA'!E8</f>
        <v>46028</v>
      </c>
      <c r="B7" s="102">
        <f>+'SERVICIO FAENA'!A8</f>
        <v>6</v>
      </c>
      <c r="C7" s="107"/>
      <c r="D7" s="107"/>
      <c r="E7" s="108">
        <v>3860</v>
      </c>
      <c r="F7" s="105">
        <f t="shared" si="0"/>
        <v>0</v>
      </c>
      <c r="G7" s="106">
        <v>1360</v>
      </c>
      <c r="H7" s="105">
        <f t="shared" si="1"/>
        <v>0</v>
      </c>
      <c r="I7" s="106">
        <v>1160</v>
      </c>
      <c r="J7" s="16">
        <f t="shared" si="2"/>
        <v>0</v>
      </c>
      <c r="K7" s="11"/>
      <c r="L7" s="11"/>
      <c r="M7" s="16">
        <f t="shared" si="3"/>
        <v>0</v>
      </c>
      <c r="N7" s="24"/>
      <c r="O7" s="260"/>
    </row>
    <row r="8" spans="1:22" x14ac:dyDescent="0.2">
      <c r="A8" s="101">
        <f>+'SERVICIO FAENA'!E9</f>
        <v>46028</v>
      </c>
      <c r="B8" s="102">
        <f>+'SERVICIO FAENA'!A9</f>
        <v>7</v>
      </c>
      <c r="C8" s="103"/>
      <c r="D8" s="103"/>
      <c r="E8" s="104"/>
      <c r="F8" s="105">
        <f t="shared" ref="F8:F35" si="4">+E8*C8</f>
        <v>0</v>
      </c>
      <c r="G8" s="106"/>
      <c r="H8" s="105">
        <f t="shared" ref="H8:H35" si="5">+G8*C8</f>
        <v>0</v>
      </c>
      <c r="I8" s="106"/>
      <c r="J8" s="16">
        <f t="shared" ref="J8:J35" si="6">+I8*D8</f>
        <v>0</v>
      </c>
      <c r="K8" s="23"/>
      <c r="L8" s="23"/>
      <c r="M8" s="16">
        <f t="shared" ref="M8:M35" si="7">+F8+H8+J8</f>
        <v>0</v>
      </c>
      <c r="N8" s="26"/>
      <c r="O8" s="260"/>
    </row>
    <row r="9" spans="1:22" x14ac:dyDescent="0.2">
      <c r="A9" s="101">
        <f>+'SERVICIO FAENA'!E10</f>
        <v>46028</v>
      </c>
      <c r="B9" s="102">
        <f>+'SERVICIO FAENA'!A10</f>
        <v>8</v>
      </c>
      <c r="C9" s="107"/>
      <c r="D9" s="107"/>
      <c r="E9" s="108"/>
      <c r="F9" s="105">
        <f t="shared" si="4"/>
        <v>0</v>
      </c>
      <c r="G9" s="106"/>
      <c r="H9" s="105">
        <f t="shared" si="5"/>
        <v>0</v>
      </c>
      <c r="I9" s="106"/>
      <c r="J9" s="16">
        <f t="shared" si="6"/>
        <v>0</v>
      </c>
      <c r="K9" s="11"/>
      <c r="L9" s="11"/>
      <c r="M9" s="16">
        <f t="shared" si="7"/>
        <v>0</v>
      </c>
      <c r="N9" s="24"/>
      <c r="O9" s="260"/>
    </row>
    <row r="10" spans="1:22" x14ac:dyDescent="0.2">
      <c r="A10" s="101">
        <f>+'SERVICIO FAENA'!E11</f>
        <v>46028</v>
      </c>
      <c r="B10" s="102">
        <f>+'SERVICIO FAENA'!A11</f>
        <v>9</v>
      </c>
      <c r="C10" s="103"/>
      <c r="D10" s="103"/>
      <c r="E10" s="104"/>
      <c r="F10" s="105">
        <f t="shared" si="4"/>
        <v>0</v>
      </c>
      <c r="G10" s="106"/>
      <c r="H10" s="105">
        <f t="shared" si="5"/>
        <v>0</v>
      </c>
      <c r="I10" s="106"/>
      <c r="J10" s="16">
        <f t="shared" si="6"/>
        <v>0</v>
      </c>
      <c r="K10" s="23"/>
      <c r="L10" s="23"/>
      <c r="M10" s="16">
        <f t="shared" si="7"/>
        <v>0</v>
      </c>
      <c r="N10" s="26"/>
      <c r="O10" s="260"/>
    </row>
    <row r="11" spans="1:22" x14ac:dyDescent="0.2">
      <c r="A11" s="101">
        <f>+'SERVICIO FAENA'!E12</f>
        <v>46028</v>
      </c>
      <c r="B11" s="102">
        <f>+'SERVICIO FAENA'!A12</f>
        <v>10</v>
      </c>
      <c r="C11" s="107"/>
      <c r="D11" s="107"/>
      <c r="E11" s="108"/>
      <c r="F11" s="105">
        <f t="shared" si="4"/>
        <v>0</v>
      </c>
      <c r="G11" s="106"/>
      <c r="H11" s="105">
        <f t="shared" si="5"/>
        <v>0</v>
      </c>
      <c r="I11" s="106"/>
      <c r="J11" s="16">
        <f t="shared" si="6"/>
        <v>0</v>
      </c>
      <c r="K11" s="11"/>
      <c r="L11" s="11"/>
      <c r="M11" s="16">
        <f t="shared" si="7"/>
        <v>0</v>
      </c>
      <c r="N11" s="24"/>
      <c r="O11" s="260"/>
    </row>
    <row r="12" spans="1:22" x14ac:dyDescent="0.2">
      <c r="A12" s="101">
        <f>+'SERVICIO FAENA'!E13</f>
        <v>46029</v>
      </c>
      <c r="B12" s="102">
        <f>+'SERVICIO FAENA'!A13</f>
        <v>11</v>
      </c>
      <c r="C12" s="103"/>
      <c r="D12" s="103"/>
      <c r="E12" s="104">
        <v>2360</v>
      </c>
      <c r="F12" s="105">
        <f t="shared" si="4"/>
        <v>0</v>
      </c>
      <c r="G12" s="106">
        <v>860</v>
      </c>
      <c r="H12" s="105">
        <f t="shared" si="5"/>
        <v>0</v>
      </c>
      <c r="I12" s="106">
        <v>520</v>
      </c>
      <c r="J12" s="16">
        <f t="shared" si="6"/>
        <v>0</v>
      </c>
      <c r="K12" s="23"/>
      <c r="L12" s="23"/>
      <c r="M12" s="16">
        <f t="shared" si="7"/>
        <v>0</v>
      </c>
      <c r="N12" s="26"/>
      <c r="O12" s="260"/>
    </row>
    <row r="13" spans="1:22" x14ac:dyDescent="0.2">
      <c r="A13" s="101">
        <f>+'SERVICIO FAENA'!E14</f>
        <v>46029</v>
      </c>
      <c r="B13" s="102">
        <f>+'SERVICIO FAENA'!A14</f>
        <v>12</v>
      </c>
      <c r="C13" s="107"/>
      <c r="D13" s="107"/>
      <c r="E13" s="108"/>
      <c r="F13" s="105">
        <f t="shared" si="4"/>
        <v>0</v>
      </c>
      <c r="G13" s="106"/>
      <c r="H13" s="105">
        <f t="shared" si="5"/>
        <v>0</v>
      </c>
      <c r="I13" s="106"/>
      <c r="J13" s="16">
        <f t="shared" si="6"/>
        <v>0</v>
      </c>
      <c r="K13" s="11"/>
      <c r="L13" s="11"/>
      <c r="M13" s="16">
        <f t="shared" si="7"/>
        <v>0</v>
      </c>
      <c r="N13" s="24"/>
      <c r="O13" s="260"/>
    </row>
    <row r="14" spans="1:22" x14ac:dyDescent="0.2">
      <c r="A14" s="101">
        <f>+'SERVICIO FAENA'!E15</f>
        <v>46029</v>
      </c>
      <c r="B14" s="102">
        <f>+'SERVICIO FAENA'!A15</f>
        <v>13</v>
      </c>
      <c r="C14" s="103"/>
      <c r="D14" s="103"/>
      <c r="E14" s="104"/>
      <c r="F14" s="105">
        <f t="shared" si="4"/>
        <v>0</v>
      </c>
      <c r="G14" s="106"/>
      <c r="H14" s="105">
        <f t="shared" si="5"/>
        <v>0</v>
      </c>
      <c r="I14" s="106"/>
      <c r="J14" s="16">
        <f t="shared" si="6"/>
        <v>0</v>
      </c>
      <c r="K14" s="23"/>
      <c r="L14" s="23"/>
      <c r="M14" s="16">
        <f t="shared" si="7"/>
        <v>0</v>
      </c>
      <c r="N14" s="26"/>
      <c r="O14" s="261"/>
    </row>
    <row r="15" spans="1:22" x14ac:dyDescent="0.2">
      <c r="A15" s="18">
        <f>+'SERVICIO FAENA'!E16</f>
        <v>46030</v>
      </c>
      <c r="B15" s="20">
        <f>+'SERVICIO FAENA'!A16</f>
        <v>14</v>
      </c>
      <c r="C15" s="64">
        <v>40</v>
      </c>
      <c r="D15" s="64">
        <v>40</v>
      </c>
      <c r="E15" s="11">
        <v>1000</v>
      </c>
      <c r="F15" s="16">
        <f t="shared" si="4"/>
        <v>40000</v>
      </c>
      <c r="G15" s="38">
        <v>400</v>
      </c>
      <c r="H15" s="16">
        <f t="shared" si="5"/>
        <v>16000</v>
      </c>
      <c r="I15" s="38">
        <v>340</v>
      </c>
      <c r="J15" s="16">
        <f t="shared" si="6"/>
        <v>13600</v>
      </c>
      <c r="K15" s="11"/>
      <c r="L15" s="11"/>
      <c r="M15" s="16">
        <f t="shared" si="7"/>
        <v>69600</v>
      </c>
      <c r="N15" s="24"/>
      <c r="O15" s="262" t="s">
        <v>135</v>
      </c>
    </row>
    <row r="16" spans="1:22" x14ac:dyDescent="0.2">
      <c r="A16" s="18">
        <f>+'SERVICIO FAENA'!E17</f>
        <v>46031</v>
      </c>
      <c r="B16" s="20">
        <f>+'SERVICIO FAENA'!A17</f>
        <v>15</v>
      </c>
      <c r="C16" s="65">
        <v>40</v>
      </c>
      <c r="D16" s="65">
        <v>40</v>
      </c>
      <c r="E16" s="23">
        <v>2880</v>
      </c>
      <c r="F16" s="16">
        <f t="shared" si="4"/>
        <v>115200</v>
      </c>
      <c r="G16" s="38">
        <v>1160</v>
      </c>
      <c r="H16" s="16">
        <f t="shared" si="5"/>
        <v>46400</v>
      </c>
      <c r="I16" s="38">
        <v>620</v>
      </c>
      <c r="J16" s="16">
        <f t="shared" si="6"/>
        <v>24800</v>
      </c>
      <c r="K16" s="23"/>
      <c r="L16" s="23"/>
      <c r="M16" s="16">
        <f t="shared" si="7"/>
        <v>186400</v>
      </c>
      <c r="N16" s="26"/>
      <c r="O16" s="263"/>
    </row>
    <row r="17" spans="1:15" x14ac:dyDescent="0.2">
      <c r="A17" s="18">
        <f>+'SERVICIO FAENA'!E18</f>
        <v>46031</v>
      </c>
      <c r="B17" s="20">
        <f>+'SERVICIO FAENA'!A18</f>
        <v>16</v>
      </c>
      <c r="C17" s="64"/>
      <c r="D17" s="64"/>
      <c r="E17" s="11"/>
      <c r="F17" s="16">
        <f t="shared" si="4"/>
        <v>0</v>
      </c>
      <c r="G17" s="38"/>
      <c r="H17" s="16">
        <f t="shared" si="5"/>
        <v>0</v>
      </c>
      <c r="I17" s="38"/>
      <c r="J17" s="16">
        <f t="shared" si="6"/>
        <v>0</v>
      </c>
      <c r="K17" s="11"/>
      <c r="L17" s="11"/>
      <c r="M17" s="16">
        <f t="shared" si="7"/>
        <v>0</v>
      </c>
      <c r="N17" s="24"/>
      <c r="O17" s="263"/>
    </row>
    <row r="18" spans="1:15" x14ac:dyDescent="0.2">
      <c r="A18" s="18">
        <f>+'SERVICIO FAENA'!E19</f>
        <v>46031</v>
      </c>
      <c r="B18" s="20">
        <f>+'SERVICIO FAENA'!A19</f>
        <v>17</v>
      </c>
      <c r="C18" s="65"/>
      <c r="D18" s="65"/>
      <c r="E18" s="23"/>
      <c r="F18" s="16">
        <f t="shared" si="4"/>
        <v>0</v>
      </c>
      <c r="G18" s="38"/>
      <c r="H18" s="16">
        <f t="shared" si="5"/>
        <v>0</v>
      </c>
      <c r="I18" s="38"/>
      <c r="J18" s="16">
        <f t="shared" si="6"/>
        <v>0</v>
      </c>
      <c r="K18" s="23"/>
      <c r="L18" s="23"/>
      <c r="M18" s="16">
        <f t="shared" si="7"/>
        <v>0</v>
      </c>
      <c r="N18" s="26"/>
      <c r="O18" s="264"/>
    </row>
    <row r="19" spans="1:15" x14ac:dyDescent="0.2">
      <c r="A19" s="18">
        <f>+'SERVICIO FAENA'!E20</f>
        <v>46034</v>
      </c>
      <c r="B19" s="20">
        <f>+'SERVICIO FAENA'!A20</f>
        <v>18</v>
      </c>
      <c r="C19" s="64">
        <v>40</v>
      </c>
      <c r="D19" s="64">
        <v>40</v>
      </c>
      <c r="E19" s="11">
        <v>1440</v>
      </c>
      <c r="F19" s="16">
        <f t="shared" si="4"/>
        <v>57600</v>
      </c>
      <c r="G19" s="38">
        <v>1160</v>
      </c>
      <c r="H19" s="16">
        <f t="shared" si="5"/>
        <v>46400</v>
      </c>
      <c r="I19" s="38">
        <v>780</v>
      </c>
      <c r="J19" s="16">
        <f t="shared" si="6"/>
        <v>31200</v>
      </c>
      <c r="K19" s="11"/>
      <c r="L19" s="11"/>
      <c r="M19" s="16">
        <f t="shared" si="7"/>
        <v>135200</v>
      </c>
      <c r="N19" s="24"/>
      <c r="O19" s="262" t="s">
        <v>136</v>
      </c>
    </row>
    <row r="20" spans="1:15" x14ac:dyDescent="0.2">
      <c r="A20" s="18">
        <f>+'SERVICIO FAENA'!E21</f>
        <v>46034</v>
      </c>
      <c r="B20" s="20">
        <f>+'SERVICIO FAENA'!A21</f>
        <v>19</v>
      </c>
      <c r="C20" s="65"/>
      <c r="D20" s="65"/>
      <c r="E20" s="23"/>
      <c r="F20" s="16">
        <f t="shared" si="4"/>
        <v>0</v>
      </c>
      <c r="G20" s="38"/>
      <c r="H20" s="16">
        <f t="shared" si="5"/>
        <v>0</v>
      </c>
      <c r="I20" s="38"/>
      <c r="J20" s="16">
        <f t="shared" si="6"/>
        <v>0</v>
      </c>
      <c r="K20" s="23"/>
      <c r="L20" s="23"/>
      <c r="M20" s="16">
        <f t="shared" si="7"/>
        <v>0</v>
      </c>
      <c r="N20" s="26"/>
      <c r="O20" s="263"/>
    </row>
    <row r="21" spans="1:15" x14ac:dyDescent="0.2">
      <c r="A21" s="18">
        <f>+'SERVICIO FAENA'!E22</f>
        <v>46034</v>
      </c>
      <c r="B21" s="20">
        <f>+'SERVICIO FAENA'!A22</f>
        <v>20</v>
      </c>
      <c r="C21" s="64"/>
      <c r="D21" s="64"/>
      <c r="E21" s="11"/>
      <c r="F21" s="16">
        <f t="shared" si="4"/>
        <v>0</v>
      </c>
      <c r="G21" s="38"/>
      <c r="H21" s="16">
        <f t="shared" si="5"/>
        <v>0</v>
      </c>
      <c r="I21" s="38"/>
      <c r="J21" s="16">
        <f t="shared" si="6"/>
        <v>0</v>
      </c>
      <c r="K21" s="11"/>
      <c r="L21" s="11"/>
      <c r="M21" s="16">
        <f t="shared" si="7"/>
        <v>0</v>
      </c>
      <c r="N21" s="24"/>
      <c r="O21" s="263"/>
    </row>
    <row r="22" spans="1:15" x14ac:dyDescent="0.2">
      <c r="A22" s="18">
        <f>+'SERVICIO FAENA'!E23</f>
        <v>46035</v>
      </c>
      <c r="B22" s="20">
        <f>+'SERVICIO FAENA'!A23</f>
        <v>21</v>
      </c>
      <c r="C22" s="65">
        <v>40</v>
      </c>
      <c r="D22" s="65">
        <v>40</v>
      </c>
      <c r="E22" s="23">
        <v>1000</v>
      </c>
      <c r="F22" s="16">
        <f t="shared" si="4"/>
        <v>40000</v>
      </c>
      <c r="G22" s="38">
        <v>420</v>
      </c>
      <c r="H22" s="16">
        <f t="shared" si="5"/>
        <v>16800</v>
      </c>
      <c r="I22" s="38">
        <v>240</v>
      </c>
      <c r="J22" s="16">
        <f t="shared" si="6"/>
        <v>9600</v>
      </c>
      <c r="K22" s="23"/>
      <c r="L22" s="23"/>
      <c r="M22" s="16">
        <f t="shared" si="7"/>
        <v>66400</v>
      </c>
      <c r="N22" s="26"/>
      <c r="O22" s="263"/>
    </row>
    <row r="23" spans="1:15" x14ac:dyDescent="0.2">
      <c r="A23" s="18">
        <f>+'SERVICIO FAENA'!E24</f>
        <v>46035</v>
      </c>
      <c r="B23" s="20">
        <f>+'SERVICIO FAENA'!A24</f>
        <v>22</v>
      </c>
      <c r="C23" s="64"/>
      <c r="D23" s="64"/>
      <c r="E23" s="11"/>
      <c r="F23" s="16">
        <f t="shared" si="4"/>
        <v>0</v>
      </c>
      <c r="G23" s="38"/>
      <c r="H23" s="16">
        <f t="shared" si="5"/>
        <v>0</v>
      </c>
      <c r="I23" s="38"/>
      <c r="J23" s="16">
        <f t="shared" si="6"/>
        <v>0</v>
      </c>
      <c r="K23" s="11"/>
      <c r="L23" s="11"/>
      <c r="M23" s="16">
        <f t="shared" si="7"/>
        <v>0</v>
      </c>
      <c r="N23" s="24"/>
      <c r="O23" s="263"/>
    </row>
    <row r="24" spans="1:15" x14ac:dyDescent="0.2">
      <c r="A24" s="18">
        <f>+'SERVICIO FAENA'!E25</f>
        <v>46035</v>
      </c>
      <c r="B24" s="20">
        <f>+'SERVICIO FAENA'!A25</f>
        <v>23</v>
      </c>
      <c r="C24" s="65"/>
      <c r="D24" s="65"/>
      <c r="E24" s="23"/>
      <c r="F24" s="16">
        <f t="shared" si="4"/>
        <v>0</v>
      </c>
      <c r="G24" s="38"/>
      <c r="H24" s="16">
        <f t="shared" si="5"/>
        <v>0</v>
      </c>
      <c r="I24" s="38"/>
      <c r="J24" s="16">
        <f t="shared" si="6"/>
        <v>0</v>
      </c>
      <c r="K24" s="23"/>
      <c r="L24" s="23"/>
      <c r="M24" s="16">
        <f t="shared" si="7"/>
        <v>0</v>
      </c>
      <c r="N24" s="26"/>
      <c r="O24" s="263"/>
    </row>
    <row r="25" spans="1:15" x14ac:dyDescent="0.2">
      <c r="A25" s="18">
        <f>+'SERVICIO FAENA'!E26</f>
        <v>46036</v>
      </c>
      <c r="B25" s="20">
        <f>+'SERVICIO FAENA'!A26</f>
        <v>24</v>
      </c>
      <c r="C25" s="64">
        <v>40</v>
      </c>
      <c r="D25" s="64">
        <v>40</v>
      </c>
      <c r="E25" s="11">
        <v>1180</v>
      </c>
      <c r="F25" s="16">
        <f t="shared" si="4"/>
        <v>47200</v>
      </c>
      <c r="G25" s="38">
        <v>480</v>
      </c>
      <c r="H25" s="16">
        <f t="shared" si="5"/>
        <v>19200</v>
      </c>
      <c r="I25" s="38">
        <v>400</v>
      </c>
      <c r="J25" s="16">
        <f t="shared" si="6"/>
        <v>16000</v>
      </c>
      <c r="K25" s="11"/>
      <c r="L25" s="11"/>
      <c r="M25" s="16">
        <f t="shared" si="7"/>
        <v>82400</v>
      </c>
      <c r="N25" s="24"/>
      <c r="O25" s="263"/>
    </row>
    <row r="26" spans="1:15" x14ac:dyDescent="0.2">
      <c r="A26" s="18">
        <f>+'SERVICIO FAENA'!E27</f>
        <v>46036</v>
      </c>
      <c r="B26" s="20">
        <f>+'SERVICIO FAENA'!A27</f>
        <v>25</v>
      </c>
      <c r="C26" s="65"/>
      <c r="D26" s="65"/>
      <c r="E26" s="23"/>
      <c r="F26" s="16">
        <f t="shared" si="4"/>
        <v>0</v>
      </c>
      <c r="G26" s="38"/>
      <c r="H26" s="16">
        <f t="shared" si="5"/>
        <v>0</v>
      </c>
      <c r="I26" s="38"/>
      <c r="J26" s="16">
        <f t="shared" si="6"/>
        <v>0</v>
      </c>
      <c r="K26" s="23"/>
      <c r="L26" s="23"/>
      <c r="M26" s="16">
        <f t="shared" si="7"/>
        <v>0</v>
      </c>
      <c r="N26" s="26"/>
      <c r="O26" s="264"/>
    </row>
    <row r="27" spans="1:15" x14ac:dyDescent="0.2">
      <c r="A27" s="18">
        <f>+'SERVICIO FAENA'!E28</f>
        <v>46038</v>
      </c>
      <c r="B27" s="20">
        <f>+'SERVICIO FAENA'!A28</f>
        <v>26</v>
      </c>
      <c r="C27" s="64">
        <v>40</v>
      </c>
      <c r="D27" s="64">
        <v>40</v>
      </c>
      <c r="E27" s="146">
        <v>2080</v>
      </c>
      <c r="F27" s="16">
        <f t="shared" si="4"/>
        <v>83200</v>
      </c>
      <c r="G27" s="148">
        <v>800</v>
      </c>
      <c r="H27" s="16">
        <f t="shared" si="5"/>
        <v>32000</v>
      </c>
      <c r="I27" s="148">
        <v>480</v>
      </c>
      <c r="J27" s="16">
        <f t="shared" si="6"/>
        <v>19200</v>
      </c>
      <c r="K27" s="11"/>
      <c r="L27" s="11"/>
      <c r="M27" s="16">
        <f t="shared" si="7"/>
        <v>134400</v>
      </c>
      <c r="N27" s="24"/>
      <c r="O27" s="11"/>
    </row>
    <row r="28" spans="1:15" x14ac:dyDescent="0.2">
      <c r="A28" s="18">
        <f>+'SERVICIO FAENA'!E29</f>
        <v>46041</v>
      </c>
      <c r="B28" s="20">
        <f>+'SERVICIO FAENA'!A29</f>
        <v>27</v>
      </c>
      <c r="C28" s="65">
        <v>40</v>
      </c>
      <c r="D28" s="65">
        <v>40</v>
      </c>
      <c r="E28" s="147">
        <v>3020</v>
      </c>
      <c r="F28" s="16">
        <f t="shared" si="4"/>
        <v>120800</v>
      </c>
      <c r="G28" s="148">
        <v>1280</v>
      </c>
      <c r="H28" s="16">
        <f t="shared" si="5"/>
        <v>51200</v>
      </c>
      <c r="I28" s="148">
        <v>740</v>
      </c>
      <c r="J28" s="16">
        <f t="shared" si="6"/>
        <v>29600</v>
      </c>
      <c r="K28" s="23"/>
      <c r="L28" s="23"/>
      <c r="M28" s="16">
        <f t="shared" si="7"/>
        <v>201600</v>
      </c>
      <c r="N28" s="26"/>
      <c r="O28" s="23"/>
    </row>
    <row r="29" spans="1:15" x14ac:dyDescent="0.2">
      <c r="A29" s="18">
        <f>+'SERVICIO FAENA'!E30</f>
        <v>46041</v>
      </c>
      <c r="B29" s="20">
        <f>+'SERVICIO FAENA'!A30</f>
        <v>28</v>
      </c>
      <c r="C29" s="64"/>
      <c r="D29" s="64"/>
      <c r="E29" s="146"/>
      <c r="F29" s="16">
        <f t="shared" si="4"/>
        <v>0</v>
      </c>
      <c r="G29" s="148"/>
      <c r="H29" s="16">
        <f t="shared" si="5"/>
        <v>0</v>
      </c>
      <c r="I29" s="148"/>
      <c r="J29" s="16">
        <f t="shared" si="6"/>
        <v>0</v>
      </c>
      <c r="K29" s="11"/>
      <c r="L29" s="11"/>
      <c r="M29" s="16">
        <f t="shared" si="7"/>
        <v>0</v>
      </c>
      <c r="N29" s="24"/>
      <c r="O29" s="11"/>
    </row>
    <row r="30" spans="1:15" x14ac:dyDescent="0.2">
      <c r="A30" s="18">
        <f>+'SERVICIO FAENA'!E31</f>
        <v>46041</v>
      </c>
      <c r="B30" s="20">
        <f>+'SERVICIO FAENA'!A31</f>
        <v>29</v>
      </c>
      <c r="C30" s="65"/>
      <c r="D30" s="65"/>
      <c r="E30" s="147"/>
      <c r="F30" s="16">
        <f t="shared" si="4"/>
        <v>0</v>
      </c>
      <c r="G30" s="148"/>
      <c r="H30" s="16">
        <f t="shared" si="5"/>
        <v>0</v>
      </c>
      <c r="I30" s="148"/>
      <c r="J30" s="16">
        <f t="shared" si="6"/>
        <v>0</v>
      </c>
      <c r="K30" s="23"/>
      <c r="L30" s="23"/>
      <c r="M30" s="16">
        <f t="shared" si="7"/>
        <v>0</v>
      </c>
      <c r="N30" s="26"/>
      <c r="O30" s="23"/>
    </row>
    <row r="31" spans="1:15" x14ac:dyDescent="0.2">
      <c r="A31" s="18" t="str">
        <f>+'SERVICIO FAENA'!E32</f>
        <v>20-21/01/2026</v>
      </c>
      <c r="B31" s="20">
        <f>+'SERVICIO FAENA'!A32</f>
        <v>30</v>
      </c>
      <c r="C31" s="64">
        <v>40</v>
      </c>
      <c r="D31" s="64">
        <v>40</v>
      </c>
      <c r="E31" s="146">
        <v>2580</v>
      </c>
      <c r="F31" s="16">
        <f t="shared" si="4"/>
        <v>103200</v>
      </c>
      <c r="G31" s="148">
        <v>900</v>
      </c>
      <c r="H31" s="16">
        <f t="shared" si="5"/>
        <v>36000</v>
      </c>
      <c r="I31" s="148">
        <v>940</v>
      </c>
      <c r="J31" s="16">
        <f t="shared" si="6"/>
        <v>37600</v>
      </c>
      <c r="K31" s="11"/>
      <c r="L31" s="11"/>
      <c r="M31" s="16">
        <f t="shared" si="7"/>
        <v>176800</v>
      </c>
      <c r="N31" s="24"/>
      <c r="O31" s="11"/>
    </row>
    <row r="32" spans="1:15" x14ac:dyDescent="0.2">
      <c r="A32" s="18">
        <f>+'SERVICIO FAENA'!E33</f>
        <v>46042</v>
      </c>
      <c r="B32" s="20">
        <f>+'SERVICIO FAENA'!A33</f>
        <v>31</v>
      </c>
      <c r="C32" s="65">
        <v>40</v>
      </c>
      <c r="D32" s="65">
        <v>40</v>
      </c>
      <c r="E32" s="147">
        <v>580</v>
      </c>
      <c r="F32" s="16">
        <f t="shared" si="4"/>
        <v>23200</v>
      </c>
      <c r="G32" s="148">
        <v>240</v>
      </c>
      <c r="H32" s="16">
        <f t="shared" si="5"/>
        <v>9600</v>
      </c>
      <c r="I32" s="148">
        <v>180</v>
      </c>
      <c r="J32" s="16">
        <f t="shared" si="6"/>
        <v>7200</v>
      </c>
      <c r="K32" s="23"/>
      <c r="L32" s="23"/>
      <c r="M32" s="16">
        <f t="shared" si="7"/>
        <v>40000</v>
      </c>
      <c r="N32" s="26"/>
      <c r="O32" s="23"/>
    </row>
    <row r="33" spans="1:15" x14ac:dyDescent="0.2">
      <c r="A33" s="18">
        <f>+'SERVICIO FAENA'!E34</f>
        <v>46044</v>
      </c>
      <c r="B33" s="20">
        <f>+'SERVICIO FAENA'!A34</f>
        <v>32</v>
      </c>
      <c r="C33" s="64"/>
      <c r="D33" s="64"/>
      <c r="E33" s="11"/>
      <c r="F33" s="16">
        <f t="shared" si="4"/>
        <v>0</v>
      </c>
      <c r="G33" s="38"/>
      <c r="H33" s="16">
        <f t="shared" si="5"/>
        <v>0</v>
      </c>
      <c r="I33" s="38"/>
      <c r="J33" s="16">
        <f t="shared" si="6"/>
        <v>0</v>
      </c>
      <c r="K33" s="11"/>
      <c r="L33" s="11"/>
      <c r="M33" s="16">
        <f t="shared" si="7"/>
        <v>0</v>
      </c>
      <c r="N33" s="24"/>
      <c r="O33" s="11"/>
    </row>
    <row r="34" spans="1:15" x14ac:dyDescent="0.2">
      <c r="A34" s="18">
        <f>+'SERVICIO FAENA'!E35</f>
        <v>46044</v>
      </c>
      <c r="B34" s="20">
        <f>+'SERVICIO FAENA'!A35</f>
        <v>33</v>
      </c>
      <c r="C34" s="65"/>
      <c r="D34" s="65"/>
      <c r="E34" s="23"/>
      <c r="F34" s="16">
        <f t="shared" si="4"/>
        <v>0</v>
      </c>
      <c r="G34" s="38"/>
      <c r="H34" s="16">
        <f t="shared" si="5"/>
        <v>0</v>
      </c>
      <c r="I34" s="38"/>
      <c r="J34" s="16">
        <f t="shared" si="6"/>
        <v>0</v>
      </c>
      <c r="K34" s="23"/>
      <c r="L34" s="23"/>
      <c r="M34" s="16">
        <f t="shared" si="7"/>
        <v>0</v>
      </c>
      <c r="N34" s="26"/>
      <c r="O34" s="23"/>
    </row>
    <row r="35" spans="1:15" x14ac:dyDescent="0.2">
      <c r="A35" s="18">
        <f>+'SERVICIO FAENA'!E36</f>
        <v>46045</v>
      </c>
      <c r="B35" s="20">
        <f>+'SERVICIO FAENA'!A36</f>
        <v>34</v>
      </c>
      <c r="C35" s="64">
        <v>40</v>
      </c>
      <c r="D35" s="64">
        <v>40</v>
      </c>
      <c r="E35" s="11">
        <v>1820</v>
      </c>
      <c r="F35" s="16">
        <f t="shared" si="4"/>
        <v>72800</v>
      </c>
      <c r="G35" s="38">
        <v>780</v>
      </c>
      <c r="H35" s="16">
        <f t="shared" si="5"/>
        <v>31200</v>
      </c>
      <c r="I35" s="38">
        <v>400</v>
      </c>
      <c r="J35" s="16">
        <f t="shared" si="6"/>
        <v>16000</v>
      </c>
      <c r="K35" s="11"/>
      <c r="L35" s="11"/>
      <c r="M35" s="16">
        <f t="shared" si="7"/>
        <v>120000</v>
      </c>
      <c r="N35" s="24"/>
      <c r="O35" s="11"/>
    </row>
    <row r="36" spans="1:15" x14ac:dyDescent="0.2">
      <c r="A36" s="18">
        <f>+'SERVICIO FAENA'!E37</f>
        <v>46045</v>
      </c>
      <c r="B36" s="20">
        <f>+'SERVICIO FAENA'!A37</f>
        <v>35</v>
      </c>
      <c r="C36" s="65"/>
      <c r="D36" s="65"/>
      <c r="E36" s="23"/>
      <c r="F36" s="16">
        <f t="shared" ref="F36:F99" si="8">+E36*C36</f>
        <v>0</v>
      </c>
      <c r="G36" s="38"/>
      <c r="H36" s="16">
        <f t="shared" ref="H36:H99" si="9">+G36*C36</f>
        <v>0</v>
      </c>
      <c r="I36" s="38"/>
      <c r="J36" s="16">
        <f t="shared" ref="J36:J99" si="10">+I36*D36</f>
        <v>0</v>
      </c>
      <c r="K36" s="23"/>
      <c r="L36" s="23"/>
      <c r="M36" s="16">
        <f t="shared" ref="M36:M99" si="11">+F36+H36+J36</f>
        <v>0</v>
      </c>
      <c r="N36" s="26"/>
      <c r="O36" s="23"/>
    </row>
    <row r="37" spans="1:15" x14ac:dyDescent="0.2">
      <c r="A37" s="18">
        <f>+'SERVICIO FAENA'!E38</f>
        <v>46045</v>
      </c>
      <c r="B37" s="20">
        <f>+'SERVICIO FAENA'!A38</f>
        <v>36</v>
      </c>
      <c r="C37" s="64"/>
      <c r="D37" s="64"/>
      <c r="E37" s="11"/>
      <c r="F37" s="16">
        <f t="shared" si="8"/>
        <v>0</v>
      </c>
      <c r="G37" s="38"/>
      <c r="H37" s="16">
        <f t="shared" si="9"/>
        <v>0</v>
      </c>
      <c r="I37" s="38"/>
      <c r="J37" s="16">
        <f t="shared" si="10"/>
        <v>0</v>
      </c>
      <c r="K37" s="11"/>
      <c r="L37" s="11"/>
      <c r="M37" s="16">
        <f t="shared" si="11"/>
        <v>0</v>
      </c>
      <c r="N37" s="24"/>
      <c r="O37" s="11"/>
    </row>
    <row r="38" spans="1:15" x14ac:dyDescent="0.2">
      <c r="A38" s="18">
        <f>+'SERVICIO FAENA'!E39</f>
        <v>46048</v>
      </c>
      <c r="B38" s="20">
        <f>+'SERVICIO FAENA'!A39</f>
        <v>37</v>
      </c>
      <c r="C38" s="65">
        <v>40</v>
      </c>
      <c r="D38" s="65">
        <v>40</v>
      </c>
      <c r="E38" s="23">
        <v>1500</v>
      </c>
      <c r="F38" s="16">
        <f t="shared" si="8"/>
        <v>60000</v>
      </c>
      <c r="G38" s="38">
        <v>580</v>
      </c>
      <c r="H38" s="16">
        <f t="shared" si="9"/>
        <v>23200</v>
      </c>
      <c r="I38" s="38">
        <v>380</v>
      </c>
      <c r="J38" s="16">
        <f t="shared" si="10"/>
        <v>15200</v>
      </c>
      <c r="K38" s="23"/>
      <c r="L38" s="23"/>
      <c r="M38" s="16">
        <f t="shared" si="11"/>
        <v>98400</v>
      </c>
      <c r="N38" s="26"/>
      <c r="O38" s="23"/>
    </row>
    <row r="39" spans="1:15" x14ac:dyDescent="0.2">
      <c r="A39" s="18">
        <f>+'SERVICIO FAENA'!E40</f>
        <v>46048</v>
      </c>
      <c r="B39" s="20">
        <f>+'SERVICIO FAENA'!A40</f>
        <v>38</v>
      </c>
      <c r="C39" s="64"/>
      <c r="D39" s="64"/>
      <c r="E39" s="11"/>
      <c r="F39" s="16">
        <f t="shared" si="8"/>
        <v>0</v>
      </c>
      <c r="G39" s="38"/>
      <c r="H39" s="16">
        <f t="shared" si="9"/>
        <v>0</v>
      </c>
      <c r="I39" s="38"/>
      <c r="J39" s="16">
        <f t="shared" si="10"/>
        <v>0</v>
      </c>
      <c r="K39" s="11"/>
      <c r="L39" s="11"/>
      <c r="M39" s="16">
        <f t="shared" si="11"/>
        <v>0</v>
      </c>
      <c r="N39" s="24"/>
      <c r="O39" s="11"/>
    </row>
    <row r="40" spans="1:15" x14ac:dyDescent="0.2">
      <c r="A40" s="18">
        <f>+'SERVICIO FAENA'!E41</f>
        <v>46049</v>
      </c>
      <c r="B40" s="20">
        <f>+'SERVICIO FAENA'!A41</f>
        <v>39</v>
      </c>
      <c r="C40" s="65">
        <v>40</v>
      </c>
      <c r="D40" s="65">
        <v>40</v>
      </c>
      <c r="E40" s="23">
        <v>2220</v>
      </c>
      <c r="F40" s="16">
        <f t="shared" si="8"/>
        <v>88800</v>
      </c>
      <c r="G40" s="38">
        <v>1000</v>
      </c>
      <c r="H40" s="16">
        <f t="shared" si="9"/>
        <v>40000</v>
      </c>
      <c r="I40" s="38">
        <v>500</v>
      </c>
      <c r="J40" s="16">
        <f t="shared" si="10"/>
        <v>20000</v>
      </c>
      <c r="K40" s="23"/>
      <c r="L40" s="23"/>
      <c r="M40" s="16">
        <f t="shared" si="11"/>
        <v>148800</v>
      </c>
      <c r="N40" s="26"/>
      <c r="O40" s="23"/>
    </row>
    <row r="41" spans="1:15" x14ac:dyDescent="0.2">
      <c r="A41" s="18">
        <f>+'SERVICIO FAENA'!E42</f>
        <v>46049</v>
      </c>
      <c r="B41" s="20">
        <f>+'SERVICIO FAENA'!A42</f>
        <v>40</v>
      </c>
      <c r="C41" s="64"/>
      <c r="D41" s="64"/>
      <c r="E41" s="11"/>
      <c r="F41" s="16">
        <f t="shared" si="8"/>
        <v>0</v>
      </c>
      <c r="G41" s="38"/>
      <c r="H41" s="16">
        <f t="shared" si="9"/>
        <v>0</v>
      </c>
      <c r="I41" s="38"/>
      <c r="J41" s="16">
        <f t="shared" si="10"/>
        <v>0</v>
      </c>
      <c r="K41" s="11"/>
      <c r="L41" s="11"/>
      <c r="M41" s="16">
        <f t="shared" si="11"/>
        <v>0</v>
      </c>
      <c r="N41" s="24"/>
      <c r="O41" s="11"/>
    </row>
    <row r="42" spans="1:15" x14ac:dyDescent="0.2">
      <c r="A42" s="18">
        <f>+'SERVICIO FAENA'!E43</f>
        <v>46049</v>
      </c>
      <c r="B42" s="20">
        <f>+'SERVICIO FAENA'!A43</f>
        <v>41</v>
      </c>
      <c r="C42" s="65"/>
      <c r="D42" s="65"/>
      <c r="E42" s="23"/>
      <c r="F42" s="16">
        <f t="shared" si="8"/>
        <v>0</v>
      </c>
      <c r="G42" s="38"/>
      <c r="H42" s="16">
        <f t="shared" si="9"/>
        <v>0</v>
      </c>
      <c r="I42" s="38"/>
      <c r="J42" s="16">
        <f t="shared" si="10"/>
        <v>0</v>
      </c>
      <c r="K42" s="23"/>
      <c r="L42" s="23"/>
      <c r="M42" s="16">
        <f t="shared" si="11"/>
        <v>0</v>
      </c>
      <c r="N42" s="26"/>
      <c r="O42" s="23"/>
    </row>
    <row r="43" spans="1:15" x14ac:dyDescent="0.2">
      <c r="A43" s="18">
        <f>+'SERVICIO FAENA'!E44</f>
        <v>46050</v>
      </c>
      <c r="B43" s="20">
        <f>+'SERVICIO FAENA'!A44</f>
        <v>42</v>
      </c>
      <c r="C43" s="64">
        <v>40</v>
      </c>
      <c r="D43" s="64">
        <v>40</v>
      </c>
      <c r="E43" s="11">
        <v>900</v>
      </c>
      <c r="F43" s="16">
        <f t="shared" si="8"/>
        <v>36000</v>
      </c>
      <c r="G43" s="38">
        <v>400</v>
      </c>
      <c r="H43" s="16">
        <f t="shared" si="9"/>
        <v>16000</v>
      </c>
      <c r="I43" s="38">
        <v>260</v>
      </c>
      <c r="J43" s="16">
        <f t="shared" si="10"/>
        <v>10400</v>
      </c>
      <c r="K43" s="11"/>
      <c r="L43" s="11"/>
      <c r="M43" s="16">
        <f t="shared" si="11"/>
        <v>62400</v>
      </c>
      <c r="N43" s="24"/>
      <c r="O43" s="11"/>
    </row>
    <row r="44" spans="1:15" x14ac:dyDescent="0.2">
      <c r="A44" s="18">
        <f>+'SERVICIO FAENA'!E45</f>
        <v>46050</v>
      </c>
      <c r="B44" s="20">
        <f>+'SERVICIO FAENA'!A45</f>
        <v>43</v>
      </c>
      <c r="C44" s="65"/>
      <c r="D44" s="65"/>
      <c r="E44" s="23"/>
      <c r="F44" s="16">
        <f t="shared" si="8"/>
        <v>0</v>
      </c>
      <c r="G44" s="38"/>
      <c r="H44" s="16">
        <f t="shared" si="9"/>
        <v>0</v>
      </c>
      <c r="I44" s="38"/>
      <c r="J44" s="16">
        <f t="shared" si="10"/>
        <v>0</v>
      </c>
      <c r="K44" s="23"/>
      <c r="L44" s="23"/>
      <c r="M44" s="16">
        <f t="shared" si="11"/>
        <v>0</v>
      </c>
      <c r="N44" s="26"/>
      <c r="O44" s="23"/>
    </row>
    <row r="45" spans="1:15" x14ac:dyDescent="0.2">
      <c r="A45" s="18">
        <f>+'SERVICIO FAENA'!E46</f>
        <v>46050</v>
      </c>
      <c r="B45" s="20">
        <f>+'SERVICIO FAENA'!A46</f>
        <v>44</v>
      </c>
      <c r="C45" s="64"/>
      <c r="D45" s="64"/>
      <c r="E45" s="11"/>
      <c r="F45" s="16">
        <f t="shared" si="8"/>
        <v>0</v>
      </c>
      <c r="G45" s="38"/>
      <c r="H45" s="16">
        <f t="shared" si="9"/>
        <v>0</v>
      </c>
      <c r="I45" s="38"/>
      <c r="J45" s="16">
        <f t="shared" si="10"/>
        <v>0</v>
      </c>
      <c r="K45" s="11"/>
      <c r="L45" s="11"/>
      <c r="M45" s="16">
        <f t="shared" si="11"/>
        <v>0</v>
      </c>
      <c r="N45" s="24"/>
      <c r="O45" s="11"/>
    </row>
    <row r="46" spans="1:15" x14ac:dyDescent="0.2">
      <c r="A46" s="101">
        <f>+'SERVICIO FAENA'!E47</f>
        <v>46052</v>
      </c>
      <c r="B46" s="102">
        <f>+'SERVICIO FAENA'!A47</f>
        <v>45</v>
      </c>
      <c r="C46" s="103"/>
      <c r="D46" s="103"/>
      <c r="E46" s="104"/>
      <c r="F46" s="105">
        <f t="shared" si="8"/>
        <v>0</v>
      </c>
      <c r="G46" s="106"/>
      <c r="H46" s="105">
        <f t="shared" si="9"/>
        <v>0</v>
      </c>
      <c r="I46" s="106"/>
      <c r="J46" s="105">
        <f t="shared" si="10"/>
        <v>0</v>
      </c>
      <c r="K46" s="104"/>
      <c r="L46" s="104"/>
      <c r="M46" s="105">
        <f t="shared" si="11"/>
        <v>0</v>
      </c>
      <c r="N46" s="206"/>
      <c r="O46" s="259" t="s">
        <v>192</v>
      </c>
    </row>
    <row r="47" spans="1:15" x14ac:dyDescent="0.2">
      <c r="A47" s="101">
        <f>+'SERVICIO FAENA'!E48</f>
        <v>46052</v>
      </c>
      <c r="B47" s="102">
        <f>+'SERVICIO FAENA'!A48</f>
        <v>46</v>
      </c>
      <c r="C47" s="107"/>
      <c r="D47" s="107"/>
      <c r="E47" s="108"/>
      <c r="F47" s="105">
        <f t="shared" si="8"/>
        <v>0</v>
      </c>
      <c r="G47" s="106"/>
      <c r="H47" s="105">
        <f t="shared" si="9"/>
        <v>0</v>
      </c>
      <c r="I47" s="106"/>
      <c r="J47" s="105">
        <f t="shared" si="10"/>
        <v>0</v>
      </c>
      <c r="K47" s="108"/>
      <c r="L47" s="108"/>
      <c r="M47" s="105">
        <f t="shared" si="11"/>
        <v>0</v>
      </c>
      <c r="N47" s="207"/>
      <c r="O47" s="260"/>
    </row>
    <row r="48" spans="1:15" x14ac:dyDescent="0.2">
      <c r="A48" s="101">
        <f>+'SERVICIO FAENA'!E49</f>
        <v>46052</v>
      </c>
      <c r="B48" s="102">
        <f>+'SERVICIO FAENA'!A49</f>
        <v>47</v>
      </c>
      <c r="C48" s="103"/>
      <c r="D48" s="103"/>
      <c r="E48" s="104"/>
      <c r="F48" s="105">
        <f t="shared" si="8"/>
        <v>0</v>
      </c>
      <c r="G48" s="106"/>
      <c r="H48" s="105">
        <f t="shared" si="9"/>
        <v>0</v>
      </c>
      <c r="I48" s="106"/>
      <c r="J48" s="105">
        <f t="shared" si="10"/>
        <v>0</v>
      </c>
      <c r="K48" s="104"/>
      <c r="L48" s="104"/>
      <c r="M48" s="105">
        <f t="shared" si="11"/>
        <v>0</v>
      </c>
      <c r="N48" s="206"/>
      <c r="O48" s="260"/>
    </row>
    <row r="49" spans="1:15" x14ac:dyDescent="0.2">
      <c r="A49" s="101">
        <f>+'SERVICIO FAENA'!E50</f>
        <v>46052</v>
      </c>
      <c r="B49" s="102">
        <f>+'SERVICIO FAENA'!A50</f>
        <v>48</v>
      </c>
      <c r="C49" s="107"/>
      <c r="D49" s="107"/>
      <c r="E49" s="108"/>
      <c r="F49" s="105">
        <f t="shared" si="8"/>
        <v>0</v>
      </c>
      <c r="G49" s="106"/>
      <c r="H49" s="105">
        <f t="shared" si="9"/>
        <v>0</v>
      </c>
      <c r="I49" s="106"/>
      <c r="J49" s="105">
        <f t="shared" si="10"/>
        <v>0</v>
      </c>
      <c r="K49" s="108"/>
      <c r="L49" s="108"/>
      <c r="M49" s="105">
        <f t="shared" si="11"/>
        <v>0</v>
      </c>
      <c r="N49" s="207"/>
      <c r="O49" s="260"/>
    </row>
    <row r="50" spans="1:15" x14ac:dyDescent="0.2">
      <c r="A50" s="101">
        <f>+'SERVICIO FAENA'!E51</f>
        <v>46052</v>
      </c>
      <c r="B50" s="102">
        <f>+'SERVICIO FAENA'!A51</f>
        <v>49</v>
      </c>
      <c r="C50" s="103"/>
      <c r="D50" s="103"/>
      <c r="E50" s="104"/>
      <c r="F50" s="105">
        <f t="shared" si="8"/>
        <v>0</v>
      </c>
      <c r="G50" s="106"/>
      <c r="H50" s="105">
        <f t="shared" si="9"/>
        <v>0</v>
      </c>
      <c r="I50" s="106"/>
      <c r="J50" s="105">
        <f t="shared" si="10"/>
        <v>0</v>
      </c>
      <c r="K50" s="104"/>
      <c r="L50" s="104"/>
      <c r="M50" s="105">
        <f t="shared" si="11"/>
        <v>0</v>
      </c>
      <c r="N50" s="206"/>
      <c r="O50" s="260"/>
    </row>
    <row r="51" spans="1:15" ht="13.5" thickBot="1" x14ac:dyDescent="0.25">
      <c r="A51" s="209">
        <f>+'SERVICIO FAENA'!E52</f>
        <v>46052</v>
      </c>
      <c r="B51" s="210">
        <f>+'SERVICIO FAENA'!A52</f>
        <v>50</v>
      </c>
      <c r="C51" s="211"/>
      <c r="D51" s="211"/>
      <c r="E51" s="212"/>
      <c r="F51" s="213">
        <f t="shared" si="8"/>
        <v>0</v>
      </c>
      <c r="G51" s="214"/>
      <c r="H51" s="213">
        <f t="shared" si="9"/>
        <v>0</v>
      </c>
      <c r="I51" s="214"/>
      <c r="J51" s="213">
        <f t="shared" si="10"/>
        <v>0</v>
      </c>
      <c r="K51" s="212"/>
      <c r="L51" s="212"/>
      <c r="M51" s="213">
        <f t="shared" si="11"/>
        <v>0</v>
      </c>
      <c r="N51" s="215"/>
      <c r="O51" s="265"/>
    </row>
    <row r="52" spans="1:15" x14ac:dyDescent="0.2">
      <c r="A52" s="59">
        <f>+'SERVICIO FAENA'!E53</f>
        <v>46055</v>
      </c>
      <c r="B52" s="149">
        <f>+'SERVICIO FAENA'!A53</f>
        <v>51</v>
      </c>
      <c r="C52" s="208">
        <v>40</v>
      </c>
      <c r="D52" s="208">
        <v>40</v>
      </c>
      <c r="E52" s="129">
        <v>2040</v>
      </c>
      <c r="F52" s="41">
        <f t="shared" si="8"/>
        <v>81600</v>
      </c>
      <c r="G52" s="185">
        <v>900</v>
      </c>
      <c r="H52" s="41">
        <f t="shared" si="9"/>
        <v>36000</v>
      </c>
      <c r="I52" s="185">
        <v>480</v>
      </c>
      <c r="J52" s="41">
        <f t="shared" si="10"/>
        <v>19200</v>
      </c>
      <c r="K52" s="129"/>
      <c r="L52" s="129"/>
      <c r="M52" s="41">
        <f t="shared" si="11"/>
        <v>136800</v>
      </c>
      <c r="N52" s="127"/>
      <c r="O52" s="129"/>
    </row>
    <row r="53" spans="1:15" x14ac:dyDescent="0.2">
      <c r="A53" s="18">
        <f>+'SERVICIO FAENA'!E54</f>
        <v>46055</v>
      </c>
      <c r="B53" s="20">
        <f>+'SERVICIO FAENA'!A54</f>
        <v>52</v>
      </c>
      <c r="C53" s="64"/>
      <c r="D53" s="64"/>
      <c r="E53" s="11"/>
      <c r="F53" s="16">
        <f t="shared" si="8"/>
        <v>0</v>
      </c>
      <c r="G53" s="38"/>
      <c r="H53" s="16">
        <f t="shared" si="9"/>
        <v>0</v>
      </c>
      <c r="I53" s="38"/>
      <c r="J53" s="16">
        <f t="shared" si="10"/>
        <v>0</v>
      </c>
      <c r="K53" s="11"/>
      <c r="L53" s="11"/>
      <c r="M53" s="16">
        <f t="shared" si="11"/>
        <v>0</v>
      </c>
      <c r="N53" s="24"/>
      <c r="O53" s="11"/>
    </row>
    <row r="54" spans="1:15" x14ac:dyDescent="0.2">
      <c r="A54" s="18">
        <f>+'SERVICIO FAENA'!E55</f>
        <v>46057</v>
      </c>
      <c r="B54" s="20">
        <f>+'SERVICIO FAENA'!A55</f>
        <v>53</v>
      </c>
      <c r="C54" s="65"/>
      <c r="D54" s="65"/>
      <c r="E54" s="23"/>
      <c r="F54" s="16">
        <f t="shared" si="8"/>
        <v>0</v>
      </c>
      <c r="G54" s="38"/>
      <c r="H54" s="16">
        <f t="shared" si="9"/>
        <v>0</v>
      </c>
      <c r="I54" s="38"/>
      <c r="J54" s="16">
        <f t="shared" si="10"/>
        <v>0</v>
      </c>
      <c r="K54" s="23"/>
      <c r="L54" s="23"/>
      <c r="M54" s="16">
        <f t="shared" si="11"/>
        <v>0</v>
      </c>
      <c r="N54" s="26"/>
      <c r="O54" s="23"/>
    </row>
    <row r="55" spans="1:15" x14ac:dyDescent="0.2">
      <c r="A55" s="18">
        <f>+'SERVICIO FAENA'!E56</f>
        <v>46056</v>
      </c>
      <c r="B55" s="20">
        <f>+'SERVICIO FAENA'!A56</f>
        <v>54</v>
      </c>
      <c r="C55" s="64">
        <v>40</v>
      </c>
      <c r="D55" s="64">
        <v>40</v>
      </c>
      <c r="E55" s="11">
        <v>2780</v>
      </c>
      <c r="F55" s="16">
        <f t="shared" si="8"/>
        <v>111200</v>
      </c>
      <c r="G55" s="38">
        <v>900</v>
      </c>
      <c r="H55" s="16">
        <f t="shared" si="9"/>
        <v>36000</v>
      </c>
      <c r="I55" s="38">
        <v>900</v>
      </c>
      <c r="J55" s="16">
        <f t="shared" si="10"/>
        <v>36000</v>
      </c>
      <c r="K55" s="11"/>
      <c r="L55" s="11"/>
      <c r="M55" s="16">
        <f t="shared" si="11"/>
        <v>183200</v>
      </c>
      <c r="N55" s="24"/>
      <c r="O55" s="11"/>
    </row>
    <row r="56" spans="1:15" x14ac:dyDescent="0.2">
      <c r="A56" s="18">
        <f>+'SERVICIO FAENA'!E57</f>
        <v>46057</v>
      </c>
      <c r="B56" s="20">
        <f>+'SERVICIO FAENA'!A57</f>
        <v>55</v>
      </c>
      <c r="C56" s="65">
        <v>40</v>
      </c>
      <c r="D56" s="65">
        <v>40</v>
      </c>
      <c r="E56" s="23">
        <v>1060</v>
      </c>
      <c r="F56" s="16">
        <f t="shared" si="8"/>
        <v>42400</v>
      </c>
      <c r="G56" s="38">
        <v>480</v>
      </c>
      <c r="H56" s="16">
        <f t="shared" si="9"/>
        <v>19200</v>
      </c>
      <c r="I56" s="38">
        <v>280</v>
      </c>
      <c r="J56" s="16">
        <f t="shared" si="10"/>
        <v>11200</v>
      </c>
      <c r="K56" s="23"/>
      <c r="L56" s="23"/>
      <c r="M56" s="16">
        <f t="shared" si="11"/>
        <v>72800</v>
      </c>
      <c r="N56" s="26"/>
      <c r="O56" s="23"/>
    </row>
    <row r="57" spans="1:15" x14ac:dyDescent="0.2">
      <c r="A57" s="18">
        <f>+'SERVICIO FAENA'!E58</f>
        <v>46058</v>
      </c>
      <c r="B57" s="20">
        <f>+'SERVICIO FAENA'!A58</f>
        <v>56</v>
      </c>
      <c r="C57" s="64"/>
      <c r="D57" s="64"/>
      <c r="E57" s="11"/>
      <c r="F57" s="16">
        <f t="shared" si="8"/>
        <v>0</v>
      </c>
      <c r="G57" s="38"/>
      <c r="H57" s="16">
        <f t="shared" si="9"/>
        <v>0</v>
      </c>
      <c r="I57" s="38"/>
      <c r="J57" s="16">
        <f t="shared" si="10"/>
        <v>0</v>
      </c>
      <c r="K57" s="11"/>
      <c r="L57" s="11"/>
      <c r="M57" s="16">
        <f t="shared" si="11"/>
        <v>0</v>
      </c>
      <c r="N57" s="24"/>
      <c r="O57" s="11"/>
    </row>
    <row r="58" spans="1:15" x14ac:dyDescent="0.2">
      <c r="A58" s="18">
        <f>+'SERVICIO FAENA'!E59</f>
        <v>46057</v>
      </c>
      <c r="B58" s="20">
        <f>+'SERVICIO FAENA'!A59</f>
        <v>57</v>
      </c>
      <c r="C58" s="65"/>
      <c r="D58" s="65"/>
      <c r="E58" s="23"/>
      <c r="F58" s="16">
        <f t="shared" si="8"/>
        <v>0</v>
      </c>
      <c r="G58" s="38"/>
      <c r="H58" s="16">
        <f t="shared" si="9"/>
        <v>0</v>
      </c>
      <c r="I58" s="38"/>
      <c r="J58" s="16">
        <f t="shared" si="10"/>
        <v>0</v>
      </c>
      <c r="K58" s="23"/>
      <c r="L58" s="23"/>
      <c r="M58" s="16">
        <f t="shared" si="11"/>
        <v>0</v>
      </c>
      <c r="N58" s="26"/>
      <c r="O58" s="23"/>
    </row>
    <row r="59" spans="1:15" ht="13.5" thickBot="1" x14ac:dyDescent="0.25">
      <c r="A59" s="120">
        <f>+'SERVICIO FAENA'!E60</f>
        <v>46058</v>
      </c>
      <c r="B59" s="153">
        <f>+'SERVICIO FAENA'!A60</f>
        <v>58</v>
      </c>
      <c r="C59" s="216"/>
      <c r="D59" s="216"/>
      <c r="E59" s="113"/>
      <c r="F59" s="118">
        <f t="shared" si="8"/>
        <v>0</v>
      </c>
      <c r="G59" s="186"/>
      <c r="H59" s="118">
        <f t="shared" si="9"/>
        <v>0</v>
      </c>
      <c r="I59" s="186"/>
      <c r="J59" s="118">
        <f t="shared" si="10"/>
        <v>0</v>
      </c>
      <c r="K59" s="113"/>
      <c r="L59" s="113"/>
      <c r="M59" s="118">
        <f t="shared" si="11"/>
        <v>0</v>
      </c>
      <c r="N59" s="189"/>
      <c r="O59" s="113"/>
    </row>
    <row r="60" spans="1:15" x14ac:dyDescent="0.2">
      <c r="A60" s="59">
        <f>+'SERVICIO FAENA'!E61</f>
        <v>46059</v>
      </c>
      <c r="B60" s="149">
        <f>+'SERVICIO FAENA'!A61</f>
        <v>59</v>
      </c>
      <c r="C60" s="208">
        <v>40</v>
      </c>
      <c r="D60" s="208">
        <v>40</v>
      </c>
      <c r="E60" s="129">
        <v>2080</v>
      </c>
      <c r="F60" s="41">
        <f t="shared" si="8"/>
        <v>83200</v>
      </c>
      <c r="G60" s="185">
        <v>980</v>
      </c>
      <c r="H60" s="41">
        <f t="shared" si="9"/>
        <v>39200</v>
      </c>
      <c r="I60" s="185">
        <v>440</v>
      </c>
      <c r="J60" s="41">
        <f t="shared" si="10"/>
        <v>17600</v>
      </c>
      <c r="K60" s="129"/>
      <c r="L60" s="129"/>
      <c r="M60" s="41">
        <f t="shared" si="11"/>
        <v>140000</v>
      </c>
      <c r="N60" s="127"/>
      <c r="O60" s="129"/>
    </row>
    <row r="61" spans="1:15" x14ac:dyDescent="0.2">
      <c r="A61" s="18">
        <f>+'SERVICIO FAENA'!E62</f>
        <v>46059</v>
      </c>
      <c r="B61" s="20">
        <f>+'SERVICIO FAENA'!A62</f>
        <v>60</v>
      </c>
      <c r="C61" s="64"/>
      <c r="D61" s="64"/>
      <c r="E61" s="11"/>
      <c r="F61" s="16">
        <f t="shared" si="8"/>
        <v>0</v>
      </c>
      <c r="G61" s="38"/>
      <c r="H61" s="16">
        <f t="shared" si="9"/>
        <v>0</v>
      </c>
      <c r="I61" s="38"/>
      <c r="J61" s="16">
        <f t="shared" si="10"/>
        <v>0</v>
      </c>
      <c r="K61" s="11"/>
      <c r="L61" s="11"/>
      <c r="M61" s="16">
        <f t="shared" si="11"/>
        <v>0</v>
      </c>
      <c r="N61" s="24"/>
      <c r="O61" s="11"/>
    </row>
    <row r="62" spans="1:15" x14ac:dyDescent="0.2">
      <c r="A62" s="18">
        <f>+'SERVICIO FAENA'!E63</f>
        <v>46059</v>
      </c>
      <c r="B62" s="20">
        <f>+'SERVICIO FAENA'!A63</f>
        <v>61</v>
      </c>
      <c r="C62" s="65"/>
      <c r="D62" s="65"/>
      <c r="E62" s="23"/>
      <c r="F62" s="16">
        <f t="shared" si="8"/>
        <v>0</v>
      </c>
      <c r="G62" s="38"/>
      <c r="H62" s="16">
        <f t="shared" si="9"/>
        <v>0</v>
      </c>
      <c r="I62" s="38"/>
      <c r="J62" s="16">
        <f t="shared" si="10"/>
        <v>0</v>
      </c>
      <c r="K62" s="23"/>
      <c r="L62" s="23"/>
      <c r="M62" s="16">
        <f t="shared" si="11"/>
        <v>0</v>
      </c>
      <c r="N62" s="26"/>
      <c r="O62" s="23"/>
    </row>
    <row r="63" spans="1:15" x14ac:dyDescent="0.2">
      <c r="A63" s="18">
        <f>+'SERVICIO FAENA'!E64</f>
        <v>46059</v>
      </c>
      <c r="B63" s="20">
        <f>+'SERVICIO FAENA'!A64</f>
        <v>62</v>
      </c>
      <c r="C63" s="64"/>
      <c r="D63" s="64"/>
      <c r="E63" s="11"/>
      <c r="F63" s="16">
        <f t="shared" si="8"/>
        <v>0</v>
      </c>
      <c r="G63" s="38"/>
      <c r="H63" s="16">
        <f t="shared" si="9"/>
        <v>0</v>
      </c>
      <c r="I63" s="38"/>
      <c r="J63" s="16">
        <f t="shared" si="10"/>
        <v>0</v>
      </c>
      <c r="K63" s="11"/>
      <c r="L63" s="11"/>
      <c r="M63" s="16">
        <f t="shared" si="11"/>
        <v>0</v>
      </c>
      <c r="N63" s="24"/>
      <c r="O63" s="11"/>
    </row>
    <row r="64" spans="1:15" x14ac:dyDescent="0.2">
      <c r="A64" s="18">
        <f>+'SERVICIO FAENA'!E65</f>
        <v>46062</v>
      </c>
      <c r="B64" s="20">
        <f>+'SERVICIO FAENA'!A65</f>
        <v>63</v>
      </c>
      <c r="C64" s="65">
        <v>40</v>
      </c>
      <c r="D64" s="65">
        <v>40</v>
      </c>
      <c r="E64" s="23">
        <v>2100</v>
      </c>
      <c r="F64" s="16">
        <f t="shared" si="8"/>
        <v>84000</v>
      </c>
      <c r="G64" s="38">
        <v>1140</v>
      </c>
      <c r="H64" s="16">
        <f t="shared" si="9"/>
        <v>45600</v>
      </c>
      <c r="I64" s="38">
        <v>700</v>
      </c>
      <c r="J64" s="16">
        <f t="shared" si="10"/>
        <v>28000</v>
      </c>
      <c r="K64" s="23"/>
      <c r="L64" s="23"/>
      <c r="M64" s="16">
        <f t="shared" si="11"/>
        <v>157600</v>
      </c>
      <c r="N64" s="26"/>
      <c r="O64" s="23"/>
    </row>
    <row r="65" spans="1:15" x14ac:dyDescent="0.2">
      <c r="A65" s="18">
        <f>+'SERVICIO FAENA'!E66</f>
        <v>46062</v>
      </c>
      <c r="B65" s="20">
        <f>+'SERVICIO FAENA'!A66</f>
        <v>64</v>
      </c>
      <c r="C65" s="64"/>
      <c r="D65" s="64"/>
      <c r="E65" s="11"/>
      <c r="F65" s="16">
        <f t="shared" si="8"/>
        <v>0</v>
      </c>
      <c r="G65" s="38"/>
      <c r="H65" s="16">
        <f t="shared" si="9"/>
        <v>0</v>
      </c>
      <c r="I65" s="38"/>
      <c r="J65" s="16">
        <f t="shared" si="10"/>
        <v>0</v>
      </c>
      <c r="K65" s="11"/>
      <c r="L65" s="11"/>
      <c r="M65" s="16">
        <f t="shared" si="11"/>
        <v>0</v>
      </c>
      <c r="N65" s="24"/>
      <c r="O65" s="11"/>
    </row>
    <row r="66" spans="1:15" x14ac:dyDescent="0.2">
      <c r="A66" s="18">
        <f>+'SERVICIO FAENA'!E67</f>
        <v>46062</v>
      </c>
      <c r="B66" s="20">
        <f>+'SERVICIO FAENA'!A67</f>
        <v>65</v>
      </c>
      <c r="C66" s="65"/>
      <c r="D66" s="65"/>
      <c r="E66" s="23"/>
      <c r="F66" s="16">
        <f t="shared" si="8"/>
        <v>0</v>
      </c>
      <c r="G66" s="38"/>
      <c r="H66" s="16">
        <f t="shared" si="9"/>
        <v>0</v>
      </c>
      <c r="I66" s="38"/>
      <c r="J66" s="16">
        <f t="shared" si="10"/>
        <v>0</v>
      </c>
      <c r="K66" s="23"/>
      <c r="L66" s="23"/>
      <c r="M66" s="16">
        <f t="shared" si="11"/>
        <v>0</v>
      </c>
      <c r="N66" s="26"/>
      <c r="O66" s="23"/>
    </row>
    <row r="67" spans="1:15" x14ac:dyDescent="0.2">
      <c r="A67" s="18">
        <f>+'SERVICIO FAENA'!E68</f>
        <v>46062</v>
      </c>
      <c r="B67" s="20">
        <f>+'SERVICIO FAENA'!A68</f>
        <v>66</v>
      </c>
      <c r="C67" s="64"/>
      <c r="D67" s="64"/>
      <c r="E67" s="11"/>
      <c r="F67" s="16">
        <f t="shared" si="8"/>
        <v>0</v>
      </c>
      <c r="G67" s="38"/>
      <c r="H67" s="16">
        <f t="shared" si="9"/>
        <v>0</v>
      </c>
      <c r="I67" s="38"/>
      <c r="J67" s="16">
        <f t="shared" si="10"/>
        <v>0</v>
      </c>
      <c r="K67" s="11"/>
      <c r="L67" s="11"/>
      <c r="M67" s="16">
        <f t="shared" si="11"/>
        <v>0</v>
      </c>
      <c r="N67" s="24"/>
      <c r="O67" s="11"/>
    </row>
    <row r="68" spans="1:15" x14ac:dyDescent="0.2">
      <c r="A68" s="18">
        <f>+'SERVICIO FAENA'!E69</f>
        <v>46062</v>
      </c>
      <c r="B68" s="20">
        <f>+'SERVICIO FAENA'!A69</f>
        <v>67</v>
      </c>
      <c r="C68" s="65"/>
      <c r="D68" s="65"/>
      <c r="E68" s="23"/>
      <c r="F68" s="16">
        <f t="shared" si="8"/>
        <v>0</v>
      </c>
      <c r="G68" s="38"/>
      <c r="H68" s="16">
        <f t="shared" si="9"/>
        <v>0</v>
      </c>
      <c r="I68" s="38"/>
      <c r="J68" s="16">
        <f t="shared" si="10"/>
        <v>0</v>
      </c>
      <c r="K68" s="23"/>
      <c r="L68" s="23"/>
      <c r="M68" s="16">
        <f t="shared" si="11"/>
        <v>0</v>
      </c>
      <c r="N68" s="26"/>
      <c r="O68" s="23"/>
    </row>
    <row r="69" spans="1:15" x14ac:dyDescent="0.2">
      <c r="A69" s="18">
        <f>+'SERVICIO FAENA'!E70</f>
        <v>46063</v>
      </c>
      <c r="B69" s="20">
        <f>+'SERVICIO FAENA'!A70</f>
        <v>68</v>
      </c>
      <c r="C69" s="64">
        <v>40</v>
      </c>
      <c r="D69" s="64">
        <v>40</v>
      </c>
      <c r="E69" s="11">
        <v>3060</v>
      </c>
      <c r="F69" s="16">
        <f t="shared" si="8"/>
        <v>122400</v>
      </c>
      <c r="G69" s="38">
        <v>1200</v>
      </c>
      <c r="H69" s="16">
        <f t="shared" si="9"/>
        <v>48000</v>
      </c>
      <c r="I69" s="38">
        <v>900</v>
      </c>
      <c r="J69" s="16">
        <f t="shared" si="10"/>
        <v>36000</v>
      </c>
      <c r="K69" s="11"/>
      <c r="L69" s="11"/>
      <c r="M69" s="16">
        <f t="shared" si="11"/>
        <v>206400</v>
      </c>
      <c r="N69" s="24"/>
      <c r="O69" s="11"/>
    </row>
    <row r="70" spans="1:15" x14ac:dyDescent="0.2">
      <c r="A70" s="18">
        <f>+'SERVICIO FAENA'!E71</f>
        <v>46063</v>
      </c>
      <c r="B70" s="20">
        <f>+'SERVICIO FAENA'!A71</f>
        <v>69</v>
      </c>
      <c r="C70" s="65"/>
      <c r="D70" s="65"/>
      <c r="E70" s="23"/>
      <c r="F70" s="16">
        <f t="shared" si="8"/>
        <v>0</v>
      </c>
      <c r="G70" s="38"/>
      <c r="H70" s="16">
        <f t="shared" si="9"/>
        <v>0</v>
      </c>
      <c r="I70" s="38"/>
      <c r="J70" s="16">
        <f t="shared" si="10"/>
        <v>0</v>
      </c>
      <c r="K70" s="23"/>
      <c r="L70" s="23"/>
      <c r="M70" s="16">
        <f t="shared" si="11"/>
        <v>0</v>
      </c>
      <c r="N70" s="26"/>
      <c r="O70" s="23"/>
    </row>
    <row r="71" spans="1:15" x14ac:dyDescent="0.2">
      <c r="A71" s="18">
        <f>+'SERVICIO FAENA'!E72</f>
        <v>46065</v>
      </c>
      <c r="B71" s="20">
        <f>+'SERVICIO FAENA'!A72</f>
        <v>70</v>
      </c>
      <c r="C71" s="64">
        <v>40</v>
      </c>
      <c r="D71" s="64">
        <v>40</v>
      </c>
      <c r="E71" s="11">
        <v>2020</v>
      </c>
      <c r="F71" s="16">
        <f t="shared" si="8"/>
        <v>80800</v>
      </c>
      <c r="G71" s="38">
        <v>1000</v>
      </c>
      <c r="H71" s="16">
        <f t="shared" si="9"/>
        <v>40000</v>
      </c>
      <c r="I71" s="38">
        <v>840</v>
      </c>
      <c r="J71" s="16">
        <f t="shared" si="10"/>
        <v>33600</v>
      </c>
      <c r="K71" s="11"/>
      <c r="L71" s="11"/>
      <c r="M71" s="16">
        <f t="shared" si="11"/>
        <v>154400</v>
      </c>
      <c r="N71" s="24"/>
      <c r="O71" s="11"/>
    </row>
    <row r="72" spans="1:15" x14ac:dyDescent="0.2">
      <c r="A72" s="18">
        <f>+'SERVICIO FAENA'!E73</f>
        <v>46065</v>
      </c>
      <c r="B72" s="20">
        <f>+'SERVICIO FAENA'!A73</f>
        <v>71</v>
      </c>
      <c r="C72" s="65"/>
      <c r="D72" s="65"/>
      <c r="E72" s="23"/>
      <c r="F72" s="16">
        <f t="shared" si="8"/>
        <v>0</v>
      </c>
      <c r="G72" s="38"/>
      <c r="H72" s="16">
        <f t="shared" si="9"/>
        <v>0</v>
      </c>
      <c r="I72" s="38"/>
      <c r="J72" s="16">
        <f t="shared" si="10"/>
        <v>0</v>
      </c>
      <c r="K72" s="23"/>
      <c r="L72" s="23"/>
      <c r="M72" s="16">
        <f t="shared" si="11"/>
        <v>0</v>
      </c>
      <c r="N72" s="26"/>
      <c r="O72" s="23"/>
    </row>
    <row r="73" spans="1:15" x14ac:dyDescent="0.2">
      <c r="A73" s="18">
        <f>+'SERVICIO FAENA'!E74</f>
        <v>46065</v>
      </c>
      <c r="B73" s="20">
        <f>+'SERVICIO FAENA'!A74</f>
        <v>72</v>
      </c>
      <c r="C73" s="64"/>
      <c r="D73" s="64"/>
      <c r="E73" s="11"/>
      <c r="F73" s="16">
        <f t="shared" si="8"/>
        <v>0</v>
      </c>
      <c r="G73" s="38"/>
      <c r="H73" s="16">
        <f t="shared" si="9"/>
        <v>0</v>
      </c>
      <c r="I73" s="38"/>
      <c r="J73" s="16">
        <f t="shared" si="10"/>
        <v>0</v>
      </c>
      <c r="K73" s="11"/>
      <c r="L73" s="11"/>
      <c r="M73" s="16">
        <f t="shared" si="11"/>
        <v>0</v>
      </c>
      <c r="N73" s="24"/>
      <c r="O73" s="11"/>
    </row>
    <row r="74" spans="1:15" ht="13.5" thickBot="1" x14ac:dyDescent="0.25">
      <c r="A74" s="120">
        <f>+'SERVICIO FAENA'!E75</f>
        <v>46065</v>
      </c>
      <c r="B74" s="153">
        <f>+'SERVICIO FAENA'!A75</f>
        <v>73</v>
      </c>
      <c r="C74" s="216"/>
      <c r="D74" s="216"/>
      <c r="E74" s="113"/>
      <c r="F74" s="118">
        <f t="shared" si="8"/>
        <v>0</v>
      </c>
      <c r="G74" s="186"/>
      <c r="H74" s="118">
        <f t="shared" si="9"/>
        <v>0</v>
      </c>
      <c r="I74" s="186"/>
      <c r="J74" s="118">
        <f t="shared" si="10"/>
        <v>0</v>
      </c>
      <c r="K74" s="113"/>
      <c r="L74" s="113"/>
      <c r="M74" s="118">
        <f t="shared" si="11"/>
        <v>0</v>
      </c>
      <c r="N74" s="189"/>
      <c r="O74" s="113"/>
    </row>
    <row r="75" spans="1:15" x14ac:dyDescent="0.2">
      <c r="A75" s="59">
        <f>+'SERVICIO FAENA'!E76</f>
        <v>46071</v>
      </c>
      <c r="B75" s="149">
        <f>+'SERVICIO FAENA'!A76</f>
        <v>74</v>
      </c>
      <c r="C75" s="217">
        <v>40</v>
      </c>
      <c r="D75" s="217">
        <v>40</v>
      </c>
      <c r="E75" s="53">
        <v>1380</v>
      </c>
      <c r="F75" s="41">
        <f t="shared" si="8"/>
        <v>55200</v>
      </c>
      <c r="G75" s="185">
        <v>680</v>
      </c>
      <c r="H75" s="41">
        <f t="shared" si="9"/>
        <v>27200</v>
      </c>
      <c r="I75" s="185">
        <v>380</v>
      </c>
      <c r="J75" s="41">
        <f t="shared" si="10"/>
        <v>15200</v>
      </c>
      <c r="K75" s="53"/>
      <c r="L75" s="53"/>
      <c r="M75" s="41">
        <f t="shared" si="11"/>
        <v>97600</v>
      </c>
      <c r="N75" s="190"/>
      <c r="O75" s="53"/>
    </row>
    <row r="76" spans="1:15" x14ac:dyDescent="0.2">
      <c r="A76" s="18">
        <f>+'SERVICIO FAENA'!E77</f>
        <v>46071</v>
      </c>
      <c r="B76" s="20">
        <f>+'SERVICIO FAENA'!A77</f>
        <v>75</v>
      </c>
      <c r="C76" s="65"/>
      <c r="D76" s="65"/>
      <c r="E76" s="23"/>
      <c r="F76" s="16">
        <f t="shared" si="8"/>
        <v>0</v>
      </c>
      <c r="G76" s="38"/>
      <c r="H76" s="16">
        <f t="shared" si="9"/>
        <v>0</v>
      </c>
      <c r="I76" s="38"/>
      <c r="J76" s="16">
        <f t="shared" si="10"/>
        <v>0</v>
      </c>
      <c r="K76" s="23"/>
      <c r="L76" s="23"/>
      <c r="M76" s="16">
        <f t="shared" si="11"/>
        <v>0</v>
      </c>
      <c r="N76" s="26"/>
      <c r="O76" s="23"/>
    </row>
    <row r="77" spans="1:15" x14ac:dyDescent="0.2">
      <c r="A77" s="18">
        <f>+'SERVICIO FAENA'!E78</f>
        <v>46071</v>
      </c>
      <c r="B77" s="20">
        <f>+'SERVICIO FAENA'!A78</f>
        <v>76</v>
      </c>
      <c r="C77" s="64"/>
      <c r="D77" s="64"/>
      <c r="E77" s="11"/>
      <c r="F77" s="16">
        <f t="shared" si="8"/>
        <v>0</v>
      </c>
      <c r="G77" s="38"/>
      <c r="H77" s="16">
        <f t="shared" si="9"/>
        <v>0</v>
      </c>
      <c r="I77" s="38"/>
      <c r="J77" s="16">
        <f t="shared" si="10"/>
        <v>0</v>
      </c>
      <c r="K77" s="11"/>
      <c r="L77" s="11"/>
      <c r="M77" s="16">
        <f t="shared" si="11"/>
        <v>0</v>
      </c>
      <c r="N77" s="24"/>
      <c r="O77" s="11"/>
    </row>
    <row r="78" spans="1:15" x14ac:dyDescent="0.2">
      <c r="A78" s="18">
        <f>+'SERVICIO FAENA'!E79</f>
        <v>46071</v>
      </c>
      <c r="B78" s="20">
        <f>+'SERVICIO FAENA'!A79</f>
        <v>77</v>
      </c>
      <c r="C78" s="65"/>
      <c r="D78" s="65"/>
      <c r="E78" s="23"/>
      <c r="F78" s="16">
        <f t="shared" si="8"/>
        <v>0</v>
      </c>
      <c r="G78" s="38"/>
      <c r="H78" s="16">
        <f t="shared" si="9"/>
        <v>0</v>
      </c>
      <c r="I78" s="38"/>
      <c r="J78" s="16">
        <f t="shared" si="10"/>
        <v>0</v>
      </c>
      <c r="K78" s="23"/>
      <c r="L78" s="23"/>
      <c r="M78" s="16">
        <f t="shared" si="11"/>
        <v>0</v>
      </c>
      <c r="N78" s="26"/>
      <c r="O78" s="23"/>
    </row>
    <row r="79" spans="1:15" x14ac:dyDescent="0.2">
      <c r="A79" s="18">
        <f>+'SERVICIO FAENA'!E80</f>
        <v>46073</v>
      </c>
      <c r="B79" s="20">
        <f>+'SERVICIO FAENA'!A80</f>
        <v>78</v>
      </c>
      <c r="C79" s="64">
        <v>40</v>
      </c>
      <c r="D79" s="64">
        <v>40</v>
      </c>
      <c r="E79" s="11">
        <v>2980</v>
      </c>
      <c r="F79" s="16">
        <f t="shared" si="8"/>
        <v>119200</v>
      </c>
      <c r="G79" s="38">
        <v>1400</v>
      </c>
      <c r="H79" s="16">
        <f t="shared" si="9"/>
        <v>56000</v>
      </c>
      <c r="I79" s="38">
        <v>880</v>
      </c>
      <c r="J79" s="16">
        <f t="shared" si="10"/>
        <v>35200</v>
      </c>
      <c r="K79" s="11"/>
      <c r="L79" s="11"/>
      <c r="M79" s="16">
        <f t="shared" si="11"/>
        <v>210400</v>
      </c>
      <c r="N79" s="24"/>
      <c r="O79" s="11"/>
    </row>
    <row r="80" spans="1:15" x14ac:dyDescent="0.2">
      <c r="A80" s="18">
        <f>+'SERVICIO FAENA'!E81</f>
        <v>46073</v>
      </c>
      <c r="B80" s="20">
        <f>+'SERVICIO FAENA'!A81</f>
        <v>79</v>
      </c>
      <c r="C80" s="65"/>
      <c r="D80" s="65"/>
      <c r="E80" s="23"/>
      <c r="F80" s="16">
        <f t="shared" si="8"/>
        <v>0</v>
      </c>
      <c r="G80" s="38"/>
      <c r="H80" s="16">
        <f t="shared" si="9"/>
        <v>0</v>
      </c>
      <c r="I80" s="38"/>
      <c r="J80" s="16">
        <f t="shared" si="10"/>
        <v>0</v>
      </c>
      <c r="K80" s="23"/>
      <c r="L80" s="23"/>
      <c r="M80" s="16">
        <f t="shared" si="11"/>
        <v>0</v>
      </c>
      <c r="N80" s="26"/>
      <c r="O80" s="23"/>
    </row>
    <row r="81" spans="1:15" x14ac:dyDescent="0.2">
      <c r="A81" s="18">
        <f>+'SERVICIO FAENA'!E82</f>
        <v>46073</v>
      </c>
      <c r="B81" s="20">
        <f>+'SERVICIO FAENA'!A82</f>
        <v>80</v>
      </c>
      <c r="C81" s="64"/>
      <c r="D81" s="64"/>
      <c r="E81" s="11"/>
      <c r="F81" s="16">
        <f t="shared" si="8"/>
        <v>0</v>
      </c>
      <c r="G81" s="38"/>
      <c r="H81" s="16">
        <f t="shared" si="9"/>
        <v>0</v>
      </c>
      <c r="I81" s="38"/>
      <c r="J81" s="16">
        <f t="shared" si="10"/>
        <v>0</v>
      </c>
      <c r="K81" s="11"/>
      <c r="L81" s="11"/>
      <c r="M81" s="16">
        <f t="shared" si="11"/>
        <v>0</v>
      </c>
      <c r="N81" s="24"/>
      <c r="O81" s="11"/>
    </row>
    <row r="82" spans="1:15" x14ac:dyDescent="0.2">
      <c r="A82" s="18">
        <f>+'SERVICIO FAENA'!E83</f>
        <v>46073</v>
      </c>
      <c r="B82" s="20">
        <f>+'SERVICIO FAENA'!A83</f>
        <v>81</v>
      </c>
      <c r="C82" s="65"/>
      <c r="D82" s="65"/>
      <c r="E82" s="23"/>
      <c r="F82" s="16">
        <f t="shared" si="8"/>
        <v>0</v>
      </c>
      <c r="G82" s="38"/>
      <c r="H82" s="16">
        <f t="shared" si="9"/>
        <v>0</v>
      </c>
      <c r="I82" s="38"/>
      <c r="J82" s="16">
        <f t="shared" si="10"/>
        <v>0</v>
      </c>
      <c r="K82" s="23"/>
      <c r="L82" s="23"/>
      <c r="M82" s="16">
        <f t="shared" si="11"/>
        <v>0</v>
      </c>
      <c r="N82" s="26"/>
      <c r="O82" s="23"/>
    </row>
    <row r="83" spans="1:15" x14ac:dyDescent="0.2">
      <c r="A83" s="18">
        <f>+'SERVICIO FAENA'!E84</f>
        <v>46073</v>
      </c>
      <c r="B83" s="20">
        <f>+'SERVICIO FAENA'!A84</f>
        <v>82</v>
      </c>
      <c r="C83" s="64"/>
      <c r="D83" s="64"/>
      <c r="E83" s="11"/>
      <c r="F83" s="16">
        <f t="shared" si="8"/>
        <v>0</v>
      </c>
      <c r="G83" s="38"/>
      <c r="H83" s="16">
        <f t="shared" si="9"/>
        <v>0</v>
      </c>
      <c r="I83" s="38"/>
      <c r="J83" s="16">
        <f t="shared" si="10"/>
        <v>0</v>
      </c>
      <c r="K83" s="11"/>
      <c r="L83" s="11"/>
      <c r="M83" s="16">
        <f t="shared" si="11"/>
        <v>0</v>
      </c>
      <c r="N83" s="24"/>
      <c r="O83" s="11"/>
    </row>
    <row r="84" spans="1:15" ht="13.5" thickBot="1" x14ac:dyDescent="0.25">
      <c r="A84" s="120">
        <f>+'SERVICIO FAENA'!E85</f>
        <v>46073</v>
      </c>
      <c r="B84" s="153">
        <f>+'SERVICIO FAENA'!A85</f>
        <v>83</v>
      </c>
      <c r="C84" s="216"/>
      <c r="D84" s="216"/>
      <c r="E84" s="113"/>
      <c r="F84" s="118">
        <f t="shared" si="8"/>
        <v>0</v>
      </c>
      <c r="G84" s="186"/>
      <c r="H84" s="118">
        <f t="shared" si="9"/>
        <v>0</v>
      </c>
      <c r="I84" s="186"/>
      <c r="J84" s="118">
        <f t="shared" si="10"/>
        <v>0</v>
      </c>
      <c r="K84" s="113"/>
      <c r="L84" s="113"/>
      <c r="M84" s="118">
        <f t="shared" si="11"/>
        <v>0</v>
      </c>
      <c r="N84" s="189"/>
      <c r="O84" s="113"/>
    </row>
    <row r="85" spans="1:15" x14ac:dyDescent="0.2">
      <c r="A85" s="59">
        <f>+'SERVICIO FAENA'!E86</f>
        <v>46076</v>
      </c>
      <c r="B85" s="149">
        <f>+'SERVICIO FAENA'!A86</f>
        <v>84</v>
      </c>
      <c r="C85" s="217">
        <v>40</v>
      </c>
      <c r="D85" s="217">
        <v>40</v>
      </c>
      <c r="E85" s="112">
        <v>1380</v>
      </c>
      <c r="F85" s="41">
        <f t="shared" si="8"/>
        <v>55200</v>
      </c>
      <c r="G85" s="185">
        <v>580</v>
      </c>
      <c r="H85" s="41">
        <f t="shared" si="9"/>
        <v>23200</v>
      </c>
      <c r="I85" s="185">
        <v>300</v>
      </c>
      <c r="J85" s="41">
        <f t="shared" si="10"/>
        <v>12000</v>
      </c>
      <c r="K85" s="53"/>
      <c r="L85" s="53"/>
      <c r="M85" s="41">
        <f t="shared" si="11"/>
        <v>90400</v>
      </c>
      <c r="N85" s="190"/>
      <c r="O85" s="53"/>
    </row>
    <row r="86" spans="1:15" x14ac:dyDescent="0.2">
      <c r="A86" s="18">
        <f>+'SERVICIO FAENA'!E87</f>
        <v>46076</v>
      </c>
      <c r="B86" s="20">
        <f>+'SERVICIO FAENA'!A87</f>
        <v>85</v>
      </c>
      <c r="C86" s="65"/>
      <c r="D86" s="65"/>
      <c r="E86" s="218"/>
      <c r="F86" s="16">
        <f t="shared" si="8"/>
        <v>0</v>
      </c>
      <c r="G86" s="38"/>
      <c r="H86" s="16">
        <f t="shared" si="9"/>
        <v>0</v>
      </c>
      <c r="I86" s="38"/>
      <c r="J86" s="16">
        <f t="shared" si="10"/>
        <v>0</v>
      </c>
      <c r="K86" s="23"/>
      <c r="L86" s="23"/>
      <c r="M86" s="16">
        <f t="shared" si="11"/>
        <v>0</v>
      </c>
      <c r="N86" s="26"/>
      <c r="O86" s="23"/>
    </row>
    <row r="87" spans="1:15" x14ac:dyDescent="0.2">
      <c r="A87" s="18">
        <f>+'SERVICIO FAENA'!E88</f>
        <v>46077</v>
      </c>
      <c r="B87" s="20">
        <f>+'SERVICIO FAENA'!A88</f>
        <v>86</v>
      </c>
      <c r="C87" s="64">
        <v>40</v>
      </c>
      <c r="D87" s="64">
        <v>40</v>
      </c>
      <c r="E87" s="100">
        <v>3160</v>
      </c>
      <c r="F87" s="16">
        <f t="shared" si="8"/>
        <v>126400</v>
      </c>
      <c r="G87" s="38">
        <v>1160</v>
      </c>
      <c r="H87" s="16">
        <f t="shared" si="9"/>
        <v>46400</v>
      </c>
      <c r="I87" s="38">
        <v>980</v>
      </c>
      <c r="J87" s="16">
        <f t="shared" si="10"/>
        <v>39200</v>
      </c>
      <c r="K87" s="11"/>
      <c r="L87" s="11"/>
      <c r="M87" s="16">
        <f t="shared" si="11"/>
        <v>212000</v>
      </c>
      <c r="N87" s="24"/>
      <c r="O87" s="11"/>
    </row>
    <row r="88" spans="1:15" x14ac:dyDescent="0.2">
      <c r="A88" s="18">
        <f>+'SERVICIO FAENA'!E89</f>
        <v>46077</v>
      </c>
      <c r="B88" s="20">
        <f>+'SERVICIO FAENA'!A89</f>
        <v>87</v>
      </c>
      <c r="C88" s="65"/>
      <c r="D88" s="65"/>
      <c r="E88" s="218"/>
      <c r="F88" s="16">
        <f t="shared" si="8"/>
        <v>0</v>
      </c>
      <c r="G88" s="38"/>
      <c r="H88" s="16">
        <f t="shared" si="9"/>
        <v>0</v>
      </c>
      <c r="I88" s="38"/>
      <c r="J88" s="16">
        <f t="shared" si="10"/>
        <v>0</v>
      </c>
      <c r="K88" s="23"/>
      <c r="L88" s="23"/>
      <c r="M88" s="16">
        <f t="shared" si="11"/>
        <v>0</v>
      </c>
      <c r="N88" s="26"/>
      <c r="O88" s="23"/>
    </row>
    <row r="89" spans="1:15" x14ac:dyDescent="0.2">
      <c r="A89" s="18">
        <f>+'SERVICIO FAENA'!E90</f>
        <v>46078</v>
      </c>
      <c r="B89" s="20">
        <f>+'SERVICIO FAENA'!A90</f>
        <v>88</v>
      </c>
      <c r="C89" s="64">
        <v>40</v>
      </c>
      <c r="D89" s="64">
        <v>40</v>
      </c>
      <c r="E89" s="100">
        <v>740</v>
      </c>
      <c r="F89" s="16">
        <f t="shared" si="8"/>
        <v>29600</v>
      </c>
      <c r="G89" s="38">
        <v>400</v>
      </c>
      <c r="H89" s="16">
        <f t="shared" si="9"/>
        <v>16000</v>
      </c>
      <c r="I89" s="38">
        <v>260</v>
      </c>
      <c r="J89" s="16">
        <f t="shared" si="10"/>
        <v>10400</v>
      </c>
      <c r="K89" s="11"/>
      <c r="L89" s="11"/>
      <c r="M89" s="16">
        <f t="shared" si="11"/>
        <v>56000</v>
      </c>
      <c r="N89" s="24"/>
      <c r="O89" s="11"/>
    </row>
    <row r="90" spans="1:15" x14ac:dyDescent="0.2">
      <c r="A90" s="18">
        <f>+'SERVICIO FAENA'!E91</f>
        <v>46078</v>
      </c>
      <c r="B90" s="20">
        <f>+'SERVICIO FAENA'!A91</f>
        <v>89</v>
      </c>
      <c r="C90" s="65"/>
      <c r="D90" s="65"/>
      <c r="E90" s="218"/>
      <c r="F90" s="16">
        <f t="shared" si="8"/>
        <v>0</v>
      </c>
      <c r="G90" s="38"/>
      <c r="H90" s="16">
        <f t="shared" si="9"/>
        <v>0</v>
      </c>
      <c r="I90" s="38"/>
      <c r="J90" s="16">
        <f t="shared" si="10"/>
        <v>0</v>
      </c>
      <c r="K90" s="23"/>
      <c r="L90" s="23"/>
      <c r="M90" s="16">
        <f t="shared" si="11"/>
        <v>0</v>
      </c>
      <c r="N90" s="26"/>
      <c r="O90" s="23"/>
    </row>
    <row r="91" spans="1:15" x14ac:dyDescent="0.2">
      <c r="A91" s="18">
        <f>+'SERVICIO FAENA'!E92</f>
        <v>46078</v>
      </c>
      <c r="B91" s="20">
        <f>+'SERVICIO FAENA'!A92</f>
        <v>90</v>
      </c>
      <c r="C91" s="64"/>
      <c r="D91" s="64"/>
      <c r="E91" s="100"/>
      <c r="F91" s="16">
        <f t="shared" si="8"/>
        <v>0</v>
      </c>
      <c r="G91" s="38"/>
      <c r="H91" s="16">
        <f t="shared" si="9"/>
        <v>0</v>
      </c>
      <c r="I91" s="38"/>
      <c r="J91" s="16">
        <f t="shared" si="10"/>
        <v>0</v>
      </c>
      <c r="K91" s="11"/>
      <c r="L91" s="11"/>
      <c r="M91" s="16">
        <f t="shared" si="11"/>
        <v>0</v>
      </c>
      <c r="N91" s="24"/>
      <c r="O91" s="11"/>
    </row>
    <row r="92" spans="1:15" x14ac:dyDescent="0.2">
      <c r="A92" s="18">
        <f>+'SERVICIO FAENA'!E93</f>
        <v>46080</v>
      </c>
      <c r="B92" s="20">
        <f>+'SERVICIO FAENA'!A93</f>
        <v>91</v>
      </c>
      <c r="C92" s="65">
        <v>40</v>
      </c>
      <c r="D92" s="65">
        <v>40</v>
      </c>
      <c r="E92" s="218">
        <v>3280</v>
      </c>
      <c r="F92" s="16">
        <f t="shared" si="8"/>
        <v>131200</v>
      </c>
      <c r="G92" s="38">
        <v>1380</v>
      </c>
      <c r="H92" s="16">
        <f t="shared" si="9"/>
        <v>55200</v>
      </c>
      <c r="I92" s="38">
        <v>780</v>
      </c>
      <c r="J92" s="16">
        <f t="shared" si="10"/>
        <v>31200</v>
      </c>
      <c r="K92" s="23"/>
      <c r="L92" s="23"/>
      <c r="M92" s="16">
        <f t="shared" si="11"/>
        <v>217600</v>
      </c>
      <c r="N92" s="26"/>
      <c r="O92" s="23"/>
    </row>
    <row r="93" spans="1:15" x14ac:dyDescent="0.2">
      <c r="A93" s="18">
        <f>+'SERVICIO FAENA'!E94</f>
        <v>46080</v>
      </c>
      <c r="B93" s="20">
        <f>+'SERVICIO FAENA'!A94</f>
        <v>92</v>
      </c>
      <c r="C93" s="64"/>
      <c r="D93" s="64"/>
      <c r="E93" s="11"/>
      <c r="F93" s="16">
        <f t="shared" si="8"/>
        <v>0</v>
      </c>
      <c r="G93" s="38"/>
      <c r="H93" s="16">
        <f t="shared" si="9"/>
        <v>0</v>
      </c>
      <c r="I93" s="38"/>
      <c r="J93" s="16">
        <f t="shared" si="10"/>
        <v>0</v>
      </c>
      <c r="K93" s="11"/>
      <c r="L93" s="11"/>
      <c r="M93" s="16">
        <f t="shared" si="11"/>
        <v>0</v>
      </c>
      <c r="N93" s="24"/>
      <c r="O93" s="11"/>
    </row>
    <row r="94" spans="1:15" x14ac:dyDescent="0.2">
      <c r="A94" s="18">
        <f>+'SERVICIO FAENA'!E95</f>
        <v>46080</v>
      </c>
      <c r="B94" s="20">
        <f>+'SERVICIO FAENA'!A95</f>
        <v>93</v>
      </c>
      <c r="C94" s="65"/>
      <c r="D94" s="65"/>
      <c r="E94" s="23"/>
      <c r="F94" s="16">
        <f t="shared" si="8"/>
        <v>0</v>
      </c>
      <c r="G94" s="38"/>
      <c r="H94" s="16">
        <f t="shared" si="9"/>
        <v>0</v>
      </c>
      <c r="I94" s="38"/>
      <c r="J94" s="16">
        <f t="shared" si="10"/>
        <v>0</v>
      </c>
      <c r="K94" s="23"/>
      <c r="L94" s="23"/>
      <c r="M94" s="16">
        <f t="shared" si="11"/>
        <v>0</v>
      </c>
      <c r="N94" s="26"/>
      <c r="O94" s="23"/>
    </row>
    <row r="95" spans="1:15" x14ac:dyDescent="0.2">
      <c r="A95" s="18">
        <f>+'SERVICIO FAENA'!E96</f>
        <v>46080</v>
      </c>
      <c r="B95" s="20">
        <f>+'SERVICIO FAENA'!A96</f>
        <v>94</v>
      </c>
      <c r="C95" s="64"/>
      <c r="D95" s="64"/>
      <c r="E95" s="11"/>
      <c r="F95" s="16">
        <f t="shared" si="8"/>
        <v>0</v>
      </c>
      <c r="G95" s="38"/>
      <c r="H95" s="16">
        <f t="shared" si="9"/>
        <v>0</v>
      </c>
      <c r="I95" s="38"/>
      <c r="J95" s="16">
        <f t="shared" si="10"/>
        <v>0</v>
      </c>
      <c r="K95" s="11"/>
      <c r="L95" s="11"/>
      <c r="M95" s="16">
        <f t="shared" si="11"/>
        <v>0</v>
      </c>
      <c r="N95" s="24"/>
      <c r="O95" s="11"/>
    </row>
    <row r="96" spans="1:15" x14ac:dyDescent="0.2">
      <c r="A96" s="18">
        <f>+'SERVICIO FAENA'!E97</f>
        <v>46080</v>
      </c>
      <c r="B96" s="20">
        <f>+'SERVICIO FAENA'!A97</f>
        <v>95</v>
      </c>
      <c r="C96" s="65"/>
      <c r="D96" s="65"/>
      <c r="E96" s="23"/>
      <c r="F96" s="16">
        <f t="shared" si="8"/>
        <v>0</v>
      </c>
      <c r="G96" s="38"/>
      <c r="H96" s="16">
        <f t="shared" si="9"/>
        <v>0</v>
      </c>
      <c r="I96" s="38"/>
      <c r="J96" s="16">
        <f t="shared" si="10"/>
        <v>0</v>
      </c>
      <c r="K96" s="23"/>
      <c r="L96" s="23"/>
      <c r="M96" s="16">
        <f t="shared" si="11"/>
        <v>0</v>
      </c>
      <c r="N96" s="26"/>
      <c r="O96" s="23"/>
    </row>
    <row r="97" spans="1:15" ht="13.5" thickBot="1" x14ac:dyDescent="0.25">
      <c r="A97" s="120">
        <f>+'SERVICIO FAENA'!E98</f>
        <v>46080</v>
      </c>
      <c r="B97" s="153">
        <f>+'SERVICIO FAENA'!A98</f>
        <v>96</v>
      </c>
      <c r="C97" s="216"/>
      <c r="D97" s="216"/>
      <c r="E97" s="113"/>
      <c r="F97" s="118">
        <f t="shared" si="8"/>
        <v>0</v>
      </c>
      <c r="G97" s="186"/>
      <c r="H97" s="118">
        <f t="shared" si="9"/>
        <v>0</v>
      </c>
      <c r="I97" s="186"/>
      <c r="J97" s="118">
        <f t="shared" si="10"/>
        <v>0</v>
      </c>
      <c r="K97" s="113"/>
      <c r="L97" s="113"/>
      <c r="M97" s="118">
        <f t="shared" si="11"/>
        <v>0</v>
      </c>
      <c r="N97" s="189"/>
      <c r="O97" s="113"/>
    </row>
    <row r="98" spans="1:15" x14ac:dyDescent="0.2">
      <c r="A98" s="59">
        <f>+'SERVICIO FAENA'!E99</f>
        <v>46083</v>
      </c>
      <c r="B98" s="149">
        <f>+'SERVICIO FAENA'!A99</f>
        <v>97</v>
      </c>
      <c r="C98" s="208"/>
      <c r="D98" s="208"/>
      <c r="E98" s="129"/>
      <c r="F98" s="41">
        <f t="shared" si="8"/>
        <v>0</v>
      </c>
      <c r="G98" s="185"/>
      <c r="H98" s="41">
        <f t="shared" si="9"/>
        <v>0</v>
      </c>
      <c r="I98" s="185"/>
      <c r="J98" s="41">
        <f t="shared" si="10"/>
        <v>0</v>
      </c>
      <c r="K98" s="129"/>
      <c r="L98" s="129"/>
      <c r="M98" s="41">
        <f t="shared" si="11"/>
        <v>0</v>
      </c>
      <c r="N98" s="127"/>
      <c r="O98" s="129"/>
    </row>
    <row r="99" spans="1:15" x14ac:dyDescent="0.2">
      <c r="A99" s="18">
        <f>+'SERVICIO FAENA'!E100</f>
        <v>46083</v>
      </c>
      <c r="B99" s="20">
        <f>+'SERVICIO FAENA'!A100</f>
        <v>98</v>
      </c>
      <c r="C99" s="64"/>
      <c r="D99" s="64"/>
      <c r="E99" s="11"/>
      <c r="F99" s="16">
        <f t="shared" si="8"/>
        <v>0</v>
      </c>
      <c r="G99" s="38"/>
      <c r="H99" s="16">
        <f t="shared" si="9"/>
        <v>0</v>
      </c>
      <c r="I99" s="38"/>
      <c r="J99" s="16">
        <f t="shared" si="10"/>
        <v>0</v>
      </c>
      <c r="K99" s="11"/>
      <c r="L99" s="11"/>
      <c r="M99" s="16">
        <f t="shared" si="11"/>
        <v>0</v>
      </c>
      <c r="N99" s="24"/>
      <c r="O99" s="11"/>
    </row>
    <row r="100" spans="1:15" x14ac:dyDescent="0.2">
      <c r="A100" s="18">
        <f>+'SERVICIO FAENA'!E101</f>
        <v>46083</v>
      </c>
      <c r="B100" s="20">
        <f>+'SERVICIO FAENA'!A101</f>
        <v>99</v>
      </c>
      <c r="C100" s="65"/>
      <c r="D100" s="65"/>
      <c r="E100" s="23"/>
      <c r="F100" s="16">
        <f t="shared" ref="F100:F163" si="12">+E100*C100</f>
        <v>0</v>
      </c>
      <c r="G100" s="38"/>
      <c r="H100" s="16">
        <f t="shared" ref="H100:H163" si="13">+G100*C100</f>
        <v>0</v>
      </c>
      <c r="I100" s="38"/>
      <c r="J100" s="16">
        <f t="shared" ref="J100:J163" si="14">+I100*D100</f>
        <v>0</v>
      </c>
      <c r="K100" s="23"/>
      <c r="L100" s="23"/>
      <c r="M100" s="16">
        <f t="shared" ref="M100:M163" si="15">+F100+H100+J100</f>
        <v>0</v>
      </c>
      <c r="N100" s="26"/>
      <c r="O100" s="23"/>
    </row>
    <row r="101" spans="1:15" x14ac:dyDescent="0.2">
      <c r="A101" s="18">
        <f>+'SERVICIO FAENA'!E102</f>
        <v>46084</v>
      </c>
      <c r="B101" s="20">
        <f>+'SERVICIO FAENA'!A102</f>
        <v>100</v>
      </c>
      <c r="C101" s="64"/>
      <c r="D101" s="64"/>
      <c r="E101" s="11"/>
      <c r="F101" s="16">
        <f t="shared" si="12"/>
        <v>0</v>
      </c>
      <c r="G101" s="38"/>
      <c r="H101" s="16">
        <f t="shared" si="13"/>
        <v>0</v>
      </c>
      <c r="I101" s="38"/>
      <c r="J101" s="16">
        <f t="shared" si="14"/>
        <v>0</v>
      </c>
      <c r="K101" s="11"/>
      <c r="L101" s="11"/>
      <c r="M101" s="16">
        <f t="shared" si="15"/>
        <v>0</v>
      </c>
      <c r="N101" s="24"/>
      <c r="O101" s="11"/>
    </row>
    <row r="102" spans="1:15" x14ac:dyDescent="0.2">
      <c r="A102" s="18">
        <f>+'SERVICIO FAENA'!E103</f>
        <v>46085</v>
      </c>
      <c r="B102" s="20">
        <f>+'SERVICIO FAENA'!A103</f>
        <v>101</v>
      </c>
      <c r="C102" s="65"/>
      <c r="D102" s="65"/>
      <c r="E102" s="23"/>
      <c r="F102" s="16">
        <f t="shared" si="12"/>
        <v>0</v>
      </c>
      <c r="G102" s="38"/>
      <c r="H102" s="16">
        <f t="shared" si="13"/>
        <v>0</v>
      </c>
      <c r="I102" s="38"/>
      <c r="J102" s="16">
        <f t="shared" si="14"/>
        <v>0</v>
      </c>
      <c r="K102" s="23"/>
      <c r="L102" s="23"/>
      <c r="M102" s="16">
        <f t="shared" si="15"/>
        <v>0</v>
      </c>
      <c r="N102" s="26"/>
      <c r="O102" s="23"/>
    </row>
    <row r="103" spans="1:15" x14ac:dyDescent="0.2">
      <c r="A103" s="18">
        <f>+'SERVICIO FAENA'!E104</f>
        <v>46085</v>
      </c>
      <c r="B103" s="20">
        <f>+'SERVICIO FAENA'!A104</f>
        <v>102</v>
      </c>
      <c r="C103" s="64"/>
      <c r="D103" s="64"/>
      <c r="E103" s="11"/>
      <c r="F103" s="16">
        <f t="shared" si="12"/>
        <v>0</v>
      </c>
      <c r="G103" s="38"/>
      <c r="H103" s="16">
        <f t="shared" si="13"/>
        <v>0</v>
      </c>
      <c r="I103" s="38"/>
      <c r="J103" s="16">
        <f t="shared" si="14"/>
        <v>0</v>
      </c>
      <c r="K103" s="11"/>
      <c r="L103" s="11"/>
      <c r="M103" s="16">
        <f t="shared" si="15"/>
        <v>0</v>
      </c>
      <c r="N103" s="24"/>
      <c r="O103" s="11"/>
    </row>
    <row r="104" spans="1:15" x14ac:dyDescent="0.2">
      <c r="A104" s="18">
        <f>+'SERVICIO FAENA'!E105</f>
        <v>46085</v>
      </c>
      <c r="B104" s="20">
        <f>+'SERVICIO FAENA'!A105</f>
        <v>103</v>
      </c>
      <c r="C104" s="65"/>
      <c r="D104" s="65"/>
      <c r="E104" s="23"/>
      <c r="F104" s="16">
        <f t="shared" si="12"/>
        <v>0</v>
      </c>
      <c r="G104" s="38"/>
      <c r="H104" s="16">
        <f t="shared" si="13"/>
        <v>0</v>
      </c>
      <c r="I104" s="38"/>
      <c r="J104" s="16">
        <f t="shared" si="14"/>
        <v>0</v>
      </c>
      <c r="K104" s="23"/>
      <c r="L104" s="23"/>
      <c r="M104" s="16">
        <f t="shared" si="15"/>
        <v>0</v>
      </c>
      <c r="N104" s="26"/>
      <c r="O104" s="23"/>
    </row>
    <row r="105" spans="1:15" x14ac:dyDescent="0.2">
      <c r="A105" s="18">
        <f>+'SERVICIO FAENA'!E106</f>
        <v>46085</v>
      </c>
      <c r="B105" s="20">
        <f>+'SERVICIO FAENA'!A106</f>
        <v>104</v>
      </c>
      <c r="C105" s="64"/>
      <c r="D105" s="64"/>
      <c r="E105" s="11"/>
      <c r="F105" s="16">
        <f t="shared" si="12"/>
        <v>0</v>
      </c>
      <c r="G105" s="38"/>
      <c r="H105" s="16">
        <f t="shared" si="13"/>
        <v>0</v>
      </c>
      <c r="I105" s="38"/>
      <c r="J105" s="16">
        <f t="shared" si="14"/>
        <v>0</v>
      </c>
      <c r="K105" s="11"/>
      <c r="L105" s="11"/>
      <c r="M105" s="16">
        <f t="shared" si="15"/>
        <v>0</v>
      </c>
      <c r="N105" s="24"/>
      <c r="O105" s="11"/>
    </row>
    <row r="106" spans="1:15" x14ac:dyDescent="0.2">
      <c r="A106" s="18">
        <f>+'SERVICIO FAENA'!E107</f>
        <v>0</v>
      </c>
      <c r="B106" s="20">
        <f>+'SERVICIO FAENA'!A107</f>
        <v>0</v>
      </c>
      <c r="C106" s="65"/>
      <c r="D106" s="65"/>
      <c r="E106" s="23"/>
      <c r="F106" s="16">
        <f t="shared" si="12"/>
        <v>0</v>
      </c>
      <c r="G106" s="38"/>
      <c r="H106" s="16">
        <f t="shared" si="13"/>
        <v>0</v>
      </c>
      <c r="I106" s="38"/>
      <c r="J106" s="16">
        <f t="shared" si="14"/>
        <v>0</v>
      </c>
      <c r="K106" s="23"/>
      <c r="L106" s="23"/>
      <c r="M106" s="16">
        <f t="shared" si="15"/>
        <v>0</v>
      </c>
      <c r="N106" s="26"/>
      <c r="O106" s="23"/>
    </row>
    <row r="107" spans="1:15" x14ac:dyDescent="0.2">
      <c r="A107" s="18">
        <f>+'SERVICIO FAENA'!E108</f>
        <v>0</v>
      </c>
      <c r="B107" s="20">
        <f>+'SERVICIO FAENA'!A108</f>
        <v>0</v>
      </c>
      <c r="C107" s="64"/>
      <c r="D107" s="64"/>
      <c r="E107" s="11"/>
      <c r="F107" s="16">
        <f t="shared" si="12"/>
        <v>0</v>
      </c>
      <c r="G107" s="38"/>
      <c r="H107" s="16">
        <f t="shared" si="13"/>
        <v>0</v>
      </c>
      <c r="I107" s="38"/>
      <c r="J107" s="16">
        <f t="shared" si="14"/>
        <v>0</v>
      </c>
      <c r="K107" s="11"/>
      <c r="L107" s="11"/>
      <c r="M107" s="16">
        <f t="shared" si="15"/>
        <v>0</v>
      </c>
      <c r="N107" s="24"/>
      <c r="O107" s="11"/>
    </row>
    <row r="108" spans="1:15" x14ac:dyDescent="0.2">
      <c r="A108" s="18">
        <f>+'SERVICIO FAENA'!E109</f>
        <v>0</v>
      </c>
      <c r="B108" s="20">
        <f>+'SERVICIO FAENA'!A109</f>
        <v>0</v>
      </c>
      <c r="C108" s="65"/>
      <c r="D108" s="65"/>
      <c r="E108" s="23"/>
      <c r="F108" s="16">
        <f t="shared" si="12"/>
        <v>0</v>
      </c>
      <c r="G108" s="38"/>
      <c r="H108" s="16">
        <f t="shared" si="13"/>
        <v>0</v>
      </c>
      <c r="I108" s="38"/>
      <c r="J108" s="16">
        <f t="shared" si="14"/>
        <v>0</v>
      </c>
      <c r="K108" s="23"/>
      <c r="L108" s="23"/>
      <c r="M108" s="16">
        <f t="shared" si="15"/>
        <v>0</v>
      </c>
      <c r="N108" s="26"/>
      <c r="O108" s="23"/>
    </row>
    <row r="109" spans="1:15" x14ac:dyDescent="0.2">
      <c r="A109" s="18">
        <f>+'SERVICIO FAENA'!E110</f>
        <v>0</v>
      </c>
      <c r="B109" s="20">
        <f>+'SERVICIO FAENA'!A110</f>
        <v>0</v>
      </c>
      <c r="C109" s="64"/>
      <c r="D109" s="64"/>
      <c r="E109" s="11"/>
      <c r="F109" s="16">
        <f t="shared" si="12"/>
        <v>0</v>
      </c>
      <c r="G109" s="38"/>
      <c r="H109" s="16">
        <f t="shared" si="13"/>
        <v>0</v>
      </c>
      <c r="I109" s="38"/>
      <c r="J109" s="16">
        <f t="shared" si="14"/>
        <v>0</v>
      </c>
      <c r="K109" s="11"/>
      <c r="L109" s="11"/>
      <c r="M109" s="16">
        <f t="shared" si="15"/>
        <v>0</v>
      </c>
      <c r="N109" s="24"/>
      <c r="O109" s="11"/>
    </row>
    <row r="110" spans="1:15" x14ac:dyDescent="0.2">
      <c r="A110" s="18">
        <f>+'SERVICIO FAENA'!E111</f>
        <v>0</v>
      </c>
      <c r="B110" s="20">
        <f>+'SERVICIO FAENA'!A111</f>
        <v>0</v>
      </c>
      <c r="C110" s="65"/>
      <c r="D110" s="65"/>
      <c r="E110" s="23"/>
      <c r="F110" s="16">
        <f t="shared" si="12"/>
        <v>0</v>
      </c>
      <c r="G110" s="38"/>
      <c r="H110" s="16">
        <f t="shared" si="13"/>
        <v>0</v>
      </c>
      <c r="I110" s="38"/>
      <c r="J110" s="16">
        <f t="shared" si="14"/>
        <v>0</v>
      </c>
      <c r="K110" s="23"/>
      <c r="L110" s="23"/>
      <c r="M110" s="16">
        <f t="shared" si="15"/>
        <v>0</v>
      </c>
      <c r="N110" s="26"/>
      <c r="O110" s="23"/>
    </row>
    <row r="111" spans="1:15" x14ac:dyDescent="0.2">
      <c r="A111" s="18">
        <f>+'SERVICIO FAENA'!E112</f>
        <v>0</v>
      </c>
      <c r="B111" s="20">
        <f>+'SERVICIO FAENA'!A112</f>
        <v>0</v>
      </c>
      <c r="C111" s="64"/>
      <c r="D111" s="64"/>
      <c r="E111" s="11"/>
      <c r="F111" s="16">
        <f t="shared" si="12"/>
        <v>0</v>
      </c>
      <c r="G111" s="38"/>
      <c r="H111" s="16">
        <f t="shared" si="13"/>
        <v>0</v>
      </c>
      <c r="I111" s="38"/>
      <c r="J111" s="16">
        <f t="shared" si="14"/>
        <v>0</v>
      </c>
      <c r="K111" s="11"/>
      <c r="L111" s="11"/>
      <c r="M111" s="16">
        <f t="shared" si="15"/>
        <v>0</v>
      </c>
      <c r="N111" s="24"/>
      <c r="O111" s="11"/>
    </row>
    <row r="112" spans="1:15" x14ac:dyDescent="0.2">
      <c r="A112" s="18">
        <f>+'SERVICIO FAENA'!E113</f>
        <v>0</v>
      </c>
      <c r="B112" s="20">
        <f>+'SERVICIO FAENA'!A113</f>
        <v>0</v>
      </c>
      <c r="C112" s="65"/>
      <c r="D112" s="65"/>
      <c r="E112" s="23"/>
      <c r="F112" s="16">
        <f t="shared" si="12"/>
        <v>0</v>
      </c>
      <c r="G112" s="38"/>
      <c r="H112" s="16">
        <f t="shared" si="13"/>
        <v>0</v>
      </c>
      <c r="I112" s="38"/>
      <c r="J112" s="16">
        <f t="shared" si="14"/>
        <v>0</v>
      </c>
      <c r="K112" s="23"/>
      <c r="L112" s="23"/>
      <c r="M112" s="16">
        <f t="shared" si="15"/>
        <v>0</v>
      </c>
      <c r="N112" s="26"/>
      <c r="O112" s="23"/>
    </row>
    <row r="113" spans="1:15" x14ac:dyDescent="0.2">
      <c r="A113" s="18">
        <f>+'SERVICIO FAENA'!E114</f>
        <v>0</v>
      </c>
      <c r="B113" s="20">
        <f>+'SERVICIO FAENA'!A114</f>
        <v>0</v>
      </c>
      <c r="C113" s="64"/>
      <c r="D113" s="64"/>
      <c r="E113" s="11"/>
      <c r="F113" s="16">
        <f t="shared" si="12"/>
        <v>0</v>
      </c>
      <c r="G113" s="38"/>
      <c r="H113" s="16">
        <f t="shared" si="13"/>
        <v>0</v>
      </c>
      <c r="I113" s="38"/>
      <c r="J113" s="16">
        <f t="shared" si="14"/>
        <v>0</v>
      </c>
      <c r="K113" s="11"/>
      <c r="L113" s="11"/>
      <c r="M113" s="16">
        <f t="shared" si="15"/>
        <v>0</v>
      </c>
      <c r="N113" s="24"/>
      <c r="O113" s="11"/>
    </row>
    <row r="114" spans="1:15" x14ac:dyDescent="0.2">
      <c r="A114" s="18">
        <f>+'SERVICIO FAENA'!E115</f>
        <v>0</v>
      </c>
      <c r="B114" s="20">
        <f>+'SERVICIO FAENA'!A115</f>
        <v>0</v>
      </c>
      <c r="C114" s="65"/>
      <c r="D114" s="65"/>
      <c r="E114" s="23"/>
      <c r="F114" s="16">
        <f t="shared" si="12"/>
        <v>0</v>
      </c>
      <c r="G114" s="38"/>
      <c r="H114" s="16">
        <f t="shared" si="13"/>
        <v>0</v>
      </c>
      <c r="I114" s="38"/>
      <c r="J114" s="16">
        <f t="shared" si="14"/>
        <v>0</v>
      </c>
      <c r="K114" s="23"/>
      <c r="L114" s="23"/>
      <c r="M114" s="16">
        <f t="shared" si="15"/>
        <v>0</v>
      </c>
      <c r="N114" s="26"/>
      <c r="O114" s="23"/>
    </row>
    <row r="115" spans="1:15" x14ac:dyDescent="0.2">
      <c r="A115" s="18">
        <f>+'SERVICIO FAENA'!E116</f>
        <v>0</v>
      </c>
      <c r="B115" s="20">
        <f>+'SERVICIO FAENA'!A116</f>
        <v>0</v>
      </c>
      <c r="C115" s="64"/>
      <c r="D115" s="64"/>
      <c r="E115" s="11"/>
      <c r="F115" s="16">
        <f t="shared" si="12"/>
        <v>0</v>
      </c>
      <c r="G115" s="38"/>
      <c r="H115" s="16">
        <f t="shared" si="13"/>
        <v>0</v>
      </c>
      <c r="I115" s="38"/>
      <c r="J115" s="16">
        <f t="shared" si="14"/>
        <v>0</v>
      </c>
      <c r="K115" s="11"/>
      <c r="L115" s="11"/>
      <c r="M115" s="16">
        <f t="shared" si="15"/>
        <v>0</v>
      </c>
      <c r="N115" s="24"/>
      <c r="O115" s="11"/>
    </row>
    <row r="116" spans="1:15" x14ac:dyDescent="0.2">
      <c r="A116" s="18">
        <f>+'SERVICIO FAENA'!E117</f>
        <v>0</v>
      </c>
      <c r="B116" s="20">
        <f>+'SERVICIO FAENA'!A117</f>
        <v>0</v>
      </c>
      <c r="C116" s="65"/>
      <c r="D116" s="65"/>
      <c r="E116" s="23"/>
      <c r="F116" s="16">
        <f t="shared" si="12"/>
        <v>0</v>
      </c>
      <c r="G116" s="38"/>
      <c r="H116" s="16">
        <f t="shared" si="13"/>
        <v>0</v>
      </c>
      <c r="I116" s="38"/>
      <c r="J116" s="16">
        <f t="shared" si="14"/>
        <v>0</v>
      </c>
      <c r="K116" s="23"/>
      <c r="L116" s="23"/>
      <c r="M116" s="16">
        <f t="shared" si="15"/>
        <v>0</v>
      </c>
      <c r="N116" s="26"/>
      <c r="O116" s="23"/>
    </row>
    <row r="117" spans="1:15" x14ac:dyDescent="0.2">
      <c r="A117" s="18">
        <f>+'SERVICIO FAENA'!E118</f>
        <v>0</v>
      </c>
      <c r="B117" s="20">
        <f>+'SERVICIO FAENA'!A118</f>
        <v>0</v>
      </c>
      <c r="C117" s="64"/>
      <c r="D117" s="64"/>
      <c r="E117" s="11"/>
      <c r="F117" s="16">
        <f t="shared" si="12"/>
        <v>0</v>
      </c>
      <c r="G117" s="38"/>
      <c r="H117" s="16">
        <f t="shared" si="13"/>
        <v>0</v>
      </c>
      <c r="I117" s="38"/>
      <c r="J117" s="16">
        <f t="shared" si="14"/>
        <v>0</v>
      </c>
      <c r="K117" s="11"/>
      <c r="L117" s="11"/>
      <c r="M117" s="16">
        <f t="shared" si="15"/>
        <v>0</v>
      </c>
      <c r="N117" s="24"/>
      <c r="O117" s="11"/>
    </row>
    <row r="118" spans="1:15" x14ac:dyDescent="0.2">
      <c r="A118" s="18">
        <f>+'SERVICIO FAENA'!E119</f>
        <v>0</v>
      </c>
      <c r="B118" s="20">
        <f>+'SERVICIO FAENA'!A119</f>
        <v>0</v>
      </c>
      <c r="C118" s="65"/>
      <c r="D118" s="65"/>
      <c r="E118" s="23"/>
      <c r="F118" s="16">
        <f t="shared" si="12"/>
        <v>0</v>
      </c>
      <c r="G118" s="38"/>
      <c r="H118" s="16">
        <f t="shared" si="13"/>
        <v>0</v>
      </c>
      <c r="I118" s="38"/>
      <c r="J118" s="16">
        <f t="shared" si="14"/>
        <v>0</v>
      </c>
      <c r="K118" s="23"/>
      <c r="L118" s="23"/>
      <c r="M118" s="16">
        <f t="shared" si="15"/>
        <v>0</v>
      </c>
      <c r="N118" s="26"/>
      <c r="O118" s="23"/>
    </row>
    <row r="119" spans="1:15" x14ac:dyDescent="0.2">
      <c r="A119" s="18">
        <f>+'SERVICIO FAENA'!E120</f>
        <v>0</v>
      </c>
      <c r="B119" s="20">
        <f>+'SERVICIO FAENA'!A120</f>
        <v>0</v>
      </c>
      <c r="C119" s="64"/>
      <c r="D119" s="64"/>
      <c r="E119" s="11"/>
      <c r="F119" s="16">
        <f t="shared" si="12"/>
        <v>0</v>
      </c>
      <c r="G119" s="38"/>
      <c r="H119" s="16">
        <f t="shared" si="13"/>
        <v>0</v>
      </c>
      <c r="I119" s="38"/>
      <c r="J119" s="16">
        <f t="shared" si="14"/>
        <v>0</v>
      </c>
      <c r="K119" s="11"/>
      <c r="L119" s="11"/>
      <c r="M119" s="16">
        <f t="shared" si="15"/>
        <v>0</v>
      </c>
      <c r="N119" s="24"/>
      <c r="O119" s="11"/>
    </row>
    <row r="120" spans="1:15" x14ac:dyDescent="0.2">
      <c r="A120" s="18">
        <f>+'SERVICIO FAENA'!E121</f>
        <v>0</v>
      </c>
      <c r="B120" s="20">
        <f>+'SERVICIO FAENA'!A121</f>
        <v>0</v>
      </c>
      <c r="C120" s="65"/>
      <c r="D120" s="65"/>
      <c r="E120" s="23"/>
      <c r="F120" s="16">
        <f t="shared" si="12"/>
        <v>0</v>
      </c>
      <c r="G120" s="38"/>
      <c r="H120" s="16">
        <f t="shared" si="13"/>
        <v>0</v>
      </c>
      <c r="I120" s="38"/>
      <c r="J120" s="16">
        <f t="shared" si="14"/>
        <v>0</v>
      </c>
      <c r="K120" s="23"/>
      <c r="L120" s="23"/>
      <c r="M120" s="16">
        <f t="shared" si="15"/>
        <v>0</v>
      </c>
      <c r="N120" s="26"/>
      <c r="O120" s="23"/>
    </row>
    <row r="121" spans="1:15" x14ac:dyDescent="0.2">
      <c r="A121" s="18">
        <f>+'SERVICIO FAENA'!E122</f>
        <v>0</v>
      </c>
      <c r="B121" s="20">
        <f>+'SERVICIO FAENA'!A122</f>
        <v>0</v>
      </c>
      <c r="C121" s="64"/>
      <c r="D121" s="64"/>
      <c r="E121" s="11"/>
      <c r="F121" s="16">
        <f t="shared" si="12"/>
        <v>0</v>
      </c>
      <c r="G121" s="38"/>
      <c r="H121" s="16">
        <f t="shared" si="13"/>
        <v>0</v>
      </c>
      <c r="I121" s="38"/>
      <c r="J121" s="16">
        <f t="shared" si="14"/>
        <v>0</v>
      </c>
      <c r="K121" s="11"/>
      <c r="L121" s="11"/>
      <c r="M121" s="16">
        <f t="shared" si="15"/>
        <v>0</v>
      </c>
      <c r="N121" s="24"/>
      <c r="O121" s="11"/>
    </row>
    <row r="122" spans="1:15" x14ac:dyDescent="0.2">
      <c r="A122" s="18">
        <f>+'SERVICIO FAENA'!E123</f>
        <v>0</v>
      </c>
      <c r="B122" s="20">
        <f>+'SERVICIO FAENA'!A123</f>
        <v>0</v>
      </c>
      <c r="C122" s="65"/>
      <c r="D122" s="65"/>
      <c r="E122" s="23"/>
      <c r="F122" s="16">
        <f t="shared" si="12"/>
        <v>0</v>
      </c>
      <c r="G122" s="38"/>
      <c r="H122" s="16">
        <f t="shared" si="13"/>
        <v>0</v>
      </c>
      <c r="I122" s="38"/>
      <c r="J122" s="16">
        <f t="shared" si="14"/>
        <v>0</v>
      </c>
      <c r="K122" s="23"/>
      <c r="L122" s="23"/>
      <c r="M122" s="16">
        <f t="shared" si="15"/>
        <v>0</v>
      </c>
      <c r="N122" s="26"/>
      <c r="O122" s="23"/>
    </row>
    <row r="123" spans="1:15" x14ac:dyDescent="0.2">
      <c r="A123" s="18">
        <f>+'SERVICIO FAENA'!E124</f>
        <v>0</v>
      </c>
      <c r="B123" s="20">
        <f>+'SERVICIO FAENA'!A124</f>
        <v>0</v>
      </c>
      <c r="C123" s="64"/>
      <c r="D123" s="64"/>
      <c r="E123" s="11"/>
      <c r="F123" s="16">
        <f t="shared" si="12"/>
        <v>0</v>
      </c>
      <c r="G123" s="38"/>
      <c r="H123" s="16">
        <f t="shared" si="13"/>
        <v>0</v>
      </c>
      <c r="I123" s="38"/>
      <c r="J123" s="16">
        <f t="shared" si="14"/>
        <v>0</v>
      </c>
      <c r="K123" s="11"/>
      <c r="L123" s="11"/>
      <c r="M123" s="16">
        <f t="shared" si="15"/>
        <v>0</v>
      </c>
      <c r="N123" s="24"/>
      <c r="O123" s="11"/>
    </row>
    <row r="124" spans="1:15" x14ac:dyDescent="0.2">
      <c r="A124" s="18">
        <f>+'SERVICIO FAENA'!E125</f>
        <v>0</v>
      </c>
      <c r="B124" s="20">
        <f>+'SERVICIO FAENA'!A125</f>
        <v>0</v>
      </c>
      <c r="C124" s="65"/>
      <c r="D124" s="65"/>
      <c r="E124" s="23"/>
      <c r="F124" s="16">
        <f t="shared" si="12"/>
        <v>0</v>
      </c>
      <c r="G124" s="38"/>
      <c r="H124" s="16">
        <f t="shared" si="13"/>
        <v>0</v>
      </c>
      <c r="I124" s="38"/>
      <c r="J124" s="16">
        <f t="shared" si="14"/>
        <v>0</v>
      </c>
      <c r="K124" s="23"/>
      <c r="L124" s="23"/>
      <c r="M124" s="16">
        <f t="shared" si="15"/>
        <v>0</v>
      </c>
      <c r="N124" s="26"/>
      <c r="O124" s="23"/>
    </row>
    <row r="125" spans="1:15" x14ac:dyDescent="0.2">
      <c r="A125" s="18">
        <f>+'SERVICIO FAENA'!E126</f>
        <v>0</v>
      </c>
      <c r="B125" s="20">
        <f>+'SERVICIO FAENA'!A126</f>
        <v>0</v>
      </c>
      <c r="C125" s="64"/>
      <c r="D125" s="64"/>
      <c r="E125" s="11"/>
      <c r="F125" s="16">
        <f t="shared" si="12"/>
        <v>0</v>
      </c>
      <c r="G125" s="38"/>
      <c r="H125" s="16">
        <f t="shared" si="13"/>
        <v>0</v>
      </c>
      <c r="I125" s="38"/>
      <c r="J125" s="16">
        <f t="shared" si="14"/>
        <v>0</v>
      </c>
      <c r="K125" s="11"/>
      <c r="L125" s="11"/>
      <c r="M125" s="16">
        <f t="shared" si="15"/>
        <v>0</v>
      </c>
      <c r="N125" s="24"/>
      <c r="O125" s="11"/>
    </row>
    <row r="126" spans="1:15" x14ac:dyDescent="0.2">
      <c r="A126" s="18">
        <f>+'SERVICIO FAENA'!E127</f>
        <v>0</v>
      </c>
      <c r="B126" s="20">
        <f>+'SERVICIO FAENA'!A127</f>
        <v>0</v>
      </c>
      <c r="C126" s="65"/>
      <c r="D126" s="65"/>
      <c r="E126" s="23"/>
      <c r="F126" s="16">
        <f t="shared" si="12"/>
        <v>0</v>
      </c>
      <c r="G126" s="38"/>
      <c r="H126" s="16">
        <f t="shared" si="13"/>
        <v>0</v>
      </c>
      <c r="I126" s="38"/>
      <c r="J126" s="16">
        <f t="shared" si="14"/>
        <v>0</v>
      </c>
      <c r="K126" s="23"/>
      <c r="L126" s="23"/>
      <c r="M126" s="16">
        <f t="shared" si="15"/>
        <v>0</v>
      </c>
      <c r="N126" s="26"/>
      <c r="O126" s="23"/>
    </row>
    <row r="127" spans="1:15" x14ac:dyDescent="0.2">
      <c r="A127" s="18">
        <f>+'SERVICIO FAENA'!E128</f>
        <v>0</v>
      </c>
      <c r="B127" s="20">
        <f>+'SERVICIO FAENA'!A128</f>
        <v>0</v>
      </c>
      <c r="C127" s="64"/>
      <c r="D127" s="64"/>
      <c r="E127" s="11"/>
      <c r="F127" s="16">
        <f t="shared" si="12"/>
        <v>0</v>
      </c>
      <c r="G127" s="38"/>
      <c r="H127" s="16">
        <f t="shared" si="13"/>
        <v>0</v>
      </c>
      <c r="I127" s="38"/>
      <c r="J127" s="16">
        <f t="shared" si="14"/>
        <v>0</v>
      </c>
      <c r="K127" s="11"/>
      <c r="L127" s="11"/>
      <c r="M127" s="16">
        <f t="shared" si="15"/>
        <v>0</v>
      </c>
      <c r="N127" s="24"/>
      <c r="O127" s="11"/>
    </row>
    <row r="128" spans="1:15" x14ac:dyDescent="0.2">
      <c r="A128" s="18">
        <f>+'SERVICIO FAENA'!E129</f>
        <v>0</v>
      </c>
      <c r="B128" s="20">
        <f>+'SERVICIO FAENA'!A129</f>
        <v>0</v>
      </c>
      <c r="C128" s="65"/>
      <c r="D128" s="65"/>
      <c r="E128" s="23"/>
      <c r="F128" s="16">
        <f t="shared" si="12"/>
        <v>0</v>
      </c>
      <c r="G128" s="38"/>
      <c r="H128" s="16">
        <f t="shared" si="13"/>
        <v>0</v>
      </c>
      <c r="I128" s="38"/>
      <c r="J128" s="16">
        <f t="shared" si="14"/>
        <v>0</v>
      </c>
      <c r="K128" s="23"/>
      <c r="L128" s="23"/>
      <c r="M128" s="16">
        <f t="shared" si="15"/>
        <v>0</v>
      </c>
      <c r="N128" s="26"/>
      <c r="O128" s="23"/>
    </row>
    <row r="129" spans="1:15" x14ac:dyDescent="0.2">
      <c r="A129" s="18">
        <f>+'SERVICIO FAENA'!E130</f>
        <v>0</v>
      </c>
      <c r="B129" s="20">
        <f>+'SERVICIO FAENA'!A130</f>
        <v>0</v>
      </c>
      <c r="C129" s="64"/>
      <c r="D129" s="64"/>
      <c r="E129" s="11"/>
      <c r="F129" s="16">
        <f t="shared" si="12"/>
        <v>0</v>
      </c>
      <c r="G129" s="38"/>
      <c r="H129" s="16">
        <f t="shared" si="13"/>
        <v>0</v>
      </c>
      <c r="I129" s="38"/>
      <c r="J129" s="16">
        <f t="shared" si="14"/>
        <v>0</v>
      </c>
      <c r="K129" s="11"/>
      <c r="L129" s="11"/>
      <c r="M129" s="16">
        <f t="shared" si="15"/>
        <v>0</v>
      </c>
      <c r="N129" s="24"/>
      <c r="O129" s="11"/>
    </row>
    <row r="130" spans="1:15" x14ac:dyDescent="0.2">
      <c r="A130" s="18">
        <f>+'SERVICIO FAENA'!E131</f>
        <v>0</v>
      </c>
      <c r="B130" s="20">
        <f>+'SERVICIO FAENA'!A131</f>
        <v>0</v>
      </c>
      <c r="C130" s="65"/>
      <c r="D130" s="65"/>
      <c r="E130" s="23"/>
      <c r="F130" s="16">
        <f t="shared" si="12"/>
        <v>0</v>
      </c>
      <c r="G130" s="38"/>
      <c r="H130" s="16">
        <f t="shared" si="13"/>
        <v>0</v>
      </c>
      <c r="I130" s="38"/>
      <c r="J130" s="16">
        <f t="shared" si="14"/>
        <v>0</v>
      </c>
      <c r="K130" s="23"/>
      <c r="L130" s="23"/>
      <c r="M130" s="16">
        <f t="shared" si="15"/>
        <v>0</v>
      </c>
      <c r="N130" s="26"/>
      <c r="O130" s="23"/>
    </row>
    <row r="131" spans="1:15" x14ac:dyDescent="0.2">
      <c r="A131" s="18">
        <f>+'SERVICIO FAENA'!E132</f>
        <v>0</v>
      </c>
      <c r="B131" s="20">
        <f>+'SERVICIO FAENA'!A132</f>
        <v>0</v>
      </c>
      <c r="C131" s="64"/>
      <c r="D131" s="64"/>
      <c r="E131" s="11"/>
      <c r="F131" s="16">
        <f t="shared" si="12"/>
        <v>0</v>
      </c>
      <c r="G131" s="38"/>
      <c r="H131" s="16">
        <f t="shared" si="13"/>
        <v>0</v>
      </c>
      <c r="I131" s="38"/>
      <c r="J131" s="16">
        <f t="shared" si="14"/>
        <v>0</v>
      </c>
      <c r="K131" s="11"/>
      <c r="L131" s="11"/>
      <c r="M131" s="16">
        <f t="shared" si="15"/>
        <v>0</v>
      </c>
      <c r="N131" s="24"/>
      <c r="O131" s="11"/>
    </row>
    <row r="132" spans="1:15" x14ac:dyDescent="0.2">
      <c r="A132" s="18">
        <f>+'SERVICIO FAENA'!E133</f>
        <v>0</v>
      </c>
      <c r="B132" s="20">
        <f>+'SERVICIO FAENA'!A133</f>
        <v>0</v>
      </c>
      <c r="C132" s="65"/>
      <c r="D132" s="65"/>
      <c r="E132" s="23"/>
      <c r="F132" s="16">
        <f t="shared" si="12"/>
        <v>0</v>
      </c>
      <c r="G132" s="38"/>
      <c r="H132" s="16">
        <f t="shared" si="13"/>
        <v>0</v>
      </c>
      <c r="I132" s="38"/>
      <c r="J132" s="16">
        <f t="shared" si="14"/>
        <v>0</v>
      </c>
      <c r="K132" s="23"/>
      <c r="L132" s="23"/>
      <c r="M132" s="16">
        <f t="shared" si="15"/>
        <v>0</v>
      </c>
      <c r="N132" s="26"/>
      <c r="O132" s="23"/>
    </row>
    <row r="133" spans="1:15" x14ac:dyDescent="0.2">
      <c r="A133" s="18">
        <f>+'SERVICIO FAENA'!E134</f>
        <v>0</v>
      </c>
      <c r="B133" s="20">
        <f>+'SERVICIO FAENA'!A134</f>
        <v>0</v>
      </c>
      <c r="C133" s="64"/>
      <c r="D133" s="64"/>
      <c r="E133" s="11"/>
      <c r="F133" s="16">
        <f t="shared" si="12"/>
        <v>0</v>
      </c>
      <c r="G133" s="38"/>
      <c r="H133" s="16">
        <f t="shared" si="13"/>
        <v>0</v>
      </c>
      <c r="I133" s="38"/>
      <c r="J133" s="16">
        <f t="shared" si="14"/>
        <v>0</v>
      </c>
      <c r="K133" s="11"/>
      <c r="L133" s="11"/>
      <c r="M133" s="16">
        <f t="shared" si="15"/>
        <v>0</v>
      </c>
      <c r="N133" s="24"/>
      <c r="O133" s="11"/>
    </row>
    <row r="134" spans="1:15" x14ac:dyDescent="0.2">
      <c r="A134" s="18">
        <f>+'SERVICIO FAENA'!E135</f>
        <v>0</v>
      </c>
      <c r="B134" s="20">
        <f>+'SERVICIO FAENA'!A135</f>
        <v>0</v>
      </c>
      <c r="C134" s="65"/>
      <c r="D134" s="65"/>
      <c r="E134" s="23"/>
      <c r="F134" s="16">
        <f t="shared" si="12"/>
        <v>0</v>
      </c>
      <c r="G134" s="38"/>
      <c r="H134" s="16">
        <f t="shared" si="13"/>
        <v>0</v>
      </c>
      <c r="I134" s="38"/>
      <c r="J134" s="16">
        <f t="shared" si="14"/>
        <v>0</v>
      </c>
      <c r="K134" s="23"/>
      <c r="L134" s="23"/>
      <c r="M134" s="16">
        <f t="shared" si="15"/>
        <v>0</v>
      </c>
      <c r="N134" s="26"/>
      <c r="O134" s="23"/>
    </row>
    <row r="135" spans="1:15" x14ac:dyDescent="0.2">
      <c r="A135" s="18">
        <f>+'SERVICIO FAENA'!E136</f>
        <v>0</v>
      </c>
      <c r="B135" s="20">
        <f>+'SERVICIO FAENA'!A136</f>
        <v>0</v>
      </c>
      <c r="C135" s="64"/>
      <c r="D135" s="64"/>
      <c r="E135" s="11"/>
      <c r="F135" s="16">
        <f t="shared" si="12"/>
        <v>0</v>
      </c>
      <c r="G135" s="38"/>
      <c r="H135" s="16">
        <f t="shared" si="13"/>
        <v>0</v>
      </c>
      <c r="I135" s="38"/>
      <c r="J135" s="16">
        <f t="shared" si="14"/>
        <v>0</v>
      </c>
      <c r="K135" s="11"/>
      <c r="L135" s="11"/>
      <c r="M135" s="16">
        <f t="shared" si="15"/>
        <v>0</v>
      </c>
      <c r="N135" s="24"/>
      <c r="O135" s="11"/>
    </row>
    <row r="136" spans="1:15" x14ac:dyDescent="0.2">
      <c r="A136" s="18">
        <f>+'SERVICIO FAENA'!E137</f>
        <v>0</v>
      </c>
      <c r="B136" s="20">
        <f>+'SERVICIO FAENA'!A137</f>
        <v>0</v>
      </c>
      <c r="C136" s="65"/>
      <c r="D136" s="65"/>
      <c r="E136" s="23"/>
      <c r="F136" s="16">
        <f t="shared" si="12"/>
        <v>0</v>
      </c>
      <c r="G136" s="38"/>
      <c r="H136" s="16">
        <f t="shared" si="13"/>
        <v>0</v>
      </c>
      <c r="I136" s="38"/>
      <c r="J136" s="16">
        <f t="shared" si="14"/>
        <v>0</v>
      </c>
      <c r="K136" s="23"/>
      <c r="L136" s="23"/>
      <c r="M136" s="16">
        <f t="shared" si="15"/>
        <v>0</v>
      </c>
      <c r="N136" s="26"/>
      <c r="O136" s="23"/>
    </row>
    <row r="137" spans="1:15" x14ac:dyDescent="0.2">
      <c r="A137" s="18">
        <f>+'SERVICIO FAENA'!E138</f>
        <v>0</v>
      </c>
      <c r="B137" s="20">
        <f>+'SERVICIO FAENA'!A138</f>
        <v>0</v>
      </c>
      <c r="C137" s="64"/>
      <c r="D137" s="64"/>
      <c r="E137" s="11"/>
      <c r="F137" s="16">
        <f t="shared" si="12"/>
        <v>0</v>
      </c>
      <c r="G137" s="38"/>
      <c r="H137" s="16">
        <f t="shared" si="13"/>
        <v>0</v>
      </c>
      <c r="I137" s="38"/>
      <c r="J137" s="16">
        <f t="shared" si="14"/>
        <v>0</v>
      </c>
      <c r="K137" s="11"/>
      <c r="L137" s="11"/>
      <c r="M137" s="16">
        <f t="shared" si="15"/>
        <v>0</v>
      </c>
      <c r="N137" s="24"/>
      <c r="O137" s="11"/>
    </row>
    <row r="138" spans="1:15" x14ac:dyDescent="0.2">
      <c r="A138" s="18">
        <f>+'SERVICIO FAENA'!E139</f>
        <v>0</v>
      </c>
      <c r="B138" s="20">
        <f>+'SERVICIO FAENA'!A139</f>
        <v>0</v>
      </c>
      <c r="C138" s="65"/>
      <c r="D138" s="65"/>
      <c r="E138" s="23"/>
      <c r="F138" s="16">
        <f t="shared" si="12"/>
        <v>0</v>
      </c>
      <c r="G138" s="38"/>
      <c r="H138" s="16">
        <f t="shared" si="13"/>
        <v>0</v>
      </c>
      <c r="I138" s="38"/>
      <c r="J138" s="16">
        <f t="shared" si="14"/>
        <v>0</v>
      </c>
      <c r="K138" s="23"/>
      <c r="L138" s="23"/>
      <c r="M138" s="16">
        <f t="shared" si="15"/>
        <v>0</v>
      </c>
      <c r="N138" s="26"/>
      <c r="O138" s="23"/>
    </row>
    <row r="139" spans="1:15" x14ac:dyDescent="0.2">
      <c r="A139" s="18">
        <f>+'SERVICIO FAENA'!E140</f>
        <v>0</v>
      </c>
      <c r="B139" s="20">
        <f>+'SERVICIO FAENA'!A140</f>
        <v>0</v>
      </c>
      <c r="C139" s="64"/>
      <c r="D139" s="64"/>
      <c r="E139" s="11"/>
      <c r="F139" s="16">
        <f t="shared" si="12"/>
        <v>0</v>
      </c>
      <c r="G139" s="38"/>
      <c r="H139" s="16">
        <f t="shared" si="13"/>
        <v>0</v>
      </c>
      <c r="I139" s="38"/>
      <c r="J139" s="16">
        <f t="shared" si="14"/>
        <v>0</v>
      </c>
      <c r="K139" s="11"/>
      <c r="L139" s="11"/>
      <c r="M139" s="16">
        <f t="shared" si="15"/>
        <v>0</v>
      </c>
      <c r="N139" s="24"/>
      <c r="O139" s="11"/>
    </row>
    <row r="140" spans="1:15" x14ac:dyDescent="0.2">
      <c r="A140" s="18">
        <f>+'SERVICIO FAENA'!E141</f>
        <v>0</v>
      </c>
      <c r="B140" s="20">
        <f>+'SERVICIO FAENA'!A141</f>
        <v>0</v>
      </c>
      <c r="C140" s="65"/>
      <c r="D140" s="65"/>
      <c r="E140" s="23"/>
      <c r="F140" s="16">
        <f t="shared" si="12"/>
        <v>0</v>
      </c>
      <c r="G140" s="38"/>
      <c r="H140" s="16">
        <f t="shared" si="13"/>
        <v>0</v>
      </c>
      <c r="I140" s="38"/>
      <c r="J140" s="16">
        <f t="shared" si="14"/>
        <v>0</v>
      </c>
      <c r="K140" s="23"/>
      <c r="L140" s="23"/>
      <c r="M140" s="16">
        <f t="shared" si="15"/>
        <v>0</v>
      </c>
      <c r="N140" s="26"/>
      <c r="O140" s="23"/>
    </row>
    <row r="141" spans="1:15" x14ac:dyDescent="0.2">
      <c r="A141" s="18">
        <f>+'SERVICIO FAENA'!E142</f>
        <v>0</v>
      </c>
      <c r="B141" s="20">
        <f>+'SERVICIO FAENA'!A142</f>
        <v>0</v>
      </c>
      <c r="C141" s="64"/>
      <c r="D141" s="64"/>
      <c r="E141" s="11"/>
      <c r="F141" s="16">
        <f t="shared" si="12"/>
        <v>0</v>
      </c>
      <c r="G141" s="38"/>
      <c r="H141" s="16">
        <f t="shared" si="13"/>
        <v>0</v>
      </c>
      <c r="I141" s="38"/>
      <c r="J141" s="16">
        <f t="shared" si="14"/>
        <v>0</v>
      </c>
      <c r="K141" s="11"/>
      <c r="L141" s="11"/>
      <c r="M141" s="16">
        <f t="shared" si="15"/>
        <v>0</v>
      </c>
      <c r="N141" s="24"/>
      <c r="O141" s="11"/>
    </row>
    <row r="142" spans="1:15" x14ac:dyDescent="0.2">
      <c r="A142" s="18">
        <f>+'SERVICIO FAENA'!E143</f>
        <v>0</v>
      </c>
      <c r="B142" s="20">
        <f>+'SERVICIO FAENA'!A143</f>
        <v>0</v>
      </c>
      <c r="C142" s="65"/>
      <c r="D142" s="65"/>
      <c r="E142" s="23"/>
      <c r="F142" s="16">
        <f t="shared" si="12"/>
        <v>0</v>
      </c>
      <c r="G142" s="38"/>
      <c r="H142" s="16">
        <f t="shared" si="13"/>
        <v>0</v>
      </c>
      <c r="I142" s="38"/>
      <c r="J142" s="16">
        <f t="shared" si="14"/>
        <v>0</v>
      </c>
      <c r="K142" s="23"/>
      <c r="L142" s="23"/>
      <c r="M142" s="16">
        <f t="shared" si="15"/>
        <v>0</v>
      </c>
      <c r="N142" s="26"/>
      <c r="O142" s="23"/>
    </row>
    <row r="143" spans="1:15" x14ac:dyDescent="0.2">
      <c r="A143" s="18">
        <f>+'SERVICIO FAENA'!E144</f>
        <v>0</v>
      </c>
      <c r="B143" s="20">
        <f>+'SERVICIO FAENA'!A144</f>
        <v>0</v>
      </c>
      <c r="C143" s="64"/>
      <c r="D143" s="64"/>
      <c r="E143" s="11"/>
      <c r="F143" s="16">
        <f t="shared" si="12"/>
        <v>0</v>
      </c>
      <c r="G143" s="38"/>
      <c r="H143" s="16">
        <f t="shared" si="13"/>
        <v>0</v>
      </c>
      <c r="I143" s="38"/>
      <c r="J143" s="16">
        <f t="shared" si="14"/>
        <v>0</v>
      </c>
      <c r="K143" s="11"/>
      <c r="L143" s="11"/>
      <c r="M143" s="16">
        <f t="shared" si="15"/>
        <v>0</v>
      </c>
      <c r="N143" s="24"/>
      <c r="O143" s="11"/>
    </row>
    <row r="144" spans="1:15" x14ac:dyDescent="0.2">
      <c r="A144" s="18">
        <f>+'SERVICIO FAENA'!E145</f>
        <v>0</v>
      </c>
      <c r="B144" s="20">
        <f>+'SERVICIO FAENA'!A145</f>
        <v>0</v>
      </c>
      <c r="C144" s="65"/>
      <c r="D144" s="65"/>
      <c r="E144" s="23"/>
      <c r="F144" s="16">
        <f t="shared" si="12"/>
        <v>0</v>
      </c>
      <c r="G144" s="38"/>
      <c r="H144" s="16">
        <f t="shared" si="13"/>
        <v>0</v>
      </c>
      <c r="I144" s="38"/>
      <c r="J144" s="16">
        <f t="shared" si="14"/>
        <v>0</v>
      </c>
      <c r="K144" s="23"/>
      <c r="L144" s="23"/>
      <c r="M144" s="16">
        <f t="shared" si="15"/>
        <v>0</v>
      </c>
      <c r="N144" s="26"/>
      <c r="O144" s="23"/>
    </row>
    <row r="145" spans="1:15" x14ac:dyDescent="0.2">
      <c r="A145" s="18">
        <f>+'SERVICIO FAENA'!E146</f>
        <v>0</v>
      </c>
      <c r="B145" s="20">
        <f>+'SERVICIO FAENA'!A146</f>
        <v>0</v>
      </c>
      <c r="C145" s="64"/>
      <c r="D145" s="64"/>
      <c r="E145" s="11"/>
      <c r="F145" s="16">
        <f t="shared" si="12"/>
        <v>0</v>
      </c>
      <c r="G145" s="38"/>
      <c r="H145" s="16">
        <f t="shared" si="13"/>
        <v>0</v>
      </c>
      <c r="I145" s="38"/>
      <c r="J145" s="16">
        <f t="shared" si="14"/>
        <v>0</v>
      </c>
      <c r="K145" s="11"/>
      <c r="L145" s="11"/>
      <c r="M145" s="16">
        <f t="shared" si="15"/>
        <v>0</v>
      </c>
      <c r="N145" s="24"/>
      <c r="O145" s="11"/>
    </row>
    <row r="146" spans="1:15" x14ac:dyDescent="0.2">
      <c r="A146" s="18">
        <f>+'SERVICIO FAENA'!E147</f>
        <v>0</v>
      </c>
      <c r="B146" s="20">
        <f>+'SERVICIO FAENA'!A147</f>
        <v>0</v>
      </c>
      <c r="C146" s="65"/>
      <c r="D146" s="65"/>
      <c r="E146" s="23"/>
      <c r="F146" s="16">
        <f t="shared" si="12"/>
        <v>0</v>
      </c>
      <c r="G146" s="38"/>
      <c r="H146" s="16">
        <f t="shared" si="13"/>
        <v>0</v>
      </c>
      <c r="I146" s="38"/>
      <c r="J146" s="16">
        <f t="shared" si="14"/>
        <v>0</v>
      </c>
      <c r="K146" s="23"/>
      <c r="L146" s="23"/>
      <c r="M146" s="16">
        <f t="shared" si="15"/>
        <v>0</v>
      </c>
      <c r="N146" s="26"/>
      <c r="O146" s="23"/>
    </row>
    <row r="147" spans="1:15" x14ac:dyDescent="0.2">
      <c r="A147" s="18">
        <f>+'SERVICIO FAENA'!E148</f>
        <v>0</v>
      </c>
      <c r="B147" s="20">
        <f>+'SERVICIO FAENA'!A148</f>
        <v>0</v>
      </c>
      <c r="C147" s="64"/>
      <c r="D147" s="64"/>
      <c r="E147" s="11"/>
      <c r="F147" s="16">
        <f t="shared" si="12"/>
        <v>0</v>
      </c>
      <c r="G147" s="38"/>
      <c r="H147" s="16">
        <f t="shared" si="13"/>
        <v>0</v>
      </c>
      <c r="I147" s="38"/>
      <c r="J147" s="16">
        <f t="shared" si="14"/>
        <v>0</v>
      </c>
      <c r="K147" s="11"/>
      <c r="L147" s="11"/>
      <c r="M147" s="16">
        <f t="shared" si="15"/>
        <v>0</v>
      </c>
      <c r="N147" s="24"/>
      <c r="O147" s="11"/>
    </row>
    <row r="148" spans="1:15" x14ac:dyDescent="0.2">
      <c r="A148" s="18">
        <f>+'SERVICIO FAENA'!E149</f>
        <v>0</v>
      </c>
      <c r="B148" s="20">
        <f>+'SERVICIO FAENA'!A149</f>
        <v>0</v>
      </c>
      <c r="C148" s="65"/>
      <c r="D148" s="65"/>
      <c r="E148" s="23"/>
      <c r="F148" s="16">
        <f t="shared" si="12"/>
        <v>0</v>
      </c>
      <c r="G148" s="38"/>
      <c r="H148" s="16">
        <f t="shared" si="13"/>
        <v>0</v>
      </c>
      <c r="I148" s="38"/>
      <c r="J148" s="16">
        <f t="shared" si="14"/>
        <v>0</v>
      </c>
      <c r="K148" s="23"/>
      <c r="L148" s="23"/>
      <c r="M148" s="16">
        <f t="shared" si="15"/>
        <v>0</v>
      </c>
      <c r="N148" s="26"/>
      <c r="O148" s="23"/>
    </row>
    <row r="149" spans="1:15" x14ac:dyDescent="0.2">
      <c r="A149" s="18">
        <f>+'SERVICIO FAENA'!E150</f>
        <v>0</v>
      </c>
      <c r="B149" s="20">
        <f>+'SERVICIO FAENA'!A150</f>
        <v>0</v>
      </c>
      <c r="C149" s="64"/>
      <c r="D149" s="64"/>
      <c r="E149" s="11"/>
      <c r="F149" s="16">
        <f t="shared" si="12"/>
        <v>0</v>
      </c>
      <c r="G149" s="38"/>
      <c r="H149" s="16">
        <f t="shared" si="13"/>
        <v>0</v>
      </c>
      <c r="I149" s="38"/>
      <c r="J149" s="16">
        <f t="shared" si="14"/>
        <v>0</v>
      </c>
      <c r="K149" s="11"/>
      <c r="L149" s="11"/>
      <c r="M149" s="16">
        <f t="shared" si="15"/>
        <v>0</v>
      </c>
      <c r="N149" s="24"/>
      <c r="O149" s="11"/>
    </row>
    <row r="150" spans="1:15" x14ac:dyDescent="0.2">
      <c r="A150" s="18">
        <f>+'SERVICIO FAENA'!E151</f>
        <v>0</v>
      </c>
      <c r="B150" s="20">
        <f>+'SERVICIO FAENA'!A151</f>
        <v>0</v>
      </c>
      <c r="C150" s="65"/>
      <c r="D150" s="65"/>
      <c r="E150" s="23"/>
      <c r="F150" s="16">
        <f t="shared" si="12"/>
        <v>0</v>
      </c>
      <c r="G150" s="38"/>
      <c r="H150" s="16">
        <f t="shared" si="13"/>
        <v>0</v>
      </c>
      <c r="I150" s="38"/>
      <c r="J150" s="16">
        <f t="shared" si="14"/>
        <v>0</v>
      </c>
      <c r="K150" s="23"/>
      <c r="L150" s="23"/>
      <c r="M150" s="16">
        <f t="shared" si="15"/>
        <v>0</v>
      </c>
      <c r="N150" s="26"/>
      <c r="O150" s="23"/>
    </row>
    <row r="151" spans="1:15" x14ac:dyDescent="0.2">
      <c r="A151" s="18">
        <f>+'SERVICIO FAENA'!E152</f>
        <v>0</v>
      </c>
      <c r="B151" s="20">
        <f>+'SERVICIO FAENA'!A152</f>
        <v>0</v>
      </c>
      <c r="C151" s="64"/>
      <c r="D151" s="64"/>
      <c r="E151" s="11"/>
      <c r="F151" s="16">
        <f t="shared" si="12"/>
        <v>0</v>
      </c>
      <c r="G151" s="38"/>
      <c r="H151" s="16">
        <f t="shared" si="13"/>
        <v>0</v>
      </c>
      <c r="I151" s="38"/>
      <c r="J151" s="16">
        <f t="shared" si="14"/>
        <v>0</v>
      </c>
      <c r="K151" s="11"/>
      <c r="L151" s="11"/>
      <c r="M151" s="16">
        <f t="shared" si="15"/>
        <v>0</v>
      </c>
      <c r="N151" s="24"/>
      <c r="O151" s="11"/>
    </row>
    <row r="152" spans="1:15" x14ac:dyDescent="0.2">
      <c r="A152" s="18">
        <f>+'SERVICIO FAENA'!E153</f>
        <v>0</v>
      </c>
      <c r="B152" s="20">
        <f>+'SERVICIO FAENA'!A153</f>
        <v>0</v>
      </c>
      <c r="C152" s="65"/>
      <c r="D152" s="65"/>
      <c r="E152" s="23"/>
      <c r="F152" s="16">
        <f t="shared" si="12"/>
        <v>0</v>
      </c>
      <c r="G152" s="38"/>
      <c r="H152" s="16">
        <f t="shared" si="13"/>
        <v>0</v>
      </c>
      <c r="I152" s="38"/>
      <c r="J152" s="16">
        <f t="shared" si="14"/>
        <v>0</v>
      </c>
      <c r="K152" s="23"/>
      <c r="L152" s="23"/>
      <c r="M152" s="16">
        <f t="shared" si="15"/>
        <v>0</v>
      </c>
      <c r="N152" s="26"/>
      <c r="O152" s="23"/>
    </row>
    <row r="153" spans="1:15" x14ac:dyDescent="0.2">
      <c r="A153" s="18">
        <f>+'SERVICIO FAENA'!E154</f>
        <v>0</v>
      </c>
      <c r="B153" s="20">
        <f>+'SERVICIO FAENA'!A154</f>
        <v>0</v>
      </c>
      <c r="C153" s="64"/>
      <c r="D153" s="64"/>
      <c r="E153" s="11"/>
      <c r="F153" s="16">
        <f t="shared" si="12"/>
        <v>0</v>
      </c>
      <c r="G153" s="38"/>
      <c r="H153" s="16">
        <f t="shared" si="13"/>
        <v>0</v>
      </c>
      <c r="I153" s="38"/>
      <c r="J153" s="16">
        <f t="shared" si="14"/>
        <v>0</v>
      </c>
      <c r="K153" s="11"/>
      <c r="L153" s="11"/>
      <c r="M153" s="16">
        <f t="shared" si="15"/>
        <v>0</v>
      </c>
      <c r="N153" s="24"/>
      <c r="O153" s="11"/>
    </row>
    <row r="154" spans="1:15" x14ac:dyDescent="0.2">
      <c r="A154" s="18">
        <f>+'SERVICIO FAENA'!E155</f>
        <v>0</v>
      </c>
      <c r="B154" s="20">
        <f>+'SERVICIO FAENA'!A155</f>
        <v>0</v>
      </c>
      <c r="C154" s="65"/>
      <c r="D154" s="65"/>
      <c r="E154" s="23"/>
      <c r="F154" s="16">
        <f t="shared" si="12"/>
        <v>0</v>
      </c>
      <c r="G154" s="38"/>
      <c r="H154" s="16">
        <f t="shared" si="13"/>
        <v>0</v>
      </c>
      <c r="I154" s="38"/>
      <c r="J154" s="16">
        <f t="shared" si="14"/>
        <v>0</v>
      </c>
      <c r="K154" s="23"/>
      <c r="L154" s="23"/>
      <c r="M154" s="16">
        <f t="shared" si="15"/>
        <v>0</v>
      </c>
      <c r="N154" s="26"/>
      <c r="O154" s="23"/>
    </row>
    <row r="155" spans="1:15" x14ac:dyDescent="0.2">
      <c r="A155" s="18">
        <f>+'SERVICIO FAENA'!E156</f>
        <v>0</v>
      </c>
      <c r="B155" s="20">
        <f>+'SERVICIO FAENA'!A156</f>
        <v>0</v>
      </c>
      <c r="C155" s="64"/>
      <c r="D155" s="64"/>
      <c r="E155" s="11"/>
      <c r="F155" s="16">
        <f t="shared" si="12"/>
        <v>0</v>
      </c>
      <c r="G155" s="38"/>
      <c r="H155" s="16">
        <f t="shared" si="13"/>
        <v>0</v>
      </c>
      <c r="I155" s="38"/>
      <c r="J155" s="16">
        <f t="shared" si="14"/>
        <v>0</v>
      </c>
      <c r="K155" s="11"/>
      <c r="L155" s="11"/>
      <c r="M155" s="16">
        <f t="shared" si="15"/>
        <v>0</v>
      </c>
      <c r="N155" s="24"/>
      <c r="O155" s="11"/>
    </row>
    <row r="156" spans="1:15" x14ac:dyDescent="0.2">
      <c r="A156" s="18">
        <f>+'SERVICIO FAENA'!E157</f>
        <v>0</v>
      </c>
      <c r="B156" s="20">
        <f>+'SERVICIO FAENA'!A157</f>
        <v>0</v>
      </c>
      <c r="C156" s="65"/>
      <c r="D156" s="65"/>
      <c r="E156" s="23"/>
      <c r="F156" s="16">
        <f t="shared" si="12"/>
        <v>0</v>
      </c>
      <c r="G156" s="38"/>
      <c r="H156" s="16">
        <f t="shared" si="13"/>
        <v>0</v>
      </c>
      <c r="I156" s="38"/>
      <c r="J156" s="16">
        <f t="shared" si="14"/>
        <v>0</v>
      </c>
      <c r="K156" s="23"/>
      <c r="L156" s="23"/>
      <c r="M156" s="16">
        <f t="shared" si="15"/>
        <v>0</v>
      </c>
      <c r="N156" s="26"/>
      <c r="O156" s="23"/>
    </row>
    <row r="157" spans="1:15" x14ac:dyDescent="0.2">
      <c r="A157" s="18">
        <f>+'SERVICIO FAENA'!E158</f>
        <v>0</v>
      </c>
      <c r="B157" s="20">
        <f>+'SERVICIO FAENA'!A158</f>
        <v>0</v>
      </c>
      <c r="C157" s="64"/>
      <c r="D157" s="64"/>
      <c r="E157" s="11"/>
      <c r="F157" s="16">
        <f t="shared" si="12"/>
        <v>0</v>
      </c>
      <c r="G157" s="38"/>
      <c r="H157" s="16">
        <f t="shared" si="13"/>
        <v>0</v>
      </c>
      <c r="I157" s="38"/>
      <c r="J157" s="16">
        <f t="shared" si="14"/>
        <v>0</v>
      </c>
      <c r="K157" s="11"/>
      <c r="L157" s="11"/>
      <c r="M157" s="16">
        <f t="shared" si="15"/>
        <v>0</v>
      </c>
      <c r="N157" s="24"/>
      <c r="O157" s="11"/>
    </row>
    <row r="158" spans="1:15" x14ac:dyDescent="0.2">
      <c r="A158" s="18">
        <f>+'SERVICIO FAENA'!E159</f>
        <v>0</v>
      </c>
      <c r="B158" s="20">
        <f>+'SERVICIO FAENA'!A159</f>
        <v>0</v>
      </c>
      <c r="C158" s="65"/>
      <c r="D158" s="65"/>
      <c r="E158" s="23"/>
      <c r="F158" s="16">
        <f t="shared" si="12"/>
        <v>0</v>
      </c>
      <c r="G158" s="38"/>
      <c r="H158" s="16">
        <f t="shared" si="13"/>
        <v>0</v>
      </c>
      <c r="I158" s="38"/>
      <c r="J158" s="16">
        <f t="shared" si="14"/>
        <v>0</v>
      </c>
      <c r="K158" s="23"/>
      <c r="L158" s="23"/>
      <c r="M158" s="16">
        <f t="shared" si="15"/>
        <v>0</v>
      </c>
      <c r="N158" s="26"/>
      <c r="O158" s="23"/>
    </row>
    <row r="159" spans="1:15" x14ac:dyDescent="0.2">
      <c r="A159" s="18">
        <f>+'SERVICIO FAENA'!E160</f>
        <v>0</v>
      </c>
      <c r="B159" s="20">
        <f>+'SERVICIO FAENA'!A160</f>
        <v>0</v>
      </c>
      <c r="C159" s="64"/>
      <c r="D159" s="64"/>
      <c r="E159" s="11"/>
      <c r="F159" s="16">
        <f t="shared" si="12"/>
        <v>0</v>
      </c>
      <c r="G159" s="38"/>
      <c r="H159" s="16">
        <f t="shared" si="13"/>
        <v>0</v>
      </c>
      <c r="I159" s="38"/>
      <c r="J159" s="16">
        <f t="shared" si="14"/>
        <v>0</v>
      </c>
      <c r="K159" s="11"/>
      <c r="L159" s="11"/>
      <c r="M159" s="16">
        <f t="shared" si="15"/>
        <v>0</v>
      </c>
      <c r="N159" s="24"/>
      <c r="O159" s="11"/>
    </row>
    <row r="160" spans="1:15" x14ac:dyDescent="0.2">
      <c r="A160" s="18">
        <f>+'SERVICIO FAENA'!E161</f>
        <v>0</v>
      </c>
      <c r="B160" s="20">
        <f>+'SERVICIO FAENA'!A161</f>
        <v>0</v>
      </c>
      <c r="C160" s="65"/>
      <c r="D160" s="65"/>
      <c r="E160" s="23"/>
      <c r="F160" s="16">
        <f t="shared" si="12"/>
        <v>0</v>
      </c>
      <c r="G160" s="38"/>
      <c r="H160" s="16">
        <f t="shared" si="13"/>
        <v>0</v>
      </c>
      <c r="I160" s="38"/>
      <c r="J160" s="16">
        <f t="shared" si="14"/>
        <v>0</v>
      </c>
      <c r="K160" s="23"/>
      <c r="L160" s="23"/>
      <c r="M160" s="16">
        <f t="shared" si="15"/>
        <v>0</v>
      </c>
      <c r="N160" s="26"/>
      <c r="O160" s="23"/>
    </row>
    <row r="161" spans="1:15" x14ac:dyDescent="0.2">
      <c r="A161" s="18">
        <f>+'SERVICIO FAENA'!E162</f>
        <v>0</v>
      </c>
      <c r="B161" s="20">
        <f>+'SERVICIO FAENA'!A162</f>
        <v>0</v>
      </c>
      <c r="C161" s="64"/>
      <c r="D161" s="64"/>
      <c r="E161" s="11"/>
      <c r="F161" s="16">
        <f t="shared" si="12"/>
        <v>0</v>
      </c>
      <c r="G161" s="38"/>
      <c r="H161" s="16">
        <f t="shared" si="13"/>
        <v>0</v>
      </c>
      <c r="I161" s="38"/>
      <c r="J161" s="16">
        <f t="shared" si="14"/>
        <v>0</v>
      </c>
      <c r="K161" s="11"/>
      <c r="L161" s="11"/>
      <c r="M161" s="16">
        <f t="shared" si="15"/>
        <v>0</v>
      </c>
      <c r="N161" s="24"/>
      <c r="O161" s="11"/>
    </row>
    <row r="162" spans="1:15" x14ac:dyDescent="0.2">
      <c r="A162" s="18">
        <f>+'SERVICIO FAENA'!E163</f>
        <v>0</v>
      </c>
      <c r="B162" s="20">
        <f>+'SERVICIO FAENA'!A163</f>
        <v>0</v>
      </c>
      <c r="C162" s="65"/>
      <c r="D162" s="65"/>
      <c r="E162" s="23"/>
      <c r="F162" s="16">
        <f t="shared" si="12"/>
        <v>0</v>
      </c>
      <c r="G162" s="38"/>
      <c r="H162" s="16">
        <f t="shared" si="13"/>
        <v>0</v>
      </c>
      <c r="I162" s="38"/>
      <c r="J162" s="16">
        <f t="shared" si="14"/>
        <v>0</v>
      </c>
      <c r="K162" s="23"/>
      <c r="L162" s="23"/>
      <c r="M162" s="16">
        <f t="shared" si="15"/>
        <v>0</v>
      </c>
      <c r="N162" s="26"/>
      <c r="O162" s="23"/>
    </row>
    <row r="163" spans="1:15" x14ac:dyDescent="0.2">
      <c r="A163" s="18">
        <f>+'SERVICIO FAENA'!E164</f>
        <v>0</v>
      </c>
      <c r="B163" s="20">
        <f>+'SERVICIO FAENA'!A164</f>
        <v>0</v>
      </c>
      <c r="C163" s="64"/>
      <c r="D163" s="64"/>
      <c r="E163" s="11"/>
      <c r="F163" s="16">
        <f t="shared" si="12"/>
        <v>0</v>
      </c>
      <c r="G163" s="38"/>
      <c r="H163" s="16">
        <f t="shared" si="13"/>
        <v>0</v>
      </c>
      <c r="I163" s="38"/>
      <c r="J163" s="16">
        <f t="shared" si="14"/>
        <v>0</v>
      </c>
      <c r="K163" s="11"/>
      <c r="L163" s="11"/>
      <c r="M163" s="16">
        <f t="shared" si="15"/>
        <v>0</v>
      </c>
      <c r="N163" s="24"/>
      <c r="O163" s="11"/>
    </row>
    <row r="164" spans="1:15" x14ac:dyDescent="0.2">
      <c r="A164" s="18">
        <f>+'SERVICIO FAENA'!E165</f>
        <v>0</v>
      </c>
      <c r="B164" s="20">
        <f>+'SERVICIO FAENA'!A165</f>
        <v>0</v>
      </c>
      <c r="C164" s="65"/>
      <c r="D164" s="65"/>
      <c r="E164" s="23"/>
      <c r="F164" s="16">
        <f t="shared" ref="F164:F227" si="16">+E164*C164</f>
        <v>0</v>
      </c>
      <c r="G164" s="38"/>
      <c r="H164" s="16">
        <f t="shared" ref="H164:H227" si="17">+G164*C164</f>
        <v>0</v>
      </c>
      <c r="I164" s="38"/>
      <c r="J164" s="16">
        <f t="shared" ref="J164:J227" si="18">+I164*D164</f>
        <v>0</v>
      </c>
      <c r="K164" s="23"/>
      <c r="L164" s="23"/>
      <c r="M164" s="16">
        <f t="shared" ref="M164:M227" si="19">+F164+H164+J164</f>
        <v>0</v>
      </c>
      <c r="N164" s="26"/>
      <c r="O164" s="23"/>
    </row>
    <row r="165" spans="1:15" x14ac:dyDescent="0.2">
      <c r="A165" s="18">
        <f>+'SERVICIO FAENA'!E166</f>
        <v>0</v>
      </c>
      <c r="B165" s="20">
        <f>+'SERVICIO FAENA'!A166</f>
        <v>0</v>
      </c>
      <c r="C165" s="64"/>
      <c r="D165" s="64"/>
      <c r="E165" s="11"/>
      <c r="F165" s="16">
        <f t="shared" si="16"/>
        <v>0</v>
      </c>
      <c r="G165" s="38"/>
      <c r="H165" s="16">
        <f t="shared" si="17"/>
        <v>0</v>
      </c>
      <c r="I165" s="38"/>
      <c r="J165" s="16">
        <f t="shared" si="18"/>
        <v>0</v>
      </c>
      <c r="K165" s="11"/>
      <c r="L165" s="11"/>
      <c r="M165" s="16">
        <f t="shared" si="19"/>
        <v>0</v>
      </c>
      <c r="N165" s="24"/>
      <c r="O165" s="11"/>
    </row>
    <row r="166" spans="1:15" x14ac:dyDescent="0.2">
      <c r="A166" s="18">
        <f>+'SERVICIO FAENA'!E167</f>
        <v>0</v>
      </c>
      <c r="B166" s="20">
        <f>+'SERVICIO FAENA'!A167</f>
        <v>0</v>
      </c>
      <c r="C166" s="65"/>
      <c r="D166" s="65"/>
      <c r="E166" s="23"/>
      <c r="F166" s="16">
        <f t="shared" si="16"/>
        <v>0</v>
      </c>
      <c r="G166" s="38"/>
      <c r="H166" s="16">
        <f t="shared" si="17"/>
        <v>0</v>
      </c>
      <c r="I166" s="38"/>
      <c r="J166" s="16">
        <f t="shared" si="18"/>
        <v>0</v>
      </c>
      <c r="K166" s="23"/>
      <c r="L166" s="23"/>
      <c r="M166" s="16">
        <f t="shared" si="19"/>
        <v>0</v>
      </c>
      <c r="N166" s="26"/>
      <c r="O166" s="23"/>
    </row>
    <row r="167" spans="1:15" x14ac:dyDescent="0.2">
      <c r="A167" s="18">
        <f>+'SERVICIO FAENA'!E168</f>
        <v>0</v>
      </c>
      <c r="B167" s="20">
        <f>+'SERVICIO FAENA'!A168</f>
        <v>0</v>
      </c>
      <c r="C167" s="64"/>
      <c r="D167" s="64"/>
      <c r="E167" s="11"/>
      <c r="F167" s="16">
        <f t="shared" si="16"/>
        <v>0</v>
      </c>
      <c r="G167" s="38"/>
      <c r="H167" s="16">
        <f t="shared" si="17"/>
        <v>0</v>
      </c>
      <c r="I167" s="38"/>
      <c r="J167" s="16">
        <f t="shared" si="18"/>
        <v>0</v>
      </c>
      <c r="K167" s="11"/>
      <c r="L167" s="11"/>
      <c r="M167" s="16">
        <f t="shared" si="19"/>
        <v>0</v>
      </c>
      <c r="N167" s="24"/>
      <c r="O167" s="11"/>
    </row>
    <row r="168" spans="1:15" x14ac:dyDescent="0.2">
      <c r="A168" s="18">
        <f>+'SERVICIO FAENA'!E169</f>
        <v>0</v>
      </c>
      <c r="B168" s="20">
        <f>+'SERVICIO FAENA'!A169</f>
        <v>0</v>
      </c>
      <c r="C168" s="65"/>
      <c r="D168" s="65"/>
      <c r="E168" s="23"/>
      <c r="F168" s="16">
        <f t="shared" si="16"/>
        <v>0</v>
      </c>
      <c r="G168" s="38"/>
      <c r="H168" s="16">
        <f t="shared" si="17"/>
        <v>0</v>
      </c>
      <c r="I168" s="38"/>
      <c r="J168" s="16">
        <f t="shared" si="18"/>
        <v>0</v>
      </c>
      <c r="K168" s="23"/>
      <c r="L168" s="23"/>
      <c r="M168" s="16">
        <f t="shared" si="19"/>
        <v>0</v>
      </c>
      <c r="N168" s="26"/>
      <c r="O168" s="23"/>
    </row>
    <row r="169" spans="1:15" x14ac:dyDescent="0.2">
      <c r="A169" s="18">
        <f>+'SERVICIO FAENA'!E170</f>
        <v>0</v>
      </c>
      <c r="B169" s="20">
        <f>+'SERVICIO FAENA'!A170</f>
        <v>0</v>
      </c>
      <c r="C169" s="64"/>
      <c r="D169" s="64"/>
      <c r="E169" s="11"/>
      <c r="F169" s="16">
        <f t="shared" si="16"/>
        <v>0</v>
      </c>
      <c r="G169" s="38"/>
      <c r="H169" s="16">
        <f t="shared" si="17"/>
        <v>0</v>
      </c>
      <c r="I169" s="38"/>
      <c r="J169" s="16">
        <f t="shared" si="18"/>
        <v>0</v>
      </c>
      <c r="K169" s="11"/>
      <c r="L169" s="11"/>
      <c r="M169" s="16">
        <f t="shared" si="19"/>
        <v>0</v>
      </c>
      <c r="N169" s="24"/>
      <c r="O169" s="11"/>
    </row>
    <row r="170" spans="1:15" x14ac:dyDescent="0.2">
      <c r="A170" s="18">
        <f>+'SERVICIO FAENA'!E171</f>
        <v>0</v>
      </c>
      <c r="B170" s="20">
        <f>+'SERVICIO FAENA'!A171</f>
        <v>0</v>
      </c>
      <c r="C170" s="65"/>
      <c r="D170" s="65"/>
      <c r="E170" s="23"/>
      <c r="F170" s="16">
        <f t="shared" si="16"/>
        <v>0</v>
      </c>
      <c r="G170" s="38"/>
      <c r="H170" s="16">
        <f t="shared" si="17"/>
        <v>0</v>
      </c>
      <c r="I170" s="38"/>
      <c r="J170" s="16">
        <f t="shared" si="18"/>
        <v>0</v>
      </c>
      <c r="K170" s="23"/>
      <c r="L170" s="23"/>
      <c r="M170" s="16">
        <f t="shared" si="19"/>
        <v>0</v>
      </c>
      <c r="N170" s="26"/>
      <c r="O170" s="23"/>
    </row>
    <row r="171" spans="1:15" x14ac:dyDescent="0.2">
      <c r="A171" s="18">
        <f>+'SERVICIO FAENA'!E172</f>
        <v>0</v>
      </c>
      <c r="B171" s="20">
        <f>+'SERVICIO FAENA'!A172</f>
        <v>0</v>
      </c>
      <c r="C171" s="64"/>
      <c r="D171" s="64"/>
      <c r="E171" s="11"/>
      <c r="F171" s="16">
        <f t="shared" si="16"/>
        <v>0</v>
      </c>
      <c r="G171" s="38"/>
      <c r="H171" s="16">
        <f t="shared" si="17"/>
        <v>0</v>
      </c>
      <c r="I171" s="38"/>
      <c r="J171" s="16">
        <f t="shared" si="18"/>
        <v>0</v>
      </c>
      <c r="K171" s="11"/>
      <c r="L171" s="11"/>
      <c r="M171" s="16">
        <f t="shared" si="19"/>
        <v>0</v>
      </c>
      <c r="N171" s="24"/>
      <c r="O171" s="11"/>
    </row>
    <row r="172" spans="1:15" x14ac:dyDescent="0.2">
      <c r="A172" s="18">
        <f>+'SERVICIO FAENA'!E173</f>
        <v>0</v>
      </c>
      <c r="B172" s="20">
        <f>+'SERVICIO FAENA'!A173</f>
        <v>0</v>
      </c>
      <c r="C172" s="65"/>
      <c r="D172" s="65"/>
      <c r="E172" s="23"/>
      <c r="F172" s="16">
        <f t="shared" si="16"/>
        <v>0</v>
      </c>
      <c r="G172" s="38"/>
      <c r="H172" s="16">
        <f t="shared" si="17"/>
        <v>0</v>
      </c>
      <c r="I172" s="38"/>
      <c r="J172" s="16">
        <f t="shared" si="18"/>
        <v>0</v>
      </c>
      <c r="K172" s="23"/>
      <c r="L172" s="23"/>
      <c r="M172" s="16">
        <f t="shared" si="19"/>
        <v>0</v>
      </c>
      <c r="N172" s="26"/>
      <c r="O172" s="23"/>
    </row>
    <row r="173" spans="1:15" x14ac:dyDescent="0.2">
      <c r="A173" s="18">
        <f>+'SERVICIO FAENA'!E174</f>
        <v>0</v>
      </c>
      <c r="B173" s="20">
        <f>+'SERVICIO FAENA'!A174</f>
        <v>0</v>
      </c>
      <c r="C173" s="64"/>
      <c r="D173" s="64"/>
      <c r="E173" s="11"/>
      <c r="F173" s="16">
        <f t="shared" si="16"/>
        <v>0</v>
      </c>
      <c r="G173" s="38"/>
      <c r="H173" s="16">
        <f t="shared" si="17"/>
        <v>0</v>
      </c>
      <c r="I173" s="38"/>
      <c r="J173" s="16">
        <f t="shared" si="18"/>
        <v>0</v>
      </c>
      <c r="K173" s="11"/>
      <c r="L173" s="11"/>
      <c r="M173" s="16">
        <f t="shared" si="19"/>
        <v>0</v>
      </c>
      <c r="N173" s="24"/>
      <c r="O173" s="11"/>
    </row>
    <row r="174" spans="1:15" x14ac:dyDescent="0.2">
      <c r="A174" s="18">
        <f>+'SERVICIO FAENA'!E175</f>
        <v>0</v>
      </c>
      <c r="B174" s="20">
        <f>+'SERVICIO FAENA'!A175</f>
        <v>0</v>
      </c>
      <c r="C174" s="65"/>
      <c r="D174" s="65"/>
      <c r="E174" s="23"/>
      <c r="F174" s="16">
        <f t="shared" si="16"/>
        <v>0</v>
      </c>
      <c r="G174" s="38"/>
      <c r="H174" s="16">
        <f t="shared" si="17"/>
        <v>0</v>
      </c>
      <c r="I174" s="38"/>
      <c r="J174" s="16">
        <f t="shared" si="18"/>
        <v>0</v>
      </c>
      <c r="K174" s="23"/>
      <c r="L174" s="23"/>
      <c r="M174" s="16">
        <f t="shared" si="19"/>
        <v>0</v>
      </c>
      <c r="N174" s="26"/>
      <c r="O174" s="23"/>
    </row>
    <row r="175" spans="1:15" x14ac:dyDescent="0.2">
      <c r="A175" s="18">
        <f>+'SERVICIO FAENA'!E176</f>
        <v>0</v>
      </c>
      <c r="B175" s="20">
        <f>+'SERVICIO FAENA'!A176</f>
        <v>0</v>
      </c>
      <c r="C175" s="64"/>
      <c r="D175" s="64"/>
      <c r="E175" s="11"/>
      <c r="F175" s="16">
        <f t="shared" si="16"/>
        <v>0</v>
      </c>
      <c r="G175" s="38"/>
      <c r="H175" s="16">
        <f t="shared" si="17"/>
        <v>0</v>
      </c>
      <c r="I175" s="38"/>
      <c r="J175" s="16">
        <f t="shared" si="18"/>
        <v>0</v>
      </c>
      <c r="K175" s="11"/>
      <c r="L175" s="11"/>
      <c r="M175" s="16">
        <f t="shared" si="19"/>
        <v>0</v>
      </c>
      <c r="N175" s="24"/>
      <c r="O175" s="11"/>
    </row>
    <row r="176" spans="1:15" x14ac:dyDescent="0.2">
      <c r="A176" s="18">
        <f>+'SERVICIO FAENA'!E177</f>
        <v>0</v>
      </c>
      <c r="B176" s="20">
        <f>+'SERVICIO FAENA'!A177</f>
        <v>0</v>
      </c>
      <c r="C176" s="65"/>
      <c r="D176" s="65"/>
      <c r="E176" s="23"/>
      <c r="F176" s="16">
        <f t="shared" si="16"/>
        <v>0</v>
      </c>
      <c r="G176" s="38"/>
      <c r="H176" s="16">
        <f t="shared" si="17"/>
        <v>0</v>
      </c>
      <c r="I176" s="38"/>
      <c r="J176" s="16">
        <f t="shared" si="18"/>
        <v>0</v>
      </c>
      <c r="K176" s="23"/>
      <c r="L176" s="23"/>
      <c r="M176" s="16">
        <f t="shared" si="19"/>
        <v>0</v>
      </c>
      <c r="N176" s="26"/>
      <c r="O176" s="23"/>
    </row>
    <row r="177" spans="1:15" x14ac:dyDescent="0.2">
      <c r="A177" s="18">
        <f>+'SERVICIO FAENA'!E178</f>
        <v>0</v>
      </c>
      <c r="B177" s="20">
        <f>+'SERVICIO FAENA'!A178</f>
        <v>0</v>
      </c>
      <c r="C177" s="64"/>
      <c r="D177" s="64"/>
      <c r="E177" s="11"/>
      <c r="F177" s="16">
        <f t="shared" si="16"/>
        <v>0</v>
      </c>
      <c r="G177" s="38"/>
      <c r="H177" s="16">
        <f t="shared" si="17"/>
        <v>0</v>
      </c>
      <c r="I177" s="38"/>
      <c r="J177" s="16">
        <f t="shared" si="18"/>
        <v>0</v>
      </c>
      <c r="K177" s="11"/>
      <c r="L177" s="11"/>
      <c r="M177" s="16">
        <f t="shared" si="19"/>
        <v>0</v>
      </c>
      <c r="N177" s="24"/>
      <c r="O177" s="11"/>
    </row>
    <row r="178" spans="1:15" x14ac:dyDescent="0.2">
      <c r="A178" s="18">
        <f>+'SERVICIO FAENA'!E179</f>
        <v>0</v>
      </c>
      <c r="B178" s="20">
        <f>+'SERVICIO FAENA'!A179</f>
        <v>0</v>
      </c>
      <c r="C178" s="65"/>
      <c r="D178" s="65"/>
      <c r="E178" s="23"/>
      <c r="F178" s="16">
        <f t="shared" si="16"/>
        <v>0</v>
      </c>
      <c r="G178" s="38"/>
      <c r="H178" s="16">
        <f t="shared" si="17"/>
        <v>0</v>
      </c>
      <c r="I178" s="38"/>
      <c r="J178" s="16">
        <f t="shared" si="18"/>
        <v>0</v>
      </c>
      <c r="K178" s="23"/>
      <c r="L178" s="23"/>
      <c r="M178" s="16">
        <f t="shared" si="19"/>
        <v>0</v>
      </c>
      <c r="N178" s="26"/>
      <c r="O178" s="23"/>
    </row>
    <row r="179" spans="1:15" x14ac:dyDescent="0.2">
      <c r="A179" s="18">
        <f>+'SERVICIO FAENA'!E180</f>
        <v>0</v>
      </c>
      <c r="B179" s="20">
        <f>+'SERVICIO FAENA'!A180</f>
        <v>0</v>
      </c>
      <c r="C179" s="64"/>
      <c r="D179" s="64"/>
      <c r="E179" s="11"/>
      <c r="F179" s="16">
        <f t="shared" si="16"/>
        <v>0</v>
      </c>
      <c r="G179" s="38"/>
      <c r="H179" s="16">
        <f t="shared" si="17"/>
        <v>0</v>
      </c>
      <c r="I179" s="38"/>
      <c r="J179" s="16">
        <f t="shared" si="18"/>
        <v>0</v>
      </c>
      <c r="K179" s="11"/>
      <c r="L179" s="11"/>
      <c r="M179" s="16">
        <f t="shared" si="19"/>
        <v>0</v>
      </c>
      <c r="N179" s="24"/>
      <c r="O179" s="11"/>
    </row>
    <row r="180" spans="1:15" x14ac:dyDescent="0.2">
      <c r="A180" s="18">
        <f>+'SERVICIO FAENA'!E181</f>
        <v>0</v>
      </c>
      <c r="B180" s="20">
        <f>+'SERVICIO FAENA'!A181</f>
        <v>0</v>
      </c>
      <c r="C180" s="65"/>
      <c r="D180" s="65"/>
      <c r="E180" s="23"/>
      <c r="F180" s="16">
        <f t="shared" si="16"/>
        <v>0</v>
      </c>
      <c r="G180" s="38"/>
      <c r="H180" s="16">
        <f t="shared" si="17"/>
        <v>0</v>
      </c>
      <c r="I180" s="38"/>
      <c r="J180" s="16">
        <f t="shared" si="18"/>
        <v>0</v>
      </c>
      <c r="K180" s="23"/>
      <c r="L180" s="23"/>
      <c r="M180" s="16">
        <f t="shared" si="19"/>
        <v>0</v>
      </c>
      <c r="N180" s="26"/>
      <c r="O180" s="23"/>
    </row>
    <row r="181" spans="1:15" x14ac:dyDescent="0.2">
      <c r="A181" s="18">
        <f>+'SERVICIO FAENA'!E182</f>
        <v>0</v>
      </c>
      <c r="B181" s="20">
        <f>+'SERVICIO FAENA'!A182</f>
        <v>0</v>
      </c>
      <c r="C181" s="64"/>
      <c r="D181" s="64"/>
      <c r="E181" s="11"/>
      <c r="F181" s="16">
        <f t="shared" si="16"/>
        <v>0</v>
      </c>
      <c r="G181" s="38"/>
      <c r="H181" s="16">
        <f t="shared" si="17"/>
        <v>0</v>
      </c>
      <c r="I181" s="38"/>
      <c r="J181" s="16">
        <f t="shared" si="18"/>
        <v>0</v>
      </c>
      <c r="K181" s="11"/>
      <c r="L181" s="11"/>
      <c r="M181" s="16">
        <f t="shared" si="19"/>
        <v>0</v>
      </c>
      <c r="N181" s="24"/>
      <c r="O181" s="11"/>
    </row>
    <row r="182" spans="1:15" x14ac:dyDescent="0.2">
      <c r="A182" s="18">
        <f>+'SERVICIO FAENA'!E183</f>
        <v>0</v>
      </c>
      <c r="B182" s="20">
        <f>+'SERVICIO FAENA'!A183</f>
        <v>0</v>
      </c>
      <c r="C182" s="65"/>
      <c r="D182" s="65"/>
      <c r="E182" s="23"/>
      <c r="F182" s="16">
        <f t="shared" si="16"/>
        <v>0</v>
      </c>
      <c r="G182" s="38"/>
      <c r="H182" s="16">
        <f t="shared" si="17"/>
        <v>0</v>
      </c>
      <c r="I182" s="38"/>
      <c r="J182" s="16">
        <f t="shared" si="18"/>
        <v>0</v>
      </c>
      <c r="K182" s="23"/>
      <c r="L182" s="23"/>
      <c r="M182" s="16">
        <f t="shared" si="19"/>
        <v>0</v>
      </c>
      <c r="N182" s="26"/>
      <c r="O182" s="23"/>
    </row>
    <row r="183" spans="1:15" x14ac:dyDescent="0.2">
      <c r="A183" s="18">
        <f>+'SERVICIO FAENA'!E184</f>
        <v>0</v>
      </c>
      <c r="B183" s="20">
        <f>+'SERVICIO FAENA'!A184</f>
        <v>0</v>
      </c>
      <c r="C183" s="64"/>
      <c r="D183" s="64"/>
      <c r="E183" s="11"/>
      <c r="F183" s="16">
        <f t="shared" si="16"/>
        <v>0</v>
      </c>
      <c r="G183" s="38"/>
      <c r="H183" s="16">
        <f t="shared" si="17"/>
        <v>0</v>
      </c>
      <c r="I183" s="38"/>
      <c r="J183" s="16">
        <f t="shared" si="18"/>
        <v>0</v>
      </c>
      <c r="K183" s="11"/>
      <c r="L183" s="11"/>
      <c r="M183" s="16">
        <f t="shared" si="19"/>
        <v>0</v>
      </c>
      <c r="N183" s="24"/>
      <c r="O183" s="11"/>
    </row>
    <row r="184" spans="1:15" x14ac:dyDescent="0.2">
      <c r="A184" s="18">
        <f>+'SERVICIO FAENA'!E185</f>
        <v>0</v>
      </c>
      <c r="B184" s="20">
        <f>+'SERVICIO FAENA'!A185</f>
        <v>0</v>
      </c>
      <c r="C184" s="65"/>
      <c r="D184" s="65"/>
      <c r="E184" s="23"/>
      <c r="F184" s="16">
        <f t="shared" si="16"/>
        <v>0</v>
      </c>
      <c r="G184" s="38"/>
      <c r="H184" s="16">
        <f t="shared" si="17"/>
        <v>0</v>
      </c>
      <c r="I184" s="38"/>
      <c r="J184" s="16">
        <f t="shared" si="18"/>
        <v>0</v>
      </c>
      <c r="K184" s="23"/>
      <c r="L184" s="23"/>
      <c r="M184" s="16">
        <f t="shared" si="19"/>
        <v>0</v>
      </c>
      <c r="N184" s="26"/>
      <c r="O184" s="23"/>
    </row>
    <row r="185" spans="1:15" x14ac:dyDescent="0.2">
      <c r="A185" s="18">
        <f>+'SERVICIO FAENA'!E186</f>
        <v>0</v>
      </c>
      <c r="B185" s="20">
        <f>+'SERVICIO FAENA'!A186</f>
        <v>0</v>
      </c>
      <c r="C185" s="64"/>
      <c r="D185" s="64"/>
      <c r="E185" s="11"/>
      <c r="F185" s="16">
        <f t="shared" si="16"/>
        <v>0</v>
      </c>
      <c r="G185" s="38"/>
      <c r="H185" s="16">
        <f t="shared" si="17"/>
        <v>0</v>
      </c>
      <c r="I185" s="38"/>
      <c r="J185" s="16">
        <f t="shared" si="18"/>
        <v>0</v>
      </c>
      <c r="K185" s="11"/>
      <c r="L185" s="11"/>
      <c r="M185" s="16">
        <f t="shared" si="19"/>
        <v>0</v>
      </c>
      <c r="N185" s="24"/>
      <c r="O185" s="11"/>
    </row>
    <row r="186" spans="1:15" x14ac:dyDescent="0.2">
      <c r="A186" s="18">
        <f>+'SERVICIO FAENA'!E187</f>
        <v>0</v>
      </c>
      <c r="B186" s="20">
        <f>+'SERVICIO FAENA'!A187</f>
        <v>0</v>
      </c>
      <c r="C186" s="65"/>
      <c r="D186" s="65"/>
      <c r="E186" s="23"/>
      <c r="F186" s="16">
        <f t="shared" si="16"/>
        <v>0</v>
      </c>
      <c r="G186" s="38"/>
      <c r="H186" s="16">
        <f t="shared" si="17"/>
        <v>0</v>
      </c>
      <c r="I186" s="38"/>
      <c r="J186" s="16">
        <f t="shared" si="18"/>
        <v>0</v>
      </c>
      <c r="K186" s="23"/>
      <c r="L186" s="23"/>
      <c r="M186" s="16">
        <f t="shared" si="19"/>
        <v>0</v>
      </c>
      <c r="N186" s="26"/>
      <c r="O186" s="23"/>
    </row>
    <row r="187" spans="1:15" x14ac:dyDescent="0.2">
      <c r="A187" s="18">
        <f>+'SERVICIO FAENA'!E188</f>
        <v>0</v>
      </c>
      <c r="B187" s="20">
        <f>+'SERVICIO FAENA'!A188</f>
        <v>0</v>
      </c>
      <c r="C187" s="64"/>
      <c r="D187" s="64"/>
      <c r="E187" s="11"/>
      <c r="F187" s="16">
        <f t="shared" si="16"/>
        <v>0</v>
      </c>
      <c r="G187" s="38"/>
      <c r="H187" s="16">
        <f t="shared" si="17"/>
        <v>0</v>
      </c>
      <c r="I187" s="38"/>
      <c r="J187" s="16">
        <f t="shared" si="18"/>
        <v>0</v>
      </c>
      <c r="K187" s="11"/>
      <c r="L187" s="11"/>
      <c r="M187" s="16">
        <f t="shared" si="19"/>
        <v>0</v>
      </c>
      <c r="N187" s="24"/>
      <c r="O187" s="11"/>
    </row>
    <row r="188" spans="1:15" x14ac:dyDescent="0.2">
      <c r="A188" s="18">
        <f>+'SERVICIO FAENA'!E189</f>
        <v>0</v>
      </c>
      <c r="B188" s="20">
        <f>+'SERVICIO FAENA'!A189</f>
        <v>0</v>
      </c>
      <c r="C188" s="65"/>
      <c r="D188" s="65"/>
      <c r="E188" s="23"/>
      <c r="F188" s="16">
        <f t="shared" si="16"/>
        <v>0</v>
      </c>
      <c r="G188" s="38"/>
      <c r="H188" s="16">
        <f t="shared" si="17"/>
        <v>0</v>
      </c>
      <c r="I188" s="38"/>
      <c r="J188" s="16">
        <f t="shared" si="18"/>
        <v>0</v>
      </c>
      <c r="K188" s="23"/>
      <c r="L188" s="23"/>
      <c r="M188" s="16">
        <f t="shared" si="19"/>
        <v>0</v>
      </c>
      <c r="N188" s="26"/>
      <c r="O188" s="23"/>
    </row>
    <row r="189" spans="1:15" x14ac:dyDescent="0.2">
      <c r="A189" s="18">
        <f>+'SERVICIO FAENA'!E190</f>
        <v>0</v>
      </c>
      <c r="B189" s="20">
        <f>+'SERVICIO FAENA'!A190</f>
        <v>0</v>
      </c>
      <c r="C189" s="64"/>
      <c r="D189" s="64"/>
      <c r="E189" s="11"/>
      <c r="F189" s="16">
        <f t="shared" si="16"/>
        <v>0</v>
      </c>
      <c r="G189" s="38"/>
      <c r="H189" s="16">
        <f t="shared" si="17"/>
        <v>0</v>
      </c>
      <c r="I189" s="38"/>
      <c r="J189" s="16">
        <f t="shared" si="18"/>
        <v>0</v>
      </c>
      <c r="K189" s="11"/>
      <c r="L189" s="11"/>
      <c r="M189" s="16">
        <f t="shared" si="19"/>
        <v>0</v>
      </c>
      <c r="N189" s="24"/>
      <c r="O189" s="11"/>
    </row>
    <row r="190" spans="1:15" x14ac:dyDescent="0.2">
      <c r="A190" s="18">
        <f>+'SERVICIO FAENA'!E191</f>
        <v>0</v>
      </c>
      <c r="B190" s="20">
        <f>+'SERVICIO FAENA'!A191</f>
        <v>0</v>
      </c>
      <c r="C190" s="65"/>
      <c r="D190" s="65"/>
      <c r="E190" s="23"/>
      <c r="F190" s="16">
        <f t="shared" si="16"/>
        <v>0</v>
      </c>
      <c r="G190" s="38"/>
      <c r="H190" s="16">
        <f t="shared" si="17"/>
        <v>0</v>
      </c>
      <c r="I190" s="38"/>
      <c r="J190" s="16">
        <f t="shared" si="18"/>
        <v>0</v>
      </c>
      <c r="K190" s="23"/>
      <c r="L190" s="23"/>
      <c r="M190" s="16">
        <f t="shared" si="19"/>
        <v>0</v>
      </c>
      <c r="N190" s="26"/>
      <c r="O190" s="23"/>
    </row>
    <row r="191" spans="1:15" x14ac:dyDescent="0.2">
      <c r="A191" s="18">
        <f>+'SERVICIO FAENA'!E192</f>
        <v>0</v>
      </c>
      <c r="B191" s="20">
        <f>+'SERVICIO FAENA'!A192</f>
        <v>0</v>
      </c>
      <c r="C191" s="64"/>
      <c r="D191" s="64"/>
      <c r="E191" s="11"/>
      <c r="F191" s="16">
        <f t="shared" si="16"/>
        <v>0</v>
      </c>
      <c r="G191" s="38"/>
      <c r="H191" s="16">
        <f t="shared" si="17"/>
        <v>0</v>
      </c>
      <c r="I191" s="38"/>
      <c r="J191" s="16">
        <f t="shared" si="18"/>
        <v>0</v>
      </c>
      <c r="K191" s="11"/>
      <c r="L191" s="11"/>
      <c r="M191" s="16">
        <f t="shared" si="19"/>
        <v>0</v>
      </c>
      <c r="N191" s="24"/>
      <c r="O191" s="11"/>
    </row>
    <row r="192" spans="1:15" x14ac:dyDescent="0.2">
      <c r="A192" s="18">
        <f>+'SERVICIO FAENA'!E193</f>
        <v>0</v>
      </c>
      <c r="B192" s="20">
        <f>+'SERVICIO FAENA'!A193</f>
        <v>0</v>
      </c>
      <c r="C192" s="65"/>
      <c r="D192" s="65"/>
      <c r="E192" s="23"/>
      <c r="F192" s="16">
        <f t="shared" si="16"/>
        <v>0</v>
      </c>
      <c r="G192" s="38"/>
      <c r="H192" s="16">
        <f t="shared" si="17"/>
        <v>0</v>
      </c>
      <c r="I192" s="38"/>
      <c r="J192" s="16">
        <f t="shared" si="18"/>
        <v>0</v>
      </c>
      <c r="K192" s="23"/>
      <c r="L192" s="23"/>
      <c r="M192" s="16">
        <f t="shared" si="19"/>
        <v>0</v>
      </c>
      <c r="N192" s="26"/>
      <c r="O192" s="23"/>
    </row>
    <row r="193" spans="1:15" x14ac:dyDescent="0.2">
      <c r="A193" s="18">
        <f>+'SERVICIO FAENA'!E194</f>
        <v>0</v>
      </c>
      <c r="B193" s="20">
        <f>+'SERVICIO FAENA'!A194</f>
        <v>0</v>
      </c>
      <c r="C193" s="64"/>
      <c r="D193" s="64"/>
      <c r="E193" s="11"/>
      <c r="F193" s="16">
        <f t="shared" si="16"/>
        <v>0</v>
      </c>
      <c r="G193" s="38"/>
      <c r="H193" s="16">
        <f t="shared" si="17"/>
        <v>0</v>
      </c>
      <c r="I193" s="38"/>
      <c r="J193" s="16">
        <f t="shared" si="18"/>
        <v>0</v>
      </c>
      <c r="K193" s="11"/>
      <c r="L193" s="11"/>
      <c r="M193" s="16">
        <f t="shared" si="19"/>
        <v>0</v>
      </c>
      <c r="N193" s="24"/>
      <c r="O193" s="11"/>
    </row>
    <row r="194" spans="1:15" x14ac:dyDescent="0.2">
      <c r="A194" s="18">
        <f>+'SERVICIO FAENA'!E195</f>
        <v>0</v>
      </c>
      <c r="B194" s="20">
        <f>+'SERVICIO FAENA'!A195</f>
        <v>0</v>
      </c>
      <c r="C194" s="65"/>
      <c r="D194" s="65"/>
      <c r="E194" s="23"/>
      <c r="F194" s="16">
        <f t="shared" si="16"/>
        <v>0</v>
      </c>
      <c r="G194" s="38"/>
      <c r="H194" s="16">
        <f t="shared" si="17"/>
        <v>0</v>
      </c>
      <c r="I194" s="38"/>
      <c r="J194" s="16">
        <f t="shared" si="18"/>
        <v>0</v>
      </c>
      <c r="K194" s="23"/>
      <c r="L194" s="23"/>
      <c r="M194" s="16">
        <f t="shared" si="19"/>
        <v>0</v>
      </c>
      <c r="N194" s="26"/>
      <c r="O194" s="23"/>
    </row>
    <row r="195" spans="1:15" x14ac:dyDescent="0.2">
      <c r="A195" s="18">
        <f>+'SERVICIO FAENA'!E196</f>
        <v>0</v>
      </c>
      <c r="B195" s="20">
        <f>+'SERVICIO FAENA'!A196</f>
        <v>0</v>
      </c>
      <c r="C195" s="64"/>
      <c r="D195" s="64"/>
      <c r="E195" s="11"/>
      <c r="F195" s="16">
        <f t="shared" si="16"/>
        <v>0</v>
      </c>
      <c r="G195" s="38"/>
      <c r="H195" s="16">
        <f t="shared" si="17"/>
        <v>0</v>
      </c>
      <c r="I195" s="38"/>
      <c r="J195" s="16">
        <f t="shared" si="18"/>
        <v>0</v>
      </c>
      <c r="K195" s="11"/>
      <c r="L195" s="11"/>
      <c r="M195" s="16">
        <f t="shared" si="19"/>
        <v>0</v>
      </c>
      <c r="N195" s="24"/>
      <c r="O195" s="11"/>
    </row>
    <row r="196" spans="1:15" x14ac:dyDescent="0.2">
      <c r="A196" s="18">
        <f>+'SERVICIO FAENA'!E197</f>
        <v>0</v>
      </c>
      <c r="B196" s="20">
        <f>+'SERVICIO FAENA'!A197</f>
        <v>0</v>
      </c>
      <c r="C196" s="65"/>
      <c r="D196" s="65"/>
      <c r="E196" s="23"/>
      <c r="F196" s="16">
        <f t="shared" si="16"/>
        <v>0</v>
      </c>
      <c r="G196" s="38"/>
      <c r="H196" s="16">
        <f t="shared" si="17"/>
        <v>0</v>
      </c>
      <c r="I196" s="38"/>
      <c r="J196" s="16">
        <f t="shared" si="18"/>
        <v>0</v>
      </c>
      <c r="K196" s="23"/>
      <c r="L196" s="23"/>
      <c r="M196" s="16">
        <f t="shared" si="19"/>
        <v>0</v>
      </c>
      <c r="N196" s="26"/>
      <c r="O196" s="23"/>
    </row>
    <row r="197" spans="1:15" x14ac:dyDescent="0.2">
      <c r="A197" s="18">
        <f>+'SERVICIO FAENA'!E198</f>
        <v>0</v>
      </c>
      <c r="B197" s="20">
        <f>+'SERVICIO FAENA'!A198</f>
        <v>0</v>
      </c>
      <c r="C197" s="64"/>
      <c r="D197" s="64"/>
      <c r="E197" s="11"/>
      <c r="F197" s="16">
        <f t="shared" si="16"/>
        <v>0</v>
      </c>
      <c r="G197" s="38"/>
      <c r="H197" s="16">
        <f t="shared" si="17"/>
        <v>0</v>
      </c>
      <c r="I197" s="38"/>
      <c r="J197" s="16">
        <f t="shared" si="18"/>
        <v>0</v>
      </c>
      <c r="K197" s="11"/>
      <c r="L197" s="11"/>
      <c r="M197" s="16">
        <f t="shared" si="19"/>
        <v>0</v>
      </c>
      <c r="N197" s="24"/>
      <c r="O197" s="11"/>
    </row>
    <row r="198" spans="1:15" x14ac:dyDescent="0.2">
      <c r="A198" s="18">
        <f>+'SERVICIO FAENA'!E199</f>
        <v>0</v>
      </c>
      <c r="B198" s="20">
        <f>+'SERVICIO FAENA'!A199</f>
        <v>0</v>
      </c>
      <c r="C198" s="65"/>
      <c r="D198" s="65"/>
      <c r="E198" s="23"/>
      <c r="F198" s="16">
        <f t="shared" si="16"/>
        <v>0</v>
      </c>
      <c r="G198" s="38"/>
      <c r="H198" s="16">
        <f t="shared" si="17"/>
        <v>0</v>
      </c>
      <c r="I198" s="38"/>
      <c r="J198" s="16">
        <f t="shared" si="18"/>
        <v>0</v>
      </c>
      <c r="K198" s="23"/>
      <c r="L198" s="23"/>
      <c r="M198" s="16">
        <f t="shared" si="19"/>
        <v>0</v>
      </c>
      <c r="N198" s="26"/>
      <c r="O198" s="23"/>
    </row>
    <row r="199" spans="1:15" x14ac:dyDescent="0.2">
      <c r="A199" s="18">
        <f>+'SERVICIO FAENA'!E200</f>
        <v>0</v>
      </c>
      <c r="B199" s="20">
        <f>+'SERVICIO FAENA'!A200</f>
        <v>0</v>
      </c>
      <c r="C199" s="64"/>
      <c r="D199" s="64"/>
      <c r="E199" s="11"/>
      <c r="F199" s="16">
        <f t="shared" si="16"/>
        <v>0</v>
      </c>
      <c r="G199" s="38"/>
      <c r="H199" s="16">
        <f t="shared" si="17"/>
        <v>0</v>
      </c>
      <c r="I199" s="38"/>
      <c r="J199" s="16">
        <f t="shared" si="18"/>
        <v>0</v>
      </c>
      <c r="K199" s="11"/>
      <c r="L199" s="11"/>
      <c r="M199" s="16">
        <f t="shared" si="19"/>
        <v>0</v>
      </c>
      <c r="N199" s="24"/>
      <c r="O199" s="11"/>
    </row>
    <row r="200" spans="1:15" x14ac:dyDescent="0.2">
      <c r="A200" s="18">
        <f>+'SERVICIO FAENA'!E201</f>
        <v>0</v>
      </c>
      <c r="B200" s="20">
        <f>+'SERVICIO FAENA'!A201</f>
        <v>0</v>
      </c>
      <c r="C200" s="65"/>
      <c r="D200" s="65"/>
      <c r="E200" s="23"/>
      <c r="F200" s="16">
        <f t="shared" si="16"/>
        <v>0</v>
      </c>
      <c r="G200" s="38"/>
      <c r="H200" s="16">
        <f t="shared" si="17"/>
        <v>0</v>
      </c>
      <c r="I200" s="38"/>
      <c r="J200" s="16">
        <f t="shared" si="18"/>
        <v>0</v>
      </c>
      <c r="K200" s="23"/>
      <c r="L200" s="23"/>
      <c r="M200" s="16">
        <f t="shared" si="19"/>
        <v>0</v>
      </c>
      <c r="N200" s="26"/>
      <c r="O200" s="23"/>
    </row>
    <row r="201" spans="1:15" x14ac:dyDescent="0.2">
      <c r="A201" s="18">
        <f>+'SERVICIO FAENA'!E202</f>
        <v>0</v>
      </c>
      <c r="B201" s="20">
        <f>+'SERVICIO FAENA'!A202</f>
        <v>0</v>
      </c>
      <c r="C201" s="64"/>
      <c r="D201" s="64"/>
      <c r="E201" s="11"/>
      <c r="F201" s="16">
        <f t="shared" si="16"/>
        <v>0</v>
      </c>
      <c r="G201" s="38"/>
      <c r="H201" s="16">
        <f t="shared" si="17"/>
        <v>0</v>
      </c>
      <c r="I201" s="38"/>
      <c r="J201" s="16">
        <f t="shared" si="18"/>
        <v>0</v>
      </c>
      <c r="K201" s="11"/>
      <c r="L201" s="11"/>
      <c r="M201" s="16">
        <f t="shared" si="19"/>
        <v>0</v>
      </c>
      <c r="N201" s="24"/>
      <c r="O201" s="11"/>
    </row>
    <row r="202" spans="1:15" x14ac:dyDescent="0.2">
      <c r="A202" s="18">
        <f>+'SERVICIO FAENA'!E203</f>
        <v>0</v>
      </c>
      <c r="B202" s="20">
        <f>+'SERVICIO FAENA'!A203</f>
        <v>0</v>
      </c>
      <c r="C202" s="65"/>
      <c r="D202" s="65"/>
      <c r="E202" s="23"/>
      <c r="F202" s="16">
        <f t="shared" si="16"/>
        <v>0</v>
      </c>
      <c r="G202" s="38"/>
      <c r="H202" s="16">
        <f t="shared" si="17"/>
        <v>0</v>
      </c>
      <c r="I202" s="38"/>
      <c r="J202" s="16">
        <f t="shared" si="18"/>
        <v>0</v>
      </c>
      <c r="K202" s="23"/>
      <c r="L202" s="23"/>
      <c r="M202" s="16">
        <f t="shared" si="19"/>
        <v>0</v>
      </c>
      <c r="N202" s="26"/>
      <c r="O202" s="23"/>
    </row>
    <row r="203" spans="1:15" x14ac:dyDescent="0.2">
      <c r="A203" s="18">
        <f>+'SERVICIO FAENA'!E204</f>
        <v>0</v>
      </c>
      <c r="B203" s="20">
        <f>+'SERVICIO FAENA'!A204</f>
        <v>0</v>
      </c>
      <c r="C203" s="64"/>
      <c r="D203" s="64"/>
      <c r="E203" s="11"/>
      <c r="F203" s="16">
        <f t="shared" si="16"/>
        <v>0</v>
      </c>
      <c r="G203" s="38"/>
      <c r="H203" s="16">
        <f t="shared" si="17"/>
        <v>0</v>
      </c>
      <c r="I203" s="38"/>
      <c r="J203" s="16">
        <f t="shared" si="18"/>
        <v>0</v>
      </c>
      <c r="K203" s="11"/>
      <c r="L203" s="11"/>
      <c r="M203" s="16">
        <f t="shared" si="19"/>
        <v>0</v>
      </c>
      <c r="N203" s="24"/>
      <c r="O203" s="11"/>
    </row>
    <row r="204" spans="1:15" x14ac:dyDescent="0.2">
      <c r="A204" s="18">
        <f>+'SERVICIO FAENA'!E205</f>
        <v>0</v>
      </c>
      <c r="B204" s="20">
        <f>+'SERVICIO FAENA'!A205</f>
        <v>0</v>
      </c>
      <c r="C204" s="65"/>
      <c r="D204" s="65"/>
      <c r="E204" s="23"/>
      <c r="F204" s="16">
        <f t="shared" si="16"/>
        <v>0</v>
      </c>
      <c r="G204" s="38"/>
      <c r="H204" s="16">
        <f t="shared" si="17"/>
        <v>0</v>
      </c>
      <c r="I204" s="38"/>
      <c r="J204" s="16">
        <f t="shared" si="18"/>
        <v>0</v>
      </c>
      <c r="K204" s="23"/>
      <c r="L204" s="23"/>
      <c r="M204" s="16">
        <f t="shared" si="19"/>
        <v>0</v>
      </c>
      <c r="N204" s="26"/>
      <c r="O204" s="23"/>
    </row>
    <row r="205" spans="1:15" x14ac:dyDescent="0.2">
      <c r="A205" s="18">
        <f>+'SERVICIO FAENA'!E206</f>
        <v>0</v>
      </c>
      <c r="B205" s="20">
        <f>+'SERVICIO FAENA'!A206</f>
        <v>0</v>
      </c>
      <c r="C205" s="64"/>
      <c r="D205" s="64"/>
      <c r="E205" s="11"/>
      <c r="F205" s="16">
        <f t="shared" si="16"/>
        <v>0</v>
      </c>
      <c r="G205" s="38"/>
      <c r="H205" s="16">
        <f t="shared" si="17"/>
        <v>0</v>
      </c>
      <c r="I205" s="38"/>
      <c r="J205" s="16">
        <f t="shared" si="18"/>
        <v>0</v>
      </c>
      <c r="K205" s="11"/>
      <c r="L205" s="11"/>
      <c r="M205" s="16">
        <f t="shared" si="19"/>
        <v>0</v>
      </c>
      <c r="N205" s="24"/>
      <c r="O205" s="11"/>
    </row>
    <row r="206" spans="1:15" x14ac:dyDescent="0.2">
      <c r="A206" s="18">
        <f>+'SERVICIO FAENA'!E207</f>
        <v>0</v>
      </c>
      <c r="B206" s="20">
        <f>+'SERVICIO FAENA'!A207</f>
        <v>0</v>
      </c>
      <c r="C206" s="65"/>
      <c r="D206" s="65"/>
      <c r="E206" s="23"/>
      <c r="F206" s="16">
        <f t="shared" si="16"/>
        <v>0</v>
      </c>
      <c r="G206" s="38"/>
      <c r="H206" s="16">
        <f t="shared" si="17"/>
        <v>0</v>
      </c>
      <c r="I206" s="38"/>
      <c r="J206" s="16">
        <f t="shared" si="18"/>
        <v>0</v>
      </c>
      <c r="K206" s="23"/>
      <c r="L206" s="23"/>
      <c r="M206" s="16">
        <f t="shared" si="19"/>
        <v>0</v>
      </c>
      <c r="N206" s="26"/>
      <c r="O206" s="23"/>
    </row>
    <row r="207" spans="1:15" x14ac:dyDescent="0.2">
      <c r="A207" s="18">
        <f>+'SERVICIO FAENA'!E208</f>
        <v>0</v>
      </c>
      <c r="B207" s="20">
        <f>+'SERVICIO FAENA'!A208</f>
        <v>0</v>
      </c>
      <c r="C207" s="64"/>
      <c r="D207" s="64"/>
      <c r="E207" s="11"/>
      <c r="F207" s="16">
        <f t="shared" si="16"/>
        <v>0</v>
      </c>
      <c r="G207" s="38"/>
      <c r="H207" s="16">
        <f t="shared" si="17"/>
        <v>0</v>
      </c>
      <c r="I207" s="38"/>
      <c r="J207" s="16">
        <f t="shared" si="18"/>
        <v>0</v>
      </c>
      <c r="K207" s="11"/>
      <c r="L207" s="11"/>
      <c r="M207" s="16">
        <f t="shared" si="19"/>
        <v>0</v>
      </c>
      <c r="N207" s="24"/>
      <c r="O207" s="11"/>
    </row>
    <row r="208" spans="1:15" x14ac:dyDescent="0.2">
      <c r="A208" s="18">
        <f>+'SERVICIO FAENA'!E209</f>
        <v>0</v>
      </c>
      <c r="B208" s="20">
        <f>+'SERVICIO FAENA'!A209</f>
        <v>0</v>
      </c>
      <c r="C208" s="65"/>
      <c r="D208" s="65"/>
      <c r="E208" s="23"/>
      <c r="F208" s="16">
        <f t="shared" si="16"/>
        <v>0</v>
      </c>
      <c r="G208" s="38"/>
      <c r="H208" s="16">
        <f t="shared" si="17"/>
        <v>0</v>
      </c>
      <c r="I208" s="38"/>
      <c r="J208" s="16">
        <f t="shared" si="18"/>
        <v>0</v>
      </c>
      <c r="K208" s="23"/>
      <c r="L208" s="23"/>
      <c r="M208" s="16">
        <f t="shared" si="19"/>
        <v>0</v>
      </c>
      <c r="N208" s="26"/>
      <c r="O208" s="23"/>
    </row>
    <row r="209" spans="1:15" x14ac:dyDescent="0.2">
      <c r="A209" s="18">
        <f>+'SERVICIO FAENA'!E210</f>
        <v>0</v>
      </c>
      <c r="B209" s="20">
        <f>+'SERVICIO FAENA'!A210</f>
        <v>0</v>
      </c>
      <c r="C209" s="64"/>
      <c r="D209" s="64"/>
      <c r="E209" s="11"/>
      <c r="F209" s="16">
        <f t="shared" si="16"/>
        <v>0</v>
      </c>
      <c r="G209" s="38"/>
      <c r="H209" s="16">
        <f t="shared" si="17"/>
        <v>0</v>
      </c>
      <c r="I209" s="38"/>
      <c r="J209" s="16">
        <f t="shared" si="18"/>
        <v>0</v>
      </c>
      <c r="K209" s="11"/>
      <c r="L209" s="11"/>
      <c r="M209" s="16">
        <f t="shared" si="19"/>
        <v>0</v>
      </c>
      <c r="N209" s="24"/>
      <c r="O209" s="11"/>
    </row>
    <row r="210" spans="1:15" x14ac:dyDescent="0.2">
      <c r="A210" s="18">
        <f>+'SERVICIO FAENA'!E211</f>
        <v>0</v>
      </c>
      <c r="B210" s="20">
        <f>+'SERVICIO FAENA'!A211</f>
        <v>0</v>
      </c>
      <c r="C210" s="65"/>
      <c r="D210" s="65"/>
      <c r="E210" s="23"/>
      <c r="F210" s="16">
        <f t="shared" si="16"/>
        <v>0</v>
      </c>
      <c r="G210" s="38"/>
      <c r="H210" s="16">
        <f t="shared" si="17"/>
        <v>0</v>
      </c>
      <c r="I210" s="38"/>
      <c r="J210" s="16">
        <f t="shared" si="18"/>
        <v>0</v>
      </c>
      <c r="K210" s="23"/>
      <c r="L210" s="23"/>
      <c r="M210" s="16">
        <f t="shared" si="19"/>
        <v>0</v>
      </c>
      <c r="N210" s="26"/>
      <c r="O210" s="23"/>
    </row>
    <row r="211" spans="1:15" x14ac:dyDescent="0.2">
      <c r="A211" s="18">
        <f>+'SERVICIO FAENA'!E212</f>
        <v>0</v>
      </c>
      <c r="B211" s="20">
        <f>+'SERVICIO FAENA'!A212</f>
        <v>0</v>
      </c>
      <c r="C211" s="64"/>
      <c r="D211" s="64"/>
      <c r="E211" s="11"/>
      <c r="F211" s="16">
        <f t="shared" si="16"/>
        <v>0</v>
      </c>
      <c r="G211" s="38"/>
      <c r="H211" s="16">
        <f t="shared" si="17"/>
        <v>0</v>
      </c>
      <c r="I211" s="38"/>
      <c r="J211" s="16">
        <f t="shared" si="18"/>
        <v>0</v>
      </c>
      <c r="K211" s="11"/>
      <c r="L211" s="11"/>
      <c r="M211" s="16">
        <f t="shared" si="19"/>
        <v>0</v>
      </c>
      <c r="N211" s="24"/>
      <c r="O211" s="11"/>
    </row>
    <row r="212" spans="1:15" x14ac:dyDescent="0.2">
      <c r="A212" s="18">
        <f>+'SERVICIO FAENA'!E213</f>
        <v>0</v>
      </c>
      <c r="B212" s="20">
        <f>+'SERVICIO FAENA'!A213</f>
        <v>0</v>
      </c>
      <c r="C212" s="65"/>
      <c r="D212" s="65"/>
      <c r="E212" s="23"/>
      <c r="F212" s="16">
        <f t="shared" si="16"/>
        <v>0</v>
      </c>
      <c r="G212" s="38"/>
      <c r="H212" s="16">
        <f t="shared" si="17"/>
        <v>0</v>
      </c>
      <c r="I212" s="38"/>
      <c r="J212" s="16">
        <f t="shared" si="18"/>
        <v>0</v>
      </c>
      <c r="K212" s="23"/>
      <c r="L212" s="23"/>
      <c r="M212" s="16">
        <f t="shared" si="19"/>
        <v>0</v>
      </c>
      <c r="N212" s="26"/>
      <c r="O212" s="23"/>
    </row>
    <row r="213" spans="1:15" x14ac:dyDescent="0.2">
      <c r="A213" s="18">
        <f>+'SERVICIO FAENA'!E214</f>
        <v>0</v>
      </c>
      <c r="B213" s="20">
        <f>+'SERVICIO FAENA'!A214</f>
        <v>0</v>
      </c>
      <c r="C213" s="64"/>
      <c r="D213" s="64"/>
      <c r="E213" s="11"/>
      <c r="F213" s="16">
        <f t="shared" si="16"/>
        <v>0</v>
      </c>
      <c r="G213" s="38"/>
      <c r="H213" s="16">
        <f t="shared" si="17"/>
        <v>0</v>
      </c>
      <c r="I213" s="38"/>
      <c r="J213" s="16">
        <f t="shared" si="18"/>
        <v>0</v>
      </c>
      <c r="K213" s="11"/>
      <c r="L213" s="11"/>
      <c r="M213" s="16">
        <f t="shared" si="19"/>
        <v>0</v>
      </c>
      <c r="N213" s="24"/>
      <c r="O213" s="11"/>
    </row>
    <row r="214" spans="1:15" x14ac:dyDescent="0.2">
      <c r="A214" s="18">
        <f>+'SERVICIO FAENA'!E215</f>
        <v>0</v>
      </c>
      <c r="B214" s="20">
        <f>+'SERVICIO FAENA'!A215</f>
        <v>0</v>
      </c>
      <c r="C214" s="65"/>
      <c r="D214" s="65"/>
      <c r="E214" s="23"/>
      <c r="F214" s="16">
        <f t="shared" si="16"/>
        <v>0</v>
      </c>
      <c r="G214" s="38"/>
      <c r="H214" s="16">
        <f t="shared" si="17"/>
        <v>0</v>
      </c>
      <c r="I214" s="38"/>
      <c r="J214" s="16">
        <f t="shared" si="18"/>
        <v>0</v>
      </c>
      <c r="K214" s="23"/>
      <c r="L214" s="23"/>
      <c r="M214" s="16">
        <f t="shared" si="19"/>
        <v>0</v>
      </c>
      <c r="N214" s="26"/>
      <c r="O214" s="23"/>
    </row>
    <row r="215" spans="1:15" x14ac:dyDescent="0.2">
      <c r="A215" s="18">
        <f>+'SERVICIO FAENA'!E216</f>
        <v>0</v>
      </c>
      <c r="B215" s="20">
        <f>+'SERVICIO FAENA'!A216</f>
        <v>0</v>
      </c>
      <c r="C215" s="64"/>
      <c r="D215" s="64"/>
      <c r="E215" s="11"/>
      <c r="F215" s="16">
        <f t="shared" si="16"/>
        <v>0</v>
      </c>
      <c r="G215" s="38"/>
      <c r="H215" s="16">
        <f t="shared" si="17"/>
        <v>0</v>
      </c>
      <c r="I215" s="38"/>
      <c r="J215" s="16">
        <f t="shared" si="18"/>
        <v>0</v>
      </c>
      <c r="K215" s="11"/>
      <c r="L215" s="11"/>
      <c r="M215" s="16">
        <f t="shared" si="19"/>
        <v>0</v>
      </c>
      <c r="N215" s="24"/>
      <c r="O215" s="11"/>
    </row>
    <row r="216" spans="1:15" x14ac:dyDescent="0.2">
      <c r="A216" s="18">
        <f>+'SERVICIO FAENA'!E217</f>
        <v>0</v>
      </c>
      <c r="B216" s="20">
        <f>+'SERVICIO FAENA'!A217</f>
        <v>0</v>
      </c>
      <c r="C216" s="65"/>
      <c r="D216" s="65"/>
      <c r="E216" s="23"/>
      <c r="F216" s="16">
        <f t="shared" si="16"/>
        <v>0</v>
      </c>
      <c r="G216" s="38"/>
      <c r="H216" s="16">
        <f t="shared" si="17"/>
        <v>0</v>
      </c>
      <c r="I216" s="38"/>
      <c r="J216" s="16">
        <f t="shared" si="18"/>
        <v>0</v>
      </c>
      <c r="K216" s="23"/>
      <c r="L216" s="23"/>
      <c r="M216" s="16">
        <f t="shared" si="19"/>
        <v>0</v>
      </c>
      <c r="N216" s="26"/>
      <c r="O216" s="23"/>
    </row>
    <row r="217" spans="1:15" x14ac:dyDescent="0.2">
      <c r="A217" s="18">
        <f>+'SERVICIO FAENA'!E218</f>
        <v>0</v>
      </c>
      <c r="B217" s="20">
        <f>+'SERVICIO FAENA'!A218</f>
        <v>0</v>
      </c>
      <c r="C217" s="64"/>
      <c r="D217" s="64"/>
      <c r="E217" s="11"/>
      <c r="F217" s="16">
        <f t="shared" si="16"/>
        <v>0</v>
      </c>
      <c r="G217" s="38"/>
      <c r="H217" s="16">
        <f t="shared" si="17"/>
        <v>0</v>
      </c>
      <c r="I217" s="38"/>
      <c r="J217" s="16">
        <f t="shared" si="18"/>
        <v>0</v>
      </c>
      <c r="K217" s="11"/>
      <c r="L217" s="11"/>
      <c r="M217" s="16">
        <f t="shared" si="19"/>
        <v>0</v>
      </c>
      <c r="N217" s="24"/>
      <c r="O217" s="11"/>
    </row>
    <row r="218" spans="1:15" x14ac:dyDescent="0.2">
      <c r="A218" s="18">
        <f>+'SERVICIO FAENA'!E219</f>
        <v>0</v>
      </c>
      <c r="B218" s="20">
        <f>+'SERVICIO FAENA'!A219</f>
        <v>0</v>
      </c>
      <c r="C218" s="65"/>
      <c r="D218" s="65"/>
      <c r="E218" s="23"/>
      <c r="F218" s="16">
        <f t="shared" si="16"/>
        <v>0</v>
      </c>
      <c r="G218" s="38"/>
      <c r="H218" s="16">
        <f t="shared" si="17"/>
        <v>0</v>
      </c>
      <c r="I218" s="38"/>
      <c r="J218" s="16">
        <f t="shared" si="18"/>
        <v>0</v>
      </c>
      <c r="K218" s="23"/>
      <c r="L218" s="23"/>
      <c r="M218" s="16">
        <f t="shared" si="19"/>
        <v>0</v>
      </c>
      <c r="N218" s="26"/>
      <c r="O218" s="23"/>
    </row>
    <row r="219" spans="1:15" x14ac:dyDescent="0.2">
      <c r="A219" s="18">
        <f>+'SERVICIO FAENA'!E220</f>
        <v>0</v>
      </c>
      <c r="B219" s="20">
        <f>+'SERVICIO FAENA'!A220</f>
        <v>0</v>
      </c>
      <c r="C219" s="64"/>
      <c r="D219" s="64"/>
      <c r="E219" s="11"/>
      <c r="F219" s="16">
        <f t="shared" si="16"/>
        <v>0</v>
      </c>
      <c r="G219" s="38"/>
      <c r="H219" s="16">
        <f t="shared" si="17"/>
        <v>0</v>
      </c>
      <c r="I219" s="38"/>
      <c r="J219" s="16">
        <f t="shared" si="18"/>
        <v>0</v>
      </c>
      <c r="K219" s="11"/>
      <c r="L219" s="11"/>
      <c r="M219" s="16">
        <f t="shared" si="19"/>
        <v>0</v>
      </c>
      <c r="N219" s="24"/>
      <c r="O219" s="11"/>
    </row>
    <row r="220" spans="1:15" x14ac:dyDescent="0.2">
      <c r="A220" s="18">
        <f>+'SERVICIO FAENA'!E221</f>
        <v>0</v>
      </c>
      <c r="B220" s="20">
        <f>+'SERVICIO FAENA'!A221</f>
        <v>0</v>
      </c>
      <c r="C220" s="65"/>
      <c r="D220" s="65"/>
      <c r="E220" s="23"/>
      <c r="F220" s="16">
        <f t="shared" si="16"/>
        <v>0</v>
      </c>
      <c r="G220" s="38"/>
      <c r="H220" s="16">
        <f t="shared" si="17"/>
        <v>0</v>
      </c>
      <c r="I220" s="38"/>
      <c r="J220" s="16">
        <f t="shared" si="18"/>
        <v>0</v>
      </c>
      <c r="K220" s="23"/>
      <c r="L220" s="23"/>
      <c r="M220" s="16">
        <f t="shared" si="19"/>
        <v>0</v>
      </c>
      <c r="N220" s="26"/>
      <c r="O220" s="23"/>
    </row>
    <row r="221" spans="1:15" x14ac:dyDescent="0.2">
      <c r="A221" s="18">
        <f>+'SERVICIO FAENA'!E222</f>
        <v>0</v>
      </c>
      <c r="B221" s="20">
        <f>+'SERVICIO FAENA'!A222</f>
        <v>0</v>
      </c>
      <c r="C221" s="64"/>
      <c r="D221" s="64"/>
      <c r="E221" s="11"/>
      <c r="F221" s="16">
        <f t="shared" si="16"/>
        <v>0</v>
      </c>
      <c r="G221" s="38"/>
      <c r="H221" s="16">
        <f t="shared" si="17"/>
        <v>0</v>
      </c>
      <c r="I221" s="38"/>
      <c r="J221" s="16">
        <f t="shared" si="18"/>
        <v>0</v>
      </c>
      <c r="K221" s="11"/>
      <c r="L221" s="11"/>
      <c r="M221" s="16">
        <f t="shared" si="19"/>
        <v>0</v>
      </c>
      <c r="N221" s="24"/>
      <c r="O221" s="11"/>
    </row>
    <row r="222" spans="1:15" x14ac:dyDescent="0.2">
      <c r="A222" s="18">
        <f>+'SERVICIO FAENA'!E223</f>
        <v>0</v>
      </c>
      <c r="B222" s="20">
        <f>+'SERVICIO FAENA'!A223</f>
        <v>0</v>
      </c>
      <c r="C222" s="65"/>
      <c r="D222" s="65"/>
      <c r="E222" s="23"/>
      <c r="F222" s="16">
        <f t="shared" si="16"/>
        <v>0</v>
      </c>
      <c r="G222" s="38"/>
      <c r="H222" s="16">
        <f t="shared" si="17"/>
        <v>0</v>
      </c>
      <c r="I222" s="38"/>
      <c r="J222" s="16">
        <f t="shared" si="18"/>
        <v>0</v>
      </c>
      <c r="K222" s="23"/>
      <c r="L222" s="23"/>
      <c r="M222" s="16">
        <f t="shared" si="19"/>
        <v>0</v>
      </c>
      <c r="N222" s="26"/>
      <c r="O222" s="23"/>
    </row>
    <row r="223" spans="1:15" x14ac:dyDescent="0.2">
      <c r="A223" s="18">
        <f>+'SERVICIO FAENA'!E224</f>
        <v>0</v>
      </c>
      <c r="B223" s="20">
        <f>+'SERVICIO FAENA'!A224</f>
        <v>0</v>
      </c>
      <c r="C223" s="64"/>
      <c r="D223" s="64"/>
      <c r="E223" s="11"/>
      <c r="F223" s="16">
        <f t="shared" si="16"/>
        <v>0</v>
      </c>
      <c r="G223" s="38"/>
      <c r="H223" s="16">
        <f t="shared" si="17"/>
        <v>0</v>
      </c>
      <c r="I223" s="38"/>
      <c r="J223" s="16">
        <f t="shared" si="18"/>
        <v>0</v>
      </c>
      <c r="K223" s="11"/>
      <c r="L223" s="11"/>
      <c r="M223" s="16">
        <f t="shared" si="19"/>
        <v>0</v>
      </c>
      <c r="N223" s="24"/>
      <c r="O223" s="11"/>
    </row>
    <row r="224" spans="1:15" x14ac:dyDescent="0.2">
      <c r="A224" s="18">
        <f>+'SERVICIO FAENA'!E225</f>
        <v>0</v>
      </c>
      <c r="B224" s="20">
        <f>+'SERVICIO FAENA'!A225</f>
        <v>0</v>
      </c>
      <c r="C224" s="65"/>
      <c r="D224" s="65"/>
      <c r="E224" s="23"/>
      <c r="F224" s="16">
        <f t="shared" si="16"/>
        <v>0</v>
      </c>
      <c r="G224" s="38"/>
      <c r="H224" s="16">
        <f t="shared" si="17"/>
        <v>0</v>
      </c>
      <c r="I224" s="38"/>
      <c r="J224" s="16">
        <f t="shared" si="18"/>
        <v>0</v>
      </c>
      <c r="K224" s="23"/>
      <c r="L224" s="23"/>
      <c r="M224" s="16">
        <f t="shared" si="19"/>
        <v>0</v>
      </c>
      <c r="N224" s="26"/>
      <c r="O224" s="23"/>
    </row>
    <row r="225" spans="1:15" x14ac:dyDescent="0.2">
      <c r="A225" s="18">
        <f>+'SERVICIO FAENA'!E226</f>
        <v>0</v>
      </c>
      <c r="B225" s="20">
        <f>+'SERVICIO FAENA'!A226</f>
        <v>0</v>
      </c>
      <c r="C225" s="64"/>
      <c r="D225" s="64"/>
      <c r="E225" s="11"/>
      <c r="F225" s="16">
        <f t="shared" si="16"/>
        <v>0</v>
      </c>
      <c r="G225" s="38"/>
      <c r="H225" s="16">
        <f t="shared" si="17"/>
        <v>0</v>
      </c>
      <c r="I225" s="38"/>
      <c r="J225" s="16">
        <f t="shared" si="18"/>
        <v>0</v>
      </c>
      <c r="K225" s="11"/>
      <c r="L225" s="11"/>
      <c r="M225" s="16">
        <f t="shared" si="19"/>
        <v>0</v>
      </c>
      <c r="N225" s="24"/>
      <c r="O225" s="11"/>
    </row>
    <row r="226" spans="1:15" x14ac:dyDescent="0.2">
      <c r="A226" s="18">
        <f>+'SERVICIO FAENA'!E227</f>
        <v>0</v>
      </c>
      <c r="B226" s="20">
        <f>+'SERVICIO FAENA'!A227</f>
        <v>0</v>
      </c>
      <c r="C226" s="65"/>
      <c r="D226" s="65"/>
      <c r="E226" s="23"/>
      <c r="F226" s="16">
        <f t="shared" si="16"/>
        <v>0</v>
      </c>
      <c r="G226" s="38"/>
      <c r="H226" s="16">
        <f t="shared" si="17"/>
        <v>0</v>
      </c>
      <c r="I226" s="38"/>
      <c r="J226" s="16">
        <f t="shared" si="18"/>
        <v>0</v>
      </c>
      <c r="K226" s="23"/>
      <c r="L226" s="23"/>
      <c r="M226" s="16">
        <f t="shared" si="19"/>
        <v>0</v>
      </c>
      <c r="N226" s="26"/>
      <c r="O226" s="23"/>
    </row>
    <row r="227" spans="1:15" x14ac:dyDescent="0.2">
      <c r="A227" s="18">
        <f>+'SERVICIO FAENA'!E228</f>
        <v>0</v>
      </c>
      <c r="B227" s="20">
        <f>+'SERVICIO FAENA'!A228</f>
        <v>0</v>
      </c>
      <c r="C227" s="64"/>
      <c r="D227" s="64"/>
      <c r="E227" s="11"/>
      <c r="F227" s="16">
        <f t="shared" si="16"/>
        <v>0</v>
      </c>
      <c r="G227" s="38"/>
      <c r="H227" s="16">
        <f t="shared" si="17"/>
        <v>0</v>
      </c>
      <c r="I227" s="38"/>
      <c r="J227" s="16">
        <f t="shared" si="18"/>
        <v>0</v>
      </c>
      <c r="K227" s="11"/>
      <c r="L227" s="11"/>
      <c r="M227" s="16">
        <f t="shared" si="19"/>
        <v>0</v>
      </c>
      <c r="N227" s="24"/>
      <c r="O227" s="11"/>
    </row>
    <row r="228" spans="1:15" x14ac:dyDescent="0.2">
      <c r="A228" s="18">
        <f>+'SERVICIO FAENA'!E229</f>
        <v>0</v>
      </c>
      <c r="B228" s="20">
        <f>+'SERVICIO FAENA'!A229</f>
        <v>0</v>
      </c>
      <c r="C228" s="65"/>
      <c r="D228" s="65"/>
      <c r="E228" s="23"/>
      <c r="F228" s="16">
        <f t="shared" ref="F228:F291" si="20">+E228*C228</f>
        <v>0</v>
      </c>
      <c r="G228" s="38"/>
      <c r="H228" s="16">
        <f t="shared" ref="H228:H291" si="21">+G228*C228</f>
        <v>0</v>
      </c>
      <c r="I228" s="38"/>
      <c r="J228" s="16">
        <f t="shared" ref="J228:J291" si="22">+I228*D228</f>
        <v>0</v>
      </c>
      <c r="K228" s="23"/>
      <c r="L228" s="23"/>
      <c r="M228" s="16">
        <f t="shared" ref="M228:M291" si="23">+F228+H228+J228</f>
        <v>0</v>
      </c>
      <c r="N228" s="26"/>
      <c r="O228" s="23"/>
    </row>
    <row r="229" spans="1:15" x14ac:dyDescent="0.2">
      <c r="A229" s="18">
        <f>+'SERVICIO FAENA'!E230</f>
        <v>0</v>
      </c>
      <c r="B229" s="20">
        <f>+'SERVICIO FAENA'!A230</f>
        <v>0</v>
      </c>
      <c r="C229" s="64"/>
      <c r="D229" s="64"/>
      <c r="E229" s="11"/>
      <c r="F229" s="16">
        <f t="shared" si="20"/>
        <v>0</v>
      </c>
      <c r="G229" s="38"/>
      <c r="H229" s="16">
        <f t="shared" si="21"/>
        <v>0</v>
      </c>
      <c r="I229" s="38"/>
      <c r="J229" s="16">
        <f t="shared" si="22"/>
        <v>0</v>
      </c>
      <c r="K229" s="11"/>
      <c r="L229" s="11"/>
      <c r="M229" s="16">
        <f t="shared" si="23"/>
        <v>0</v>
      </c>
      <c r="N229" s="24"/>
      <c r="O229" s="11"/>
    </row>
    <row r="230" spans="1:15" x14ac:dyDescent="0.2">
      <c r="A230" s="18">
        <f>+'SERVICIO FAENA'!E231</f>
        <v>0</v>
      </c>
      <c r="B230" s="20">
        <f>+'SERVICIO FAENA'!A231</f>
        <v>0</v>
      </c>
      <c r="C230" s="65"/>
      <c r="D230" s="65"/>
      <c r="E230" s="23"/>
      <c r="F230" s="16">
        <f t="shared" si="20"/>
        <v>0</v>
      </c>
      <c r="G230" s="38"/>
      <c r="H230" s="16">
        <f t="shared" si="21"/>
        <v>0</v>
      </c>
      <c r="I230" s="38"/>
      <c r="J230" s="16">
        <f t="shared" si="22"/>
        <v>0</v>
      </c>
      <c r="K230" s="23"/>
      <c r="L230" s="23"/>
      <c r="M230" s="16">
        <f t="shared" si="23"/>
        <v>0</v>
      </c>
      <c r="N230" s="26"/>
      <c r="O230" s="23"/>
    </row>
    <row r="231" spans="1:15" x14ac:dyDescent="0.2">
      <c r="A231" s="18">
        <f>+'SERVICIO FAENA'!E232</f>
        <v>0</v>
      </c>
      <c r="B231" s="20">
        <f>+'SERVICIO FAENA'!A232</f>
        <v>0</v>
      </c>
      <c r="C231" s="64"/>
      <c r="D231" s="64"/>
      <c r="E231" s="11"/>
      <c r="F231" s="16">
        <f t="shared" si="20"/>
        <v>0</v>
      </c>
      <c r="G231" s="38"/>
      <c r="H231" s="16">
        <f t="shared" si="21"/>
        <v>0</v>
      </c>
      <c r="I231" s="38"/>
      <c r="J231" s="16">
        <f t="shared" si="22"/>
        <v>0</v>
      </c>
      <c r="K231" s="11"/>
      <c r="L231" s="11"/>
      <c r="M231" s="16">
        <f t="shared" si="23"/>
        <v>0</v>
      </c>
      <c r="N231" s="24"/>
      <c r="O231" s="11"/>
    </row>
    <row r="232" spans="1:15" x14ac:dyDescent="0.2">
      <c r="A232" s="18">
        <f>+'SERVICIO FAENA'!E233</f>
        <v>0</v>
      </c>
      <c r="B232" s="20">
        <f>+'SERVICIO FAENA'!A233</f>
        <v>0</v>
      </c>
      <c r="C232" s="65"/>
      <c r="D232" s="65"/>
      <c r="E232" s="23"/>
      <c r="F232" s="16">
        <f t="shared" si="20"/>
        <v>0</v>
      </c>
      <c r="G232" s="38"/>
      <c r="H232" s="16">
        <f t="shared" si="21"/>
        <v>0</v>
      </c>
      <c r="I232" s="38"/>
      <c r="J232" s="16">
        <f t="shared" si="22"/>
        <v>0</v>
      </c>
      <c r="K232" s="23"/>
      <c r="L232" s="23"/>
      <c r="M232" s="16">
        <f t="shared" si="23"/>
        <v>0</v>
      </c>
      <c r="N232" s="26"/>
      <c r="O232" s="23"/>
    </row>
    <row r="233" spans="1:15" x14ac:dyDescent="0.2">
      <c r="A233" s="18">
        <f>+'SERVICIO FAENA'!E234</f>
        <v>0</v>
      </c>
      <c r="B233" s="20">
        <f>+'SERVICIO FAENA'!A234</f>
        <v>0</v>
      </c>
      <c r="C233" s="64"/>
      <c r="D233" s="64"/>
      <c r="E233" s="11"/>
      <c r="F233" s="16">
        <f t="shared" si="20"/>
        <v>0</v>
      </c>
      <c r="G233" s="38"/>
      <c r="H233" s="16">
        <f t="shared" si="21"/>
        <v>0</v>
      </c>
      <c r="I233" s="38"/>
      <c r="J233" s="16">
        <f t="shared" si="22"/>
        <v>0</v>
      </c>
      <c r="K233" s="11"/>
      <c r="L233" s="11"/>
      <c r="M233" s="16">
        <f t="shared" si="23"/>
        <v>0</v>
      </c>
      <c r="N233" s="24"/>
      <c r="O233" s="11"/>
    </row>
    <row r="234" spans="1:15" x14ac:dyDescent="0.2">
      <c r="A234" s="18">
        <f>+'SERVICIO FAENA'!E235</f>
        <v>0</v>
      </c>
      <c r="B234" s="20">
        <f>+'SERVICIO FAENA'!A235</f>
        <v>0</v>
      </c>
      <c r="C234" s="65"/>
      <c r="D234" s="65"/>
      <c r="E234" s="23"/>
      <c r="F234" s="16">
        <f t="shared" si="20"/>
        <v>0</v>
      </c>
      <c r="G234" s="38"/>
      <c r="H234" s="16">
        <f t="shared" si="21"/>
        <v>0</v>
      </c>
      <c r="I234" s="38"/>
      <c r="J234" s="16">
        <f t="shared" si="22"/>
        <v>0</v>
      </c>
      <c r="K234" s="23"/>
      <c r="L234" s="23"/>
      <c r="M234" s="16">
        <f t="shared" si="23"/>
        <v>0</v>
      </c>
      <c r="N234" s="26"/>
      <c r="O234" s="23"/>
    </row>
    <row r="235" spans="1:15" x14ac:dyDescent="0.2">
      <c r="A235" s="18">
        <f>+'SERVICIO FAENA'!E236</f>
        <v>0</v>
      </c>
      <c r="B235" s="20">
        <f>+'SERVICIO FAENA'!A236</f>
        <v>0</v>
      </c>
      <c r="C235" s="64"/>
      <c r="D235" s="64"/>
      <c r="E235" s="11"/>
      <c r="F235" s="16">
        <f t="shared" si="20"/>
        <v>0</v>
      </c>
      <c r="G235" s="38"/>
      <c r="H235" s="16">
        <f t="shared" si="21"/>
        <v>0</v>
      </c>
      <c r="I235" s="38"/>
      <c r="J235" s="16">
        <f t="shared" si="22"/>
        <v>0</v>
      </c>
      <c r="K235" s="11"/>
      <c r="L235" s="11"/>
      <c r="M235" s="16">
        <f t="shared" si="23"/>
        <v>0</v>
      </c>
      <c r="N235" s="24"/>
      <c r="O235" s="11"/>
    </row>
    <row r="236" spans="1:15" x14ac:dyDescent="0.2">
      <c r="A236" s="18">
        <f>+'SERVICIO FAENA'!E237</f>
        <v>0</v>
      </c>
      <c r="B236" s="20">
        <f>+'SERVICIO FAENA'!A237</f>
        <v>0</v>
      </c>
      <c r="C236" s="65"/>
      <c r="D236" s="65"/>
      <c r="E236" s="23"/>
      <c r="F236" s="16">
        <f t="shared" si="20"/>
        <v>0</v>
      </c>
      <c r="G236" s="38"/>
      <c r="H236" s="16">
        <f t="shared" si="21"/>
        <v>0</v>
      </c>
      <c r="I236" s="38"/>
      <c r="J236" s="16">
        <f t="shared" si="22"/>
        <v>0</v>
      </c>
      <c r="K236" s="23"/>
      <c r="L236" s="23"/>
      <c r="M236" s="16">
        <f t="shared" si="23"/>
        <v>0</v>
      </c>
      <c r="N236" s="26"/>
      <c r="O236" s="23"/>
    </row>
    <row r="237" spans="1:15" x14ac:dyDescent="0.2">
      <c r="A237" s="18">
        <f>+'SERVICIO FAENA'!E238</f>
        <v>0</v>
      </c>
      <c r="B237" s="20">
        <f>+'SERVICIO FAENA'!A238</f>
        <v>0</v>
      </c>
      <c r="C237" s="64"/>
      <c r="D237" s="64"/>
      <c r="E237" s="11"/>
      <c r="F237" s="16">
        <f t="shared" si="20"/>
        <v>0</v>
      </c>
      <c r="G237" s="38"/>
      <c r="H237" s="16">
        <f t="shared" si="21"/>
        <v>0</v>
      </c>
      <c r="I237" s="38"/>
      <c r="J237" s="16">
        <f t="shared" si="22"/>
        <v>0</v>
      </c>
      <c r="K237" s="11"/>
      <c r="L237" s="11"/>
      <c r="M237" s="16">
        <f t="shared" si="23"/>
        <v>0</v>
      </c>
      <c r="N237" s="24"/>
      <c r="O237" s="11"/>
    </row>
    <row r="238" spans="1:15" x14ac:dyDescent="0.2">
      <c r="A238" s="18">
        <f>+'SERVICIO FAENA'!E239</f>
        <v>0</v>
      </c>
      <c r="B238" s="20">
        <f>+'SERVICIO FAENA'!A239</f>
        <v>0</v>
      </c>
      <c r="C238" s="65"/>
      <c r="D238" s="65"/>
      <c r="E238" s="23"/>
      <c r="F238" s="16">
        <f t="shared" si="20"/>
        <v>0</v>
      </c>
      <c r="G238" s="38"/>
      <c r="H238" s="16">
        <f t="shared" si="21"/>
        <v>0</v>
      </c>
      <c r="I238" s="38"/>
      <c r="J238" s="16">
        <f t="shared" si="22"/>
        <v>0</v>
      </c>
      <c r="K238" s="23"/>
      <c r="L238" s="23"/>
      <c r="M238" s="16">
        <f t="shared" si="23"/>
        <v>0</v>
      </c>
      <c r="N238" s="26"/>
      <c r="O238" s="23"/>
    </row>
    <row r="239" spans="1:15" x14ac:dyDescent="0.2">
      <c r="A239" s="18">
        <f>+'SERVICIO FAENA'!E240</f>
        <v>0</v>
      </c>
      <c r="B239" s="20">
        <f>+'SERVICIO FAENA'!A240</f>
        <v>0</v>
      </c>
      <c r="C239" s="64"/>
      <c r="D239" s="64"/>
      <c r="E239" s="11"/>
      <c r="F239" s="16">
        <f t="shared" si="20"/>
        <v>0</v>
      </c>
      <c r="G239" s="38"/>
      <c r="H239" s="16">
        <f t="shared" si="21"/>
        <v>0</v>
      </c>
      <c r="I239" s="38"/>
      <c r="J239" s="16">
        <f t="shared" si="22"/>
        <v>0</v>
      </c>
      <c r="K239" s="11"/>
      <c r="L239" s="11"/>
      <c r="M239" s="16">
        <f t="shared" si="23"/>
        <v>0</v>
      </c>
      <c r="N239" s="24"/>
      <c r="O239" s="11"/>
    </row>
    <row r="240" spans="1:15" x14ac:dyDescent="0.2">
      <c r="A240" s="18">
        <f>+'SERVICIO FAENA'!E241</f>
        <v>0</v>
      </c>
      <c r="B240" s="20">
        <f>+'SERVICIO FAENA'!A241</f>
        <v>0</v>
      </c>
      <c r="C240" s="65"/>
      <c r="D240" s="65"/>
      <c r="E240" s="23"/>
      <c r="F240" s="16">
        <f t="shared" si="20"/>
        <v>0</v>
      </c>
      <c r="G240" s="38"/>
      <c r="H240" s="16">
        <f t="shared" si="21"/>
        <v>0</v>
      </c>
      <c r="I240" s="38"/>
      <c r="J240" s="16">
        <f t="shared" si="22"/>
        <v>0</v>
      </c>
      <c r="K240" s="23"/>
      <c r="L240" s="23"/>
      <c r="M240" s="16">
        <f t="shared" si="23"/>
        <v>0</v>
      </c>
      <c r="N240" s="26"/>
      <c r="O240" s="23"/>
    </row>
    <row r="241" spans="1:15" x14ac:dyDescent="0.2">
      <c r="A241" s="18">
        <f>+'SERVICIO FAENA'!E242</f>
        <v>0</v>
      </c>
      <c r="B241" s="20">
        <f>+'SERVICIO FAENA'!A242</f>
        <v>0</v>
      </c>
      <c r="C241" s="64"/>
      <c r="D241" s="64"/>
      <c r="E241" s="11"/>
      <c r="F241" s="16">
        <f t="shared" si="20"/>
        <v>0</v>
      </c>
      <c r="G241" s="38"/>
      <c r="H241" s="16">
        <f t="shared" si="21"/>
        <v>0</v>
      </c>
      <c r="I241" s="38"/>
      <c r="J241" s="16">
        <f t="shared" si="22"/>
        <v>0</v>
      </c>
      <c r="K241" s="11"/>
      <c r="L241" s="11"/>
      <c r="M241" s="16">
        <f t="shared" si="23"/>
        <v>0</v>
      </c>
      <c r="N241" s="24"/>
      <c r="O241" s="11"/>
    </row>
    <row r="242" spans="1:15" x14ac:dyDescent="0.2">
      <c r="A242" s="18">
        <f>+'SERVICIO FAENA'!E243</f>
        <v>0</v>
      </c>
      <c r="B242" s="20">
        <f>+'SERVICIO FAENA'!A243</f>
        <v>0</v>
      </c>
      <c r="C242" s="65"/>
      <c r="D242" s="65"/>
      <c r="E242" s="23"/>
      <c r="F242" s="16">
        <f t="shared" si="20"/>
        <v>0</v>
      </c>
      <c r="G242" s="38"/>
      <c r="H242" s="16">
        <f t="shared" si="21"/>
        <v>0</v>
      </c>
      <c r="I242" s="38"/>
      <c r="J242" s="16">
        <f t="shared" si="22"/>
        <v>0</v>
      </c>
      <c r="K242" s="23"/>
      <c r="L242" s="23"/>
      <c r="M242" s="16">
        <f t="shared" si="23"/>
        <v>0</v>
      </c>
      <c r="N242" s="26"/>
      <c r="O242" s="23"/>
    </row>
    <row r="243" spans="1:15" x14ac:dyDescent="0.2">
      <c r="A243" s="18">
        <f>+'SERVICIO FAENA'!E244</f>
        <v>0</v>
      </c>
      <c r="B243" s="20">
        <f>+'SERVICIO FAENA'!A244</f>
        <v>0</v>
      </c>
      <c r="C243" s="64"/>
      <c r="D243" s="64"/>
      <c r="E243" s="11"/>
      <c r="F243" s="16">
        <f t="shared" si="20"/>
        <v>0</v>
      </c>
      <c r="G243" s="38"/>
      <c r="H243" s="16">
        <f t="shared" si="21"/>
        <v>0</v>
      </c>
      <c r="I243" s="38"/>
      <c r="J243" s="16">
        <f t="shared" si="22"/>
        <v>0</v>
      </c>
      <c r="K243" s="11"/>
      <c r="L243" s="11"/>
      <c r="M243" s="16">
        <f t="shared" si="23"/>
        <v>0</v>
      </c>
      <c r="N243" s="24"/>
      <c r="O243" s="11"/>
    </row>
    <row r="244" spans="1:15" x14ac:dyDescent="0.2">
      <c r="A244" s="18">
        <f>+'SERVICIO FAENA'!E245</f>
        <v>0</v>
      </c>
      <c r="B244" s="20">
        <f>+'SERVICIO FAENA'!A245</f>
        <v>0</v>
      </c>
      <c r="C244" s="65"/>
      <c r="D244" s="65"/>
      <c r="E244" s="23"/>
      <c r="F244" s="16">
        <f t="shared" si="20"/>
        <v>0</v>
      </c>
      <c r="G244" s="38"/>
      <c r="H244" s="16">
        <f t="shared" si="21"/>
        <v>0</v>
      </c>
      <c r="I244" s="38"/>
      <c r="J244" s="16">
        <f t="shared" si="22"/>
        <v>0</v>
      </c>
      <c r="K244" s="23"/>
      <c r="L244" s="23"/>
      <c r="M244" s="16">
        <f t="shared" si="23"/>
        <v>0</v>
      </c>
      <c r="N244" s="26"/>
      <c r="O244" s="23"/>
    </row>
    <row r="245" spans="1:15" x14ac:dyDescent="0.2">
      <c r="A245" s="18">
        <f>+'SERVICIO FAENA'!E246</f>
        <v>0</v>
      </c>
      <c r="B245" s="20">
        <f>+'SERVICIO FAENA'!A246</f>
        <v>0</v>
      </c>
      <c r="C245" s="64"/>
      <c r="D245" s="64"/>
      <c r="E245" s="11"/>
      <c r="F245" s="16">
        <f t="shared" si="20"/>
        <v>0</v>
      </c>
      <c r="G245" s="38"/>
      <c r="H245" s="16">
        <f t="shared" si="21"/>
        <v>0</v>
      </c>
      <c r="I245" s="38"/>
      <c r="J245" s="16">
        <f t="shared" si="22"/>
        <v>0</v>
      </c>
      <c r="K245" s="11"/>
      <c r="L245" s="11"/>
      <c r="M245" s="16">
        <f t="shared" si="23"/>
        <v>0</v>
      </c>
      <c r="N245" s="24"/>
      <c r="O245" s="11"/>
    </row>
    <row r="246" spans="1:15" x14ac:dyDescent="0.2">
      <c r="A246" s="18">
        <f>+'SERVICIO FAENA'!E247</f>
        <v>0</v>
      </c>
      <c r="B246" s="20">
        <f>+'SERVICIO FAENA'!A247</f>
        <v>0</v>
      </c>
      <c r="C246" s="65"/>
      <c r="D246" s="65"/>
      <c r="E246" s="23"/>
      <c r="F246" s="16">
        <f t="shared" si="20"/>
        <v>0</v>
      </c>
      <c r="G246" s="38"/>
      <c r="H246" s="16">
        <f t="shared" si="21"/>
        <v>0</v>
      </c>
      <c r="I246" s="38"/>
      <c r="J246" s="16">
        <f t="shared" si="22"/>
        <v>0</v>
      </c>
      <c r="K246" s="23"/>
      <c r="L246" s="23"/>
      <c r="M246" s="16">
        <f t="shared" si="23"/>
        <v>0</v>
      </c>
      <c r="N246" s="26"/>
      <c r="O246" s="23"/>
    </row>
    <row r="247" spans="1:15" x14ac:dyDescent="0.2">
      <c r="A247" s="18">
        <f>+'SERVICIO FAENA'!E248</f>
        <v>0</v>
      </c>
      <c r="B247" s="20">
        <f>+'SERVICIO FAENA'!A248</f>
        <v>0</v>
      </c>
      <c r="C247" s="64"/>
      <c r="D247" s="64"/>
      <c r="E247" s="11"/>
      <c r="F247" s="16">
        <f t="shared" si="20"/>
        <v>0</v>
      </c>
      <c r="G247" s="38"/>
      <c r="H247" s="16">
        <f t="shared" si="21"/>
        <v>0</v>
      </c>
      <c r="I247" s="38"/>
      <c r="J247" s="16">
        <f t="shared" si="22"/>
        <v>0</v>
      </c>
      <c r="K247" s="11"/>
      <c r="L247" s="11"/>
      <c r="M247" s="16">
        <f t="shared" si="23"/>
        <v>0</v>
      </c>
      <c r="N247" s="24"/>
      <c r="O247" s="11"/>
    </row>
    <row r="248" spans="1:15" x14ac:dyDescent="0.2">
      <c r="A248" s="18">
        <f>+'SERVICIO FAENA'!E249</f>
        <v>0</v>
      </c>
      <c r="B248" s="20">
        <f>+'SERVICIO FAENA'!A249</f>
        <v>0</v>
      </c>
      <c r="C248" s="65"/>
      <c r="D248" s="65"/>
      <c r="E248" s="23"/>
      <c r="F248" s="16">
        <f t="shared" si="20"/>
        <v>0</v>
      </c>
      <c r="G248" s="38"/>
      <c r="H248" s="16">
        <f t="shared" si="21"/>
        <v>0</v>
      </c>
      <c r="I248" s="38"/>
      <c r="J248" s="16">
        <f t="shared" si="22"/>
        <v>0</v>
      </c>
      <c r="K248" s="23"/>
      <c r="L248" s="23"/>
      <c r="M248" s="16">
        <f t="shared" si="23"/>
        <v>0</v>
      </c>
      <c r="N248" s="26"/>
      <c r="O248" s="23"/>
    </row>
    <row r="249" spans="1:15" x14ac:dyDescent="0.2">
      <c r="A249" s="18">
        <f>+'SERVICIO FAENA'!E250</f>
        <v>0</v>
      </c>
      <c r="B249" s="20">
        <f>+'SERVICIO FAENA'!A250</f>
        <v>0</v>
      </c>
      <c r="C249" s="64"/>
      <c r="D249" s="64"/>
      <c r="E249" s="11"/>
      <c r="F249" s="16">
        <f t="shared" si="20"/>
        <v>0</v>
      </c>
      <c r="G249" s="38"/>
      <c r="H249" s="16">
        <f t="shared" si="21"/>
        <v>0</v>
      </c>
      <c r="I249" s="38"/>
      <c r="J249" s="16">
        <f t="shared" si="22"/>
        <v>0</v>
      </c>
      <c r="K249" s="11"/>
      <c r="L249" s="11"/>
      <c r="M249" s="16">
        <f t="shared" si="23"/>
        <v>0</v>
      </c>
      <c r="N249" s="24"/>
      <c r="O249" s="11"/>
    </row>
    <row r="250" spans="1:15" x14ac:dyDescent="0.2">
      <c r="A250" s="18">
        <f>+'SERVICIO FAENA'!E251</f>
        <v>0</v>
      </c>
      <c r="B250" s="20">
        <f>+'SERVICIO FAENA'!A251</f>
        <v>0</v>
      </c>
      <c r="C250" s="65"/>
      <c r="D250" s="65"/>
      <c r="E250" s="23"/>
      <c r="F250" s="16">
        <f t="shared" si="20"/>
        <v>0</v>
      </c>
      <c r="G250" s="38"/>
      <c r="H250" s="16">
        <f t="shared" si="21"/>
        <v>0</v>
      </c>
      <c r="I250" s="38"/>
      <c r="J250" s="16">
        <f t="shared" si="22"/>
        <v>0</v>
      </c>
      <c r="K250" s="23"/>
      <c r="L250" s="23"/>
      <c r="M250" s="16">
        <f t="shared" si="23"/>
        <v>0</v>
      </c>
      <c r="N250" s="26"/>
      <c r="O250" s="23"/>
    </row>
    <row r="251" spans="1:15" x14ac:dyDescent="0.2">
      <c r="A251" s="18">
        <f>+'SERVICIO FAENA'!E252</f>
        <v>0</v>
      </c>
      <c r="B251" s="20">
        <f>+'SERVICIO FAENA'!A252</f>
        <v>0</v>
      </c>
      <c r="C251" s="64"/>
      <c r="D251" s="64"/>
      <c r="E251" s="11"/>
      <c r="F251" s="16">
        <f t="shared" si="20"/>
        <v>0</v>
      </c>
      <c r="G251" s="38"/>
      <c r="H251" s="16">
        <f t="shared" si="21"/>
        <v>0</v>
      </c>
      <c r="I251" s="38"/>
      <c r="J251" s="16">
        <f t="shared" si="22"/>
        <v>0</v>
      </c>
      <c r="K251" s="11"/>
      <c r="L251" s="11"/>
      <c r="M251" s="16">
        <f t="shared" si="23"/>
        <v>0</v>
      </c>
      <c r="N251" s="24"/>
      <c r="O251" s="11"/>
    </row>
    <row r="252" spans="1:15" x14ac:dyDescent="0.2">
      <c r="A252" s="18">
        <f>+'SERVICIO FAENA'!E253</f>
        <v>0</v>
      </c>
      <c r="B252" s="20">
        <f>+'SERVICIO FAENA'!A253</f>
        <v>0</v>
      </c>
      <c r="C252" s="65"/>
      <c r="D252" s="65"/>
      <c r="E252" s="23"/>
      <c r="F252" s="16">
        <f t="shared" si="20"/>
        <v>0</v>
      </c>
      <c r="G252" s="38"/>
      <c r="H252" s="16">
        <f t="shared" si="21"/>
        <v>0</v>
      </c>
      <c r="I252" s="38"/>
      <c r="J252" s="16">
        <f t="shared" si="22"/>
        <v>0</v>
      </c>
      <c r="K252" s="23"/>
      <c r="L252" s="23"/>
      <c r="M252" s="16">
        <f t="shared" si="23"/>
        <v>0</v>
      </c>
      <c r="N252" s="26"/>
      <c r="O252" s="23"/>
    </row>
    <row r="253" spans="1:15" x14ac:dyDescent="0.2">
      <c r="A253" s="18">
        <f>+'SERVICIO FAENA'!E254</f>
        <v>0</v>
      </c>
      <c r="B253" s="20">
        <f>+'SERVICIO FAENA'!A254</f>
        <v>0</v>
      </c>
      <c r="C253" s="64"/>
      <c r="D253" s="64"/>
      <c r="E253" s="11"/>
      <c r="F253" s="16">
        <f t="shared" si="20"/>
        <v>0</v>
      </c>
      <c r="G253" s="38"/>
      <c r="H253" s="16">
        <f t="shared" si="21"/>
        <v>0</v>
      </c>
      <c r="I253" s="38"/>
      <c r="J253" s="16">
        <f t="shared" si="22"/>
        <v>0</v>
      </c>
      <c r="K253" s="11"/>
      <c r="L253" s="11"/>
      <c r="M253" s="16">
        <f t="shared" si="23"/>
        <v>0</v>
      </c>
      <c r="N253" s="24"/>
      <c r="O253" s="11"/>
    </row>
    <row r="254" spans="1:15" x14ac:dyDescent="0.2">
      <c r="A254" s="18">
        <f>+'SERVICIO FAENA'!E255</f>
        <v>0</v>
      </c>
      <c r="B254" s="20">
        <f>+'SERVICIO FAENA'!A255</f>
        <v>0</v>
      </c>
      <c r="C254" s="65"/>
      <c r="D254" s="65"/>
      <c r="E254" s="23"/>
      <c r="F254" s="16">
        <f t="shared" si="20"/>
        <v>0</v>
      </c>
      <c r="G254" s="38"/>
      <c r="H254" s="16">
        <f t="shared" si="21"/>
        <v>0</v>
      </c>
      <c r="I254" s="38"/>
      <c r="J254" s="16">
        <f t="shared" si="22"/>
        <v>0</v>
      </c>
      <c r="K254" s="23"/>
      <c r="L254" s="23"/>
      <c r="M254" s="16">
        <f t="shared" si="23"/>
        <v>0</v>
      </c>
      <c r="N254" s="26"/>
      <c r="O254" s="23"/>
    </row>
    <row r="255" spans="1:15" x14ac:dyDescent="0.2">
      <c r="A255" s="18">
        <f>+'SERVICIO FAENA'!E256</f>
        <v>0</v>
      </c>
      <c r="B255" s="20">
        <f>+'SERVICIO FAENA'!A256</f>
        <v>0</v>
      </c>
      <c r="C255" s="64"/>
      <c r="D255" s="64"/>
      <c r="E255" s="11"/>
      <c r="F255" s="16">
        <f t="shared" si="20"/>
        <v>0</v>
      </c>
      <c r="G255" s="38"/>
      <c r="H255" s="16">
        <f t="shared" si="21"/>
        <v>0</v>
      </c>
      <c r="I255" s="38"/>
      <c r="J255" s="16">
        <f t="shared" si="22"/>
        <v>0</v>
      </c>
      <c r="K255" s="11"/>
      <c r="L255" s="11"/>
      <c r="M255" s="16">
        <f t="shared" si="23"/>
        <v>0</v>
      </c>
      <c r="N255" s="24"/>
      <c r="O255" s="11"/>
    </row>
    <row r="256" spans="1:15" x14ac:dyDescent="0.2">
      <c r="A256" s="18">
        <f>+'SERVICIO FAENA'!E257</f>
        <v>0</v>
      </c>
      <c r="B256" s="20">
        <f>+'SERVICIO FAENA'!A257</f>
        <v>0</v>
      </c>
      <c r="C256" s="65"/>
      <c r="D256" s="65"/>
      <c r="E256" s="23"/>
      <c r="F256" s="16">
        <f t="shared" si="20"/>
        <v>0</v>
      </c>
      <c r="G256" s="38"/>
      <c r="H256" s="16">
        <f t="shared" si="21"/>
        <v>0</v>
      </c>
      <c r="I256" s="38"/>
      <c r="J256" s="16">
        <f t="shared" si="22"/>
        <v>0</v>
      </c>
      <c r="K256" s="23"/>
      <c r="L256" s="23"/>
      <c r="M256" s="16">
        <f t="shared" si="23"/>
        <v>0</v>
      </c>
      <c r="N256" s="26"/>
      <c r="O256" s="23"/>
    </row>
    <row r="257" spans="1:15" x14ac:dyDescent="0.2">
      <c r="A257" s="18">
        <f>+'SERVICIO FAENA'!E258</f>
        <v>0</v>
      </c>
      <c r="B257" s="20">
        <f>+'SERVICIO FAENA'!A258</f>
        <v>0</v>
      </c>
      <c r="C257" s="64"/>
      <c r="D257" s="64"/>
      <c r="E257" s="11"/>
      <c r="F257" s="16">
        <f t="shared" si="20"/>
        <v>0</v>
      </c>
      <c r="G257" s="38"/>
      <c r="H257" s="16">
        <f t="shared" si="21"/>
        <v>0</v>
      </c>
      <c r="I257" s="38"/>
      <c r="J257" s="16">
        <f t="shared" si="22"/>
        <v>0</v>
      </c>
      <c r="K257" s="11"/>
      <c r="L257" s="11"/>
      <c r="M257" s="16">
        <f t="shared" si="23"/>
        <v>0</v>
      </c>
      <c r="N257" s="24"/>
      <c r="O257" s="11"/>
    </row>
    <row r="258" spans="1:15" x14ac:dyDescent="0.2">
      <c r="A258" s="18">
        <f>+'SERVICIO FAENA'!E259</f>
        <v>0</v>
      </c>
      <c r="B258" s="20">
        <f>+'SERVICIO FAENA'!A259</f>
        <v>0</v>
      </c>
      <c r="C258" s="65"/>
      <c r="D258" s="65"/>
      <c r="E258" s="23"/>
      <c r="F258" s="16">
        <f t="shared" si="20"/>
        <v>0</v>
      </c>
      <c r="G258" s="38"/>
      <c r="H258" s="16">
        <f t="shared" si="21"/>
        <v>0</v>
      </c>
      <c r="I258" s="38"/>
      <c r="J258" s="16">
        <f t="shared" si="22"/>
        <v>0</v>
      </c>
      <c r="K258" s="23"/>
      <c r="L258" s="23"/>
      <c r="M258" s="16">
        <f t="shared" si="23"/>
        <v>0</v>
      </c>
      <c r="N258" s="26"/>
      <c r="O258" s="23"/>
    </row>
    <row r="259" spans="1:15" x14ac:dyDescent="0.2">
      <c r="A259" s="18">
        <f>+'SERVICIO FAENA'!E260</f>
        <v>0</v>
      </c>
      <c r="B259" s="20">
        <f>+'SERVICIO FAENA'!A260</f>
        <v>0</v>
      </c>
      <c r="C259" s="64"/>
      <c r="D259" s="64"/>
      <c r="E259" s="11"/>
      <c r="F259" s="16">
        <f t="shared" si="20"/>
        <v>0</v>
      </c>
      <c r="G259" s="38"/>
      <c r="H259" s="16">
        <f t="shared" si="21"/>
        <v>0</v>
      </c>
      <c r="I259" s="38"/>
      <c r="J259" s="16">
        <f t="shared" si="22"/>
        <v>0</v>
      </c>
      <c r="K259" s="11"/>
      <c r="L259" s="11"/>
      <c r="M259" s="16">
        <f t="shared" si="23"/>
        <v>0</v>
      </c>
      <c r="N259" s="24"/>
      <c r="O259" s="11"/>
    </row>
    <row r="260" spans="1:15" x14ac:dyDescent="0.2">
      <c r="A260" s="18">
        <f>+'SERVICIO FAENA'!E261</f>
        <v>0</v>
      </c>
      <c r="B260" s="20">
        <f>+'SERVICIO FAENA'!A261</f>
        <v>0</v>
      </c>
      <c r="C260" s="65"/>
      <c r="D260" s="65"/>
      <c r="E260" s="23"/>
      <c r="F260" s="16">
        <f t="shared" si="20"/>
        <v>0</v>
      </c>
      <c r="G260" s="38"/>
      <c r="H260" s="16">
        <f t="shared" si="21"/>
        <v>0</v>
      </c>
      <c r="I260" s="38"/>
      <c r="J260" s="16">
        <f t="shared" si="22"/>
        <v>0</v>
      </c>
      <c r="K260" s="23"/>
      <c r="L260" s="23"/>
      <c r="M260" s="16">
        <f t="shared" si="23"/>
        <v>0</v>
      </c>
      <c r="N260" s="26"/>
      <c r="O260" s="23"/>
    </row>
    <row r="261" spans="1:15" x14ac:dyDescent="0.2">
      <c r="A261" s="18">
        <f>+'SERVICIO FAENA'!E262</f>
        <v>0</v>
      </c>
      <c r="B261" s="20">
        <f>+'SERVICIO FAENA'!A262</f>
        <v>0</v>
      </c>
      <c r="C261" s="64"/>
      <c r="D261" s="64"/>
      <c r="E261" s="11"/>
      <c r="F261" s="16">
        <f t="shared" si="20"/>
        <v>0</v>
      </c>
      <c r="G261" s="38"/>
      <c r="H261" s="16">
        <f t="shared" si="21"/>
        <v>0</v>
      </c>
      <c r="I261" s="38"/>
      <c r="J261" s="16">
        <f t="shared" si="22"/>
        <v>0</v>
      </c>
      <c r="K261" s="11"/>
      <c r="L261" s="11"/>
      <c r="M261" s="16">
        <f t="shared" si="23"/>
        <v>0</v>
      </c>
      <c r="N261" s="24"/>
      <c r="O261" s="11"/>
    </row>
    <row r="262" spans="1:15" x14ac:dyDescent="0.2">
      <c r="A262" s="18">
        <f>+'SERVICIO FAENA'!E263</f>
        <v>0</v>
      </c>
      <c r="B262" s="20">
        <f>+'SERVICIO FAENA'!A263</f>
        <v>0</v>
      </c>
      <c r="C262" s="65"/>
      <c r="D262" s="65"/>
      <c r="E262" s="23"/>
      <c r="F262" s="16">
        <f t="shared" si="20"/>
        <v>0</v>
      </c>
      <c r="G262" s="38"/>
      <c r="H262" s="16">
        <f t="shared" si="21"/>
        <v>0</v>
      </c>
      <c r="I262" s="38"/>
      <c r="J262" s="16">
        <f t="shared" si="22"/>
        <v>0</v>
      </c>
      <c r="K262" s="23"/>
      <c r="L262" s="23"/>
      <c r="M262" s="16">
        <f t="shared" si="23"/>
        <v>0</v>
      </c>
      <c r="N262" s="26"/>
      <c r="O262" s="23"/>
    </row>
    <row r="263" spans="1:15" x14ac:dyDescent="0.2">
      <c r="A263" s="18">
        <f>+'SERVICIO FAENA'!E264</f>
        <v>0</v>
      </c>
      <c r="B263" s="20">
        <f>+'SERVICIO FAENA'!A264</f>
        <v>0</v>
      </c>
      <c r="C263" s="64"/>
      <c r="D263" s="64"/>
      <c r="E263" s="11"/>
      <c r="F263" s="16">
        <f t="shared" si="20"/>
        <v>0</v>
      </c>
      <c r="G263" s="38"/>
      <c r="H263" s="16">
        <f t="shared" si="21"/>
        <v>0</v>
      </c>
      <c r="I263" s="38"/>
      <c r="J263" s="16">
        <f t="shared" si="22"/>
        <v>0</v>
      </c>
      <c r="K263" s="11"/>
      <c r="L263" s="11"/>
      <c r="M263" s="16">
        <f t="shared" si="23"/>
        <v>0</v>
      </c>
      <c r="N263" s="24"/>
      <c r="O263" s="11"/>
    </row>
    <row r="264" spans="1:15" x14ac:dyDescent="0.2">
      <c r="A264" s="18">
        <f>+'SERVICIO FAENA'!E265</f>
        <v>0</v>
      </c>
      <c r="B264" s="20">
        <f>+'SERVICIO FAENA'!A265</f>
        <v>0</v>
      </c>
      <c r="C264" s="65"/>
      <c r="D264" s="65"/>
      <c r="E264" s="23"/>
      <c r="F264" s="16">
        <f t="shared" si="20"/>
        <v>0</v>
      </c>
      <c r="G264" s="38"/>
      <c r="H264" s="16">
        <f t="shared" si="21"/>
        <v>0</v>
      </c>
      <c r="I264" s="38"/>
      <c r="J264" s="16">
        <f t="shared" si="22"/>
        <v>0</v>
      </c>
      <c r="K264" s="23"/>
      <c r="L264" s="23"/>
      <c r="M264" s="16">
        <f t="shared" si="23"/>
        <v>0</v>
      </c>
      <c r="N264" s="26"/>
      <c r="O264" s="23"/>
    </row>
    <row r="265" spans="1:15" x14ac:dyDescent="0.2">
      <c r="A265" s="18">
        <f>+'SERVICIO FAENA'!E266</f>
        <v>0</v>
      </c>
      <c r="B265" s="20">
        <f>+'SERVICIO FAENA'!A266</f>
        <v>0</v>
      </c>
      <c r="C265" s="64"/>
      <c r="D265" s="64"/>
      <c r="E265" s="11"/>
      <c r="F265" s="16">
        <f t="shared" si="20"/>
        <v>0</v>
      </c>
      <c r="G265" s="38"/>
      <c r="H265" s="16">
        <f t="shared" si="21"/>
        <v>0</v>
      </c>
      <c r="I265" s="38"/>
      <c r="J265" s="16">
        <f t="shared" si="22"/>
        <v>0</v>
      </c>
      <c r="K265" s="11"/>
      <c r="L265" s="11"/>
      <c r="M265" s="16">
        <f t="shared" si="23"/>
        <v>0</v>
      </c>
      <c r="N265" s="24"/>
      <c r="O265" s="11"/>
    </row>
    <row r="266" spans="1:15" x14ac:dyDescent="0.2">
      <c r="A266" s="18">
        <f>+'SERVICIO FAENA'!E267</f>
        <v>0</v>
      </c>
      <c r="B266" s="20">
        <f>+'SERVICIO FAENA'!A267</f>
        <v>0</v>
      </c>
      <c r="C266" s="65"/>
      <c r="D266" s="65"/>
      <c r="E266" s="23"/>
      <c r="F266" s="16">
        <f t="shared" si="20"/>
        <v>0</v>
      </c>
      <c r="G266" s="38"/>
      <c r="H266" s="16">
        <f t="shared" si="21"/>
        <v>0</v>
      </c>
      <c r="I266" s="38"/>
      <c r="J266" s="16">
        <f t="shared" si="22"/>
        <v>0</v>
      </c>
      <c r="K266" s="23"/>
      <c r="L266" s="23"/>
      <c r="M266" s="16">
        <f t="shared" si="23"/>
        <v>0</v>
      </c>
      <c r="N266" s="26"/>
      <c r="O266" s="23"/>
    </row>
    <row r="267" spans="1:15" x14ac:dyDescent="0.2">
      <c r="A267" s="18">
        <f>+'SERVICIO FAENA'!E268</f>
        <v>0</v>
      </c>
      <c r="B267" s="20">
        <f>+'SERVICIO FAENA'!A268</f>
        <v>0</v>
      </c>
      <c r="C267" s="64"/>
      <c r="D267" s="64"/>
      <c r="E267" s="11"/>
      <c r="F267" s="16">
        <f t="shared" si="20"/>
        <v>0</v>
      </c>
      <c r="G267" s="38"/>
      <c r="H267" s="16">
        <f t="shared" si="21"/>
        <v>0</v>
      </c>
      <c r="I267" s="38"/>
      <c r="J267" s="16">
        <f t="shared" si="22"/>
        <v>0</v>
      </c>
      <c r="K267" s="11"/>
      <c r="L267" s="11"/>
      <c r="M267" s="16">
        <f t="shared" si="23"/>
        <v>0</v>
      </c>
      <c r="N267" s="24"/>
      <c r="O267" s="11"/>
    </row>
    <row r="268" spans="1:15" x14ac:dyDescent="0.2">
      <c r="A268" s="18">
        <f>+'SERVICIO FAENA'!E269</f>
        <v>0</v>
      </c>
      <c r="B268" s="20">
        <f>+'SERVICIO FAENA'!A269</f>
        <v>0</v>
      </c>
      <c r="C268" s="65"/>
      <c r="D268" s="65"/>
      <c r="E268" s="23"/>
      <c r="F268" s="16">
        <f t="shared" si="20"/>
        <v>0</v>
      </c>
      <c r="G268" s="38"/>
      <c r="H268" s="16">
        <f t="shared" si="21"/>
        <v>0</v>
      </c>
      <c r="I268" s="38"/>
      <c r="J268" s="16">
        <f t="shared" si="22"/>
        <v>0</v>
      </c>
      <c r="K268" s="23"/>
      <c r="L268" s="23"/>
      <c r="M268" s="16">
        <f t="shared" si="23"/>
        <v>0</v>
      </c>
      <c r="N268" s="26"/>
      <c r="O268" s="23"/>
    </row>
    <row r="269" spans="1:15" x14ac:dyDescent="0.2">
      <c r="A269" s="18">
        <f>+'SERVICIO FAENA'!E270</f>
        <v>0</v>
      </c>
      <c r="B269" s="20">
        <f>+'SERVICIO FAENA'!A270</f>
        <v>0</v>
      </c>
      <c r="C269" s="64"/>
      <c r="D269" s="64"/>
      <c r="E269" s="11"/>
      <c r="F269" s="16">
        <f t="shared" si="20"/>
        <v>0</v>
      </c>
      <c r="G269" s="38"/>
      <c r="H269" s="16">
        <f t="shared" si="21"/>
        <v>0</v>
      </c>
      <c r="I269" s="38"/>
      <c r="J269" s="16">
        <f t="shared" si="22"/>
        <v>0</v>
      </c>
      <c r="K269" s="11"/>
      <c r="L269" s="11"/>
      <c r="M269" s="16">
        <f t="shared" si="23"/>
        <v>0</v>
      </c>
      <c r="N269" s="24"/>
      <c r="O269" s="11"/>
    </row>
    <row r="270" spans="1:15" x14ac:dyDescent="0.2">
      <c r="A270" s="18">
        <f>+'SERVICIO FAENA'!E271</f>
        <v>0</v>
      </c>
      <c r="B270" s="20">
        <f>+'SERVICIO FAENA'!A271</f>
        <v>0</v>
      </c>
      <c r="C270" s="65"/>
      <c r="D270" s="65"/>
      <c r="E270" s="23"/>
      <c r="F270" s="16">
        <f t="shared" si="20"/>
        <v>0</v>
      </c>
      <c r="G270" s="38"/>
      <c r="H270" s="16">
        <f t="shared" si="21"/>
        <v>0</v>
      </c>
      <c r="I270" s="38"/>
      <c r="J270" s="16">
        <f t="shared" si="22"/>
        <v>0</v>
      </c>
      <c r="K270" s="23"/>
      <c r="L270" s="23"/>
      <c r="M270" s="16">
        <f t="shared" si="23"/>
        <v>0</v>
      </c>
      <c r="N270" s="26"/>
      <c r="O270" s="23"/>
    </row>
    <row r="271" spans="1:15" x14ac:dyDescent="0.2">
      <c r="A271" s="18">
        <f>+'SERVICIO FAENA'!E272</f>
        <v>0</v>
      </c>
      <c r="B271" s="20">
        <f>+'SERVICIO FAENA'!A272</f>
        <v>0</v>
      </c>
      <c r="C271" s="64"/>
      <c r="D271" s="64"/>
      <c r="E271" s="11"/>
      <c r="F271" s="16">
        <f t="shared" si="20"/>
        <v>0</v>
      </c>
      <c r="G271" s="38"/>
      <c r="H271" s="16">
        <f t="shared" si="21"/>
        <v>0</v>
      </c>
      <c r="I271" s="38"/>
      <c r="J271" s="16">
        <f t="shared" si="22"/>
        <v>0</v>
      </c>
      <c r="K271" s="11"/>
      <c r="L271" s="11"/>
      <c r="M271" s="16">
        <f t="shared" si="23"/>
        <v>0</v>
      </c>
      <c r="N271" s="24"/>
      <c r="O271" s="11"/>
    </row>
    <row r="272" spans="1:15" x14ac:dyDescent="0.2">
      <c r="A272" s="18">
        <f>+'SERVICIO FAENA'!E273</f>
        <v>0</v>
      </c>
      <c r="B272" s="20">
        <f>+'SERVICIO FAENA'!A273</f>
        <v>0</v>
      </c>
      <c r="C272" s="65"/>
      <c r="D272" s="65"/>
      <c r="E272" s="23"/>
      <c r="F272" s="16">
        <f t="shared" si="20"/>
        <v>0</v>
      </c>
      <c r="G272" s="38"/>
      <c r="H272" s="16">
        <f t="shared" si="21"/>
        <v>0</v>
      </c>
      <c r="I272" s="38"/>
      <c r="J272" s="16">
        <f t="shared" si="22"/>
        <v>0</v>
      </c>
      <c r="K272" s="23"/>
      <c r="L272" s="23"/>
      <c r="M272" s="16">
        <f t="shared" si="23"/>
        <v>0</v>
      </c>
      <c r="N272" s="26"/>
      <c r="O272" s="23"/>
    </row>
    <row r="273" spans="1:15" x14ac:dyDescent="0.2">
      <c r="A273" s="18">
        <f>+'SERVICIO FAENA'!E274</f>
        <v>0</v>
      </c>
      <c r="B273" s="20">
        <f>+'SERVICIO FAENA'!A274</f>
        <v>0</v>
      </c>
      <c r="C273" s="64"/>
      <c r="D273" s="64"/>
      <c r="E273" s="11"/>
      <c r="F273" s="16">
        <f t="shared" si="20"/>
        <v>0</v>
      </c>
      <c r="G273" s="38"/>
      <c r="H273" s="16">
        <f t="shared" si="21"/>
        <v>0</v>
      </c>
      <c r="I273" s="38"/>
      <c r="J273" s="16">
        <f t="shared" si="22"/>
        <v>0</v>
      </c>
      <c r="K273" s="11"/>
      <c r="L273" s="11"/>
      <c r="M273" s="16">
        <f t="shared" si="23"/>
        <v>0</v>
      </c>
      <c r="N273" s="24"/>
      <c r="O273" s="11"/>
    </row>
    <row r="274" spans="1:15" x14ac:dyDescent="0.2">
      <c r="A274" s="18">
        <f>+'SERVICIO FAENA'!E275</f>
        <v>0</v>
      </c>
      <c r="B274" s="20">
        <f>+'SERVICIO FAENA'!A275</f>
        <v>0</v>
      </c>
      <c r="C274" s="65"/>
      <c r="D274" s="65"/>
      <c r="E274" s="23"/>
      <c r="F274" s="16">
        <f t="shared" si="20"/>
        <v>0</v>
      </c>
      <c r="G274" s="38"/>
      <c r="H274" s="16">
        <f t="shared" si="21"/>
        <v>0</v>
      </c>
      <c r="I274" s="38"/>
      <c r="J274" s="16">
        <f t="shared" si="22"/>
        <v>0</v>
      </c>
      <c r="K274" s="23"/>
      <c r="L274" s="23"/>
      <c r="M274" s="16">
        <f t="shared" si="23"/>
        <v>0</v>
      </c>
      <c r="N274" s="26"/>
      <c r="O274" s="23"/>
    </row>
    <row r="275" spans="1:15" x14ac:dyDescent="0.2">
      <c r="A275" s="18">
        <f>+'SERVICIO FAENA'!E276</f>
        <v>0</v>
      </c>
      <c r="B275" s="20">
        <f>+'SERVICIO FAENA'!A276</f>
        <v>0</v>
      </c>
      <c r="C275" s="64"/>
      <c r="D275" s="64"/>
      <c r="E275" s="11"/>
      <c r="F275" s="16">
        <f t="shared" si="20"/>
        <v>0</v>
      </c>
      <c r="G275" s="38"/>
      <c r="H275" s="16">
        <f t="shared" si="21"/>
        <v>0</v>
      </c>
      <c r="I275" s="38"/>
      <c r="J275" s="16">
        <f t="shared" si="22"/>
        <v>0</v>
      </c>
      <c r="K275" s="11"/>
      <c r="L275" s="11"/>
      <c r="M275" s="16">
        <f t="shared" si="23"/>
        <v>0</v>
      </c>
      <c r="N275" s="24"/>
      <c r="O275" s="11"/>
    </row>
    <row r="276" spans="1:15" x14ac:dyDescent="0.2">
      <c r="A276" s="18">
        <f>+'SERVICIO FAENA'!E277</f>
        <v>0</v>
      </c>
      <c r="B276" s="20">
        <f>+'SERVICIO FAENA'!A277</f>
        <v>0</v>
      </c>
      <c r="C276" s="65"/>
      <c r="D276" s="65"/>
      <c r="E276" s="23"/>
      <c r="F276" s="16">
        <f t="shared" si="20"/>
        <v>0</v>
      </c>
      <c r="G276" s="38"/>
      <c r="H276" s="16">
        <f t="shared" si="21"/>
        <v>0</v>
      </c>
      <c r="I276" s="38"/>
      <c r="J276" s="16">
        <f t="shared" si="22"/>
        <v>0</v>
      </c>
      <c r="K276" s="23"/>
      <c r="L276" s="23"/>
      <c r="M276" s="16">
        <f t="shared" si="23"/>
        <v>0</v>
      </c>
      <c r="N276" s="26"/>
      <c r="O276" s="23"/>
    </row>
    <row r="277" spans="1:15" x14ac:dyDescent="0.2">
      <c r="A277" s="18">
        <f>+'SERVICIO FAENA'!E278</f>
        <v>0</v>
      </c>
      <c r="B277" s="20">
        <f>+'SERVICIO FAENA'!A278</f>
        <v>0</v>
      </c>
      <c r="C277" s="64"/>
      <c r="D277" s="64"/>
      <c r="E277" s="11"/>
      <c r="F277" s="16">
        <f t="shared" si="20"/>
        <v>0</v>
      </c>
      <c r="G277" s="38"/>
      <c r="H277" s="16">
        <f t="shared" si="21"/>
        <v>0</v>
      </c>
      <c r="I277" s="38"/>
      <c r="J277" s="16">
        <f t="shared" si="22"/>
        <v>0</v>
      </c>
      <c r="K277" s="11"/>
      <c r="L277" s="11"/>
      <c r="M277" s="16">
        <f t="shared" si="23"/>
        <v>0</v>
      </c>
      <c r="N277" s="24"/>
      <c r="O277" s="11"/>
    </row>
    <row r="278" spans="1:15" x14ac:dyDescent="0.2">
      <c r="A278" s="18">
        <f>+'SERVICIO FAENA'!E279</f>
        <v>0</v>
      </c>
      <c r="B278" s="20">
        <f>+'SERVICIO FAENA'!A279</f>
        <v>0</v>
      </c>
      <c r="C278" s="65"/>
      <c r="D278" s="65"/>
      <c r="E278" s="23"/>
      <c r="F278" s="16">
        <f t="shared" si="20"/>
        <v>0</v>
      </c>
      <c r="G278" s="38"/>
      <c r="H278" s="16">
        <f t="shared" si="21"/>
        <v>0</v>
      </c>
      <c r="I278" s="38"/>
      <c r="J278" s="16">
        <f t="shared" si="22"/>
        <v>0</v>
      </c>
      <c r="K278" s="23"/>
      <c r="L278" s="23"/>
      <c r="M278" s="16">
        <f t="shared" si="23"/>
        <v>0</v>
      </c>
      <c r="N278" s="26"/>
      <c r="O278" s="23"/>
    </row>
    <row r="279" spans="1:15" x14ac:dyDescent="0.2">
      <c r="A279" s="18">
        <f>+'SERVICIO FAENA'!E280</f>
        <v>0</v>
      </c>
      <c r="B279" s="20">
        <f>+'SERVICIO FAENA'!A280</f>
        <v>0</v>
      </c>
      <c r="C279" s="64"/>
      <c r="D279" s="64"/>
      <c r="E279" s="11"/>
      <c r="F279" s="16">
        <f t="shared" si="20"/>
        <v>0</v>
      </c>
      <c r="G279" s="38"/>
      <c r="H279" s="16">
        <f t="shared" si="21"/>
        <v>0</v>
      </c>
      <c r="I279" s="38"/>
      <c r="J279" s="16">
        <f t="shared" si="22"/>
        <v>0</v>
      </c>
      <c r="K279" s="11"/>
      <c r="L279" s="11"/>
      <c r="M279" s="16">
        <f t="shared" si="23"/>
        <v>0</v>
      </c>
      <c r="N279" s="24"/>
      <c r="O279" s="11"/>
    </row>
    <row r="280" spans="1:15" x14ac:dyDescent="0.2">
      <c r="A280" s="18">
        <f>+'SERVICIO FAENA'!E281</f>
        <v>0</v>
      </c>
      <c r="B280" s="20">
        <f>+'SERVICIO FAENA'!A281</f>
        <v>0</v>
      </c>
      <c r="C280" s="65"/>
      <c r="D280" s="65"/>
      <c r="E280" s="23"/>
      <c r="F280" s="16">
        <f t="shared" si="20"/>
        <v>0</v>
      </c>
      <c r="G280" s="38"/>
      <c r="H280" s="16">
        <f t="shared" si="21"/>
        <v>0</v>
      </c>
      <c r="I280" s="38"/>
      <c r="J280" s="16">
        <f t="shared" si="22"/>
        <v>0</v>
      </c>
      <c r="K280" s="23"/>
      <c r="L280" s="23"/>
      <c r="M280" s="16">
        <f t="shared" si="23"/>
        <v>0</v>
      </c>
      <c r="N280" s="26"/>
      <c r="O280" s="23"/>
    </row>
    <row r="281" spans="1:15" x14ac:dyDescent="0.2">
      <c r="A281" s="18">
        <f>+'SERVICIO FAENA'!E282</f>
        <v>0</v>
      </c>
      <c r="B281" s="20">
        <f>+'SERVICIO FAENA'!A282</f>
        <v>0</v>
      </c>
      <c r="C281" s="64"/>
      <c r="D281" s="64"/>
      <c r="E281" s="11"/>
      <c r="F281" s="16">
        <f t="shared" si="20"/>
        <v>0</v>
      </c>
      <c r="G281" s="38"/>
      <c r="H281" s="16">
        <f t="shared" si="21"/>
        <v>0</v>
      </c>
      <c r="I281" s="38"/>
      <c r="J281" s="16">
        <f t="shared" si="22"/>
        <v>0</v>
      </c>
      <c r="K281" s="11"/>
      <c r="L281" s="11"/>
      <c r="M281" s="16">
        <f t="shared" si="23"/>
        <v>0</v>
      </c>
      <c r="N281" s="24"/>
      <c r="O281" s="11"/>
    </row>
    <row r="282" spans="1:15" x14ac:dyDescent="0.2">
      <c r="A282" s="18">
        <f>+'SERVICIO FAENA'!E283</f>
        <v>0</v>
      </c>
      <c r="B282" s="20">
        <f>+'SERVICIO FAENA'!A283</f>
        <v>0</v>
      </c>
      <c r="C282" s="65"/>
      <c r="D282" s="65"/>
      <c r="E282" s="23"/>
      <c r="F282" s="16">
        <f t="shared" si="20"/>
        <v>0</v>
      </c>
      <c r="G282" s="38"/>
      <c r="H282" s="16">
        <f t="shared" si="21"/>
        <v>0</v>
      </c>
      <c r="I282" s="38"/>
      <c r="J282" s="16">
        <f t="shared" si="22"/>
        <v>0</v>
      </c>
      <c r="K282" s="23"/>
      <c r="L282" s="23"/>
      <c r="M282" s="16">
        <f t="shared" si="23"/>
        <v>0</v>
      </c>
      <c r="N282" s="26"/>
      <c r="O282" s="23"/>
    </row>
    <row r="283" spans="1:15" x14ac:dyDescent="0.2">
      <c r="A283" s="18">
        <f>+'SERVICIO FAENA'!E284</f>
        <v>0</v>
      </c>
      <c r="B283" s="20">
        <f>+'SERVICIO FAENA'!A284</f>
        <v>0</v>
      </c>
      <c r="C283" s="64"/>
      <c r="D283" s="64"/>
      <c r="E283" s="11"/>
      <c r="F283" s="16">
        <f t="shared" si="20"/>
        <v>0</v>
      </c>
      <c r="G283" s="38"/>
      <c r="H283" s="16">
        <f t="shared" si="21"/>
        <v>0</v>
      </c>
      <c r="I283" s="38"/>
      <c r="J283" s="16">
        <f t="shared" si="22"/>
        <v>0</v>
      </c>
      <c r="K283" s="11"/>
      <c r="L283" s="11"/>
      <c r="M283" s="16">
        <f t="shared" si="23"/>
        <v>0</v>
      </c>
      <c r="N283" s="24"/>
      <c r="O283" s="11"/>
    </row>
    <row r="284" spans="1:15" x14ac:dyDescent="0.2">
      <c r="A284" s="18">
        <f>+'SERVICIO FAENA'!E285</f>
        <v>0</v>
      </c>
      <c r="B284" s="20">
        <f>+'SERVICIO FAENA'!A285</f>
        <v>0</v>
      </c>
      <c r="C284" s="65"/>
      <c r="D284" s="65"/>
      <c r="E284" s="23"/>
      <c r="F284" s="16">
        <f t="shared" si="20"/>
        <v>0</v>
      </c>
      <c r="G284" s="38"/>
      <c r="H284" s="16">
        <f t="shared" si="21"/>
        <v>0</v>
      </c>
      <c r="I284" s="38"/>
      <c r="J284" s="16">
        <f t="shared" si="22"/>
        <v>0</v>
      </c>
      <c r="K284" s="23"/>
      <c r="L284" s="23"/>
      <c r="M284" s="16">
        <f t="shared" si="23"/>
        <v>0</v>
      </c>
      <c r="N284" s="26"/>
      <c r="O284" s="23"/>
    </row>
    <row r="285" spans="1:15" x14ac:dyDescent="0.2">
      <c r="A285" s="18">
        <f>+'SERVICIO FAENA'!E286</f>
        <v>0</v>
      </c>
      <c r="B285" s="20">
        <f>+'SERVICIO FAENA'!A286</f>
        <v>0</v>
      </c>
      <c r="C285" s="64"/>
      <c r="D285" s="64"/>
      <c r="E285" s="11"/>
      <c r="F285" s="16">
        <f t="shared" si="20"/>
        <v>0</v>
      </c>
      <c r="G285" s="38"/>
      <c r="H285" s="16">
        <f t="shared" si="21"/>
        <v>0</v>
      </c>
      <c r="I285" s="38"/>
      <c r="J285" s="16">
        <f t="shared" si="22"/>
        <v>0</v>
      </c>
      <c r="K285" s="11"/>
      <c r="L285" s="11"/>
      <c r="M285" s="16">
        <f t="shared" si="23"/>
        <v>0</v>
      </c>
      <c r="N285" s="24"/>
      <c r="O285" s="11"/>
    </row>
    <row r="286" spans="1:15" x14ac:dyDescent="0.2">
      <c r="A286" s="18">
        <f>+'SERVICIO FAENA'!E287</f>
        <v>0</v>
      </c>
      <c r="B286" s="20">
        <f>+'SERVICIO FAENA'!A287</f>
        <v>0</v>
      </c>
      <c r="C286" s="65"/>
      <c r="D286" s="65"/>
      <c r="E286" s="23"/>
      <c r="F286" s="16">
        <f t="shared" si="20"/>
        <v>0</v>
      </c>
      <c r="G286" s="38"/>
      <c r="H286" s="16">
        <f t="shared" si="21"/>
        <v>0</v>
      </c>
      <c r="I286" s="38"/>
      <c r="J286" s="16">
        <f t="shared" si="22"/>
        <v>0</v>
      </c>
      <c r="K286" s="23"/>
      <c r="L286" s="23"/>
      <c r="M286" s="16">
        <f t="shared" si="23"/>
        <v>0</v>
      </c>
      <c r="N286" s="26"/>
      <c r="O286" s="23"/>
    </row>
    <row r="287" spans="1:15" x14ac:dyDescent="0.2">
      <c r="A287" s="18">
        <f>+'SERVICIO FAENA'!E288</f>
        <v>0</v>
      </c>
      <c r="B287" s="20">
        <f>+'SERVICIO FAENA'!A288</f>
        <v>0</v>
      </c>
      <c r="C287" s="64"/>
      <c r="D287" s="64"/>
      <c r="E287" s="11"/>
      <c r="F287" s="16">
        <f t="shared" si="20"/>
        <v>0</v>
      </c>
      <c r="G287" s="38"/>
      <c r="H287" s="16">
        <f t="shared" si="21"/>
        <v>0</v>
      </c>
      <c r="I287" s="38"/>
      <c r="J287" s="16">
        <f t="shared" si="22"/>
        <v>0</v>
      </c>
      <c r="K287" s="11"/>
      <c r="L287" s="11"/>
      <c r="M287" s="16">
        <f t="shared" si="23"/>
        <v>0</v>
      </c>
      <c r="N287" s="24"/>
      <c r="O287" s="11"/>
    </row>
    <row r="288" spans="1:15" x14ac:dyDescent="0.2">
      <c r="A288" s="18">
        <f>+'SERVICIO FAENA'!E289</f>
        <v>0</v>
      </c>
      <c r="B288" s="20">
        <f>+'SERVICIO FAENA'!A289</f>
        <v>0</v>
      </c>
      <c r="C288" s="65"/>
      <c r="D288" s="65"/>
      <c r="E288" s="23"/>
      <c r="F288" s="16">
        <f t="shared" si="20"/>
        <v>0</v>
      </c>
      <c r="G288" s="38"/>
      <c r="H288" s="16">
        <f t="shared" si="21"/>
        <v>0</v>
      </c>
      <c r="I288" s="38"/>
      <c r="J288" s="16">
        <f t="shared" si="22"/>
        <v>0</v>
      </c>
      <c r="K288" s="23"/>
      <c r="L288" s="23"/>
      <c r="M288" s="16">
        <f t="shared" si="23"/>
        <v>0</v>
      </c>
      <c r="N288" s="26"/>
      <c r="O288" s="23"/>
    </row>
    <row r="289" spans="1:15" x14ac:dyDescent="0.2">
      <c r="A289" s="18">
        <f>+'SERVICIO FAENA'!E290</f>
        <v>0</v>
      </c>
      <c r="B289" s="20">
        <f>+'SERVICIO FAENA'!A290</f>
        <v>0</v>
      </c>
      <c r="C289" s="64"/>
      <c r="D289" s="64"/>
      <c r="E289" s="11"/>
      <c r="F289" s="16">
        <f t="shared" si="20"/>
        <v>0</v>
      </c>
      <c r="G289" s="38"/>
      <c r="H289" s="16">
        <f t="shared" si="21"/>
        <v>0</v>
      </c>
      <c r="I289" s="38"/>
      <c r="J289" s="16">
        <f t="shared" si="22"/>
        <v>0</v>
      </c>
      <c r="K289" s="11"/>
      <c r="L289" s="11"/>
      <c r="M289" s="16">
        <f t="shared" si="23"/>
        <v>0</v>
      </c>
      <c r="N289" s="24"/>
      <c r="O289" s="11"/>
    </row>
    <row r="290" spans="1:15" x14ac:dyDescent="0.2">
      <c r="A290" s="18">
        <f>+'SERVICIO FAENA'!E291</f>
        <v>0</v>
      </c>
      <c r="B290" s="20">
        <f>+'SERVICIO FAENA'!A291</f>
        <v>0</v>
      </c>
      <c r="C290" s="65"/>
      <c r="D290" s="65"/>
      <c r="E290" s="23"/>
      <c r="F290" s="16">
        <f t="shared" si="20"/>
        <v>0</v>
      </c>
      <c r="G290" s="38"/>
      <c r="H290" s="16">
        <f t="shared" si="21"/>
        <v>0</v>
      </c>
      <c r="I290" s="38"/>
      <c r="J290" s="16">
        <f t="shared" si="22"/>
        <v>0</v>
      </c>
      <c r="K290" s="23"/>
      <c r="L290" s="23"/>
      <c r="M290" s="16">
        <f t="shared" si="23"/>
        <v>0</v>
      </c>
      <c r="N290" s="26"/>
      <c r="O290" s="23"/>
    </row>
    <row r="291" spans="1:15" x14ac:dyDescent="0.2">
      <c r="A291" s="18">
        <f>+'SERVICIO FAENA'!E292</f>
        <v>0</v>
      </c>
      <c r="B291" s="20">
        <f>+'SERVICIO FAENA'!A292</f>
        <v>0</v>
      </c>
      <c r="C291" s="64"/>
      <c r="D291" s="64"/>
      <c r="E291" s="11"/>
      <c r="F291" s="16">
        <f t="shared" si="20"/>
        <v>0</v>
      </c>
      <c r="G291" s="38"/>
      <c r="H291" s="16">
        <f t="shared" si="21"/>
        <v>0</v>
      </c>
      <c r="I291" s="38"/>
      <c r="J291" s="16">
        <f t="shared" si="22"/>
        <v>0</v>
      </c>
      <c r="K291" s="11"/>
      <c r="L291" s="11"/>
      <c r="M291" s="16">
        <f t="shared" si="23"/>
        <v>0</v>
      </c>
      <c r="N291" s="24"/>
      <c r="O291" s="11"/>
    </row>
    <row r="292" spans="1:15" x14ac:dyDescent="0.2">
      <c r="A292" s="18">
        <f>+'SERVICIO FAENA'!E293</f>
        <v>0</v>
      </c>
      <c r="B292" s="20">
        <f>+'SERVICIO FAENA'!A293</f>
        <v>0</v>
      </c>
      <c r="C292" s="65"/>
      <c r="D292" s="65"/>
      <c r="E292" s="23"/>
      <c r="F292" s="16">
        <f t="shared" ref="F292:F302" si="24">+E292*C292</f>
        <v>0</v>
      </c>
      <c r="G292" s="38"/>
      <c r="H292" s="16">
        <f t="shared" ref="H292:H302" si="25">+G292*C292</f>
        <v>0</v>
      </c>
      <c r="I292" s="38"/>
      <c r="J292" s="16">
        <f t="shared" ref="J292:J302" si="26">+I292*D292</f>
        <v>0</v>
      </c>
      <c r="K292" s="23"/>
      <c r="L292" s="23"/>
      <c r="M292" s="16">
        <f t="shared" ref="M292:M302" si="27">+F292+H292+J292</f>
        <v>0</v>
      </c>
      <c r="N292" s="26"/>
      <c r="O292" s="23"/>
    </row>
    <row r="293" spans="1:15" x14ac:dyDescent="0.2">
      <c r="A293" s="18">
        <f>+'SERVICIO FAENA'!E294</f>
        <v>0</v>
      </c>
      <c r="B293" s="20">
        <f>+'SERVICIO FAENA'!A294</f>
        <v>0</v>
      </c>
      <c r="C293" s="64"/>
      <c r="D293" s="64"/>
      <c r="E293" s="11"/>
      <c r="F293" s="16">
        <f t="shared" si="24"/>
        <v>0</v>
      </c>
      <c r="G293" s="38"/>
      <c r="H293" s="16">
        <f t="shared" si="25"/>
        <v>0</v>
      </c>
      <c r="I293" s="38"/>
      <c r="J293" s="16">
        <f t="shared" si="26"/>
        <v>0</v>
      </c>
      <c r="K293" s="11"/>
      <c r="L293" s="11"/>
      <c r="M293" s="16">
        <f t="shared" si="27"/>
        <v>0</v>
      </c>
      <c r="N293" s="24"/>
      <c r="O293" s="11"/>
    </row>
    <row r="294" spans="1:15" x14ac:dyDescent="0.2">
      <c r="A294" s="18">
        <f>+'SERVICIO FAENA'!E295</f>
        <v>0</v>
      </c>
      <c r="B294" s="20">
        <f>+'SERVICIO FAENA'!A295</f>
        <v>0</v>
      </c>
      <c r="C294" s="65"/>
      <c r="D294" s="65"/>
      <c r="E294" s="23"/>
      <c r="F294" s="16">
        <f t="shared" si="24"/>
        <v>0</v>
      </c>
      <c r="G294" s="38"/>
      <c r="H294" s="16">
        <f t="shared" si="25"/>
        <v>0</v>
      </c>
      <c r="I294" s="38"/>
      <c r="J294" s="16">
        <f t="shared" si="26"/>
        <v>0</v>
      </c>
      <c r="K294" s="23"/>
      <c r="L294" s="23"/>
      <c r="M294" s="16">
        <f t="shared" si="27"/>
        <v>0</v>
      </c>
      <c r="N294" s="26"/>
      <c r="O294" s="23"/>
    </row>
    <row r="295" spans="1:15" x14ac:dyDescent="0.2">
      <c r="A295" s="18">
        <f>+'SERVICIO FAENA'!E296</f>
        <v>0</v>
      </c>
      <c r="B295" s="20">
        <f>+'SERVICIO FAENA'!A296</f>
        <v>0</v>
      </c>
      <c r="C295" s="64"/>
      <c r="D295" s="64"/>
      <c r="E295" s="11"/>
      <c r="F295" s="16">
        <f t="shared" si="24"/>
        <v>0</v>
      </c>
      <c r="G295" s="38"/>
      <c r="H295" s="16">
        <f t="shared" si="25"/>
        <v>0</v>
      </c>
      <c r="I295" s="38"/>
      <c r="J295" s="16">
        <f t="shared" si="26"/>
        <v>0</v>
      </c>
      <c r="K295" s="11"/>
      <c r="L295" s="11"/>
      <c r="M295" s="16">
        <f t="shared" si="27"/>
        <v>0</v>
      </c>
      <c r="N295" s="24"/>
      <c r="O295" s="11"/>
    </row>
    <row r="296" spans="1:15" x14ac:dyDescent="0.2">
      <c r="A296" s="18">
        <f>+'SERVICIO FAENA'!E297</f>
        <v>0</v>
      </c>
      <c r="B296" s="20">
        <f>+'SERVICIO FAENA'!A297</f>
        <v>0</v>
      </c>
      <c r="C296" s="65"/>
      <c r="D296" s="65"/>
      <c r="E296" s="23"/>
      <c r="F296" s="16">
        <f t="shared" si="24"/>
        <v>0</v>
      </c>
      <c r="G296" s="38"/>
      <c r="H296" s="16">
        <f t="shared" si="25"/>
        <v>0</v>
      </c>
      <c r="I296" s="38"/>
      <c r="J296" s="16">
        <f t="shared" si="26"/>
        <v>0</v>
      </c>
      <c r="K296" s="23"/>
      <c r="L296" s="23"/>
      <c r="M296" s="16">
        <f t="shared" si="27"/>
        <v>0</v>
      </c>
      <c r="N296" s="26"/>
      <c r="O296" s="23"/>
    </row>
    <row r="297" spans="1:15" x14ac:dyDescent="0.2">
      <c r="A297" s="18">
        <f>+'SERVICIO FAENA'!E298</f>
        <v>0</v>
      </c>
      <c r="B297" s="20">
        <f>+'SERVICIO FAENA'!A298</f>
        <v>0</v>
      </c>
      <c r="C297" s="64"/>
      <c r="D297" s="64"/>
      <c r="E297" s="11"/>
      <c r="F297" s="16">
        <f t="shared" si="24"/>
        <v>0</v>
      </c>
      <c r="G297" s="38"/>
      <c r="H297" s="16">
        <f t="shared" si="25"/>
        <v>0</v>
      </c>
      <c r="I297" s="38"/>
      <c r="J297" s="16">
        <f t="shared" si="26"/>
        <v>0</v>
      </c>
      <c r="K297" s="11"/>
      <c r="L297" s="11"/>
      <c r="M297" s="16">
        <f t="shared" si="27"/>
        <v>0</v>
      </c>
      <c r="N297" s="24"/>
      <c r="O297" s="11"/>
    </row>
    <row r="298" spans="1:15" x14ac:dyDescent="0.2">
      <c r="A298" s="18">
        <f>+'SERVICIO FAENA'!E299</f>
        <v>0</v>
      </c>
      <c r="B298" s="20">
        <f>+'SERVICIO FAENA'!A299</f>
        <v>0</v>
      </c>
      <c r="C298" s="65"/>
      <c r="D298" s="65"/>
      <c r="E298" s="23"/>
      <c r="F298" s="16">
        <f t="shared" si="24"/>
        <v>0</v>
      </c>
      <c r="G298" s="38"/>
      <c r="H298" s="16">
        <f t="shared" si="25"/>
        <v>0</v>
      </c>
      <c r="I298" s="38"/>
      <c r="J298" s="16">
        <f t="shared" si="26"/>
        <v>0</v>
      </c>
      <c r="K298" s="23"/>
      <c r="L298" s="23"/>
      <c r="M298" s="16">
        <f t="shared" si="27"/>
        <v>0</v>
      </c>
      <c r="N298" s="26"/>
      <c r="O298" s="23"/>
    </row>
    <row r="299" spans="1:15" x14ac:dyDescent="0.2">
      <c r="A299" s="18">
        <f>+'SERVICIO FAENA'!E300</f>
        <v>0</v>
      </c>
      <c r="B299" s="20">
        <f>+'SERVICIO FAENA'!A300</f>
        <v>0</v>
      </c>
      <c r="C299" s="64"/>
      <c r="D299" s="64"/>
      <c r="E299" s="11"/>
      <c r="F299" s="16">
        <f t="shared" si="24"/>
        <v>0</v>
      </c>
      <c r="G299" s="38"/>
      <c r="H299" s="16">
        <f t="shared" si="25"/>
        <v>0</v>
      </c>
      <c r="I299" s="38"/>
      <c r="J299" s="16">
        <f t="shared" si="26"/>
        <v>0</v>
      </c>
      <c r="K299" s="11"/>
      <c r="L299" s="11"/>
      <c r="M299" s="16">
        <f t="shared" si="27"/>
        <v>0</v>
      </c>
      <c r="N299" s="24"/>
      <c r="O299" s="11"/>
    </row>
    <row r="300" spans="1:15" x14ac:dyDescent="0.2">
      <c r="A300" s="18">
        <f>+'SERVICIO FAENA'!E301</f>
        <v>0</v>
      </c>
      <c r="B300" s="20">
        <f>+'SERVICIO FAENA'!A301</f>
        <v>0</v>
      </c>
      <c r="C300" s="65"/>
      <c r="D300" s="65"/>
      <c r="E300" s="23"/>
      <c r="F300" s="16">
        <f t="shared" si="24"/>
        <v>0</v>
      </c>
      <c r="G300" s="38"/>
      <c r="H300" s="16">
        <f t="shared" si="25"/>
        <v>0</v>
      </c>
      <c r="I300" s="38"/>
      <c r="J300" s="16">
        <f t="shared" si="26"/>
        <v>0</v>
      </c>
      <c r="K300" s="23"/>
      <c r="L300" s="23"/>
      <c r="M300" s="16">
        <f t="shared" si="27"/>
        <v>0</v>
      </c>
      <c r="N300" s="26"/>
      <c r="O300" s="23"/>
    </row>
    <row r="301" spans="1:15" x14ac:dyDescent="0.2">
      <c r="A301" s="18">
        <f>+'SERVICIO FAENA'!E302</f>
        <v>0</v>
      </c>
      <c r="B301" s="20">
        <f>+'SERVICIO FAENA'!A302</f>
        <v>0</v>
      </c>
      <c r="C301" s="64"/>
      <c r="D301" s="64"/>
      <c r="E301" s="11"/>
      <c r="F301" s="16">
        <f t="shared" si="24"/>
        <v>0</v>
      </c>
      <c r="G301" s="38"/>
      <c r="H301" s="16">
        <f t="shared" si="25"/>
        <v>0</v>
      </c>
      <c r="I301" s="38"/>
      <c r="J301" s="16">
        <f t="shared" si="26"/>
        <v>0</v>
      </c>
      <c r="K301" s="11"/>
      <c r="L301" s="11"/>
      <c r="M301" s="16">
        <f t="shared" si="27"/>
        <v>0</v>
      </c>
      <c r="N301" s="24"/>
      <c r="O301" s="11"/>
    </row>
    <row r="302" spans="1:15" x14ac:dyDescent="0.2">
      <c r="A302" s="18">
        <f>+'SERVICIO FAENA'!E303</f>
        <v>0</v>
      </c>
      <c r="B302" s="20">
        <f>+'SERVICIO FAENA'!A303</f>
        <v>0</v>
      </c>
      <c r="C302" s="65"/>
      <c r="D302" s="65"/>
      <c r="E302" s="23"/>
      <c r="F302" s="16">
        <f t="shared" si="24"/>
        <v>0</v>
      </c>
      <c r="G302" s="38"/>
      <c r="H302" s="16">
        <f t="shared" si="25"/>
        <v>0</v>
      </c>
      <c r="I302" s="38"/>
      <c r="J302" s="16">
        <f t="shared" si="26"/>
        <v>0</v>
      </c>
      <c r="K302" s="23"/>
      <c r="L302" s="23"/>
      <c r="M302" s="16">
        <f t="shared" si="27"/>
        <v>0</v>
      </c>
      <c r="N302" s="26"/>
      <c r="O302" s="23"/>
    </row>
  </sheetData>
  <mergeCells count="5">
    <mergeCell ref="C1:D1"/>
    <mergeCell ref="O4:O14"/>
    <mergeCell ref="O15:O18"/>
    <mergeCell ref="O19:O26"/>
    <mergeCell ref="O46:O51"/>
  </mergeCells>
  <pageMargins left="0.70866141732283472" right="0.70866141732283472" top="0.74803149606299213" bottom="0.74803149606299213" header="0.31496062992125984" footer="0.31496062992125984"/>
  <pageSetup paperSize="8" scale="9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theme="2" tint="-0.249977111117893"/>
  </sheetPr>
  <dimension ref="A1:R785"/>
  <sheetViews>
    <sheetView workbookViewId="0">
      <pane ySplit="3" topLeftCell="A54" activePane="bottomLeft" state="frozen"/>
      <selection pane="bottomLeft" activeCell="J52" sqref="J52"/>
    </sheetView>
  </sheetViews>
  <sheetFormatPr baseColWidth="10" defaultColWidth="11.42578125" defaultRowHeight="12.75" x14ac:dyDescent="0.2"/>
  <cols>
    <col min="1" max="1" width="11.42578125" style="5"/>
    <col min="2" max="2" width="11.42578125" style="50"/>
    <col min="3" max="3" width="10" style="50" bestFit="1" customWidth="1"/>
    <col min="4" max="5" width="7.28515625" style="50" customWidth="1"/>
    <col min="6" max="6" width="7.7109375" style="50" bestFit="1" customWidth="1"/>
    <col min="7" max="8" width="7.28515625" style="50" customWidth="1"/>
    <col min="9" max="11" width="12.85546875" style="5" customWidth="1"/>
    <col min="12" max="12" width="11.85546875" style="5" bestFit="1" customWidth="1"/>
    <col min="13" max="13" width="11.42578125" style="5"/>
    <col min="14" max="14" width="12" style="5" bestFit="1" customWidth="1"/>
    <col min="15" max="15" width="11.42578125" style="5"/>
    <col min="16" max="16" width="14.85546875" style="5" customWidth="1"/>
    <col min="17" max="17" width="11.42578125" style="5"/>
    <col min="18" max="18" width="15.85546875" style="5" bestFit="1" customWidth="1"/>
    <col min="19" max="16384" width="11.42578125" style="5"/>
  </cols>
  <sheetData>
    <row r="1" spans="1:18" ht="32.25" customHeight="1" thickBot="1" x14ac:dyDescent="0.25">
      <c r="A1" s="9" t="s">
        <v>22</v>
      </c>
      <c r="B1" s="21" t="s">
        <v>21</v>
      </c>
      <c r="C1" s="63" t="s">
        <v>30</v>
      </c>
      <c r="D1" s="70" t="s">
        <v>69</v>
      </c>
      <c r="E1" s="70" t="s">
        <v>70</v>
      </c>
      <c r="F1" s="89" t="s">
        <v>94</v>
      </c>
      <c r="G1" s="89" t="s">
        <v>95</v>
      </c>
      <c r="H1" s="63" t="s">
        <v>67</v>
      </c>
      <c r="I1" s="9" t="s">
        <v>31</v>
      </c>
      <c r="J1" s="9" t="s">
        <v>48</v>
      </c>
      <c r="K1" s="9" t="s">
        <v>45</v>
      </c>
      <c r="L1" s="21" t="s">
        <v>23</v>
      </c>
      <c r="M1" s="21" t="s">
        <v>24</v>
      </c>
      <c r="N1" s="9" t="s">
        <v>25</v>
      </c>
      <c r="O1" s="27" t="s">
        <v>10</v>
      </c>
      <c r="P1" s="27" t="s">
        <v>11</v>
      </c>
      <c r="Q1" s="27" t="s">
        <v>12</v>
      </c>
      <c r="R1" s="28" t="s">
        <v>13</v>
      </c>
    </row>
    <row r="2" spans="1:18" ht="13.5" thickBot="1" x14ac:dyDescent="0.25">
      <c r="A2" s="172"/>
      <c r="B2" s="201"/>
      <c r="C2" s="201"/>
      <c r="D2" s="202">
        <v>1643</v>
      </c>
      <c r="E2" s="202">
        <v>137</v>
      </c>
      <c r="F2" s="203"/>
      <c r="G2" s="203"/>
      <c r="H2" s="202">
        <f>+D2+E2</f>
        <v>1780</v>
      </c>
      <c r="I2" s="204"/>
      <c r="J2" s="204"/>
      <c r="K2" s="204"/>
      <c r="L2" s="201"/>
      <c r="M2" s="201"/>
      <c r="N2" s="204"/>
      <c r="O2" s="173"/>
      <c r="P2" s="173"/>
      <c r="Q2" s="173"/>
      <c r="R2" s="205"/>
    </row>
    <row r="3" spans="1:18" ht="13.5" thickBot="1" x14ac:dyDescent="0.25">
      <c r="A3" s="66" t="s">
        <v>68</v>
      </c>
      <c r="B3" s="67"/>
      <c r="C3" s="67">
        <f>+SUM(C4:C90)</f>
        <v>1702</v>
      </c>
      <c r="D3" s="67">
        <f>+SUM(D4:D808)</f>
        <v>1055</v>
      </c>
      <c r="E3" s="67">
        <f>+SUM(E4:E808)</f>
        <v>16</v>
      </c>
      <c r="F3" s="67"/>
      <c r="G3" s="67">
        <v>1100</v>
      </c>
      <c r="H3" s="67">
        <f>H2-(F3+G3)+H54+H55+H56+H57+H58</f>
        <v>1751</v>
      </c>
      <c r="I3" s="68"/>
      <c r="J3" s="68"/>
      <c r="K3" s="68"/>
      <c r="L3" s="67"/>
      <c r="M3" s="67"/>
      <c r="N3" s="68"/>
      <c r="O3" s="68"/>
      <c r="P3" s="68"/>
      <c r="Q3" s="68"/>
      <c r="R3" s="69"/>
    </row>
    <row r="4" spans="1:18" x14ac:dyDescent="0.2">
      <c r="A4" s="18">
        <f>+'SERVICIO FAENA'!E3</f>
        <v>46024</v>
      </c>
      <c r="B4" s="20">
        <f>+'SERVICIO FAENA'!A3</f>
        <v>1</v>
      </c>
      <c r="C4" s="49">
        <f>+'SERVICIO FAENA'!C3</f>
        <v>15</v>
      </c>
      <c r="D4" s="110">
        <v>13</v>
      </c>
      <c r="E4" s="110">
        <v>2</v>
      </c>
      <c r="F4" s="49"/>
      <c r="G4" s="49"/>
      <c r="H4" s="49">
        <f t="shared" ref="H4:H15" si="0">+D4+E4</f>
        <v>15</v>
      </c>
      <c r="I4" s="16"/>
      <c r="J4" s="16">
        <v>0</v>
      </c>
      <c r="K4" s="16">
        <v>0</v>
      </c>
      <c r="L4" s="11"/>
      <c r="M4" s="11"/>
      <c r="N4" s="16">
        <f>+K4*I4</f>
        <v>0</v>
      </c>
      <c r="O4" s="18"/>
      <c r="P4" s="19">
        <v>0</v>
      </c>
      <c r="Q4" s="29">
        <f>+P4-N4</f>
        <v>0</v>
      </c>
      <c r="R4" s="11"/>
    </row>
    <row r="5" spans="1:18" ht="12.75" customHeight="1" x14ac:dyDescent="0.2">
      <c r="A5" s="18">
        <f>+'SERVICIO FAENA'!E4</f>
        <v>46024</v>
      </c>
      <c r="B5" s="20">
        <f>+'SERVICIO FAENA'!A4</f>
        <v>2</v>
      </c>
      <c r="C5" s="49">
        <f>+'SERVICIO FAENA'!C4</f>
        <v>43</v>
      </c>
      <c r="D5" s="110">
        <v>40</v>
      </c>
      <c r="E5" s="110">
        <v>3</v>
      </c>
      <c r="F5" s="49"/>
      <c r="G5" s="49"/>
      <c r="H5" s="49">
        <f t="shared" si="0"/>
        <v>43</v>
      </c>
      <c r="I5" s="16"/>
      <c r="J5" s="16">
        <v>0</v>
      </c>
      <c r="K5" s="16">
        <v>0</v>
      </c>
      <c r="L5" s="11"/>
      <c r="M5" s="11"/>
      <c r="N5" s="16">
        <f>+K5*I5</f>
        <v>0</v>
      </c>
      <c r="O5" s="18"/>
      <c r="P5" s="19">
        <v>0</v>
      </c>
      <c r="Q5" s="29">
        <f>+P5-N5</f>
        <v>0</v>
      </c>
      <c r="R5" s="11"/>
    </row>
    <row r="6" spans="1:18" x14ac:dyDescent="0.2">
      <c r="A6" s="18">
        <f>+'SERVICIO FAENA'!E5</f>
        <v>46027</v>
      </c>
      <c r="B6" s="20">
        <f>+'SERVICIO FAENA'!A5</f>
        <v>3</v>
      </c>
      <c r="C6" s="49">
        <f>+'SERVICIO FAENA'!C5</f>
        <v>40</v>
      </c>
      <c r="D6" s="110">
        <v>40</v>
      </c>
      <c r="E6" s="110">
        <v>0</v>
      </c>
      <c r="F6" s="49"/>
      <c r="G6" s="49"/>
      <c r="H6" s="49">
        <f t="shared" si="0"/>
        <v>40</v>
      </c>
      <c r="I6" s="16"/>
      <c r="J6" s="16">
        <v>0</v>
      </c>
      <c r="K6" s="16">
        <v>0</v>
      </c>
      <c r="L6" s="11"/>
      <c r="M6" s="11"/>
      <c r="N6" s="16">
        <f t="shared" ref="N6:N71" si="1">+K6*I6</f>
        <v>0</v>
      </c>
      <c r="O6" s="18"/>
      <c r="P6" s="19">
        <v>0</v>
      </c>
      <c r="Q6" s="29">
        <f t="shared" ref="Q6:Q71" si="2">+P6-N6</f>
        <v>0</v>
      </c>
      <c r="R6" s="11"/>
    </row>
    <row r="7" spans="1:18" ht="12.75" customHeight="1" x14ac:dyDescent="0.2">
      <c r="A7" s="18">
        <f>+'SERVICIO FAENA'!E6</f>
        <v>46027</v>
      </c>
      <c r="B7" s="20">
        <f>+'SERVICIO FAENA'!A6</f>
        <v>4</v>
      </c>
      <c r="C7" s="49">
        <f>+'SERVICIO FAENA'!C6</f>
        <v>25</v>
      </c>
      <c r="D7" s="110">
        <v>25</v>
      </c>
      <c r="E7" s="110">
        <v>0</v>
      </c>
      <c r="F7" s="49"/>
      <c r="G7" s="49"/>
      <c r="H7" s="49">
        <f t="shared" si="0"/>
        <v>25</v>
      </c>
      <c r="I7" s="16"/>
      <c r="J7" s="16">
        <v>0</v>
      </c>
      <c r="K7" s="16">
        <v>0</v>
      </c>
      <c r="L7" s="11"/>
      <c r="M7" s="11"/>
      <c r="N7" s="16">
        <f t="shared" si="1"/>
        <v>0</v>
      </c>
      <c r="O7" s="18"/>
      <c r="P7" s="19">
        <v>0</v>
      </c>
      <c r="Q7" s="29">
        <f t="shared" si="2"/>
        <v>0</v>
      </c>
      <c r="R7" s="11"/>
    </row>
    <row r="8" spans="1:18" x14ac:dyDescent="0.2">
      <c r="A8" s="18">
        <f>+'SERVICIO FAENA'!E7</f>
        <v>46027</v>
      </c>
      <c r="B8" s="20">
        <f>+'SERVICIO FAENA'!A7</f>
        <v>5</v>
      </c>
      <c r="C8" s="49">
        <f>+'SERVICIO FAENA'!C7</f>
        <v>30</v>
      </c>
      <c r="D8" s="110">
        <v>30</v>
      </c>
      <c r="E8" s="110">
        <v>0</v>
      </c>
      <c r="F8" s="49"/>
      <c r="G8" s="49"/>
      <c r="H8" s="49">
        <f t="shared" si="0"/>
        <v>30</v>
      </c>
      <c r="I8" s="16"/>
      <c r="J8" s="16">
        <v>0</v>
      </c>
      <c r="K8" s="16">
        <v>0</v>
      </c>
      <c r="L8" s="11"/>
      <c r="M8" s="11"/>
      <c r="N8" s="16">
        <f t="shared" si="1"/>
        <v>0</v>
      </c>
      <c r="O8" s="18"/>
      <c r="P8" s="19">
        <v>0</v>
      </c>
      <c r="Q8" s="29">
        <f t="shared" si="2"/>
        <v>0</v>
      </c>
      <c r="R8" s="11"/>
    </row>
    <row r="9" spans="1:18" ht="12.75" customHeight="1" x14ac:dyDescent="0.2">
      <c r="A9" s="18">
        <f>+'SERVICIO FAENA'!E8</f>
        <v>46028</v>
      </c>
      <c r="B9" s="20">
        <f>+'SERVICIO FAENA'!A8</f>
        <v>6</v>
      </c>
      <c r="C9" s="49">
        <f>+'SERVICIO FAENA'!C8</f>
        <v>15</v>
      </c>
      <c r="D9" s="110">
        <v>15</v>
      </c>
      <c r="E9" s="110">
        <v>0</v>
      </c>
      <c r="F9" s="49"/>
      <c r="G9" s="49"/>
      <c r="H9" s="49">
        <f t="shared" si="0"/>
        <v>15</v>
      </c>
      <c r="I9" s="16"/>
      <c r="J9" s="16">
        <v>0</v>
      </c>
      <c r="K9" s="16">
        <v>0</v>
      </c>
      <c r="L9" s="11"/>
      <c r="M9" s="11"/>
      <c r="N9" s="16">
        <f t="shared" si="1"/>
        <v>0</v>
      </c>
      <c r="O9" s="18"/>
      <c r="P9" s="19">
        <v>0</v>
      </c>
      <c r="Q9" s="29">
        <f t="shared" si="2"/>
        <v>0</v>
      </c>
      <c r="R9" s="11"/>
    </row>
    <row r="10" spans="1:18" x14ac:dyDescent="0.2">
      <c r="A10" s="18">
        <f>+'SERVICIO FAENA'!E9</f>
        <v>46028</v>
      </c>
      <c r="B10" s="20">
        <f>+'SERVICIO FAENA'!A9</f>
        <v>7</v>
      </c>
      <c r="C10" s="49">
        <f>+'SERVICIO FAENA'!C9</f>
        <v>35</v>
      </c>
      <c r="D10" s="110">
        <v>35</v>
      </c>
      <c r="E10" s="110">
        <v>0</v>
      </c>
      <c r="F10" s="49"/>
      <c r="G10" s="49"/>
      <c r="H10" s="49">
        <f t="shared" si="0"/>
        <v>35</v>
      </c>
      <c r="I10" s="16"/>
      <c r="J10" s="16">
        <v>0</v>
      </c>
      <c r="K10" s="16">
        <v>0</v>
      </c>
      <c r="L10" s="11"/>
      <c r="M10" s="11"/>
      <c r="N10" s="16">
        <f t="shared" si="1"/>
        <v>0</v>
      </c>
      <c r="O10" s="18"/>
      <c r="P10" s="19">
        <v>0</v>
      </c>
      <c r="Q10" s="29">
        <f t="shared" si="2"/>
        <v>0</v>
      </c>
      <c r="R10" s="11"/>
    </row>
    <row r="11" spans="1:18" ht="12.75" customHeight="1" x14ac:dyDescent="0.2">
      <c r="A11" s="18">
        <f>+'SERVICIO FAENA'!E10</f>
        <v>46028</v>
      </c>
      <c r="B11" s="20">
        <f>+'SERVICIO FAENA'!A10</f>
        <v>8</v>
      </c>
      <c r="C11" s="49">
        <f>+'SERVICIO FAENA'!C10</f>
        <v>5</v>
      </c>
      <c r="D11" s="110">
        <v>5</v>
      </c>
      <c r="E11" s="110">
        <v>0</v>
      </c>
      <c r="F11" s="49"/>
      <c r="G11" s="49"/>
      <c r="H11" s="49">
        <f t="shared" si="0"/>
        <v>5</v>
      </c>
      <c r="I11" s="16"/>
      <c r="J11" s="16">
        <v>0</v>
      </c>
      <c r="K11" s="16">
        <v>0</v>
      </c>
      <c r="L11" s="11"/>
      <c r="M11" s="11"/>
      <c r="N11" s="16">
        <f t="shared" si="1"/>
        <v>0</v>
      </c>
      <c r="O11" s="18"/>
      <c r="P11" s="19">
        <v>0</v>
      </c>
      <c r="Q11" s="29">
        <f t="shared" si="2"/>
        <v>0</v>
      </c>
      <c r="R11" s="11"/>
    </row>
    <row r="12" spans="1:18" x14ac:dyDescent="0.2">
      <c r="A12" s="18">
        <f>+'SERVICIO FAENA'!E11</f>
        <v>46028</v>
      </c>
      <c r="B12" s="20">
        <f>+'SERVICIO FAENA'!A11</f>
        <v>9</v>
      </c>
      <c r="C12" s="49">
        <f>+'SERVICIO FAENA'!C11</f>
        <v>10</v>
      </c>
      <c r="D12" s="110">
        <v>10</v>
      </c>
      <c r="E12" s="110">
        <v>0</v>
      </c>
      <c r="F12" s="49"/>
      <c r="G12" s="49"/>
      <c r="H12" s="49">
        <f t="shared" si="0"/>
        <v>10</v>
      </c>
      <c r="I12" s="16"/>
      <c r="J12" s="16">
        <v>0</v>
      </c>
      <c r="K12" s="16">
        <v>0</v>
      </c>
      <c r="L12" s="11"/>
      <c r="M12" s="11"/>
      <c r="N12" s="16">
        <f t="shared" si="1"/>
        <v>0</v>
      </c>
      <c r="O12" s="18"/>
      <c r="P12" s="19">
        <v>0</v>
      </c>
      <c r="Q12" s="29">
        <f t="shared" si="2"/>
        <v>0</v>
      </c>
      <c r="R12" s="11"/>
    </row>
    <row r="13" spans="1:18" ht="12.75" customHeight="1" x14ac:dyDescent="0.2">
      <c r="A13" s="18">
        <f>+'SERVICIO FAENA'!E12</f>
        <v>46028</v>
      </c>
      <c r="B13" s="20">
        <f>+'SERVICIO FAENA'!A12</f>
        <v>10</v>
      </c>
      <c r="C13" s="49">
        <f>+'SERVICIO FAENA'!C12</f>
        <v>15</v>
      </c>
      <c r="D13" s="110">
        <v>15</v>
      </c>
      <c r="E13" s="110">
        <v>0</v>
      </c>
      <c r="F13" s="49"/>
      <c r="G13" s="49"/>
      <c r="H13" s="49">
        <f t="shared" si="0"/>
        <v>15</v>
      </c>
      <c r="I13" s="16"/>
      <c r="J13" s="16">
        <v>0</v>
      </c>
      <c r="K13" s="16">
        <v>0</v>
      </c>
      <c r="L13" s="11"/>
      <c r="M13" s="11"/>
      <c r="N13" s="16">
        <f t="shared" si="1"/>
        <v>0</v>
      </c>
      <c r="O13" s="18"/>
      <c r="P13" s="19">
        <v>0</v>
      </c>
      <c r="Q13" s="29">
        <f t="shared" si="2"/>
        <v>0</v>
      </c>
      <c r="R13" s="11"/>
    </row>
    <row r="14" spans="1:18" x14ac:dyDescent="0.2">
      <c r="A14" s="18">
        <f>+'SERVICIO FAENA'!E13</f>
        <v>46029</v>
      </c>
      <c r="B14" s="20">
        <f>+'SERVICIO FAENA'!A13</f>
        <v>11</v>
      </c>
      <c r="C14" s="49">
        <f>+'SERVICIO FAENA'!C13</f>
        <v>20</v>
      </c>
      <c r="D14" s="110">
        <v>19</v>
      </c>
      <c r="E14" s="110">
        <v>1</v>
      </c>
      <c r="F14" s="49"/>
      <c r="G14" s="49"/>
      <c r="H14" s="49">
        <f t="shared" si="0"/>
        <v>20</v>
      </c>
      <c r="I14" s="16"/>
      <c r="J14" s="16">
        <v>0</v>
      </c>
      <c r="K14" s="16">
        <v>0</v>
      </c>
      <c r="L14" s="11"/>
      <c r="M14" s="11"/>
      <c r="N14" s="16">
        <f t="shared" si="1"/>
        <v>0</v>
      </c>
      <c r="O14" s="18"/>
      <c r="P14" s="19">
        <v>0</v>
      </c>
      <c r="Q14" s="29">
        <f t="shared" si="2"/>
        <v>0</v>
      </c>
      <c r="R14" s="11"/>
    </row>
    <row r="15" spans="1:18" ht="12.75" customHeight="1" x14ac:dyDescent="0.2">
      <c r="A15" s="18">
        <f>+'SERVICIO FAENA'!E14</f>
        <v>46029</v>
      </c>
      <c r="B15" s="20">
        <f>+'SERVICIO FAENA'!A14</f>
        <v>12</v>
      </c>
      <c r="C15" s="49">
        <f>+'SERVICIO FAENA'!C14</f>
        <v>3</v>
      </c>
      <c r="D15" s="110">
        <v>0</v>
      </c>
      <c r="E15" s="110">
        <v>0</v>
      </c>
      <c r="F15" s="49"/>
      <c r="G15" s="49"/>
      <c r="H15" s="49">
        <f t="shared" si="0"/>
        <v>0</v>
      </c>
      <c r="I15" s="16"/>
      <c r="J15" s="16">
        <v>0</v>
      </c>
      <c r="K15" s="16">
        <v>0</v>
      </c>
      <c r="L15" s="11"/>
      <c r="M15" s="11"/>
      <c r="N15" s="16">
        <f t="shared" si="1"/>
        <v>0</v>
      </c>
      <c r="O15" s="18"/>
      <c r="P15" s="19">
        <v>0</v>
      </c>
      <c r="Q15" s="29">
        <f t="shared" si="2"/>
        <v>0</v>
      </c>
      <c r="R15" s="11"/>
    </row>
    <row r="16" spans="1:18" x14ac:dyDescent="0.2">
      <c r="A16" s="18">
        <f>+'SERVICIO FAENA'!E15</f>
        <v>46029</v>
      </c>
      <c r="B16" s="20">
        <f>+'SERVICIO FAENA'!A15</f>
        <v>13</v>
      </c>
      <c r="C16" s="49">
        <f>+'SERVICIO FAENA'!C15</f>
        <v>40</v>
      </c>
      <c r="D16" s="110">
        <v>39</v>
      </c>
      <c r="E16" s="110">
        <v>1</v>
      </c>
      <c r="F16" s="49"/>
      <c r="G16" s="49"/>
      <c r="H16" s="49">
        <f t="shared" ref="H16:H80" si="3">+D16+E16</f>
        <v>40</v>
      </c>
      <c r="I16" s="16"/>
      <c r="J16" s="16">
        <v>0</v>
      </c>
      <c r="K16" s="16">
        <v>0</v>
      </c>
      <c r="L16" s="11"/>
      <c r="M16" s="11"/>
      <c r="N16" s="16">
        <f t="shared" si="1"/>
        <v>0</v>
      </c>
      <c r="O16" s="18"/>
      <c r="P16" s="19">
        <v>0</v>
      </c>
      <c r="Q16" s="29">
        <f t="shared" si="2"/>
        <v>0</v>
      </c>
      <c r="R16" s="11"/>
    </row>
    <row r="17" spans="1:18" ht="12.75" customHeight="1" x14ac:dyDescent="0.2">
      <c r="A17" s="18">
        <f>+'SERVICIO FAENA'!E16</f>
        <v>46030</v>
      </c>
      <c r="B17" s="20">
        <f>+'SERVICIO FAENA'!A16</f>
        <v>14</v>
      </c>
      <c r="C17" s="49">
        <f>+'SERVICIO FAENA'!C16</f>
        <v>35</v>
      </c>
      <c r="D17" s="110">
        <v>33</v>
      </c>
      <c r="E17" s="110">
        <v>2</v>
      </c>
      <c r="F17" s="49"/>
      <c r="G17" s="49"/>
      <c r="H17" s="49">
        <f t="shared" si="3"/>
        <v>35</v>
      </c>
      <c r="I17" s="16"/>
      <c r="J17" s="16">
        <v>0</v>
      </c>
      <c r="K17" s="16">
        <v>0</v>
      </c>
      <c r="L17" s="11"/>
      <c r="M17" s="11"/>
      <c r="N17" s="16">
        <f t="shared" si="1"/>
        <v>0</v>
      </c>
      <c r="O17" s="18"/>
      <c r="P17" s="19">
        <v>0</v>
      </c>
      <c r="Q17" s="29">
        <f t="shared" si="2"/>
        <v>0</v>
      </c>
      <c r="R17" s="11"/>
    </row>
    <row r="18" spans="1:18" x14ac:dyDescent="0.2">
      <c r="A18" s="18">
        <f>+'SERVICIO FAENA'!E17</f>
        <v>46031</v>
      </c>
      <c r="B18" s="20">
        <f>+'SERVICIO FAENA'!A17</f>
        <v>15</v>
      </c>
      <c r="C18" s="49">
        <f>+'SERVICIO FAENA'!C17</f>
        <v>46</v>
      </c>
      <c r="D18" s="110">
        <v>45</v>
      </c>
      <c r="E18" s="110">
        <v>1</v>
      </c>
      <c r="F18" s="49"/>
      <c r="G18" s="49"/>
      <c r="H18" s="49">
        <f t="shared" si="3"/>
        <v>46</v>
      </c>
      <c r="I18" s="16"/>
      <c r="J18" s="16">
        <v>0</v>
      </c>
      <c r="K18" s="16">
        <v>0</v>
      </c>
      <c r="L18" s="11"/>
      <c r="M18" s="11"/>
      <c r="N18" s="16">
        <f t="shared" si="1"/>
        <v>0</v>
      </c>
      <c r="O18" s="18"/>
      <c r="P18" s="19">
        <v>0</v>
      </c>
      <c r="Q18" s="29">
        <f t="shared" si="2"/>
        <v>0</v>
      </c>
      <c r="R18" s="11"/>
    </row>
    <row r="19" spans="1:18" ht="12.75" customHeight="1" x14ac:dyDescent="0.2">
      <c r="A19" s="18">
        <f>+'SERVICIO FAENA'!E18</f>
        <v>46031</v>
      </c>
      <c r="B19" s="20">
        <f>+'SERVICIO FAENA'!A18</f>
        <v>16</v>
      </c>
      <c r="C19" s="49">
        <f>+'SERVICIO FAENA'!C18</f>
        <v>15</v>
      </c>
      <c r="D19" s="110">
        <v>15</v>
      </c>
      <c r="E19" s="110">
        <v>0</v>
      </c>
      <c r="F19" s="49"/>
      <c r="G19" s="49"/>
      <c r="H19" s="49">
        <f t="shared" si="3"/>
        <v>15</v>
      </c>
      <c r="I19" s="16"/>
      <c r="J19" s="16">
        <v>0</v>
      </c>
      <c r="K19" s="16">
        <v>0</v>
      </c>
      <c r="L19" s="11"/>
      <c r="M19" s="11"/>
      <c r="N19" s="16">
        <f t="shared" si="1"/>
        <v>0</v>
      </c>
      <c r="O19" s="18"/>
      <c r="P19" s="19">
        <v>0</v>
      </c>
      <c r="Q19" s="29">
        <f t="shared" si="2"/>
        <v>0</v>
      </c>
      <c r="R19" s="11"/>
    </row>
    <row r="20" spans="1:18" x14ac:dyDescent="0.2">
      <c r="A20" s="18">
        <f>+'SERVICIO FAENA'!E19</f>
        <v>46031</v>
      </c>
      <c r="B20" s="20">
        <f>+'SERVICIO FAENA'!A19</f>
        <v>17</v>
      </c>
      <c r="C20" s="49">
        <f>+'SERVICIO FAENA'!C19</f>
        <v>17</v>
      </c>
      <c r="D20" s="110">
        <v>16</v>
      </c>
      <c r="E20" s="110">
        <v>1</v>
      </c>
      <c r="F20" s="49"/>
      <c r="G20" s="49"/>
      <c r="H20" s="49">
        <f t="shared" si="3"/>
        <v>17</v>
      </c>
      <c r="I20" s="16"/>
      <c r="J20" s="16">
        <v>0</v>
      </c>
      <c r="K20" s="16">
        <v>0</v>
      </c>
      <c r="L20" s="11"/>
      <c r="M20" s="11"/>
      <c r="N20" s="16">
        <f t="shared" si="1"/>
        <v>0</v>
      </c>
      <c r="O20" s="18"/>
      <c r="P20" s="19">
        <v>0</v>
      </c>
      <c r="Q20" s="29">
        <f t="shared" si="2"/>
        <v>0</v>
      </c>
      <c r="R20" s="11"/>
    </row>
    <row r="21" spans="1:18" ht="12.75" customHeight="1" x14ac:dyDescent="0.2">
      <c r="A21" s="109">
        <f>+'SERVICIO FAENA'!E20</f>
        <v>46034</v>
      </c>
      <c r="B21" s="20">
        <f>+'SERVICIO FAENA'!A20</f>
        <v>18</v>
      </c>
      <c r="C21" s="49">
        <f>+'SERVICIO FAENA'!C20</f>
        <v>43</v>
      </c>
      <c r="D21" s="110">
        <v>23</v>
      </c>
      <c r="E21" s="110">
        <v>0</v>
      </c>
      <c r="F21" s="49"/>
      <c r="G21" s="49"/>
      <c r="H21" s="49">
        <f t="shared" si="3"/>
        <v>23</v>
      </c>
      <c r="I21" s="16"/>
      <c r="J21" s="16">
        <v>0</v>
      </c>
      <c r="K21" s="16">
        <v>0</v>
      </c>
      <c r="L21" s="11"/>
      <c r="M21" s="11"/>
      <c r="N21" s="16">
        <f t="shared" si="1"/>
        <v>0</v>
      </c>
      <c r="O21" s="18"/>
      <c r="P21" s="19">
        <v>0</v>
      </c>
      <c r="Q21" s="29">
        <f t="shared" si="2"/>
        <v>0</v>
      </c>
      <c r="R21" s="11"/>
    </row>
    <row r="22" spans="1:18" x14ac:dyDescent="0.2">
      <c r="A22" s="109">
        <f>+'SERVICIO FAENA'!E21</f>
        <v>46034</v>
      </c>
      <c r="B22" s="20">
        <f>+'SERVICIO FAENA'!A21</f>
        <v>19</v>
      </c>
      <c r="C22" s="49">
        <f>+'SERVICIO FAENA'!C21</f>
        <v>25</v>
      </c>
      <c r="D22" s="110">
        <v>18</v>
      </c>
      <c r="E22" s="110">
        <v>0</v>
      </c>
      <c r="F22" s="49"/>
      <c r="G22" s="49"/>
      <c r="H22" s="49">
        <f t="shared" si="3"/>
        <v>18</v>
      </c>
      <c r="I22" s="16"/>
      <c r="J22" s="16">
        <v>0</v>
      </c>
      <c r="K22" s="16">
        <v>0</v>
      </c>
      <c r="L22" s="11"/>
      <c r="M22" s="11"/>
      <c r="N22" s="16">
        <f t="shared" si="1"/>
        <v>0</v>
      </c>
      <c r="O22" s="18"/>
      <c r="P22" s="19">
        <v>0</v>
      </c>
      <c r="Q22" s="29">
        <f t="shared" si="2"/>
        <v>0</v>
      </c>
      <c r="R22" s="11"/>
    </row>
    <row r="23" spans="1:18" ht="12.75" customHeight="1" x14ac:dyDescent="0.2">
      <c r="A23" s="109">
        <f>+'SERVICIO FAENA'!E22</f>
        <v>46034</v>
      </c>
      <c r="B23" s="20">
        <f>+'SERVICIO FAENA'!A22</f>
        <v>20</v>
      </c>
      <c r="C23" s="49">
        <f>+'SERVICIO FAENA'!C22</f>
        <v>15</v>
      </c>
      <c r="D23" s="110">
        <v>5</v>
      </c>
      <c r="E23" s="110">
        <v>0</v>
      </c>
      <c r="F23" s="49"/>
      <c r="G23" s="49"/>
      <c r="H23" s="49">
        <f t="shared" si="3"/>
        <v>5</v>
      </c>
      <c r="I23" s="16"/>
      <c r="J23" s="16">
        <v>0</v>
      </c>
      <c r="K23" s="16">
        <v>0</v>
      </c>
      <c r="L23" s="11"/>
      <c r="M23" s="11"/>
      <c r="N23" s="16">
        <f t="shared" si="1"/>
        <v>0</v>
      </c>
      <c r="O23" s="18"/>
      <c r="P23" s="19">
        <v>0</v>
      </c>
      <c r="Q23" s="29">
        <f t="shared" si="2"/>
        <v>0</v>
      </c>
      <c r="R23" s="11"/>
    </row>
    <row r="24" spans="1:18" x14ac:dyDescent="0.2">
      <c r="A24" s="18">
        <f>+'SERVICIO FAENA'!E23</f>
        <v>46035</v>
      </c>
      <c r="B24" s="20">
        <f>+'SERVICIO FAENA'!A23</f>
        <v>21</v>
      </c>
      <c r="C24" s="49">
        <f>+'SERVICIO FAENA'!C23</f>
        <v>8</v>
      </c>
      <c r="D24" s="110">
        <v>0</v>
      </c>
      <c r="E24" s="110">
        <v>0</v>
      </c>
      <c r="F24" s="49"/>
      <c r="G24" s="49"/>
      <c r="H24" s="49">
        <f t="shared" si="3"/>
        <v>0</v>
      </c>
      <c r="I24" s="16"/>
      <c r="J24" s="16">
        <v>0</v>
      </c>
      <c r="K24" s="16">
        <v>0</v>
      </c>
      <c r="L24" s="11"/>
      <c r="M24" s="11"/>
      <c r="N24" s="16">
        <f t="shared" si="1"/>
        <v>0</v>
      </c>
      <c r="O24" s="18"/>
      <c r="P24" s="19">
        <v>0</v>
      </c>
      <c r="Q24" s="29">
        <f t="shared" si="2"/>
        <v>0</v>
      </c>
      <c r="R24" s="11"/>
    </row>
    <row r="25" spans="1:18" ht="12.75" customHeight="1" x14ac:dyDescent="0.2">
      <c r="A25" s="18">
        <f>+'SERVICIO FAENA'!E24</f>
        <v>46035</v>
      </c>
      <c r="B25" s="20">
        <f>+'SERVICIO FAENA'!A24</f>
        <v>22</v>
      </c>
      <c r="C25" s="49">
        <f>+'SERVICIO FAENA'!C24</f>
        <v>7</v>
      </c>
      <c r="D25" s="110">
        <v>0</v>
      </c>
      <c r="E25" s="110">
        <v>0</v>
      </c>
      <c r="F25" s="49"/>
      <c r="G25" s="49"/>
      <c r="H25" s="49">
        <f t="shared" si="3"/>
        <v>0</v>
      </c>
      <c r="I25" s="16"/>
      <c r="J25" s="16">
        <v>0</v>
      </c>
      <c r="K25" s="16">
        <v>0</v>
      </c>
      <c r="L25" s="11"/>
      <c r="M25" s="11"/>
      <c r="N25" s="16">
        <f t="shared" si="1"/>
        <v>0</v>
      </c>
      <c r="O25" s="18"/>
      <c r="P25" s="19">
        <v>0</v>
      </c>
      <c r="Q25" s="29">
        <f t="shared" si="2"/>
        <v>0</v>
      </c>
      <c r="R25" s="11"/>
    </row>
    <row r="26" spans="1:18" x14ac:dyDescent="0.2">
      <c r="A26" s="18">
        <f>+'SERVICIO FAENA'!E25</f>
        <v>46035</v>
      </c>
      <c r="B26" s="20">
        <f>+'SERVICIO FAENA'!A25</f>
        <v>23</v>
      </c>
      <c r="C26" s="49">
        <f>+'SERVICIO FAENA'!C25</f>
        <v>5</v>
      </c>
      <c r="D26" s="110">
        <v>0</v>
      </c>
      <c r="E26" s="110">
        <v>0</v>
      </c>
      <c r="F26" s="49"/>
      <c r="G26" s="49"/>
      <c r="H26" s="49">
        <f t="shared" si="3"/>
        <v>0</v>
      </c>
      <c r="I26" s="16"/>
      <c r="J26" s="16">
        <v>0</v>
      </c>
      <c r="K26" s="16">
        <v>0</v>
      </c>
      <c r="L26" s="11"/>
      <c r="M26" s="11"/>
      <c r="N26" s="16">
        <f t="shared" si="1"/>
        <v>0</v>
      </c>
      <c r="O26" s="18"/>
      <c r="P26" s="19">
        <v>0</v>
      </c>
      <c r="Q26" s="29">
        <f t="shared" si="2"/>
        <v>0</v>
      </c>
      <c r="R26" s="11"/>
    </row>
    <row r="27" spans="1:18" ht="12.75" customHeight="1" x14ac:dyDescent="0.2">
      <c r="A27" s="18">
        <f>+'SERVICIO FAENA'!E26</f>
        <v>46036</v>
      </c>
      <c r="B27" s="20">
        <f>+'SERVICIO FAENA'!A26</f>
        <v>24</v>
      </c>
      <c r="C27" s="49">
        <f>+'SERVICIO FAENA'!C26</f>
        <v>30</v>
      </c>
      <c r="D27" s="110">
        <v>30</v>
      </c>
      <c r="E27" s="110">
        <v>0</v>
      </c>
      <c r="F27" s="49"/>
      <c r="G27" s="49"/>
      <c r="H27" s="49">
        <f t="shared" si="3"/>
        <v>30</v>
      </c>
      <c r="I27" s="16"/>
      <c r="J27" s="16">
        <v>0</v>
      </c>
      <c r="K27" s="16">
        <v>0</v>
      </c>
      <c r="L27" s="11"/>
      <c r="M27" s="11"/>
      <c r="N27" s="16">
        <f t="shared" si="1"/>
        <v>0</v>
      </c>
      <c r="O27" s="18"/>
      <c r="P27" s="19">
        <v>0</v>
      </c>
      <c r="Q27" s="29">
        <f t="shared" si="2"/>
        <v>0</v>
      </c>
      <c r="R27" s="11"/>
    </row>
    <row r="28" spans="1:18" x14ac:dyDescent="0.2">
      <c r="A28" s="18">
        <f>+'SERVICIO FAENA'!E27</f>
        <v>46036</v>
      </c>
      <c r="B28" s="20">
        <f>+'SERVICIO FAENA'!A27</f>
        <v>25</v>
      </c>
      <c r="C28" s="49">
        <f>+'SERVICIO FAENA'!C27</f>
        <v>6</v>
      </c>
      <c r="D28" s="110">
        <v>6</v>
      </c>
      <c r="E28" s="110">
        <v>0</v>
      </c>
      <c r="F28" s="49"/>
      <c r="G28" s="49"/>
      <c r="H28" s="49">
        <f t="shared" si="3"/>
        <v>6</v>
      </c>
      <c r="I28" s="16"/>
      <c r="J28" s="16">
        <v>0</v>
      </c>
      <c r="K28" s="16">
        <v>0</v>
      </c>
      <c r="L28" s="11"/>
      <c r="M28" s="11"/>
      <c r="N28" s="16">
        <f t="shared" si="1"/>
        <v>0</v>
      </c>
      <c r="O28" s="18"/>
      <c r="P28" s="19">
        <v>0</v>
      </c>
      <c r="Q28" s="29">
        <f t="shared" si="2"/>
        <v>0</v>
      </c>
      <c r="R28" s="11"/>
    </row>
    <row r="29" spans="1:18" ht="12.75" customHeight="1" x14ac:dyDescent="0.2">
      <c r="A29" s="18">
        <f>+'SERVICIO FAENA'!E28</f>
        <v>46038</v>
      </c>
      <c r="B29" s="20">
        <f>+'SERVICIO FAENA'!A28</f>
        <v>26</v>
      </c>
      <c r="C29" s="49">
        <f>+'SERVICIO FAENA'!C28</f>
        <v>50</v>
      </c>
      <c r="D29" s="110">
        <v>50</v>
      </c>
      <c r="E29" s="110">
        <v>0</v>
      </c>
      <c r="F29" s="49"/>
      <c r="G29" s="49"/>
      <c r="H29" s="49">
        <f t="shared" si="3"/>
        <v>50</v>
      </c>
      <c r="I29" s="16"/>
      <c r="J29" s="16">
        <v>0</v>
      </c>
      <c r="K29" s="16">
        <v>0</v>
      </c>
      <c r="L29" s="11"/>
      <c r="M29" s="11"/>
      <c r="N29" s="16">
        <f t="shared" si="1"/>
        <v>0</v>
      </c>
      <c r="O29" s="18"/>
      <c r="P29" s="19">
        <v>0</v>
      </c>
      <c r="Q29" s="29">
        <f t="shared" si="2"/>
        <v>0</v>
      </c>
      <c r="R29" s="11"/>
    </row>
    <row r="30" spans="1:18" x14ac:dyDescent="0.2">
      <c r="A30" s="18">
        <f>+'SERVICIO FAENA'!E29</f>
        <v>46041</v>
      </c>
      <c r="B30" s="20">
        <f>+'SERVICIO FAENA'!A29</f>
        <v>27</v>
      </c>
      <c r="C30" s="49">
        <f>+'SERVICIO FAENA'!C29</f>
        <v>40</v>
      </c>
      <c r="D30" s="110">
        <v>40</v>
      </c>
      <c r="E30" s="110">
        <v>0</v>
      </c>
      <c r="F30" s="49"/>
      <c r="G30" s="49"/>
      <c r="H30" s="49">
        <f t="shared" si="3"/>
        <v>40</v>
      </c>
      <c r="I30" s="16"/>
      <c r="J30" s="16">
        <v>0</v>
      </c>
      <c r="K30" s="16">
        <v>0</v>
      </c>
      <c r="L30" s="11"/>
      <c r="M30" s="11"/>
      <c r="N30" s="16">
        <f t="shared" si="1"/>
        <v>0</v>
      </c>
      <c r="O30" s="18"/>
      <c r="P30" s="19">
        <v>0</v>
      </c>
      <c r="Q30" s="29">
        <f t="shared" si="2"/>
        <v>0</v>
      </c>
      <c r="R30" s="11"/>
    </row>
    <row r="31" spans="1:18" ht="12.75" customHeight="1" x14ac:dyDescent="0.2">
      <c r="A31" s="18">
        <f>+'SERVICIO FAENA'!E30</f>
        <v>46041</v>
      </c>
      <c r="B31" s="20">
        <f>+'SERVICIO FAENA'!A30</f>
        <v>28</v>
      </c>
      <c r="C31" s="49">
        <f>+'SERVICIO FAENA'!C30</f>
        <v>26</v>
      </c>
      <c r="D31" s="110">
        <v>26</v>
      </c>
      <c r="E31" s="110">
        <v>0</v>
      </c>
      <c r="F31" s="49"/>
      <c r="G31" s="49"/>
      <c r="H31" s="49">
        <f t="shared" si="3"/>
        <v>26</v>
      </c>
      <c r="I31" s="16"/>
      <c r="J31" s="16">
        <v>0</v>
      </c>
      <c r="K31" s="16">
        <v>0</v>
      </c>
      <c r="L31" s="11"/>
      <c r="M31" s="11"/>
      <c r="N31" s="16">
        <f t="shared" si="1"/>
        <v>0</v>
      </c>
      <c r="O31" s="18"/>
      <c r="P31" s="19">
        <v>0</v>
      </c>
      <c r="Q31" s="29">
        <f t="shared" si="2"/>
        <v>0</v>
      </c>
      <c r="R31" s="11"/>
    </row>
    <row r="32" spans="1:18" x14ac:dyDescent="0.2">
      <c r="A32" s="18">
        <f>+'SERVICIO FAENA'!E31</f>
        <v>46041</v>
      </c>
      <c r="B32" s="20">
        <f>+'SERVICIO FAENA'!A31</f>
        <v>29</v>
      </c>
      <c r="C32" s="49">
        <f>+'SERVICIO FAENA'!C31</f>
        <v>15</v>
      </c>
      <c r="D32" s="110">
        <v>15</v>
      </c>
      <c r="E32" s="110">
        <v>0</v>
      </c>
      <c r="F32" s="49"/>
      <c r="G32" s="49"/>
      <c r="H32" s="49">
        <f t="shared" si="3"/>
        <v>15</v>
      </c>
      <c r="I32" s="16"/>
      <c r="J32" s="16">
        <v>0</v>
      </c>
      <c r="K32" s="16">
        <v>0</v>
      </c>
      <c r="L32" s="11"/>
      <c r="M32" s="11"/>
      <c r="N32" s="16">
        <f t="shared" si="1"/>
        <v>0</v>
      </c>
      <c r="O32" s="18"/>
      <c r="P32" s="19">
        <v>0</v>
      </c>
      <c r="Q32" s="29">
        <f t="shared" si="2"/>
        <v>0</v>
      </c>
      <c r="R32" s="11"/>
    </row>
    <row r="33" spans="1:18" ht="12.75" customHeight="1" x14ac:dyDescent="0.2">
      <c r="A33" s="18" t="str">
        <f>+'SERVICIO FAENA'!E32</f>
        <v>20-21/01/2026</v>
      </c>
      <c r="B33" s="20">
        <f>+'SERVICIO FAENA'!A32</f>
        <v>30</v>
      </c>
      <c r="C33" s="49">
        <f>+'SERVICIO FAENA'!C32</f>
        <v>18</v>
      </c>
      <c r="D33" s="110">
        <v>18</v>
      </c>
      <c r="E33" s="110">
        <v>0</v>
      </c>
      <c r="F33" s="49"/>
      <c r="G33" s="49"/>
      <c r="H33" s="49">
        <f t="shared" si="3"/>
        <v>18</v>
      </c>
      <c r="I33" s="16"/>
      <c r="J33" s="16">
        <v>0</v>
      </c>
      <c r="K33" s="16">
        <v>0</v>
      </c>
      <c r="L33" s="11"/>
      <c r="M33" s="11"/>
      <c r="N33" s="16">
        <f t="shared" si="1"/>
        <v>0</v>
      </c>
      <c r="O33" s="18"/>
      <c r="P33" s="19">
        <v>0</v>
      </c>
      <c r="Q33" s="29">
        <f t="shared" si="2"/>
        <v>0</v>
      </c>
      <c r="R33" s="11"/>
    </row>
    <row r="34" spans="1:18" x14ac:dyDescent="0.2">
      <c r="A34" s="18">
        <f>+'SERVICIO FAENA'!E33</f>
        <v>46042</v>
      </c>
      <c r="B34" s="20">
        <f>+'SERVICIO FAENA'!A33</f>
        <v>31</v>
      </c>
      <c r="C34" s="49">
        <f>+'SERVICIO FAENA'!C33</f>
        <v>50</v>
      </c>
      <c r="D34" s="110">
        <v>50</v>
      </c>
      <c r="E34" s="110">
        <v>0</v>
      </c>
      <c r="F34" s="49"/>
      <c r="G34" s="49"/>
      <c r="H34" s="49">
        <f t="shared" si="3"/>
        <v>50</v>
      </c>
      <c r="I34" s="16"/>
      <c r="J34" s="16">
        <v>0</v>
      </c>
      <c r="K34" s="16">
        <v>0</v>
      </c>
      <c r="L34" s="11"/>
      <c r="M34" s="11"/>
      <c r="N34" s="16">
        <f t="shared" si="1"/>
        <v>0</v>
      </c>
      <c r="O34" s="18"/>
      <c r="P34" s="19">
        <v>0</v>
      </c>
      <c r="Q34" s="29">
        <f t="shared" si="2"/>
        <v>0</v>
      </c>
      <c r="R34" s="11"/>
    </row>
    <row r="35" spans="1:18" ht="12.75" customHeight="1" x14ac:dyDescent="0.2">
      <c r="A35" s="18">
        <f>+'SERVICIO FAENA'!E34</f>
        <v>46044</v>
      </c>
      <c r="B35" s="20">
        <f>+'SERVICIO FAENA'!A34</f>
        <v>32</v>
      </c>
      <c r="C35" s="49">
        <f>+'SERVICIO FAENA'!C34</f>
        <v>8</v>
      </c>
      <c r="D35" s="110">
        <v>8</v>
      </c>
      <c r="E35" s="110">
        <v>0</v>
      </c>
      <c r="F35" s="49"/>
      <c r="G35" s="49"/>
      <c r="H35" s="49">
        <f t="shared" si="3"/>
        <v>8</v>
      </c>
      <c r="I35" s="16"/>
      <c r="J35" s="16">
        <v>0</v>
      </c>
      <c r="K35" s="16">
        <v>0</v>
      </c>
      <c r="L35" s="11"/>
      <c r="M35" s="11"/>
      <c r="N35" s="16">
        <f t="shared" si="1"/>
        <v>0</v>
      </c>
      <c r="O35" s="18"/>
      <c r="P35" s="19">
        <v>0</v>
      </c>
      <c r="Q35" s="29">
        <f t="shared" si="2"/>
        <v>0</v>
      </c>
      <c r="R35" s="11"/>
    </row>
    <row r="36" spans="1:18" x14ac:dyDescent="0.2">
      <c r="A36" s="18">
        <f>+'SERVICIO FAENA'!E35</f>
        <v>46044</v>
      </c>
      <c r="B36" s="20">
        <f>+'SERVICIO FAENA'!A35</f>
        <v>33</v>
      </c>
      <c r="C36" s="49">
        <f>+'SERVICIO FAENA'!C35</f>
        <v>20</v>
      </c>
      <c r="D36" s="110">
        <v>20</v>
      </c>
      <c r="E36" s="110">
        <v>0</v>
      </c>
      <c r="F36" s="49"/>
      <c r="G36" s="49"/>
      <c r="H36" s="49">
        <f t="shared" si="3"/>
        <v>20</v>
      </c>
      <c r="I36" s="16"/>
      <c r="J36" s="16">
        <v>0</v>
      </c>
      <c r="K36" s="16">
        <v>0</v>
      </c>
      <c r="L36" s="11"/>
      <c r="M36" s="11"/>
      <c r="N36" s="16">
        <f t="shared" si="1"/>
        <v>0</v>
      </c>
      <c r="O36" s="18"/>
      <c r="P36" s="19">
        <v>0</v>
      </c>
      <c r="Q36" s="29">
        <f t="shared" si="2"/>
        <v>0</v>
      </c>
      <c r="R36" s="11"/>
    </row>
    <row r="37" spans="1:18" ht="12.75" customHeight="1" x14ac:dyDescent="0.2">
      <c r="A37" s="18">
        <f>+'SERVICIO FAENA'!E36</f>
        <v>46045</v>
      </c>
      <c r="B37" s="20">
        <f>+'SERVICIO FAENA'!A36</f>
        <v>34</v>
      </c>
      <c r="C37" s="49">
        <f>+'SERVICIO FAENA'!C36</f>
        <v>15</v>
      </c>
      <c r="D37" s="110">
        <v>15</v>
      </c>
      <c r="E37" s="110">
        <v>0</v>
      </c>
      <c r="F37" s="49"/>
      <c r="G37" s="49"/>
      <c r="H37" s="49">
        <f t="shared" si="3"/>
        <v>15</v>
      </c>
      <c r="I37" s="16"/>
      <c r="J37" s="16">
        <v>0</v>
      </c>
      <c r="K37" s="16">
        <v>0</v>
      </c>
      <c r="L37" s="11"/>
      <c r="M37" s="11"/>
      <c r="N37" s="16">
        <f t="shared" si="1"/>
        <v>0</v>
      </c>
      <c r="O37" s="18"/>
      <c r="P37" s="19">
        <v>0</v>
      </c>
      <c r="Q37" s="29">
        <f t="shared" si="2"/>
        <v>0</v>
      </c>
      <c r="R37" s="11"/>
    </row>
    <row r="38" spans="1:18" x14ac:dyDescent="0.2">
      <c r="A38" s="18">
        <f>+'SERVICIO FAENA'!E37</f>
        <v>46045</v>
      </c>
      <c r="B38" s="20">
        <f>+'SERVICIO FAENA'!A37</f>
        <v>35</v>
      </c>
      <c r="C38" s="49">
        <f>+'SERVICIO FAENA'!C37</f>
        <v>13</v>
      </c>
      <c r="D38" s="110">
        <v>13</v>
      </c>
      <c r="E38" s="110">
        <v>0</v>
      </c>
      <c r="F38" s="49"/>
      <c r="G38" s="49"/>
      <c r="H38" s="49">
        <f t="shared" si="3"/>
        <v>13</v>
      </c>
      <c r="I38" s="16"/>
      <c r="J38" s="16">
        <v>0</v>
      </c>
      <c r="K38" s="16">
        <v>0</v>
      </c>
      <c r="L38" s="11"/>
      <c r="M38" s="11"/>
      <c r="N38" s="16">
        <f t="shared" si="1"/>
        <v>0</v>
      </c>
      <c r="O38" s="18"/>
      <c r="P38" s="19">
        <v>0</v>
      </c>
      <c r="Q38" s="29">
        <f t="shared" si="2"/>
        <v>0</v>
      </c>
      <c r="R38" s="11"/>
    </row>
    <row r="39" spans="1:18" ht="12.75" customHeight="1" x14ac:dyDescent="0.2">
      <c r="A39" s="18">
        <f>+'SERVICIO FAENA'!E38</f>
        <v>46045</v>
      </c>
      <c r="B39" s="20">
        <f>+'SERVICIO FAENA'!A38</f>
        <v>36</v>
      </c>
      <c r="C39" s="49">
        <f>+'SERVICIO FAENA'!C38</f>
        <v>15</v>
      </c>
      <c r="D39" s="110">
        <v>15</v>
      </c>
      <c r="E39" s="110">
        <v>0</v>
      </c>
      <c r="F39" s="49"/>
      <c r="G39" s="49"/>
      <c r="H39" s="49">
        <f t="shared" si="3"/>
        <v>15</v>
      </c>
      <c r="I39" s="16"/>
      <c r="J39" s="16">
        <v>0</v>
      </c>
      <c r="K39" s="16">
        <v>0</v>
      </c>
      <c r="L39" s="11"/>
      <c r="M39" s="11"/>
      <c r="N39" s="16">
        <f t="shared" si="1"/>
        <v>0</v>
      </c>
      <c r="O39" s="18"/>
      <c r="P39" s="19">
        <v>0</v>
      </c>
      <c r="Q39" s="29">
        <f t="shared" si="2"/>
        <v>0</v>
      </c>
      <c r="R39" s="11"/>
    </row>
    <row r="40" spans="1:18" x14ac:dyDescent="0.2">
      <c r="A40" s="18">
        <f>+'SERVICIO FAENA'!E39</f>
        <v>46048</v>
      </c>
      <c r="B40" s="20">
        <f>+'SERVICIO FAENA'!A39</f>
        <v>37</v>
      </c>
      <c r="C40" s="49">
        <f>+'SERVICIO FAENA'!C39</f>
        <v>15</v>
      </c>
      <c r="D40" s="110">
        <v>15</v>
      </c>
      <c r="E40" s="110">
        <v>0</v>
      </c>
      <c r="F40" s="49"/>
      <c r="G40" s="49"/>
      <c r="H40" s="49">
        <f t="shared" si="3"/>
        <v>15</v>
      </c>
      <c r="I40" s="16"/>
      <c r="J40" s="16">
        <v>0</v>
      </c>
      <c r="K40" s="16">
        <v>0</v>
      </c>
      <c r="L40" s="11"/>
      <c r="M40" s="11"/>
      <c r="N40" s="16">
        <f t="shared" si="1"/>
        <v>0</v>
      </c>
      <c r="O40" s="18"/>
      <c r="P40" s="19">
        <v>0</v>
      </c>
      <c r="Q40" s="29">
        <f t="shared" si="2"/>
        <v>0</v>
      </c>
      <c r="R40" s="11"/>
    </row>
    <row r="41" spans="1:18" ht="12.75" customHeight="1" x14ac:dyDescent="0.2">
      <c r="A41" s="18">
        <f>+'SERVICIO FAENA'!E40</f>
        <v>46048</v>
      </c>
      <c r="B41" s="20">
        <f>+'SERVICIO FAENA'!A40</f>
        <v>38</v>
      </c>
      <c r="C41" s="49">
        <f>+'SERVICIO FAENA'!C40</f>
        <v>26</v>
      </c>
      <c r="D41" s="110">
        <v>26</v>
      </c>
      <c r="E41" s="110">
        <v>0</v>
      </c>
      <c r="F41" s="49"/>
      <c r="G41" s="49"/>
      <c r="H41" s="49">
        <f t="shared" si="3"/>
        <v>26</v>
      </c>
      <c r="I41" s="16"/>
      <c r="J41" s="16">
        <v>0</v>
      </c>
      <c r="K41" s="16">
        <v>0</v>
      </c>
      <c r="L41" s="11"/>
      <c r="M41" s="11"/>
      <c r="N41" s="16">
        <f t="shared" si="1"/>
        <v>0</v>
      </c>
      <c r="O41" s="18"/>
      <c r="P41" s="19">
        <v>0</v>
      </c>
      <c r="Q41" s="29">
        <f t="shared" si="2"/>
        <v>0</v>
      </c>
      <c r="R41" s="11"/>
    </row>
    <row r="42" spans="1:18" x14ac:dyDescent="0.2">
      <c r="A42" s="18">
        <f>+'SERVICIO FAENA'!E41</f>
        <v>46049</v>
      </c>
      <c r="B42" s="20">
        <f>+'SERVICIO FAENA'!A41</f>
        <v>39</v>
      </c>
      <c r="C42" s="49">
        <f>+'SERVICIO FAENA'!C41</f>
        <v>18</v>
      </c>
      <c r="D42" s="110">
        <v>18</v>
      </c>
      <c r="E42" s="110">
        <v>0</v>
      </c>
      <c r="F42" s="49"/>
      <c r="G42" s="49"/>
      <c r="H42" s="49">
        <f t="shared" si="3"/>
        <v>18</v>
      </c>
      <c r="I42" s="16"/>
      <c r="J42" s="16">
        <v>0</v>
      </c>
      <c r="K42" s="16">
        <v>0</v>
      </c>
      <c r="L42" s="11"/>
      <c r="M42" s="11"/>
      <c r="N42" s="16">
        <f t="shared" si="1"/>
        <v>0</v>
      </c>
      <c r="O42" s="18"/>
      <c r="P42" s="19">
        <v>0</v>
      </c>
      <c r="Q42" s="29">
        <f t="shared" si="2"/>
        <v>0</v>
      </c>
      <c r="R42" s="11"/>
    </row>
    <row r="43" spans="1:18" ht="12.75" customHeight="1" x14ac:dyDescent="0.2">
      <c r="A43" s="18">
        <f>+'SERVICIO FAENA'!E42</f>
        <v>46049</v>
      </c>
      <c r="B43" s="20">
        <f>+'SERVICIO FAENA'!A42</f>
        <v>40</v>
      </c>
      <c r="C43" s="49">
        <f>+'SERVICIO FAENA'!C42</f>
        <v>31</v>
      </c>
      <c r="D43" s="110">
        <v>31</v>
      </c>
      <c r="E43" s="110">
        <v>0</v>
      </c>
      <c r="F43" s="49"/>
      <c r="G43" s="49"/>
      <c r="H43" s="49">
        <f t="shared" si="3"/>
        <v>31</v>
      </c>
      <c r="I43" s="16"/>
      <c r="J43" s="16">
        <v>0</v>
      </c>
      <c r="K43" s="16">
        <v>0</v>
      </c>
      <c r="L43" s="11"/>
      <c r="M43" s="11"/>
      <c r="N43" s="16">
        <f t="shared" si="1"/>
        <v>0</v>
      </c>
      <c r="O43" s="18"/>
      <c r="P43" s="19">
        <v>0</v>
      </c>
      <c r="Q43" s="29">
        <f t="shared" si="2"/>
        <v>0</v>
      </c>
      <c r="R43" s="11"/>
    </row>
    <row r="44" spans="1:18" x14ac:dyDescent="0.2">
      <c r="A44" s="18">
        <f>+'SERVICIO FAENA'!E43</f>
        <v>46049</v>
      </c>
      <c r="B44" s="20">
        <f>+'SERVICIO FAENA'!A43</f>
        <v>41</v>
      </c>
      <c r="C44" s="49">
        <f>+'SERVICIO FAENA'!C43</f>
        <v>14</v>
      </c>
      <c r="D44" s="110">
        <v>14</v>
      </c>
      <c r="E44" s="110">
        <v>0</v>
      </c>
      <c r="F44" s="49"/>
      <c r="G44" s="49"/>
      <c r="H44" s="49">
        <f t="shared" si="3"/>
        <v>14</v>
      </c>
      <c r="I44" s="16"/>
      <c r="J44" s="16">
        <v>0</v>
      </c>
      <c r="K44" s="16">
        <v>0</v>
      </c>
      <c r="L44" s="11"/>
      <c r="M44" s="11"/>
      <c r="N44" s="16">
        <f t="shared" si="1"/>
        <v>0</v>
      </c>
      <c r="O44" s="18"/>
      <c r="P44" s="19">
        <v>0</v>
      </c>
      <c r="Q44" s="29">
        <f t="shared" si="2"/>
        <v>0</v>
      </c>
      <c r="R44" s="11"/>
    </row>
    <row r="45" spans="1:18" ht="12.75" customHeight="1" x14ac:dyDescent="0.2">
      <c r="A45" s="18">
        <f>+'SERVICIO FAENA'!E44</f>
        <v>46050</v>
      </c>
      <c r="B45" s="20">
        <f>+'SERVICIO FAENA'!A44</f>
        <v>42</v>
      </c>
      <c r="C45" s="49">
        <f>+'SERVICIO FAENA'!C44</f>
        <v>14</v>
      </c>
      <c r="D45" s="110">
        <v>12</v>
      </c>
      <c r="E45" s="110">
        <v>2</v>
      </c>
      <c r="F45" s="49"/>
      <c r="G45" s="49"/>
      <c r="H45" s="49">
        <f t="shared" si="3"/>
        <v>14</v>
      </c>
      <c r="I45" s="16"/>
      <c r="J45" s="16">
        <v>0</v>
      </c>
      <c r="K45" s="16">
        <v>0</v>
      </c>
      <c r="L45" s="11"/>
      <c r="M45" s="11"/>
      <c r="N45" s="16">
        <f t="shared" si="1"/>
        <v>0</v>
      </c>
      <c r="O45" s="18"/>
      <c r="P45" s="19">
        <v>0</v>
      </c>
      <c r="Q45" s="29">
        <f t="shared" si="2"/>
        <v>0</v>
      </c>
      <c r="R45" s="11"/>
    </row>
    <row r="46" spans="1:18" x14ac:dyDescent="0.2">
      <c r="A46" s="18">
        <f>+'SERVICIO FAENA'!E45</f>
        <v>46050</v>
      </c>
      <c r="B46" s="20">
        <f>+'SERVICIO FAENA'!A45</f>
        <v>43</v>
      </c>
      <c r="C46" s="49">
        <f>+'SERVICIO FAENA'!C45</f>
        <v>9</v>
      </c>
      <c r="D46" s="110">
        <v>7</v>
      </c>
      <c r="E46" s="110">
        <v>2</v>
      </c>
      <c r="F46" s="49"/>
      <c r="G46" s="49"/>
      <c r="H46" s="49">
        <f t="shared" si="3"/>
        <v>9</v>
      </c>
      <c r="I46" s="16"/>
      <c r="J46" s="16">
        <v>0</v>
      </c>
      <c r="K46" s="16">
        <v>0</v>
      </c>
      <c r="L46" s="11"/>
      <c r="M46" s="11"/>
      <c r="N46" s="16">
        <f t="shared" si="1"/>
        <v>0</v>
      </c>
      <c r="O46" s="18"/>
      <c r="P46" s="19">
        <v>0</v>
      </c>
      <c r="Q46" s="29">
        <f t="shared" si="2"/>
        <v>0</v>
      </c>
      <c r="R46" s="11"/>
    </row>
    <row r="47" spans="1:18" ht="12.75" customHeight="1" x14ac:dyDescent="0.2">
      <c r="A47" s="18">
        <f>+'SERVICIO FAENA'!E46</f>
        <v>46050</v>
      </c>
      <c r="B47" s="20">
        <f>+'SERVICIO FAENA'!A46</f>
        <v>44</v>
      </c>
      <c r="C47" s="49">
        <f>+'SERVICIO FAENA'!C46</f>
        <v>6</v>
      </c>
      <c r="D47" s="110">
        <v>6</v>
      </c>
      <c r="E47" s="110">
        <v>0</v>
      </c>
      <c r="F47" s="49"/>
      <c r="G47" s="49"/>
      <c r="H47" s="49">
        <f t="shared" si="3"/>
        <v>6</v>
      </c>
      <c r="I47" s="16"/>
      <c r="J47" s="16">
        <v>0</v>
      </c>
      <c r="K47" s="16">
        <v>0</v>
      </c>
      <c r="L47" s="11"/>
      <c r="M47" s="11"/>
      <c r="N47" s="16">
        <f t="shared" si="1"/>
        <v>0</v>
      </c>
      <c r="O47" s="18"/>
      <c r="P47" s="19">
        <v>0</v>
      </c>
      <c r="Q47" s="29">
        <f t="shared" si="2"/>
        <v>0</v>
      </c>
      <c r="R47" s="11"/>
    </row>
    <row r="48" spans="1:18" x14ac:dyDescent="0.2">
      <c r="A48" s="18">
        <f>+'SERVICIO FAENA'!E47</f>
        <v>46052</v>
      </c>
      <c r="B48" s="20">
        <f>+'SERVICIO FAENA'!A47</f>
        <v>45</v>
      </c>
      <c r="C48" s="49">
        <f>+'SERVICIO FAENA'!C47</f>
        <v>22</v>
      </c>
      <c r="D48" s="110">
        <v>22</v>
      </c>
      <c r="E48" s="110">
        <v>0</v>
      </c>
      <c r="F48" s="49"/>
      <c r="G48" s="49"/>
      <c r="H48" s="49">
        <f t="shared" si="3"/>
        <v>22</v>
      </c>
      <c r="I48" s="16"/>
      <c r="J48" s="16">
        <v>0</v>
      </c>
      <c r="K48" s="16">
        <v>0</v>
      </c>
      <c r="L48" s="11"/>
      <c r="M48" s="11"/>
      <c r="N48" s="16">
        <f t="shared" si="1"/>
        <v>0</v>
      </c>
      <c r="O48" s="18"/>
      <c r="P48" s="19">
        <v>0</v>
      </c>
      <c r="Q48" s="29">
        <f t="shared" si="2"/>
        <v>0</v>
      </c>
      <c r="R48" s="11"/>
    </row>
    <row r="49" spans="1:18" ht="12.75" customHeight="1" x14ac:dyDescent="0.2">
      <c r="A49" s="18">
        <f>+'SERVICIO FAENA'!E48</f>
        <v>46052</v>
      </c>
      <c r="B49" s="20">
        <f>+'SERVICIO FAENA'!A48</f>
        <v>46</v>
      </c>
      <c r="C49" s="49">
        <f>+'SERVICIO FAENA'!C48</f>
        <v>20</v>
      </c>
      <c r="D49" s="110">
        <v>20</v>
      </c>
      <c r="E49" s="110">
        <v>0</v>
      </c>
      <c r="F49" s="49"/>
      <c r="G49" s="49"/>
      <c r="H49" s="49">
        <f t="shared" si="3"/>
        <v>20</v>
      </c>
      <c r="I49" s="16"/>
      <c r="J49" s="16">
        <v>0</v>
      </c>
      <c r="K49" s="16">
        <v>0</v>
      </c>
      <c r="L49" s="11"/>
      <c r="M49" s="11"/>
      <c r="N49" s="16">
        <f t="shared" si="1"/>
        <v>0</v>
      </c>
      <c r="O49" s="18"/>
      <c r="P49" s="19">
        <v>0</v>
      </c>
      <c r="Q49" s="29">
        <f t="shared" si="2"/>
        <v>0</v>
      </c>
      <c r="R49" s="11"/>
    </row>
    <row r="50" spans="1:18" x14ac:dyDescent="0.2">
      <c r="A50" s="18">
        <f>+'SERVICIO FAENA'!E49</f>
        <v>46052</v>
      </c>
      <c r="B50" s="20">
        <f>+'SERVICIO FAENA'!A49</f>
        <v>47</v>
      </c>
      <c r="C50" s="49">
        <f>+'SERVICIO FAENA'!C49</f>
        <v>13</v>
      </c>
      <c r="D50" s="110">
        <v>13</v>
      </c>
      <c r="E50" s="110">
        <v>0</v>
      </c>
      <c r="F50" s="49"/>
      <c r="G50" s="49"/>
      <c r="H50" s="49">
        <f t="shared" si="3"/>
        <v>13</v>
      </c>
      <c r="I50" s="16"/>
      <c r="J50" s="16">
        <v>0</v>
      </c>
      <c r="K50" s="16">
        <v>0</v>
      </c>
      <c r="L50" s="11"/>
      <c r="M50" s="11"/>
      <c r="N50" s="16">
        <f t="shared" si="1"/>
        <v>0</v>
      </c>
      <c r="O50" s="18"/>
      <c r="P50" s="19">
        <v>0</v>
      </c>
      <c r="Q50" s="29">
        <f t="shared" si="2"/>
        <v>0</v>
      </c>
      <c r="R50" s="11"/>
    </row>
    <row r="51" spans="1:18" ht="12.75" customHeight="1" x14ac:dyDescent="0.2">
      <c r="A51" s="18">
        <f>+'SERVICIO FAENA'!E50</f>
        <v>46052</v>
      </c>
      <c r="B51" s="20">
        <f>+'SERVICIO FAENA'!A50</f>
        <v>48</v>
      </c>
      <c r="C51" s="49">
        <f>+'SERVICIO FAENA'!C50</f>
        <v>8</v>
      </c>
      <c r="D51" s="110">
        <v>8</v>
      </c>
      <c r="E51" s="110">
        <v>0</v>
      </c>
      <c r="F51" s="49"/>
      <c r="G51" s="49"/>
      <c r="H51" s="49">
        <f t="shared" si="3"/>
        <v>8</v>
      </c>
      <c r="I51" s="16"/>
      <c r="J51" s="16">
        <v>0</v>
      </c>
      <c r="K51" s="16">
        <v>0</v>
      </c>
      <c r="L51" s="11"/>
      <c r="M51" s="11"/>
      <c r="N51" s="16">
        <f t="shared" si="1"/>
        <v>0</v>
      </c>
      <c r="O51" s="18"/>
      <c r="P51" s="19">
        <v>0</v>
      </c>
      <c r="Q51" s="29">
        <f t="shared" si="2"/>
        <v>0</v>
      </c>
      <c r="R51" s="11"/>
    </row>
    <row r="52" spans="1:18" x14ac:dyDescent="0.2">
      <c r="A52" s="18">
        <f>+'SERVICIO FAENA'!E51</f>
        <v>46052</v>
      </c>
      <c r="B52" s="20">
        <f>+'SERVICIO FAENA'!A51</f>
        <v>49</v>
      </c>
      <c r="C52" s="49">
        <f>+'SERVICIO FAENA'!C51</f>
        <v>5</v>
      </c>
      <c r="D52" s="110">
        <v>5</v>
      </c>
      <c r="E52" s="110">
        <v>0</v>
      </c>
      <c r="F52" s="49"/>
      <c r="G52" s="49"/>
      <c r="H52" s="49">
        <f t="shared" si="3"/>
        <v>5</v>
      </c>
      <c r="I52" s="16"/>
      <c r="J52" s="16">
        <v>0</v>
      </c>
      <c r="K52" s="16">
        <v>0</v>
      </c>
      <c r="L52" s="11"/>
      <c r="M52" s="11"/>
      <c r="N52" s="16">
        <f t="shared" si="1"/>
        <v>0</v>
      </c>
      <c r="O52" s="18"/>
      <c r="P52" s="19">
        <v>0</v>
      </c>
      <c r="Q52" s="29">
        <f t="shared" si="2"/>
        <v>0</v>
      </c>
      <c r="R52" s="11"/>
    </row>
    <row r="53" spans="1:18" ht="12.75" customHeight="1" thickBot="1" x14ac:dyDescent="0.25">
      <c r="A53" s="120">
        <f>+'SERVICIO FAENA'!E52</f>
        <v>46052</v>
      </c>
      <c r="B53" s="153">
        <f>+'SERVICIO FAENA'!A52</f>
        <v>50</v>
      </c>
      <c r="C53" s="154">
        <f>+'SERVICIO FAENA'!C52</f>
        <v>2</v>
      </c>
      <c r="D53" s="155">
        <v>2</v>
      </c>
      <c r="E53" s="155">
        <v>0</v>
      </c>
      <c r="F53" s="154"/>
      <c r="G53" s="154"/>
      <c r="H53" s="154">
        <f t="shared" si="3"/>
        <v>2</v>
      </c>
      <c r="I53" s="118"/>
      <c r="J53" s="118">
        <v>0</v>
      </c>
      <c r="K53" s="118">
        <v>0</v>
      </c>
      <c r="L53" s="113"/>
      <c r="M53" s="113"/>
      <c r="N53" s="118">
        <f t="shared" si="1"/>
        <v>0</v>
      </c>
      <c r="O53" s="120"/>
      <c r="P53" s="122">
        <v>0</v>
      </c>
      <c r="Q53" s="156">
        <f t="shared" si="2"/>
        <v>0</v>
      </c>
      <c r="R53" s="113"/>
    </row>
    <row r="54" spans="1:18" ht="12.75" customHeight="1" thickBot="1" x14ac:dyDescent="0.25">
      <c r="A54" s="191" t="s">
        <v>14</v>
      </c>
      <c r="B54" s="192"/>
      <c r="C54" s="193"/>
      <c r="D54" s="194"/>
      <c r="E54" s="194"/>
      <c r="F54" s="195">
        <f>SUM(F13:F53)</f>
        <v>0</v>
      </c>
      <c r="G54" s="194"/>
      <c r="H54" s="195">
        <f>SUM(H4:H53)</f>
        <v>961</v>
      </c>
      <c r="I54" s="196"/>
      <c r="J54" s="196"/>
      <c r="K54" s="196"/>
      <c r="L54" s="197"/>
      <c r="M54" s="197"/>
      <c r="N54" s="196"/>
      <c r="O54" s="198"/>
      <c r="P54" s="199"/>
      <c r="Q54" s="200"/>
      <c r="R54" s="197"/>
    </row>
    <row r="55" spans="1:18" x14ac:dyDescent="0.2">
      <c r="A55" s="59">
        <f>+'SERVICIO FAENA'!E53</f>
        <v>46055</v>
      </c>
      <c r="B55" s="149">
        <f>+'SERVICIO FAENA'!A53</f>
        <v>51</v>
      </c>
      <c r="C55" s="150">
        <f>+'SERVICIO FAENA'!C53</f>
        <v>42</v>
      </c>
      <c r="D55" s="151">
        <v>42</v>
      </c>
      <c r="E55" s="151">
        <v>0</v>
      </c>
      <c r="F55" s="150"/>
      <c r="G55" s="150"/>
      <c r="H55" s="150">
        <f t="shared" si="3"/>
        <v>42</v>
      </c>
      <c r="I55" s="41"/>
      <c r="J55" s="41">
        <v>0</v>
      </c>
      <c r="K55" s="41">
        <v>0</v>
      </c>
      <c r="L55" s="53"/>
      <c r="M55" s="53"/>
      <c r="N55" s="41">
        <f t="shared" si="1"/>
        <v>0</v>
      </c>
      <c r="O55" s="59"/>
      <c r="P55" s="60">
        <v>0</v>
      </c>
      <c r="Q55" s="152">
        <f t="shared" si="2"/>
        <v>0</v>
      </c>
      <c r="R55" s="53"/>
    </row>
    <row r="56" spans="1:18" ht="12.75" customHeight="1" x14ac:dyDescent="0.2">
      <c r="A56" s="18">
        <f>+'SERVICIO FAENA'!E54</f>
        <v>46055</v>
      </c>
      <c r="B56" s="20">
        <f>+'SERVICIO FAENA'!A54</f>
        <v>52</v>
      </c>
      <c r="C56" s="49">
        <f>+'SERVICIO FAENA'!C54</f>
        <v>18</v>
      </c>
      <c r="D56" s="110">
        <v>18</v>
      </c>
      <c r="E56" s="110">
        <v>0</v>
      </c>
      <c r="F56" s="49"/>
      <c r="G56" s="49"/>
      <c r="H56" s="49">
        <f t="shared" si="3"/>
        <v>18</v>
      </c>
      <c r="I56" s="16"/>
      <c r="J56" s="16">
        <v>0</v>
      </c>
      <c r="K56" s="16">
        <v>0</v>
      </c>
      <c r="L56" s="11"/>
      <c r="M56" s="11"/>
      <c r="N56" s="16">
        <f t="shared" si="1"/>
        <v>0</v>
      </c>
      <c r="O56" s="18"/>
      <c r="P56" s="19">
        <v>0</v>
      </c>
      <c r="Q56" s="29">
        <f t="shared" si="2"/>
        <v>0</v>
      </c>
      <c r="R56" s="11"/>
    </row>
    <row r="57" spans="1:18" x14ac:dyDescent="0.2">
      <c r="A57" s="18">
        <f>+'SERVICIO FAENA'!E55</f>
        <v>46057</v>
      </c>
      <c r="B57" s="20">
        <f>+'SERVICIO FAENA'!A55</f>
        <v>53</v>
      </c>
      <c r="C57" s="49">
        <f>+'SERVICIO FAENA'!C55</f>
        <v>17</v>
      </c>
      <c r="D57" s="110"/>
      <c r="E57" s="110"/>
      <c r="F57" s="49"/>
      <c r="G57" s="49"/>
      <c r="H57" s="49">
        <f t="shared" si="3"/>
        <v>0</v>
      </c>
      <c r="I57" s="16"/>
      <c r="J57" s="16">
        <v>0</v>
      </c>
      <c r="K57" s="16">
        <v>0</v>
      </c>
      <c r="L57" s="11"/>
      <c r="M57" s="11"/>
      <c r="N57" s="16">
        <f t="shared" si="1"/>
        <v>0</v>
      </c>
      <c r="O57" s="18"/>
      <c r="P57" s="19">
        <v>0</v>
      </c>
      <c r="Q57" s="29">
        <f t="shared" si="2"/>
        <v>0</v>
      </c>
      <c r="R57" s="11"/>
    </row>
    <row r="58" spans="1:18" ht="12.75" customHeight="1" x14ac:dyDescent="0.2">
      <c r="A58" s="18">
        <f>+'SERVICIO FAENA'!E56</f>
        <v>46056</v>
      </c>
      <c r="B58" s="20">
        <f>+'SERVICIO FAENA'!A56</f>
        <v>54</v>
      </c>
      <c r="C58" s="49">
        <f>+'SERVICIO FAENA'!C56</f>
        <v>50</v>
      </c>
      <c r="D58" s="110">
        <v>49</v>
      </c>
      <c r="E58" s="110">
        <v>1</v>
      </c>
      <c r="F58" s="49"/>
      <c r="G58" s="49"/>
      <c r="H58" s="49">
        <f t="shared" si="3"/>
        <v>50</v>
      </c>
      <c r="I58" s="16"/>
      <c r="J58" s="16">
        <v>0</v>
      </c>
      <c r="K58" s="16">
        <v>0</v>
      </c>
      <c r="L58" s="11"/>
      <c r="M58" s="11"/>
      <c r="N58" s="16">
        <f t="shared" si="1"/>
        <v>0</v>
      </c>
      <c r="O58" s="18"/>
      <c r="P58" s="19">
        <v>0</v>
      </c>
      <c r="Q58" s="29">
        <f t="shared" si="2"/>
        <v>0</v>
      </c>
      <c r="R58" s="11"/>
    </row>
    <row r="59" spans="1:18" x14ac:dyDescent="0.2">
      <c r="A59" s="18">
        <f>+'SERVICIO FAENA'!E57</f>
        <v>46057</v>
      </c>
      <c r="B59" s="20">
        <f>+'SERVICIO FAENA'!A57</f>
        <v>55</v>
      </c>
      <c r="C59" s="49">
        <f>+'SERVICIO FAENA'!C57</f>
        <v>10</v>
      </c>
      <c r="D59" s="110"/>
      <c r="E59" s="110"/>
      <c r="F59" s="49"/>
      <c r="G59" s="49"/>
      <c r="H59" s="49">
        <f t="shared" si="3"/>
        <v>0</v>
      </c>
      <c r="I59" s="16"/>
      <c r="J59" s="16">
        <v>0</v>
      </c>
      <c r="K59" s="16">
        <v>0</v>
      </c>
      <c r="L59" s="11"/>
      <c r="M59" s="11"/>
      <c r="N59" s="16">
        <f t="shared" si="1"/>
        <v>0</v>
      </c>
      <c r="O59" s="18"/>
      <c r="P59" s="19">
        <v>0</v>
      </c>
      <c r="Q59" s="29">
        <f t="shared" si="2"/>
        <v>0</v>
      </c>
      <c r="R59" s="11"/>
    </row>
    <row r="60" spans="1:18" ht="12.75" customHeight="1" x14ac:dyDescent="0.2">
      <c r="A60" s="18">
        <f>+'SERVICIO FAENA'!E58</f>
        <v>46058</v>
      </c>
      <c r="B60" s="20">
        <f>+'SERVICIO FAENA'!A58</f>
        <v>56</v>
      </c>
      <c r="C60" s="49">
        <f>+'SERVICIO FAENA'!C58</f>
        <v>15</v>
      </c>
      <c r="D60" s="110"/>
      <c r="E60" s="110"/>
      <c r="F60" s="49"/>
      <c r="G60" s="49"/>
      <c r="H60" s="49">
        <f t="shared" si="3"/>
        <v>0</v>
      </c>
      <c r="I60" s="16"/>
      <c r="J60" s="16">
        <v>0</v>
      </c>
      <c r="K60" s="16">
        <v>0</v>
      </c>
      <c r="L60" s="11"/>
      <c r="M60" s="11"/>
      <c r="N60" s="16">
        <f t="shared" si="1"/>
        <v>0</v>
      </c>
      <c r="O60" s="18"/>
      <c r="P60" s="19">
        <v>0</v>
      </c>
      <c r="Q60" s="29">
        <f t="shared" si="2"/>
        <v>0</v>
      </c>
      <c r="R60" s="11"/>
    </row>
    <row r="61" spans="1:18" x14ac:dyDescent="0.2">
      <c r="A61" s="18">
        <f>+'SERVICIO FAENA'!E59</f>
        <v>46057</v>
      </c>
      <c r="B61" s="20">
        <f>+'SERVICIO FAENA'!A59</f>
        <v>57</v>
      </c>
      <c r="C61" s="49">
        <f>+'SERVICIO FAENA'!C59</f>
        <v>5</v>
      </c>
      <c r="D61" s="110"/>
      <c r="E61" s="110"/>
      <c r="F61" s="49"/>
      <c r="G61" s="49"/>
      <c r="H61" s="49">
        <f t="shared" si="3"/>
        <v>0</v>
      </c>
      <c r="I61" s="16"/>
      <c r="J61" s="16">
        <v>0</v>
      </c>
      <c r="K61" s="16">
        <v>0</v>
      </c>
      <c r="L61" s="11"/>
      <c r="M61" s="11"/>
      <c r="N61" s="16">
        <f t="shared" si="1"/>
        <v>0</v>
      </c>
      <c r="O61" s="18"/>
      <c r="P61" s="19">
        <v>0</v>
      </c>
      <c r="Q61" s="29">
        <f t="shared" si="2"/>
        <v>0</v>
      </c>
      <c r="R61" s="11"/>
    </row>
    <row r="62" spans="1:18" ht="12.75" customHeight="1" x14ac:dyDescent="0.2">
      <c r="A62" s="18">
        <f>+'SERVICIO FAENA'!E60</f>
        <v>46058</v>
      </c>
      <c r="B62" s="20">
        <f>+'SERVICIO FAENA'!A60</f>
        <v>58</v>
      </c>
      <c r="C62" s="49">
        <f>+'SERVICIO FAENA'!C60</f>
        <v>10</v>
      </c>
      <c r="D62" s="110"/>
      <c r="E62" s="110"/>
      <c r="F62" s="49"/>
      <c r="G62" s="49"/>
      <c r="H62" s="49">
        <f t="shared" si="3"/>
        <v>0</v>
      </c>
      <c r="I62" s="16"/>
      <c r="J62" s="16">
        <v>0</v>
      </c>
      <c r="K62" s="16">
        <v>0</v>
      </c>
      <c r="L62" s="11"/>
      <c r="M62" s="11"/>
      <c r="N62" s="16">
        <f t="shared" si="1"/>
        <v>0</v>
      </c>
      <c r="O62" s="18"/>
      <c r="P62" s="19">
        <v>0</v>
      </c>
      <c r="Q62" s="29">
        <f t="shared" si="2"/>
        <v>0</v>
      </c>
      <c r="R62" s="11"/>
    </row>
    <row r="63" spans="1:18" x14ac:dyDescent="0.2">
      <c r="A63" s="18">
        <f>+'SERVICIO FAENA'!E61</f>
        <v>46059</v>
      </c>
      <c r="B63" s="20">
        <f>+'SERVICIO FAENA'!A61</f>
        <v>59</v>
      </c>
      <c r="C63" s="49">
        <f>+'SERVICIO FAENA'!C61</f>
        <v>20</v>
      </c>
      <c r="D63" s="110"/>
      <c r="E63" s="110"/>
      <c r="F63" s="49"/>
      <c r="G63" s="49"/>
      <c r="H63" s="49">
        <f t="shared" si="3"/>
        <v>0</v>
      </c>
      <c r="I63" s="16"/>
      <c r="J63" s="16">
        <v>0</v>
      </c>
      <c r="K63" s="16">
        <v>0</v>
      </c>
      <c r="L63" s="11"/>
      <c r="M63" s="11"/>
      <c r="N63" s="16">
        <f t="shared" si="1"/>
        <v>0</v>
      </c>
      <c r="O63" s="18"/>
      <c r="P63" s="19">
        <v>0</v>
      </c>
      <c r="Q63" s="29">
        <f t="shared" si="2"/>
        <v>0</v>
      </c>
      <c r="R63" s="11"/>
    </row>
    <row r="64" spans="1:18" ht="12.75" customHeight="1" x14ac:dyDescent="0.2">
      <c r="A64" s="18">
        <f>+'SERVICIO FAENA'!E62</f>
        <v>46059</v>
      </c>
      <c r="B64" s="20">
        <f>+'SERVICIO FAENA'!A62</f>
        <v>60</v>
      </c>
      <c r="C64" s="49">
        <f>+'SERVICIO FAENA'!C62</f>
        <v>28</v>
      </c>
      <c r="D64" s="110"/>
      <c r="E64" s="110"/>
      <c r="F64" s="49"/>
      <c r="G64" s="49"/>
      <c r="H64" s="49">
        <f t="shared" si="3"/>
        <v>0</v>
      </c>
      <c r="I64" s="16"/>
      <c r="J64" s="16">
        <v>0</v>
      </c>
      <c r="K64" s="16">
        <v>0</v>
      </c>
      <c r="L64" s="11"/>
      <c r="M64" s="11"/>
      <c r="N64" s="16">
        <f t="shared" si="1"/>
        <v>0</v>
      </c>
      <c r="O64" s="18"/>
      <c r="P64" s="19">
        <v>0</v>
      </c>
      <c r="Q64" s="29">
        <f t="shared" si="2"/>
        <v>0</v>
      </c>
      <c r="R64" s="11"/>
    </row>
    <row r="65" spans="1:18" x14ac:dyDescent="0.2">
      <c r="A65" s="18">
        <f>+'SERVICIO FAENA'!E63</f>
        <v>46059</v>
      </c>
      <c r="B65" s="20">
        <f>+'SERVICIO FAENA'!A63</f>
        <v>61</v>
      </c>
      <c r="C65" s="49">
        <f>+'SERVICIO FAENA'!C63</f>
        <v>20</v>
      </c>
      <c r="D65" s="110"/>
      <c r="E65" s="110"/>
      <c r="F65" s="49"/>
      <c r="G65" s="49"/>
      <c r="H65" s="49">
        <f t="shared" si="3"/>
        <v>0</v>
      </c>
      <c r="I65" s="16"/>
      <c r="J65" s="16">
        <v>0</v>
      </c>
      <c r="K65" s="16">
        <v>0</v>
      </c>
      <c r="L65" s="11"/>
      <c r="M65" s="11"/>
      <c r="N65" s="16">
        <f t="shared" si="1"/>
        <v>0</v>
      </c>
      <c r="O65" s="18"/>
      <c r="P65" s="19">
        <v>0</v>
      </c>
      <c r="Q65" s="29">
        <f t="shared" si="2"/>
        <v>0</v>
      </c>
      <c r="R65" s="11"/>
    </row>
    <row r="66" spans="1:18" ht="12.75" customHeight="1" x14ac:dyDescent="0.2">
      <c r="A66" s="18">
        <f>+'SERVICIO FAENA'!E64</f>
        <v>46059</v>
      </c>
      <c r="B66" s="20">
        <f>+'SERVICIO FAENA'!A64</f>
        <v>62</v>
      </c>
      <c r="C66" s="49">
        <f>+'SERVICIO FAENA'!C64</f>
        <v>1</v>
      </c>
      <c r="D66" s="110"/>
      <c r="E66" s="110"/>
      <c r="F66" s="49"/>
      <c r="G66" s="49"/>
      <c r="H66" s="49">
        <f t="shared" si="3"/>
        <v>0</v>
      </c>
      <c r="I66" s="16"/>
      <c r="J66" s="16">
        <v>0</v>
      </c>
      <c r="K66" s="16">
        <v>0</v>
      </c>
      <c r="L66" s="11"/>
      <c r="M66" s="11"/>
      <c r="N66" s="16">
        <f t="shared" si="1"/>
        <v>0</v>
      </c>
      <c r="O66" s="18"/>
      <c r="P66" s="19">
        <v>0</v>
      </c>
      <c r="Q66" s="29">
        <f t="shared" si="2"/>
        <v>0</v>
      </c>
      <c r="R66" s="11"/>
    </row>
    <row r="67" spans="1:18" x14ac:dyDescent="0.2">
      <c r="A67" s="18">
        <f>+'SERVICIO FAENA'!E65</f>
        <v>46062</v>
      </c>
      <c r="B67" s="20">
        <f>+'SERVICIO FAENA'!A65</f>
        <v>63</v>
      </c>
      <c r="C67" s="49">
        <f>+'SERVICIO FAENA'!C65</f>
        <v>8</v>
      </c>
      <c r="D67" s="110"/>
      <c r="E67" s="110"/>
      <c r="F67" s="49"/>
      <c r="G67" s="49"/>
      <c r="H67" s="49">
        <f t="shared" si="3"/>
        <v>0</v>
      </c>
      <c r="I67" s="16"/>
      <c r="J67" s="16">
        <v>0</v>
      </c>
      <c r="K67" s="16">
        <v>0</v>
      </c>
      <c r="L67" s="11"/>
      <c r="M67" s="11"/>
      <c r="N67" s="16">
        <f t="shared" si="1"/>
        <v>0</v>
      </c>
      <c r="O67" s="18"/>
      <c r="P67" s="19">
        <v>0</v>
      </c>
      <c r="Q67" s="29">
        <f t="shared" si="2"/>
        <v>0</v>
      </c>
      <c r="R67" s="11"/>
    </row>
    <row r="68" spans="1:18" ht="12.75" customHeight="1" x14ac:dyDescent="0.2">
      <c r="A68" s="18">
        <f>+'SERVICIO FAENA'!E66</f>
        <v>46062</v>
      </c>
      <c r="B68" s="20">
        <f>+'SERVICIO FAENA'!A66</f>
        <v>64</v>
      </c>
      <c r="C68" s="49">
        <f>+'SERVICIO FAENA'!C66</f>
        <v>3</v>
      </c>
      <c r="D68" s="110"/>
      <c r="E68" s="110"/>
      <c r="F68" s="49"/>
      <c r="G68" s="49"/>
      <c r="H68" s="49">
        <f t="shared" si="3"/>
        <v>0</v>
      </c>
      <c r="I68" s="16"/>
      <c r="J68" s="16">
        <v>0</v>
      </c>
      <c r="K68" s="16">
        <v>0</v>
      </c>
      <c r="L68" s="11"/>
      <c r="M68" s="11"/>
      <c r="N68" s="16">
        <f t="shared" si="1"/>
        <v>0</v>
      </c>
      <c r="O68" s="18"/>
      <c r="P68" s="19">
        <v>0</v>
      </c>
      <c r="Q68" s="29">
        <f t="shared" si="2"/>
        <v>0</v>
      </c>
      <c r="R68" s="11"/>
    </row>
    <row r="69" spans="1:18" x14ac:dyDescent="0.2">
      <c r="A69" s="18">
        <f>+'SERVICIO FAENA'!E67</f>
        <v>46062</v>
      </c>
      <c r="B69" s="20">
        <f>+'SERVICIO FAENA'!A67</f>
        <v>65</v>
      </c>
      <c r="C69" s="49">
        <f>+'SERVICIO FAENA'!C67</f>
        <v>4</v>
      </c>
      <c r="D69" s="110"/>
      <c r="E69" s="110"/>
      <c r="F69" s="49"/>
      <c r="G69" s="49"/>
      <c r="H69" s="49">
        <f t="shared" si="3"/>
        <v>0</v>
      </c>
      <c r="I69" s="16"/>
      <c r="J69" s="16">
        <v>0</v>
      </c>
      <c r="K69" s="16">
        <v>0</v>
      </c>
      <c r="L69" s="11"/>
      <c r="M69" s="11"/>
      <c r="N69" s="16">
        <f t="shared" si="1"/>
        <v>0</v>
      </c>
      <c r="O69" s="18"/>
      <c r="P69" s="19">
        <v>0</v>
      </c>
      <c r="Q69" s="29">
        <f t="shared" si="2"/>
        <v>0</v>
      </c>
      <c r="R69" s="11"/>
    </row>
    <row r="70" spans="1:18" ht="12.75" customHeight="1" x14ac:dyDescent="0.2">
      <c r="A70" s="18">
        <f>+'SERVICIO FAENA'!E68</f>
        <v>46062</v>
      </c>
      <c r="B70" s="20">
        <f>+'SERVICIO FAENA'!A68</f>
        <v>66</v>
      </c>
      <c r="C70" s="49">
        <f>+'SERVICIO FAENA'!C68</f>
        <v>21</v>
      </c>
      <c r="D70" s="110"/>
      <c r="E70" s="110"/>
      <c r="F70" s="49"/>
      <c r="G70" s="49"/>
      <c r="H70" s="49">
        <f t="shared" si="3"/>
        <v>0</v>
      </c>
      <c r="I70" s="16"/>
      <c r="J70" s="16">
        <v>0</v>
      </c>
      <c r="K70" s="16">
        <v>0</v>
      </c>
      <c r="L70" s="11"/>
      <c r="M70" s="11"/>
      <c r="N70" s="16">
        <f t="shared" si="1"/>
        <v>0</v>
      </c>
      <c r="O70" s="18"/>
      <c r="P70" s="19">
        <v>0</v>
      </c>
      <c r="Q70" s="29">
        <f t="shared" si="2"/>
        <v>0</v>
      </c>
      <c r="R70" s="11"/>
    </row>
    <row r="71" spans="1:18" x14ac:dyDescent="0.2">
      <c r="A71" s="18">
        <f>+'SERVICIO FAENA'!E69</f>
        <v>46062</v>
      </c>
      <c r="B71" s="20">
        <f>+'SERVICIO FAENA'!A69</f>
        <v>67</v>
      </c>
      <c r="C71" s="49">
        <f>+'SERVICIO FAENA'!C69</f>
        <v>45</v>
      </c>
      <c r="D71" s="110"/>
      <c r="E71" s="110"/>
      <c r="F71" s="49"/>
      <c r="G71" s="49"/>
      <c r="H71" s="49">
        <f t="shared" si="3"/>
        <v>0</v>
      </c>
      <c r="I71" s="16"/>
      <c r="J71" s="16">
        <v>0</v>
      </c>
      <c r="K71" s="16">
        <v>0</v>
      </c>
      <c r="L71" s="11"/>
      <c r="M71" s="11"/>
      <c r="N71" s="16">
        <f t="shared" si="1"/>
        <v>0</v>
      </c>
      <c r="O71" s="18"/>
      <c r="P71" s="19">
        <v>0</v>
      </c>
      <c r="Q71" s="29">
        <f t="shared" si="2"/>
        <v>0</v>
      </c>
      <c r="R71" s="11"/>
    </row>
    <row r="72" spans="1:18" ht="12.75" customHeight="1" x14ac:dyDescent="0.2">
      <c r="A72" s="18">
        <f>+'SERVICIO FAENA'!E70</f>
        <v>46063</v>
      </c>
      <c r="B72" s="20">
        <f>+'SERVICIO FAENA'!A70</f>
        <v>68</v>
      </c>
      <c r="C72" s="49">
        <f>+'SERVICIO FAENA'!C70</f>
        <v>18</v>
      </c>
      <c r="D72" s="110"/>
      <c r="E72" s="110"/>
      <c r="F72" s="49"/>
      <c r="G72" s="49"/>
      <c r="H72" s="49">
        <f t="shared" si="3"/>
        <v>0</v>
      </c>
      <c r="I72" s="16"/>
      <c r="J72" s="16">
        <v>0</v>
      </c>
      <c r="K72" s="16">
        <v>0</v>
      </c>
      <c r="L72" s="11"/>
      <c r="M72" s="11"/>
      <c r="N72" s="16">
        <f t="shared" ref="N72:N135" si="4">+K72*I72</f>
        <v>0</v>
      </c>
      <c r="O72" s="18"/>
      <c r="P72" s="19">
        <v>0</v>
      </c>
      <c r="Q72" s="29">
        <f t="shared" ref="Q72:Q135" si="5">+P72-N72</f>
        <v>0</v>
      </c>
      <c r="R72" s="11"/>
    </row>
    <row r="73" spans="1:18" x14ac:dyDescent="0.2">
      <c r="A73" s="18">
        <f>+'SERVICIO FAENA'!E71</f>
        <v>46063</v>
      </c>
      <c r="B73" s="20">
        <f>+'SERVICIO FAENA'!A71</f>
        <v>69</v>
      </c>
      <c r="C73" s="49">
        <f>+'SERVICIO FAENA'!C71</f>
        <v>50</v>
      </c>
      <c r="D73" s="110"/>
      <c r="E73" s="110"/>
      <c r="F73" s="49"/>
      <c r="G73" s="49"/>
      <c r="H73" s="49">
        <f t="shared" si="3"/>
        <v>0</v>
      </c>
      <c r="I73" s="16"/>
      <c r="J73" s="16">
        <v>0</v>
      </c>
      <c r="K73" s="16">
        <v>0</v>
      </c>
      <c r="L73" s="11"/>
      <c r="M73" s="11"/>
      <c r="N73" s="16">
        <f t="shared" si="4"/>
        <v>0</v>
      </c>
      <c r="O73" s="18"/>
      <c r="P73" s="19">
        <v>0</v>
      </c>
      <c r="Q73" s="29">
        <f t="shared" si="5"/>
        <v>0</v>
      </c>
      <c r="R73" s="11"/>
    </row>
    <row r="74" spans="1:18" ht="12.75" customHeight="1" x14ac:dyDescent="0.2">
      <c r="A74" s="18">
        <f>+'SERVICIO FAENA'!E72</f>
        <v>46065</v>
      </c>
      <c r="B74" s="20">
        <f>+'SERVICIO FAENA'!A72</f>
        <v>70</v>
      </c>
      <c r="C74" s="49">
        <f>+'SERVICIO FAENA'!C72</f>
        <v>5</v>
      </c>
      <c r="D74" s="110"/>
      <c r="E74" s="110"/>
      <c r="F74" s="49"/>
      <c r="G74" s="49"/>
      <c r="H74" s="49">
        <f t="shared" si="3"/>
        <v>0</v>
      </c>
      <c r="I74" s="16"/>
      <c r="J74" s="16">
        <v>0</v>
      </c>
      <c r="K74" s="16">
        <v>0</v>
      </c>
      <c r="L74" s="11"/>
      <c r="M74" s="11"/>
      <c r="N74" s="16">
        <f t="shared" si="4"/>
        <v>0</v>
      </c>
      <c r="O74" s="18"/>
      <c r="P74" s="19">
        <v>0</v>
      </c>
      <c r="Q74" s="29">
        <f t="shared" si="5"/>
        <v>0</v>
      </c>
      <c r="R74" s="11"/>
    </row>
    <row r="75" spans="1:18" x14ac:dyDescent="0.2">
      <c r="A75" s="18">
        <f>+'SERVICIO FAENA'!E73</f>
        <v>46065</v>
      </c>
      <c r="B75" s="20">
        <f>+'SERVICIO FAENA'!A73</f>
        <v>71</v>
      </c>
      <c r="C75" s="49">
        <f>+'SERVICIO FAENA'!C73</f>
        <v>25</v>
      </c>
      <c r="D75" s="110"/>
      <c r="E75" s="110"/>
      <c r="F75" s="49"/>
      <c r="G75" s="49"/>
      <c r="H75" s="49">
        <f t="shared" si="3"/>
        <v>0</v>
      </c>
      <c r="I75" s="16"/>
      <c r="J75" s="16">
        <v>0</v>
      </c>
      <c r="K75" s="16">
        <v>0</v>
      </c>
      <c r="L75" s="11"/>
      <c r="M75" s="11"/>
      <c r="N75" s="16">
        <f t="shared" si="4"/>
        <v>0</v>
      </c>
      <c r="O75" s="18"/>
      <c r="P75" s="19">
        <v>0</v>
      </c>
      <c r="Q75" s="29">
        <f t="shared" si="5"/>
        <v>0</v>
      </c>
      <c r="R75" s="11"/>
    </row>
    <row r="76" spans="1:18" ht="12.75" customHeight="1" x14ac:dyDescent="0.2">
      <c r="A76" s="18">
        <f>+'SERVICIO FAENA'!E74</f>
        <v>46065</v>
      </c>
      <c r="B76" s="20">
        <f>+'SERVICIO FAENA'!A74</f>
        <v>72</v>
      </c>
      <c r="C76" s="49">
        <f>+'SERVICIO FAENA'!C74</f>
        <v>20</v>
      </c>
      <c r="D76" s="110"/>
      <c r="E76" s="110"/>
      <c r="F76" s="49"/>
      <c r="G76" s="49"/>
      <c r="H76" s="49">
        <f t="shared" si="3"/>
        <v>0</v>
      </c>
      <c r="I76" s="16"/>
      <c r="J76" s="16">
        <v>0</v>
      </c>
      <c r="K76" s="16">
        <v>0</v>
      </c>
      <c r="L76" s="11"/>
      <c r="M76" s="11"/>
      <c r="N76" s="16">
        <f t="shared" si="4"/>
        <v>0</v>
      </c>
      <c r="O76" s="18"/>
      <c r="P76" s="19">
        <v>0</v>
      </c>
      <c r="Q76" s="29">
        <f t="shared" si="5"/>
        <v>0</v>
      </c>
      <c r="R76" s="11"/>
    </row>
    <row r="77" spans="1:18" x14ac:dyDescent="0.2">
      <c r="A77" s="18">
        <f>+'SERVICIO FAENA'!E75</f>
        <v>46065</v>
      </c>
      <c r="B77" s="20">
        <f>+'SERVICIO FAENA'!A75</f>
        <v>73</v>
      </c>
      <c r="C77" s="49">
        <f>+'SERVICIO FAENA'!C75</f>
        <v>15</v>
      </c>
      <c r="D77" s="110"/>
      <c r="E77" s="110"/>
      <c r="F77" s="49"/>
      <c r="G77" s="49"/>
      <c r="H77" s="49">
        <f t="shared" si="3"/>
        <v>0</v>
      </c>
      <c r="I77" s="16"/>
      <c r="J77" s="16">
        <v>0</v>
      </c>
      <c r="K77" s="16">
        <v>0</v>
      </c>
      <c r="L77" s="11"/>
      <c r="M77" s="11"/>
      <c r="N77" s="16">
        <f t="shared" si="4"/>
        <v>0</v>
      </c>
      <c r="O77" s="18"/>
      <c r="P77" s="19">
        <v>0</v>
      </c>
      <c r="Q77" s="29">
        <f t="shared" si="5"/>
        <v>0</v>
      </c>
      <c r="R77" s="11"/>
    </row>
    <row r="78" spans="1:18" ht="12.75" customHeight="1" x14ac:dyDescent="0.2">
      <c r="A78" s="18">
        <f>+'SERVICIO FAENA'!E76</f>
        <v>46071</v>
      </c>
      <c r="B78" s="20">
        <f>+'SERVICIO FAENA'!A76</f>
        <v>74</v>
      </c>
      <c r="C78" s="49">
        <f>+'SERVICIO FAENA'!C76</f>
        <v>10</v>
      </c>
      <c r="D78" s="110"/>
      <c r="E78" s="110"/>
      <c r="F78" s="49"/>
      <c r="G78" s="49"/>
      <c r="H78" s="49">
        <f t="shared" si="3"/>
        <v>0</v>
      </c>
      <c r="I78" s="16"/>
      <c r="J78" s="16">
        <v>0</v>
      </c>
      <c r="K78" s="16">
        <v>0</v>
      </c>
      <c r="L78" s="11"/>
      <c r="M78" s="11"/>
      <c r="N78" s="16">
        <f t="shared" si="4"/>
        <v>0</v>
      </c>
      <c r="O78" s="18"/>
      <c r="P78" s="19">
        <v>0</v>
      </c>
      <c r="Q78" s="29">
        <f t="shared" si="5"/>
        <v>0</v>
      </c>
      <c r="R78" s="11"/>
    </row>
    <row r="79" spans="1:18" x14ac:dyDescent="0.2">
      <c r="A79" s="18">
        <f>+'SERVICIO FAENA'!E77</f>
        <v>46071</v>
      </c>
      <c r="B79" s="20">
        <f>+'SERVICIO FAENA'!A77</f>
        <v>75</v>
      </c>
      <c r="C79" s="49">
        <f>+'SERVICIO FAENA'!C77</f>
        <v>5</v>
      </c>
      <c r="D79" s="110"/>
      <c r="E79" s="110"/>
      <c r="F79" s="49"/>
      <c r="G79" s="49"/>
      <c r="H79" s="49">
        <f t="shared" si="3"/>
        <v>0</v>
      </c>
      <c r="I79" s="16"/>
      <c r="J79" s="16">
        <v>0</v>
      </c>
      <c r="K79" s="16">
        <v>0</v>
      </c>
      <c r="L79" s="11"/>
      <c r="M79" s="11"/>
      <c r="N79" s="16">
        <f t="shared" si="4"/>
        <v>0</v>
      </c>
      <c r="O79" s="18"/>
      <c r="P79" s="19">
        <v>0</v>
      </c>
      <c r="Q79" s="29">
        <f t="shared" si="5"/>
        <v>0</v>
      </c>
      <c r="R79" s="11"/>
    </row>
    <row r="80" spans="1:18" ht="12.75" customHeight="1" x14ac:dyDescent="0.2">
      <c r="A80" s="18">
        <f>+'SERVICIO FAENA'!E78</f>
        <v>46071</v>
      </c>
      <c r="B80" s="20">
        <f>+'SERVICIO FAENA'!A78</f>
        <v>76</v>
      </c>
      <c r="C80" s="49">
        <f>+'SERVICIO FAENA'!C78</f>
        <v>18</v>
      </c>
      <c r="D80" s="110"/>
      <c r="E80" s="110"/>
      <c r="F80" s="49"/>
      <c r="G80" s="49"/>
      <c r="H80" s="49">
        <f t="shared" si="3"/>
        <v>0</v>
      </c>
      <c r="I80" s="16"/>
      <c r="J80" s="16">
        <v>0</v>
      </c>
      <c r="K80" s="16">
        <v>0</v>
      </c>
      <c r="L80" s="11"/>
      <c r="M80" s="11"/>
      <c r="N80" s="16">
        <f t="shared" si="4"/>
        <v>0</v>
      </c>
      <c r="O80" s="18"/>
      <c r="P80" s="19">
        <v>0</v>
      </c>
      <c r="Q80" s="29">
        <f t="shared" si="5"/>
        <v>0</v>
      </c>
      <c r="R80" s="11"/>
    </row>
    <row r="81" spans="1:18" x14ac:dyDescent="0.2">
      <c r="A81" s="18">
        <f>+'SERVICIO FAENA'!E79</f>
        <v>46071</v>
      </c>
      <c r="B81" s="20">
        <f>+'SERVICIO FAENA'!A79</f>
        <v>77</v>
      </c>
      <c r="C81" s="49">
        <f>+'SERVICIO FAENA'!C79</f>
        <v>15</v>
      </c>
      <c r="D81" s="110"/>
      <c r="E81" s="110"/>
      <c r="F81" s="49"/>
      <c r="G81" s="49"/>
      <c r="H81" s="49">
        <f t="shared" ref="H81:H144" si="6">+D81+E81</f>
        <v>0</v>
      </c>
      <c r="I81" s="16"/>
      <c r="J81" s="16">
        <v>0</v>
      </c>
      <c r="K81" s="16">
        <v>0</v>
      </c>
      <c r="L81" s="11"/>
      <c r="M81" s="11"/>
      <c r="N81" s="16">
        <f t="shared" si="4"/>
        <v>0</v>
      </c>
      <c r="O81" s="18"/>
      <c r="P81" s="19">
        <v>0</v>
      </c>
      <c r="Q81" s="29">
        <f t="shared" si="5"/>
        <v>0</v>
      </c>
      <c r="R81" s="11"/>
    </row>
    <row r="82" spans="1:18" ht="12.75" customHeight="1" x14ac:dyDescent="0.2">
      <c r="A82" s="18">
        <f>+'SERVICIO FAENA'!E80</f>
        <v>46073</v>
      </c>
      <c r="B82" s="20">
        <f>+'SERVICIO FAENA'!A80</f>
        <v>78</v>
      </c>
      <c r="C82" s="49">
        <f>+'SERVICIO FAENA'!C80</f>
        <v>8</v>
      </c>
      <c r="D82" s="110"/>
      <c r="E82" s="110"/>
      <c r="F82" s="49"/>
      <c r="G82" s="49"/>
      <c r="H82" s="49">
        <f t="shared" si="6"/>
        <v>0</v>
      </c>
      <c r="I82" s="16"/>
      <c r="J82" s="16">
        <v>0</v>
      </c>
      <c r="K82" s="16">
        <v>0</v>
      </c>
      <c r="L82" s="11"/>
      <c r="M82" s="11"/>
      <c r="N82" s="16">
        <f t="shared" si="4"/>
        <v>0</v>
      </c>
      <c r="O82" s="18"/>
      <c r="P82" s="19">
        <v>0</v>
      </c>
      <c r="Q82" s="29">
        <f t="shared" si="5"/>
        <v>0</v>
      </c>
      <c r="R82" s="11"/>
    </row>
    <row r="83" spans="1:18" x14ac:dyDescent="0.2">
      <c r="A83" s="18">
        <f>+'SERVICIO FAENA'!E81</f>
        <v>46073</v>
      </c>
      <c r="B83" s="20">
        <f>+'SERVICIO FAENA'!A81</f>
        <v>79</v>
      </c>
      <c r="C83" s="49">
        <f>+'SERVICIO FAENA'!C81</f>
        <v>20</v>
      </c>
      <c r="D83" s="110"/>
      <c r="E83" s="110"/>
      <c r="F83" s="49"/>
      <c r="G83" s="49"/>
      <c r="H83" s="49">
        <f t="shared" si="6"/>
        <v>0</v>
      </c>
      <c r="I83" s="16"/>
      <c r="J83" s="16">
        <v>0</v>
      </c>
      <c r="K83" s="16">
        <v>0</v>
      </c>
      <c r="L83" s="11"/>
      <c r="M83" s="11"/>
      <c r="N83" s="16">
        <f t="shared" si="4"/>
        <v>0</v>
      </c>
      <c r="O83" s="18"/>
      <c r="P83" s="19">
        <v>0</v>
      </c>
      <c r="Q83" s="29">
        <f t="shared" si="5"/>
        <v>0</v>
      </c>
      <c r="R83" s="11"/>
    </row>
    <row r="84" spans="1:18" ht="12.75" customHeight="1" x14ac:dyDescent="0.2">
      <c r="A84" s="18">
        <f>+'SERVICIO FAENA'!E82</f>
        <v>46073</v>
      </c>
      <c r="B84" s="20">
        <f>+'SERVICIO FAENA'!A82</f>
        <v>80</v>
      </c>
      <c r="C84" s="49">
        <f>+'SERVICIO FAENA'!C82</f>
        <v>21</v>
      </c>
      <c r="D84" s="110"/>
      <c r="E84" s="110"/>
      <c r="F84" s="49"/>
      <c r="G84" s="49"/>
      <c r="H84" s="49">
        <f t="shared" si="6"/>
        <v>0</v>
      </c>
      <c r="I84" s="16"/>
      <c r="J84" s="16">
        <v>0</v>
      </c>
      <c r="K84" s="16">
        <v>0</v>
      </c>
      <c r="L84" s="11"/>
      <c r="M84" s="11"/>
      <c r="N84" s="16">
        <f t="shared" si="4"/>
        <v>0</v>
      </c>
      <c r="O84" s="18"/>
      <c r="P84" s="19">
        <v>0</v>
      </c>
      <c r="Q84" s="29">
        <f t="shared" si="5"/>
        <v>0</v>
      </c>
      <c r="R84" s="11"/>
    </row>
    <row r="85" spans="1:18" x14ac:dyDescent="0.2">
      <c r="A85" s="18">
        <f>+'SERVICIO FAENA'!E83</f>
        <v>46073</v>
      </c>
      <c r="B85" s="20">
        <f>+'SERVICIO FAENA'!A83</f>
        <v>81</v>
      </c>
      <c r="C85" s="49">
        <f>+'SERVICIO FAENA'!C83</f>
        <v>15</v>
      </c>
      <c r="D85" s="110"/>
      <c r="E85" s="110"/>
      <c r="F85" s="49"/>
      <c r="G85" s="49"/>
      <c r="H85" s="49">
        <f t="shared" si="6"/>
        <v>0</v>
      </c>
      <c r="I85" s="16"/>
      <c r="J85" s="16">
        <v>0</v>
      </c>
      <c r="K85" s="16">
        <v>0</v>
      </c>
      <c r="L85" s="11"/>
      <c r="M85" s="11"/>
      <c r="N85" s="16">
        <f t="shared" si="4"/>
        <v>0</v>
      </c>
      <c r="O85" s="18"/>
      <c r="P85" s="19">
        <v>0</v>
      </c>
      <c r="Q85" s="29">
        <f t="shared" si="5"/>
        <v>0</v>
      </c>
      <c r="R85" s="11"/>
    </row>
    <row r="86" spans="1:18" ht="12.75" customHeight="1" x14ac:dyDescent="0.2">
      <c r="A86" s="18">
        <f>+'SERVICIO FAENA'!E84</f>
        <v>46073</v>
      </c>
      <c r="B86" s="20">
        <f>+'SERVICIO FAENA'!A84</f>
        <v>82</v>
      </c>
      <c r="C86" s="49">
        <f>+'SERVICIO FAENA'!C84</f>
        <v>15</v>
      </c>
      <c r="D86" s="110"/>
      <c r="E86" s="110"/>
      <c r="F86" s="49"/>
      <c r="G86" s="49"/>
      <c r="H86" s="49">
        <f t="shared" si="6"/>
        <v>0</v>
      </c>
      <c r="I86" s="16"/>
      <c r="J86" s="16">
        <v>0</v>
      </c>
      <c r="K86" s="16">
        <v>0</v>
      </c>
      <c r="L86" s="11"/>
      <c r="M86" s="11"/>
      <c r="N86" s="16">
        <f t="shared" si="4"/>
        <v>0</v>
      </c>
      <c r="O86" s="18"/>
      <c r="P86" s="19">
        <v>0</v>
      </c>
      <c r="Q86" s="29">
        <f t="shared" si="5"/>
        <v>0</v>
      </c>
      <c r="R86" s="11"/>
    </row>
    <row r="87" spans="1:18" x14ac:dyDescent="0.2">
      <c r="A87" s="18">
        <f>+'SERVICIO FAENA'!E85</f>
        <v>46073</v>
      </c>
      <c r="B87" s="20">
        <f>+'SERVICIO FAENA'!A85</f>
        <v>83</v>
      </c>
      <c r="C87" s="49">
        <f>+'SERVICIO FAENA'!C85</f>
        <v>15</v>
      </c>
      <c r="D87" s="110"/>
      <c r="E87" s="110"/>
      <c r="F87" s="49"/>
      <c r="G87" s="49"/>
      <c r="H87" s="49">
        <f t="shared" si="6"/>
        <v>0</v>
      </c>
      <c r="I87" s="16"/>
      <c r="J87" s="16">
        <v>0</v>
      </c>
      <c r="K87" s="16">
        <v>0</v>
      </c>
      <c r="L87" s="11"/>
      <c r="M87" s="11"/>
      <c r="N87" s="16">
        <f t="shared" si="4"/>
        <v>0</v>
      </c>
      <c r="O87" s="18"/>
      <c r="P87" s="19">
        <v>0</v>
      </c>
      <c r="Q87" s="29">
        <f t="shared" si="5"/>
        <v>0</v>
      </c>
      <c r="R87" s="11"/>
    </row>
    <row r="88" spans="1:18" ht="12.75" customHeight="1" x14ac:dyDescent="0.2">
      <c r="A88" s="18">
        <f>+'SERVICIO FAENA'!E86</f>
        <v>46076</v>
      </c>
      <c r="B88" s="20">
        <f>+'SERVICIO FAENA'!A86</f>
        <v>84</v>
      </c>
      <c r="C88" s="49">
        <f>+'SERVICIO FAENA'!C86</f>
        <v>21</v>
      </c>
      <c r="D88" s="110"/>
      <c r="E88" s="110"/>
      <c r="F88" s="49"/>
      <c r="G88" s="49"/>
      <c r="H88" s="49">
        <f t="shared" si="6"/>
        <v>0</v>
      </c>
      <c r="I88" s="16"/>
      <c r="J88" s="16">
        <v>0</v>
      </c>
      <c r="K88" s="16">
        <v>0</v>
      </c>
      <c r="L88" s="11"/>
      <c r="M88" s="11"/>
      <c r="N88" s="16">
        <f t="shared" si="4"/>
        <v>0</v>
      </c>
      <c r="O88" s="18"/>
      <c r="P88" s="19">
        <v>0</v>
      </c>
      <c r="Q88" s="29">
        <f t="shared" si="5"/>
        <v>0</v>
      </c>
      <c r="R88" s="11"/>
    </row>
    <row r="89" spans="1:18" x14ac:dyDescent="0.2">
      <c r="A89" s="18">
        <f>+'SERVICIO FAENA'!E87</f>
        <v>46076</v>
      </c>
      <c r="B89" s="20">
        <f>+'SERVICIO FAENA'!A87</f>
        <v>85</v>
      </c>
      <c r="C89" s="49">
        <f>+'SERVICIO FAENA'!C87</f>
        <v>18</v>
      </c>
      <c r="D89" s="110"/>
      <c r="E89" s="110"/>
      <c r="F89" s="49"/>
      <c r="G89" s="49"/>
      <c r="H89" s="49">
        <f t="shared" si="6"/>
        <v>0</v>
      </c>
      <c r="I89" s="16"/>
      <c r="J89" s="16">
        <v>0</v>
      </c>
      <c r="K89" s="16">
        <v>0</v>
      </c>
      <c r="L89" s="11"/>
      <c r="M89" s="11"/>
      <c r="N89" s="16">
        <f t="shared" si="4"/>
        <v>0</v>
      </c>
      <c r="O89" s="18"/>
      <c r="P89" s="19">
        <v>0</v>
      </c>
      <c r="Q89" s="29">
        <f t="shared" si="5"/>
        <v>0</v>
      </c>
      <c r="R89" s="11"/>
    </row>
    <row r="90" spans="1:18" ht="12.75" customHeight="1" x14ac:dyDescent="0.2">
      <c r="A90" s="18">
        <f>+'SERVICIO FAENA'!E88</f>
        <v>46077</v>
      </c>
      <c r="B90" s="20">
        <f>+'SERVICIO FAENA'!A88</f>
        <v>86</v>
      </c>
      <c r="C90" s="49">
        <f>+'SERVICIO FAENA'!C88</f>
        <v>50</v>
      </c>
      <c r="D90" s="110"/>
      <c r="E90" s="110"/>
      <c r="F90" s="49"/>
      <c r="G90" s="49"/>
      <c r="H90" s="49">
        <f t="shared" si="6"/>
        <v>0</v>
      </c>
      <c r="I90" s="16"/>
      <c r="J90" s="16">
        <v>0</v>
      </c>
      <c r="K90" s="16">
        <v>0</v>
      </c>
      <c r="L90" s="11"/>
      <c r="M90" s="11"/>
      <c r="N90" s="16">
        <f t="shared" si="4"/>
        <v>0</v>
      </c>
      <c r="O90" s="18"/>
      <c r="P90" s="19">
        <v>0</v>
      </c>
      <c r="Q90" s="29">
        <f t="shared" si="5"/>
        <v>0</v>
      </c>
      <c r="R90" s="11"/>
    </row>
    <row r="91" spans="1:18" x14ac:dyDescent="0.2">
      <c r="A91" s="18">
        <f>+'SERVICIO FAENA'!E89</f>
        <v>46077</v>
      </c>
      <c r="B91" s="20">
        <f>+'SERVICIO FAENA'!A89</f>
        <v>87</v>
      </c>
      <c r="C91" s="49">
        <f>+'SERVICIO FAENA'!C89</f>
        <v>18</v>
      </c>
      <c r="D91" s="110"/>
      <c r="E91" s="110"/>
      <c r="F91" s="49"/>
      <c r="G91" s="49"/>
      <c r="H91" s="49">
        <f t="shared" si="6"/>
        <v>0</v>
      </c>
      <c r="I91" s="16"/>
      <c r="J91" s="16">
        <v>0</v>
      </c>
      <c r="K91" s="16">
        <v>0</v>
      </c>
      <c r="L91" s="11"/>
      <c r="M91" s="11"/>
      <c r="N91" s="16">
        <f t="shared" si="4"/>
        <v>0</v>
      </c>
      <c r="O91" s="18"/>
      <c r="P91" s="19">
        <v>0</v>
      </c>
      <c r="Q91" s="29">
        <f t="shared" si="5"/>
        <v>0</v>
      </c>
      <c r="R91" s="11"/>
    </row>
    <row r="92" spans="1:18" ht="12.75" customHeight="1" x14ac:dyDescent="0.2">
      <c r="A92" s="18">
        <f>+'SERVICIO FAENA'!E90</f>
        <v>46078</v>
      </c>
      <c r="B92" s="20">
        <f>+'SERVICIO FAENA'!A90</f>
        <v>88</v>
      </c>
      <c r="C92" s="49">
        <f>+'SERVICIO FAENA'!C90</f>
        <v>8</v>
      </c>
      <c r="D92" s="110"/>
      <c r="E92" s="110"/>
      <c r="F92" s="49"/>
      <c r="G92" s="49"/>
      <c r="H92" s="49">
        <f t="shared" si="6"/>
        <v>0</v>
      </c>
      <c r="I92" s="16"/>
      <c r="J92" s="16">
        <v>0</v>
      </c>
      <c r="K92" s="16">
        <v>0</v>
      </c>
      <c r="L92" s="11"/>
      <c r="M92" s="11"/>
      <c r="N92" s="16">
        <f t="shared" si="4"/>
        <v>0</v>
      </c>
      <c r="O92" s="18"/>
      <c r="P92" s="19">
        <v>0</v>
      </c>
      <c r="Q92" s="29">
        <f t="shared" si="5"/>
        <v>0</v>
      </c>
      <c r="R92" s="11"/>
    </row>
    <row r="93" spans="1:18" x14ac:dyDescent="0.2">
      <c r="A93" s="18">
        <f>+'SERVICIO FAENA'!E91</f>
        <v>46078</v>
      </c>
      <c r="B93" s="20">
        <f>+'SERVICIO FAENA'!A91</f>
        <v>89</v>
      </c>
      <c r="C93" s="49">
        <f>+'SERVICIO FAENA'!C91</f>
        <v>7</v>
      </c>
      <c r="D93" s="110"/>
      <c r="E93" s="110"/>
      <c r="F93" s="49"/>
      <c r="G93" s="49"/>
      <c r="H93" s="49">
        <f t="shared" si="6"/>
        <v>0</v>
      </c>
      <c r="I93" s="16"/>
      <c r="J93" s="16">
        <v>0</v>
      </c>
      <c r="K93" s="16">
        <v>0</v>
      </c>
      <c r="L93" s="11"/>
      <c r="M93" s="11"/>
      <c r="N93" s="16">
        <f t="shared" si="4"/>
        <v>0</v>
      </c>
      <c r="O93" s="18"/>
      <c r="P93" s="19">
        <v>0</v>
      </c>
      <c r="Q93" s="29">
        <f t="shared" si="5"/>
        <v>0</v>
      </c>
      <c r="R93" s="11"/>
    </row>
    <row r="94" spans="1:18" ht="12.75" customHeight="1" x14ac:dyDescent="0.2">
      <c r="A94" s="18">
        <f>+'SERVICIO FAENA'!E92</f>
        <v>46078</v>
      </c>
      <c r="B94" s="20">
        <f>+'SERVICIO FAENA'!A92</f>
        <v>90</v>
      </c>
      <c r="C94" s="49">
        <f>+'SERVICIO FAENA'!C92</f>
        <v>11</v>
      </c>
      <c r="D94" s="110"/>
      <c r="E94" s="110"/>
      <c r="F94" s="49"/>
      <c r="G94" s="49"/>
      <c r="H94" s="49">
        <f t="shared" si="6"/>
        <v>0</v>
      </c>
      <c r="I94" s="16"/>
      <c r="J94" s="16">
        <v>0</v>
      </c>
      <c r="K94" s="16">
        <v>0</v>
      </c>
      <c r="L94" s="11"/>
      <c r="M94" s="11"/>
      <c r="N94" s="16">
        <f t="shared" si="4"/>
        <v>0</v>
      </c>
      <c r="O94" s="18"/>
      <c r="P94" s="19">
        <v>0</v>
      </c>
      <c r="Q94" s="29">
        <f t="shared" si="5"/>
        <v>0</v>
      </c>
      <c r="R94" s="11"/>
    </row>
    <row r="95" spans="1:18" x14ac:dyDescent="0.2">
      <c r="A95" s="18">
        <f>+'SERVICIO FAENA'!E93</f>
        <v>46080</v>
      </c>
      <c r="B95" s="20">
        <f>+'SERVICIO FAENA'!A93</f>
        <v>91</v>
      </c>
      <c r="C95" s="49">
        <f>+'SERVICIO FAENA'!C93</f>
        <v>15</v>
      </c>
      <c r="D95" s="110"/>
      <c r="E95" s="110"/>
      <c r="F95" s="49"/>
      <c r="G95" s="49"/>
      <c r="H95" s="49">
        <f t="shared" si="6"/>
        <v>0</v>
      </c>
      <c r="I95" s="16"/>
      <c r="J95" s="16">
        <v>0</v>
      </c>
      <c r="K95" s="16">
        <v>0</v>
      </c>
      <c r="L95" s="11"/>
      <c r="M95" s="11"/>
      <c r="N95" s="16">
        <f t="shared" si="4"/>
        <v>0</v>
      </c>
      <c r="O95" s="18"/>
      <c r="P95" s="19">
        <v>0</v>
      </c>
      <c r="Q95" s="29">
        <f t="shared" si="5"/>
        <v>0</v>
      </c>
      <c r="R95" s="11"/>
    </row>
    <row r="96" spans="1:18" ht="12.75" customHeight="1" x14ac:dyDescent="0.2">
      <c r="A96" s="18">
        <f>+'SERVICIO FAENA'!E94</f>
        <v>46080</v>
      </c>
      <c r="B96" s="20">
        <f>+'SERVICIO FAENA'!A94</f>
        <v>92</v>
      </c>
      <c r="C96" s="49">
        <f>+'SERVICIO FAENA'!C94</f>
        <v>10</v>
      </c>
      <c r="D96" s="110"/>
      <c r="E96" s="110"/>
      <c r="F96" s="49"/>
      <c r="G96" s="49"/>
      <c r="H96" s="49">
        <f t="shared" si="6"/>
        <v>0</v>
      </c>
      <c r="I96" s="16"/>
      <c r="J96" s="16">
        <v>0</v>
      </c>
      <c r="K96" s="16">
        <v>0</v>
      </c>
      <c r="L96" s="11"/>
      <c r="M96" s="11"/>
      <c r="N96" s="16">
        <f t="shared" si="4"/>
        <v>0</v>
      </c>
      <c r="O96" s="18"/>
      <c r="P96" s="19">
        <v>0</v>
      </c>
      <c r="Q96" s="29">
        <f t="shared" si="5"/>
        <v>0</v>
      </c>
      <c r="R96" s="11"/>
    </row>
    <row r="97" spans="1:18" x14ac:dyDescent="0.2">
      <c r="A97" s="18">
        <f>+'SERVICIO FAENA'!E95</f>
        <v>46080</v>
      </c>
      <c r="B97" s="20">
        <f>+'SERVICIO FAENA'!A95</f>
        <v>93</v>
      </c>
      <c r="C97" s="49">
        <f>+'SERVICIO FAENA'!C95</f>
        <v>20</v>
      </c>
      <c r="D97" s="110"/>
      <c r="E97" s="110"/>
      <c r="F97" s="49"/>
      <c r="G97" s="49"/>
      <c r="H97" s="49">
        <f t="shared" si="6"/>
        <v>0</v>
      </c>
      <c r="I97" s="16"/>
      <c r="J97" s="16">
        <v>0</v>
      </c>
      <c r="K97" s="16">
        <v>0</v>
      </c>
      <c r="L97" s="11"/>
      <c r="M97" s="11"/>
      <c r="N97" s="16">
        <f t="shared" si="4"/>
        <v>0</v>
      </c>
      <c r="O97" s="18"/>
      <c r="P97" s="19">
        <v>0</v>
      </c>
      <c r="Q97" s="29">
        <f t="shared" si="5"/>
        <v>0</v>
      </c>
      <c r="R97" s="11"/>
    </row>
    <row r="98" spans="1:18" ht="12.75" customHeight="1" x14ac:dyDescent="0.2">
      <c r="A98" s="18">
        <f>+'SERVICIO FAENA'!E96</f>
        <v>46080</v>
      </c>
      <c r="B98" s="20">
        <f>+'SERVICIO FAENA'!A96</f>
        <v>94</v>
      </c>
      <c r="C98" s="49">
        <f>+'SERVICIO FAENA'!C96</f>
        <v>8</v>
      </c>
      <c r="D98" s="110"/>
      <c r="E98" s="110"/>
      <c r="F98" s="49"/>
      <c r="G98" s="49"/>
      <c r="H98" s="49">
        <f t="shared" si="6"/>
        <v>0</v>
      </c>
      <c r="I98" s="16"/>
      <c r="J98" s="16">
        <v>0</v>
      </c>
      <c r="K98" s="16">
        <v>0</v>
      </c>
      <c r="L98" s="11"/>
      <c r="M98" s="11"/>
      <c r="N98" s="16">
        <f t="shared" si="4"/>
        <v>0</v>
      </c>
      <c r="O98" s="18"/>
      <c r="P98" s="19">
        <v>0</v>
      </c>
      <c r="Q98" s="29">
        <f t="shared" si="5"/>
        <v>0</v>
      </c>
      <c r="R98" s="11"/>
    </row>
    <row r="99" spans="1:18" x14ac:dyDescent="0.2">
      <c r="A99" s="18">
        <f>+'SERVICIO FAENA'!E97</f>
        <v>46080</v>
      </c>
      <c r="B99" s="20">
        <f>+'SERVICIO FAENA'!A97</f>
        <v>95</v>
      </c>
      <c r="C99" s="49">
        <f>+'SERVICIO FAENA'!C97</f>
        <v>15</v>
      </c>
      <c r="D99" s="110"/>
      <c r="E99" s="110"/>
      <c r="F99" s="49"/>
      <c r="G99" s="49"/>
      <c r="H99" s="49">
        <f t="shared" si="6"/>
        <v>0</v>
      </c>
      <c r="I99" s="16"/>
      <c r="J99" s="16">
        <v>0</v>
      </c>
      <c r="K99" s="16">
        <v>0</v>
      </c>
      <c r="L99" s="11"/>
      <c r="M99" s="11"/>
      <c r="N99" s="16">
        <f t="shared" si="4"/>
        <v>0</v>
      </c>
      <c r="O99" s="18"/>
      <c r="P99" s="19">
        <v>0</v>
      </c>
      <c r="Q99" s="29">
        <f t="shared" si="5"/>
        <v>0</v>
      </c>
      <c r="R99" s="11"/>
    </row>
    <row r="100" spans="1:18" ht="12.75" customHeight="1" x14ac:dyDescent="0.2">
      <c r="A100" s="18">
        <f>+'SERVICIO FAENA'!E98</f>
        <v>46080</v>
      </c>
      <c r="B100" s="20">
        <f>+'SERVICIO FAENA'!A98</f>
        <v>96</v>
      </c>
      <c r="C100" s="49">
        <f>+'SERVICIO FAENA'!C98</f>
        <v>22</v>
      </c>
      <c r="D100" s="110"/>
      <c r="E100" s="110"/>
      <c r="F100" s="49"/>
      <c r="G100" s="49"/>
      <c r="H100" s="49">
        <f t="shared" si="6"/>
        <v>0</v>
      </c>
      <c r="I100" s="16"/>
      <c r="J100" s="16">
        <v>0</v>
      </c>
      <c r="K100" s="16">
        <v>0</v>
      </c>
      <c r="L100" s="11"/>
      <c r="M100" s="11"/>
      <c r="N100" s="16">
        <f t="shared" si="4"/>
        <v>0</v>
      </c>
      <c r="O100" s="18"/>
      <c r="P100" s="19">
        <v>0</v>
      </c>
      <c r="Q100" s="29">
        <f t="shared" si="5"/>
        <v>0</v>
      </c>
      <c r="R100" s="11"/>
    </row>
    <row r="101" spans="1:18" x14ac:dyDescent="0.2">
      <c r="A101" s="18">
        <f>+'SERVICIO FAENA'!E99</f>
        <v>46083</v>
      </c>
      <c r="B101" s="20">
        <f>+'SERVICIO FAENA'!A99</f>
        <v>97</v>
      </c>
      <c r="C101" s="49">
        <f>+'SERVICIO FAENA'!C99</f>
        <v>18</v>
      </c>
      <c r="D101" s="110"/>
      <c r="E101" s="110"/>
      <c r="F101" s="49"/>
      <c r="G101" s="49"/>
      <c r="H101" s="49">
        <f t="shared" si="6"/>
        <v>0</v>
      </c>
      <c r="I101" s="16"/>
      <c r="J101" s="16">
        <v>0</v>
      </c>
      <c r="K101" s="16">
        <v>0</v>
      </c>
      <c r="L101" s="11"/>
      <c r="M101" s="11"/>
      <c r="N101" s="16">
        <f t="shared" si="4"/>
        <v>0</v>
      </c>
      <c r="O101" s="18"/>
      <c r="P101" s="19">
        <v>0</v>
      </c>
      <c r="Q101" s="29">
        <f t="shared" si="5"/>
        <v>0</v>
      </c>
      <c r="R101" s="11"/>
    </row>
    <row r="102" spans="1:18" ht="12.75" customHeight="1" x14ac:dyDescent="0.2">
      <c r="A102" s="18">
        <f>+'SERVICIO FAENA'!E100</f>
        <v>46083</v>
      </c>
      <c r="B102" s="20">
        <f>+'SERVICIO FAENA'!A100</f>
        <v>98</v>
      </c>
      <c r="C102" s="49">
        <f>+'SERVICIO FAENA'!C100</f>
        <v>44</v>
      </c>
      <c r="D102" s="110"/>
      <c r="E102" s="110"/>
      <c r="F102" s="49"/>
      <c r="G102" s="49"/>
      <c r="H102" s="49">
        <f t="shared" si="6"/>
        <v>0</v>
      </c>
      <c r="I102" s="16"/>
      <c r="J102" s="16">
        <v>0</v>
      </c>
      <c r="K102" s="16">
        <v>0</v>
      </c>
      <c r="L102" s="11"/>
      <c r="M102" s="11"/>
      <c r="N102" s="16">
        <f t="shared" si="4"/>
        <v>0</v>
      </c>
      <c r="O102" s="18"/>
      <c r="P102" s="19">
        <v>0</v>
      </c>
      <c r="Q102" s="29">
        <f t="shared" si="5"/>
        <v>0</v>
      </c>
      <c r="R102" s="11"/>
    </row>
    <row r="103" spans="1:18" x14ac:dyDescent="0.2">
      <c r="A103" s="18">
        <f>+'SERVICIO FAENA'!E101</f>
        <v>46083</v>
      </c>
      <c r="B103" s="20">
        <f>+'SERVICIO FAENA'!A101</f>
        <v>99</v>
      </c>
      <c r="C103" s="49">
        <f>+'SERVICIO FAENA'!C101</f>
        <v>21</v>
      </c>
      <c r="D103" s="110"/>
      <c r="E103" s="110"/>
      <c r="F103" s="49"/>
      <c r="G103" s="49"/>
      <c r="H103" s="49">
        <f t="shared" si="6"/>
        <v>0</v>
      </c>
      <c r="I103" s="16"/>
      <c r="J103" s="16">
        <v>0</v>
      </c>
      <c r="K103" s="16">
        <v>0</v>
      </c>
      <c r="L103" s="11"/>
      <c r="M103" s="11"/>
      <c r="N103" s="16">
        <f t="shared" si="4"/>
        <v>0</v>
      </c>
      <c r="O103" s="18"/>
      <c r="P103" s="19">
        <v>0</v>
      </c>
      <c r="Q103" s="29">
        <f t="shared" si="5"/>
        <v>0</v>
      </c>
      <c r="R103" s="11"/>
    </row>
    <row r="104" spans="1:18" ht="12.75" customHeight="1" x14ac:dyDescent="0.2">
      <c r="A104" s="18">
        <f>+'SERVICIO FAENA'!E102</f>
        <v>46084</v>
      </c>
      <c r="B104" s="20">
        <f>+'SERVICIO FAENA'!A102</f>
        <v>100</v>
      </c>
      <c r="C104" s="49">
        <f>+'SERVICIO FAENA'!C102</f>
        <v>18</v>
      </c>
      <c r="D104" s="110"/>
      <c r="E104" s="110"/>
      <c r="F104" s="49"/>
      <c r="G104" s="49"/>
      <c r="H104" s="49">
        <f t="shared" si="6"/>
        <v>0</v>
      </c>
      <c r="I104" s="16"/>
      <c r="J104" s="16">
        <v>0</v>
      </c>
      <c r="K104" s="16">
        <v>0</v>
      </c>
      <c r="L104" s="11"/>
      <c r="M104" s="11"/>
      <c r="N104" s="16">
        <f t="shared" si="4"/>
        <v>0</v>
      </c>
      <c r="O104" s="18"/>
      <c r="P104" s="19">
        <v>0</v>
      </c>
      <c r="Q104" s="29">
        <f t="shared" si="5"/>
        <v>0</v>
      </c>
      <c r="R104" s="11"/>
    </row>
    <row r="105" spans="1:18" x14ac:dyDescent="0.2">
      <c r="A105" s="18">
        <f>+'SERVICIO FAENA'!E103</f>
        <v>46085</v>
      </c>
      <c r="B105" s="20">
        <f>+'SERVICIO FAENA'!A103</f>
        <v>101</v>
      </c>
      <c r="C105" s="49">
        <f>+'SERVICIO FAENA'!C103</f>
        <v>8</v>
      </c>
      <c r="D105" s="110"/>
      <c r="E105" s="110"/>
      <c r="F105" s="49"/>
      <c r="G105" s="49"/>
      <c r="H105" s="49">
        <f t="shared" si="6"/>
        <v>0</v>
      </c>
      <c r="I105" s="16"/>
      <c r="J105" s="16">
        <v>0</v>
      </c>
      <c r="K105" s="16">
        <v>0</v>
      </c>
      <c r="L105" s="11"/>
      <c r="M105" s="11"/>
      <c r="N105" s="16">
        <f t="shared" si="4"/>
        <v>0</v>
      </c>
      <c r="O105" s="18"/>
      <c r="P105" s="19">
        <v>0</v>
      </c>
      <c r="Q105" s="29">
        <f t="shared" si="5"/>
        <v>0</v>
      </c>
      <c r="R105" s="11"/>
    </row>
    <row r="106" spans="1:18" ht="12.75" customHeight="1" x14ac:dyDescent="0.2">
      <c r="A106" s="18">
        <f>+'SERVICIO FAENA'!E104</f>
        <v>46085</v>
      </c>
      <c r="B106" s="20">
        <f>+'SERVICIO FAENA'!A104</f>
        <v>102</v>
      </c>
      <c r="C106" s="49">
        <f>+'SERVICIO FAENA'!C104</f>
        <v>12</v>
      </c>
      <c r="D106" s="110"/>
      <c r="E106" s="110"/>
      <c r="F106" s="49"/>
      <c r="G106" s="49"/>
      <c r="H106" s="49">
        <f t="shared" si="6"/>
        <v>0</v>
      </c>
      <c r="I106" s="16"/>
      <c r="J106" s="16">
        <v>0</v>
      </c>
      <c r="K106" s="16">
        <v>0</v>
      </c>
      <c r="L106" s="11"/>
      <c r="M106" s="11"/>
      <c r="N106" s="16">
        <f t="shared" si="4"/>
        <v>0</v>
      </c>
      <c r="O106" s="18"/>
      <c r="P106" s="19">
        <v>0</v>
      </c>
      <c r="Q106" s="29">
        <f t="shared" si="5"/>
        <v>0</v>
      </c>
      <c r="R106" s="11"/>
    </row>
    <row r="107" spans="1:18" x14ac:dyDescent="0.2">
      <c r="A107" s="18">
        <f>+'SERVICIO FAENA'!E105</f>
        <v>46085</v>
      </c>
      <c r="B107" s="20">
        <f>+'SERVICIO FAENA'!A105</f>
        <v>103</v>
      </c>
      <c r="C107" s="49">
        <f>+'SERVICIO FAENA'!C105</f>
        <v>10</v>
      </c>
      <c r="D107" s="110"/>
      <c r="E107" s="110"/>
      <c r="F107" s="49"/>
      <c r="G107" s="49"/>
      <c r="H107" s="49">
        <f t="shared" si="6"/>
        <v>0</v>
      </c>
      <c r="I107" s="16"/>
      <c r="J107" s="16">
        <v>0</v>
      </c>
      <c r="K107" s="16">
        <v>0</v>
      </c>
      <c r="L107" s="11"/>
      <c r="M107" s="11"/>
      <c r="N107" s="16">
        <f t="shared" si="4"/>
        <v>0</v>
      </c>
      <c r="O107" s="18"/>
      <c r="P107" s="19">
        <v>0</v>
      </c>
      <c r="Q107" s="29">
        <f t="shared" si="5"/>
        <v>0</v>
      </c>
      <c r="R107" s="11"/>
    </row>
    <row r="108" spans="1:18" ht="12.75" customHeight="1" x14ac:dyDescent="0.2">
      <c r="A108" s="18">
        <f>+'SERVICIO FAENA'!E106</f>
        <v>46085</v>
      </c>
      <c r="B108" s="20">
        <f>+'SERVICIO FAENA'!A106</f>
        <v>104</v>
      </c>
      <c r="C108" s="49">
        <f>+'SERVICIO FAENA'!C106</f>
        <v>20</v>
      </c>
      <c r="D108" s="110"/>
      <c r="E108" s="110"/>
      <c r="F108" s="49"/>
      <c r="G108" s="49"/>
      <c r="H108" s="49">
        <f t="shared" si="6"/>
        <v>0</v>
      </c>
      <c r="I108" s="16"/>
      <c r="J108" s="16">
        <v>0</v>
      </c>
      <c r="K108" s="16">
        <v>0</v>
      </c>
      <c r="L108" s="11"/>
      <c r="M108" s="11"/>
      <c r="N108" s="16">
        <f t="shared" si="4"/>
        <v>0</v>
      </c>
      <c r="O108" s="18"/>
      <c r="P108" s="19">
        <v>0</v>
      </c>
      <c r="Q108" s="29">
        <f t="shared" si="5"/>
        <v>0</v>
      </c>
      <c r="R108" s="11"/>
    </row>
    <row r="109" spans="1:18" x14ac:dyDescent="0.2">
      <c r="A109" s="18">
        <f>+'SERVICIO FAENA'!E107</f>
        <v>0</v>
      </c>
      <c r="B109" s="20">
        <f>+'SERVICIO FAENA'!A107</f>
        <v>0</v>
      </c>
      <c r="C109" s="49">
        <f>+'SERVICIO FAENA'!C107</f>
        <v>0</v>
      </c>
      <c r="D109" s="110"/>
      <c r="E109" s="110"/>
      <c r="F109" s="49"/>
      <c r="G109" s="49"/>
      <c r="H109" s="49">
        <f t="shared" si="6"/>
        <v>0</v>
      </c>
      <c r="I109" s="16"/>
      <c r="J109" s="16">
        <v>0</v>
      </c>
      <c r="K109" s="16">
        <v>0</v>
      </c>
      <c r="L109" s="11"/>
      <c r="M109" s="11"/>
      <c r="N109" s="16">
        <f t="shared" si="4"/>
        <v>0</v>
      </c>
      <c r="O109" s="18"/>
      <c r="P109" s="19">
        <v>0</v>
      </c>
      <c r="Q109" s="29">
        <f t="shared" si="5"/>
        <v>0</v>
      </c>
      <c r="R109" s="11"/>
    </row>
    <row r="110" spans="1:18" ht="12.75" customHeight="1" x14ac:dyDescent="0.2">
      <c r="A110" s="18">
        <f>+'SERVICIO FAENA'!E108</f>
        <v>0</v>
      </c>
      <c r="B110" s="20">
        <f>+'SERVICIO FAENA'!A108</f>
        <v>0</v>
      </c>
      <c r="C110" s="49">
        <f>+'SERVICIO FAENA'!C108</f>
        <v>0</v>
      </c>
      <c r="D110" s="110"/>
      <c r="E110" s="110"/>
      <c r="F110" s="49"/>
      <c r="G110" s="49"/>
      <c r="H110" s="49">
        <f t="shared" si="6"/>
        <v>0</v>
      </c>
      <c r="I110" s="16"/>
      <c r="J110" s="16">
        <v>0</v>
      </c>
      <c r="K110" s="16">
        <v>0</v>
      </c>
      <c r="L110" s="11"/>
      <c r="M110" s="11"/>
      <c r="N110" s="16">
        <f t="shared" si="4"/>
        <v>0</v>
      </c>
      <c r="O110" s="18"/>
      <c r="P110" s="19">
        <v>0</v>
      </c>
      <c r="Q110" s="29">
        <f t="shared" si="5"/>
        <v>0</v>
      </c>
      <c r="R110" s="11"/>
    </row>
    <row r="111" spans="1:18" x14ac:dyDescent="0.2">
      <c r="A111" s="18">
        <f>+'SERVICIO FAENA'!E109</f>
        <v>0</v>
      </c>
      <c r="B111" s="20">
        <f>+'SERVICIO FAENA'!A109</f>
        <v>0</v>
      </c>
      <c r="C111" s="49">
        <f>+'SERVICIO FAENA'!C109</f>
        <v>0</v>
      </c>
      <c r="D111" s="110"/>
      <c r="E111" s="110"/>
      <c r="F111" s="49"/>
      <c r="G111" s="49"/>
      <c r="H111" s="49">
        <f t="shared" si="6"/>
        <v>0</v>
      </c>
      <c r="I111" s="16"/>
      <c r="J111" s="16">
        <v>0</v>
      </c>
      <c r="K111" s="16">
        <v>0</v>
      </c>
      <c r="L111" s="11"/>
      <c r="M111" s="11"/>
      <c r="N111" s="16">
        <f t="shared" si="4"/>
        <v>0</v>
      </c>
      <c r="O111" s="18"/>
      <c r="P111" s="19">
        <v>0</v>
      </c>
      <c r="Q111" s="29">
        <f t="shared" si="5"/>
        <v>0</v>
      </c>
      <c r="R111" s="11"/>
    </row>
    <row r="112" spans="1:18" ht="12.75" customHeight="1" x14ac:dyDescent="0.2">
      <c r="A112" s="18">
        <f>+'SERVICIO FAENA'!E110</f>
        <v>0</v>
      </c>
      <c r="B112" s="20">
        <f>+'SERVICIO FAENA'!A110</f>
        <v>0</v>
      </c>
      <c r="C112" s="49">
        <f>+'SERVICIO FAENA'!C110</f>
        <v>0</v>
      </c>
      <c r="D112" s="110"/>
      <c r="E112" s="110"/>
      <c r="F112" s="49"/>
      <c r="G112" s="49"/>
      <c r="H112" s="49">
        <f t="shared" si="6"/>
        <v>0</v>
      </c>
      <c r="I112" s="16"/>
      <c r="J112" s="16">
        <v>0</v>
      </c>
      <c r="K112" s="16">
        <v>0</v>
      </c>
      <c r="L112" s="11"/>
      <c r="M112" s="11"/>
      <c r="N112" s="16">
        <f t="shared" si="4"/>
        <v>0</v>
      </c>
      <c r="O112" s="18"/>
      <c r="P112" s="19">
        <v>0</v>
      </c>
      <c r="Q112" s="29">
        <f t="shared" si="5"/>
        <v>0</v>
      </c>
      <c r="R112" s="11"/>
    </row>
    <row r="113" spans="1:18" x14ac:dyDescent="0.2">
      <c r="A113" s="18">
        <f>+'SERVICIO FAENA'!E111</f>
        <v>0</v>
      </c>
      <c r="B113" s="20">
        <f>+'SERVICIO FAENA'!A111</f>
        <v>0</v>
      </c>
      <c r="C113" s="49">
        <f>+'SERVICIO FAENA'!C111</f>
        <v>0</v>
      </c>
      <c r="D113" s="110"/>
      <c r="E113" s="110"/>
      <c r="F113" s="49"/>
      <c r="G113" s="49"/>
      <c r="H113" s="49">
        <f t="shared" si="6"/>
        <v>0</v>
      </c>
      <c r="I113" s="16"/>
      <c r="J113" s="16">
        <v>0</v>
      </c>
      <c r="K113" s="16">
        <v>0</v>
      </c>
      <c r="L113" s="11"/>
      <c r="M113" s="11"/>
      <c r="N113" s="16">
        <f t="shared" si="4"/>
        <v>0</v>
      </c>
      <c r="O113" s="18"/>
      <c r="P113" s="19">
        <v>0</v>
      </c>
      <c r="Q113" s="29">
        <f t="shared" si="5"/>
        <v>0</v>
      </c>
      <c r="R113" s="11"/>
    </row>
    <row r="114" spans="1:18" ht="12.75" customHeight="1" x14ac:dyDescent="0.2">
      <c r="A114" s="18">
        <f>+'SERVICIO FAENA'!E112</f>
        <v>0</v>
      </c>
      <c r="B114" s="20">
        <f>+'SERVICIO FAENA'!A112</f>
        <v>0</v>
      </c>
      <c r="C114" s="49">
        <f>+'SERVICIO FAENA'!C112</f>
        <v>0</v>
      </c>
      <c r="D114" s="110"/>
      <c r="E114" s="110"/>
      <c r="F114" s="49"/>
      <c r="G114" s="49"/>
      <c r="H114" s="49">
        <f t="shared" si="6"/>
        <v>0</v>
      </c>
      <c r="I114" s="16"/>
      <c r="J114" s="16">
        <v>0</v>
      </c>
      <c r="K114" s="16">
        <v>0</v>
      </c>
      <c r="L114" s="11"/>
      <c r="M114" s="11"/>
      <c r="N114" s="16">
        <f t="shared" si="4"/>
        <v>0</v>
      </c>
      <c r="O114" s="18"/>
      <c r="P114" s="19">
        <v>0</v>
      </c>
      <c r="Q114" s="29">
        <f t="shared" si="5"/>
        <v>0</v>
      </c>
      <c r="R114" s="11"/>
    </row>
    <row r="115" spans="1:18" x14ac:dyDescent="0.2">
      <c r="A115" s="18">
        <f>+'SERVICIO FAENA'!E113</f>
        <v>0</v>
      </c>
      <c r="B115" s="20">
        <f>+'SERVICIO FAENA'!A113</f>
        <v>0</v>
      </c>
      <c r="C115" s="49">
        <f>+'SERVICIO FAENA'!C113</f>
        <v>0</v>
      </c>
      <c r="D115" s="110"/>
      <c r="E115" s="110"/>
      <c r="F115" s="49"/>
      <c r="G115" s="49"/>
      <c r="H115" s="49">
        <f t="shared" si="6"/>
        <v>0</v>
      </c>
      <c r="I115" s="16"/>
      <c r="J115" s="16">
        <v>0</v>
      </c>
      <c r="K115" s="16">
        <v>0</v>
      </c>
      <c r="L115" s="11"/>
      <c r="M115" s="11"/>
      <c r="N115" s="16">
        <f t="shared" si="4"/>
        <v>0</v>
      </c>
      <c r="O115" s="18"/>
      <c r="P115" s="19">
        <v>0</v>
      </c>
      <c r="Q115" s="29">
        <f t="shared" si="5"/>
        <v>0</v>
      </c>
      <c r="R115" s="11"/>
    </row>
    <row r="116" spans="1:18" ht="12.75" customHeight="1" x14ac:dyDescent="0.2">
      <c r="A116" s="18">
        <f>+'SERVICIO FAENA'!E114</f>
        <v>0</v>
      </c>
      <c r="B116" s="20">
        <f>+'SERVICIO FAENA'!A114</f>
        <v>0</v>
      </c>
      <c r="C116" s="49">
        <f>+'SERVICIO FAENA'!C114</f>
        <v>0</v>
      </c>
      <c r="D116" s="110"/>
      <c r="E116" s="110"/>
      <c r="F116" s="49"/>
      <c r="G116" s="49"/>
      <c r="H116" s="49">
        <f t="shared" si="6"/>
        <v>0</v>
      </c>
      <c r="I116" s="16"/>
      <c r="J116" s="16">
        <v>0</v>
      </c>
      <c r="K116" s="16">
        <v>0</v>
      </c>
      <c r="L116" s="11"/>
      <c r="M116" s="11"/>
      <c r="N116" s="16">
        <f t="shared" si="4"/>
        <v>0</v>
      </c>
      <c r="O116" s="18"/>
      <c r="P116" s="19">
        <v>0</v>
      </c>
      <c r="Q116" s="29">
        <f t="shared" si="5"/>
        <v>0</v>
      </c>
      <c r="R116" s="11"/>
    </row>
    <row r="117" spans="1:18" x14ac:dyDescent="0.2">
      <c r="A117" s="18">
        <f>+'SERVICIO FAENA'!E115</f>
        <v>0</v>
      </c>
      <c r="B117" s="20">
        <f>+'SERVICIO FAENA'!A115</f>
        <v>0</v>
      </c>
      <c r="C117" s="49">
        <f>+'SERVICIO FAENA'!C115</f>
        <v>0</v>
      </c>
      <c r="D117" s="110"/>
      <c r="E117" s="110"/>
      <c r="F117" s="49"/>
      <c r="G117" s="49"/>
      <c r="H117" s="49">
        <f t="shared" si="6"/>
        <v>0</v>
      </c>
      <c r="I117" s="16"/>
      <c r="J117" s="16">
        <v>0</v>
      </c>
      <c r="K117" s="16">
        <v>0</v>
      </c>
      <c r="L117" s="11"/>
      <c r="M117" s="11"/>
      <c r="N117" s="16">
        <f t="shared" si="4"/>
        <v>0</v>
      </c>
      <c r="O117" s="18"/>
      <c r="P117" s="19">
        <v>0</v>
      </c>
      <c r="Q117" s="29">
        <f t="shared" si="5"/>
        <v>0</v>
      </c>
      <c r="R117" s="11"/>
    </row>
    <row r="118" spans="1:18" ht="12.75" customHeight="1" x14ac:dyDescent="0.2">
      <c r="A118" s="18">
        <f>+'SERVICIO FAENA'!E116</f>
        <v>0</v>
      </c>
      <c r="B118" s="20">
        <f>+'SERVICIO FAENA'!A116</f>
        <v>0</v>
      </c>
      <c r="C118" s="49">
        <f>+'SERVICIO FAENA'!C116</f>
        <v>0</v>
      </c>
      <c r="D118" s="110"/>
      <c r="E118" s="110"/>
      <c r="F118" s="49"/>
      <c r="G118" s="49"/>
      <c r="H118" s="49">
        <f t="shared" si="6"/>
        <v>0</v>
      </c>
      <c r="I118" s="16"/>
      <c r="J118" s="16">
        <v>0</v>
      </c>
      <c r="K118" s="16">
        <v>0</v>
      </c>
      <c r="L118" s="11"/>
      <c r="M118" s="11"/>
      <c r="N118" s="16">
        <f t="shared" si="4"/>
        <v>0</v>
      </c>
      <c r="O118" s="18"/>
      <c r="P118" s="19">
        <v>0</v>
      </c>
      <c r="Q118" s="29">
        <f t="shared" si="5"/>
        <v>0</v>
      </c>
      <c r="R118" s="11"/>
    </row>
    <row r="119" spans="1:18" x14ac:dyDescent="0.2">
      <c r="A119" s="18">
        <f>+'SERVICIO FAENA'!E117</f>
        <v>0</v>
      </c>
      <c r="B119" s="20">
        <f>+'SERVICIO FAENA'!A117</f>
        <v>0</v>
      </c>
      <c r="C119" s="49">
        <f>+'SERVICIO FAENA'!C117</f>
        <v>0</v>
      </c>
      <c r="D119" s="110"/>
      <c r="E119" s="110"/>
      <c r="F119" s="49"/>
      <c r="G119" s="49"/>
      <c r="H119" s="49">
        <f t="shared" si="6"/>
        <v>0</v>
      </c>
      <c r="I119" s="16"/>
      <c r="J119" s="16">
        <v>0</v>
      </c>
      <c r="K119" s="16">
        <v>0</v>
      </c>
      <c r="L119" s="11"/>
      <c r="M119" s="11"/>
      <c r="N119" s="16">
        <f t="shared" si="4"/>
        <v>0</v>
      </c>
      <c r="O119" s="18"/>
      <c r="P119" s="19">
        <v>0</v>
      </c>
      <c r="Q119" s="29">
        <f t="shared" si="5"/>
        <v>0</v>
      </c>
      <c r="R119" s="11"/>
    </row>
    <row r="120" spans="1:18" ht="12.75" customHeight="1" x14ac:dyDescent="0.2">
      <c r="A120" s="18">
        <f>+'SERVICIO FAENA'!E118</f>
        <v>0</v>
      </c>
      <c r="B120" s="20">
        <f>+'SERVICIO FAENA'!A118</f>
        <v>0</v>
      </c>
      <c r="C120" s="49">
        <f>+'SERVICIO FAENA'!C118</f>
        <v>0</v>
      </c>
      <c r="D120" s="110"/>
      <c r="E120" s="110"/>
      <c r="F120" s="49"/>
      <c r="G120" s="49"/>
      <c r="H120" s="49">
        <f t="shared" si="6"/>
        <v>0</v>
      </c>
      <c r="I120" s="16"/>
      <c r="J120" s="16">
        <v>0</v>
      </c>
      <c r="K120" s="16">
        <v>0</v>
      </c>
      <c r="L120" s="11"/>
      <c r="M120" s="11"/>
      <c r="N120" s="16">
        <f t="shared" si="4"/>
        <v>0</v>
      </c>
      <c r="O120" s="18"/>
      <c r="P120" s="19">
        <v>0</v>
      </c>
      <c r="Q120" s="29">
        <f t="shared" si="5"/>
        <v>0</v>
      </c>
      <c r="R120" s="11"/>
    </row>
    <row r="121" spans="1:18" x14ac:dyDescent="0.2">
      <c r="A121" s="18">
        <f>+'SERVICIO FAENA'!E119</f>
        <v>0</v>
      </c>
      <c r="B121" s="20">
        <f>+'SERVICIO FAENA'!A119</f>
        <v>0</v>
      </c>
      <c r="C121" s="49">
        <f>+'SERVICIO FAENA'!C119</f>
        <v>0</v>
      </c>
      <c r="D121" s="110"/>
      <c r="E121" s="110"/>
      <c r="F121" s="49"/>
      <c r="G121" s="49"/>
      <c r="H121" s="49">
        <f t="shared" si="6"/>
        <v>0</v>
      </c>
      <c r="I121" s="16"/>
      <c r="J121" s="16">
        <v>0</v>
      </c>
      <c r="K121" s="16">
        <v>0</v>
      </c>
      <c r="L121" s="11"/>
      <c r="M121" s="11"/>
      <c r="N121" s="16">
        <f t="shared" si="4"/>
        <v>0</v>
      </c>
      <c r="O121" s="18"/>
      <c r="P121" s="19">
        <v>0</v>
      </c>
      <c r="Q121" s="29">
        <f t="shared" si="5"/>
        <v>0</v>
      </c>
      <c r="R121" s="11"/>
    </row>
    <row r="122" spans="1:18" ht="12.75" customHeight="1" x14ac:dyDescent="0.2">
      <c r="A122" s="18">
        <f>+'SERVICIO FAENA'!E120</f>
        <v>0</v>
      </c>
      <c r="B122" s="20">
        <f>+'SERVICIO FAENA'!A120</f>
        <v>0</v>
      </c>
      <c r="C122" s="49">
        <f>+'SERVICIO FAENA'!C120</f>
        <v>0</v>
      </c>
      <c r="D122" s="110"/>
      <c r="E122" s="110"/>
      <c r="F122" s="49"/>
      <c r="G122" s="49"/>
      <c r="H122" s="49">
        <f t="shared" si="6"/>
        <v>0</v>
      </c>
      <c r="I122" s="16"/>
      <c r="J122" s="16">
        <v>0</v>
      </c>
      <c r="K122" s="16">
        <v>0</v>
      </c>
      <c r="L122" s="11"/>
      <c r="M122" s="11"/>
      <c r="N122" s="16">
        <f t="shared" si="4"/>
        <v>0</v>
      </c>
      <c r="O122" s="18"/>
      <c r="P122" s="19">
        <v>0</v>
      </c>
      <c r="Q122" s="29">
        <f t="shared" si="5"/>
        <v>0</v>
      </c>
      <c r="R122" s="11"/>
    </row>
    <row r="123" spans="1:18" x14ac:dyDescent="0.2">
      <c r="A123" s="18">
        <f>+'SERVICIO FAENA'!E121</f>
        <v>0</v>
      </c>
      <c r="B123" s="20">
        <f>+'SERVICIO FAENA'!A121</f>
        <v>0</v>
      </c>
      <c r="C123" s="49">
        <f>+'SERVICIO FAENA'!C121</f>
        <v>0</v>
      </c>
      <c r="D123" s="110"/>
      <c r="E123" s="110"/>
      <c r="F123" s="49"/>
      <c r="G123" s="49"/>
      <c r="H123" s="49">
        <f t="shared" si="6"/>
        <v>0</v>
      </c>
      <c r="I123" s="16"/>
      <c r="J123" s="16">
        <v>0</v>
      </c>
      <c r="K123" s="16">
        <v>0</v>
      </c>
      <c r="L123" s="11"/>
      <c r="M123" s="11"/>
      <c r="N123" s="16">
        <f t="shared" si="4"/>
        <v>0</v>
      </c>
      <c r="O123" s="18"/>
      <c r="P123" s="19">
        <v>0</v>
      </c>
      <c r="Q123" s="29">
        <f t="shared" si="5"/>
        <v>0</v>
      </c>
      <c r="R123" s="11"/>
    </row>
    <row r="124" spans="1:18" ht="12.75" customHeight="1" x14ac:dyDescent="0.2">
      <c r="A124" s="18">
        <f>+'SERVICIO FAENA'!E122</f>
        <v>0</v>
      </c>
      <c r="B124" s="20">
        <f>+'SERVICIO FAENA'!A122</f>
        <v>0</v>
      </c>
      <c r="C124" s="49">
        <f>+'SERVICIO FAENA'!C122</f>
        <v>0</v>
      </c>
      <c r="D124" s="110"/>
      <c r="E124" s="110"/>
      <c r="F124" s="49"/>
      <c r="G124" s="49"/>
      <c r="H124" s="49">
        <f t="shared" si="6"/>
        <v>0</v>
      </c>
      <c r="I124" s="16"/>
      <c r="J124" s="16">
        <v>0</v>
      </c>
      <c r="K124" s="16">
        <v>0</v>
      </c>
      <c r="L124" s="11"/>
      <c r="M124" s="11"/>
      <c r="N124" s="16">
        <f t="shared" si="4"/>
        <v>0</v>
      </c>
      <c r="O124" s="18"/>
      <c r="P124" s="19">
        <v>0</v>
      </c>
      <c r="Q124" s="29">
        <f t="shared" si="5"/>
        <v>0</v>
      </c>
      <c r="R124" s="11"/>
    </row>
    <row r="125" spans="1:18" x14ac:dyDescent="0.2">
      <c r="A125" s="18">
        <f>+'SERVICIO FAENA'!E123</f>
        <v>0</v>
      </c>
      <c r="B125" s="20">
        <f>+'SERVICIO FAENA'!A123</f>
        <v>0</v>
      </c>
      <c r="C125" s="49">
        <f>+'SERVICIO FAENA'!C123</f>
        <v>0</v>
      </c>
      <c r="D125" s="110"/>
      <c r="E125" s="110"/>
      <c r="F125" s="49"/>
      <c r="G125" s="49"/>
      <c r="H125" s="49">
        <f t="shared" si="6"/>
        <v>0</v>
      </c>
      <c r="I125" s="16"/>
      <c r="J125" s="16">
        <v>0</v>
      </c>
      <c r="K125" s="16">
        <v>0</v>
      </c>
      <c r="L125" s="11"/>
      <c r="M125" s="11"/>
      <c r="N125" s="16">
        <f t="shared" si="4"/>
        <v>0</v>
      </c>
      <c r="O125" s="18"/>
      <c r="P125" s="19">
        <v>0</v>
      </c>
      <c r="Q125" s="29">
        <f t="shared" si="5"/>
        <v>0</v>
      </c>
      <c r="R125" s="11"/>
    </row>
    <row r="126" spans="1:18" ht="12.75" customHeight="1" x14ac:dyDescent="0.2">
      <c r="A126" s="18">
        <f>+'SERVICIO FAENA'!E124</f>
        <v>0</v>
      </c>
      <c r="B126" s="20">
        <f>+'SERVICIO FAENA'!A124</f>
        <v>0</v>
      </c>
      <c r="C126" s="49">
        <f>+'SERVICIO FAENA'!C124</f>
        <v>0</v>
      </c>
      <c r="D126" s="110"/>
      <c r="E126" s="110"/>
      <c r="F126" s="49"/>
      <c r="G126" s="49"/>
      <c r="H126" s="49">
        <f t="shared" si="6"/>
        <v>0</v>
      </c>
      <c r="I126" s="16"/>
      <c r="J126" s="16">
        <v>0</v>
      </c>
      <c r="K126" s="16">
        <v>0</v>
      </c>
      <c r="L126" s="11"/>
      <c r="M126" s="11"/>
      <c r="N126" s="16">
        <f t="shared" si="4"/>
        <v>0</v>
      </c>
      <c r="O126" s="18"/>
      <c r="P126" s="19">
        <v>0</v>
      </c>
      <c r="Q126" s="29">
        <f t="shared" si="5"/>
        <v>0</v>
      </c>
      <c r="R126" s="11"/>
    </row>
    <row r="127" spans="1:18" x14ac:dyDescent="0.2">
      <c r="A127" s="18">
        <f>+'SERVICIO FAENA'!E125</f>
        <v>0</v>
      </c>
      <c r="B127" s="20">
        <f>+'SERVICIO FAENA'!A125</f>
        <v>0</v>
      </c>
      <c r="C127" s="49">
        <f>+'SERVICIO FAENA'!C125</f>
        <v>0</v>
      </c>
      <c r="D127" s="110"/>
      <c r="E127" s="110"/>
      <c r="F127" s="49"/>
      <c r="G127" s="49"/>
      <c r="H127" s="49">
        <f t="shared" si="6"/>
        <v>0</v>
      </c>
      <c r="I127" s="16"/>
      <c r="J127" s="16">
        <v>0</v>
      </c>
      <c r="K127" s="16">
        <v>0</v>
      </c>
      <c r="L127" s="11"/>
      <c r="M127" s="11"/>
      <c r="N127" s="16">
        <f t="shared" si="4"/>
        <v>0</v>
      </c>
      <c r="O127" s="18"/>
      <c r="P127" s="19">
        <v>0</v>
      </c>
      <c r="Q127" s="29">
        <f t="shared" si="5"/>
        <v>0</v>
      </c>
      <c r="R127" s="11"/>
    </row>
    <row r="128" spans="1:18" ht="12.75" customHeight="1" x14ac:dyDescent="0.2">
      <c r="A128" s="18">
        <f>+'SERVICIO FAENA'!E126</f>
        <v>0</v>
      </c>
      <c r="B128" s="20">
        <f>+'SERVICIO FAENA'!A126</f>
        <v>0</v>
      </c>
      <c r="C128" s="49">
        <f>+'SERVICIO FAENA'!C126</f>
        <v>0</v>
      </c>
      <c r="D128" s="110"/>
      <c r="E128" s="110"/>
      <c r="F128" s="49"/>
      <c r="G128" s="49"/>
      <c r="H128" s="49">
        <f t="shared" si="6"/>
        <v>0</v>
      </c>
      <c r="I128" s="16"/>
      <c r="J128" s="16">
        <v>0</v>
      </c>
      <c r="K128" s="16">
        <v>0</v>
      </c>
      <c r="L128" s="11"/>
      <c r="M128" s="11"/>
      <c r="N128" s="16">
        <f t="shared" si="4"/>
        <v>0</v>
      </c>
      <c r="O128" s="18"/>
      <c r="P128" s="19">
        <v>0</v>
      </c>
      <c r="Q128" s="29">
        <f t="shared" si="5"/>
        <v>0</v>
      </c>
      <c r="R128" s="11"/>
    </row>
    <row r="129" spans="1:18" x14ac:dyDescent="0.2">
      <c r="A129" s="18">
        <f>+'SERVICIO FAENA'!E127</f>
        <v>0</v>
      </c>
      <c r="B129" s="20">
        <f>+'SERVICIO FAENA'!A127</f>
        <v>0</v>
      </c>
      <c r="C129" s="49">
        <f>+'SERVICIO FAENA'!C127</f>
        <v>0</v>
      </c>
      <c r="D129" s="110"/>
      <c r="E129" s="110"/>
      <c r="F129" s="49"/>
      <c r="G129" s="49"/>
      <c r="H129" s="49">
        <f t="shared" si="6"/>
        <v>0</v>
      </c>
      <c r="I129" s="16"/>
      <c r="J129" s="16">
        <v>0</v>
      </c>
      <c r="K129" s="16">
        <v>0</v>
      </c>
      <c r="L129" s="11"/>
      <c r="M129" s="11"/>
      <c r="N129" s="16">
        <f t="shared" si="4"/>
        <v>0</v>
      </c>
      <c r="O129" s="18"/>
      <c r="P129" s="19">
        <v>0</v>
      </c>
      <c r="Q129" s="29">
        <f t="shared" si="5"/>
        <v>0</v>
      </c>
      <c r="R129" s="11"/>
    </row>
    <row r="130" spans="1:18" ht="12.75" customHeight="1" x14ac:dyDescent="0.2">
      <c r="A130" s="18">
        <f>+'SERVICIO FAENA'!E128</f>
        <v>0</v>
      </c>
      <c r="B130" s="20">
        <f>+'SERVICIO FAENA'!A128</f>
        <v>0</v>
      </c>
      <c r="C130" s="49">
        <f>+'SERVICIO FAENA'!C128</f>
        <v>0</v>
      </c>
      <c r="D130" s="110"/>
      <c r="E130" s="110"/>
      <c r="F130" s="49"/>
      <c r="G130" s="49"/>
      <c r="H130" s="49">
        <f t="shared" si="6"/>
        <v>0</v>
      </c>
      <c r="I130" s="16"/>
      <c r="J130" s="16">
        <v>0</v>
      </c>
      <c r="K130" s="16">
        <v>0</v>
      </c>
      <c r="L130" s="11"/>
      <c r="M130" s="11"/>
      <c r="N130" s="16">
        <f t="shared" si="4"/>
        <v>0</v>
      </c>
      <c r="O130" s="18"/>
      <c r="P130" s="19">
        <v>0</v>
      </c>
      <c r="Q130" s="29">
        <f t="shared" si="5"/>
        <v>0</v>
      </c>
      <c r="R130" s="11"/>
    </row>
    <row r="131" spans="1:18" x14ac:dyDescent="0.2">
      <c r="A131" s="18">
        <f>+'SERVICIO FAENA'!E129</f>
        <v>0</v>
      </c>
      <c r="B131" s="20">
        <f>+'SERVICIO FAENA'!A129</f>
        <v>0</v>
      </c>
      <c r="C131" s="49">
        <f>+'SERVICIO FAENA'!C129</f>
        <v>0</v>
      </c>
      <c r="D131" s="110"/>
      <c r="E131" s="110"/>
      <c r="F131" s="49"/>
      <c r="G131" s="49"/>
      <c r="H131" s="49">
        <f t="shared" si="6"/>
        <v>0</v>
      </c>
      <c r="I131" s="16"/>
      <c r="J131" s="16">
        <v>0</v>
      </c>
      <c r="K131" s="16">
        <v>0</v>
      </c>
      <c r="L131" s="11"/>
      <c r="M131" s="11"/>
      <c r="N131" s="16">
        <f t="shared" si="4"/>
        <v>0</v>
      </c>
      <c r="O131" s="18"/>
      <c r="P131" s="19">
        <v>0</v>
      </c>
      <c r="Q131" s="29">
        <f t="shared" si="5"/>
        <v>0</v>
      </c>
      <c r="R131" s="11"/>
    </row>
    <row r="132" spans="1:18" ht="12.75" customHeight="1" x14ac:dyDescent="0.2">
      <c r="A132" s="18">
        <f>+'SERVICIO FAENA'!E130</f>
        <v>0</v>
      </c>
      <c r="B132" s="20">
        <f>+'SERVICIO FAENA'!A130</f>
        <v>0</v>
      </c>
      <c r="C132" s="49">
        <f>+'SERVICIO FAENA'!C130</f>
        <v>0</v>
      </c>
      <c r="D132" s="110"/>
      <c r="E132" s="110"/>
      <c r="F132" s="49"/>
      <c r="G132" s="49"/>
      <c r="H132" s="49">
        <f t="shared" si="6"/>
        <v>0</v>
      </c>
      <c r="I132" s="16"/>
      <c r="J132" s="16">
        <v>0</v>
      </c>
      <c r="K132" s="16">
        <v>0</v>
      </c>
      <c r="L132" s="11"/>
      <c r="M132" s="11"/>
      <c r="N132" s="16">
        <f t="shared" si="4"/>
        <v>0</v>
      </c>
      <c r="O132" s="18"/>
      <c r="P132" s="19">
        <v>0</v>
      </c>
      <c r="Q132" s="29">
        <f t="shared" si="5"/>
        <v>0</v>
      </c>
      <c r="R132" s="11"/>
    </row>
    <row r="133" spans="1:18" x14ac:dyDescent="0.2">
      <c r="A133" s="18">
        <f>+'SERVICIO FAENA'!E131</f>
        <v>0</v>
      </c>
      <c r="B133" s="20">
        <f>+'SERVICIO FAENA'!A131</f>
        <v>0</v>
      </c>
      <c r="C133" s="49">
        <f>+'SERVICIO FAENA'!C131</f>
        <v>0</v>
      </c>
      <c r="D133" s="110"/>
      <c r="E133" s="110"/>
      <c r="F133" s="49"/>
      <c r="G133" s="49"/>
      <c r="H133" s="49">
        <f t="shared" si="6"/>
        <v>0</v>
      </c>
      <c r="I133" s="16"/>
      <c r="J133" s="16">
        <v>0</v>
      </c>
      <c r="K133" s="16">
        <v>0</v>
      </c>
      <c r="L133" s="11"/>
      <c r="M133" s="11"/>
      <c r="N133" s="16">
        <f t="shared" si="4"/>
        <v>0</v>
      </c>
      <c r="O133" s="18"/>
      <c r="P133" s="19">
        <v>0</v>
      </c>
      <c r="Q133" s="29">
        <f t="shared" si="5"/>
        <v>0</v>
      </c>
      <c r="R133" s="11"/>
    </row>
    <row r="134" spans="1:18" ht="12.75" customHeight="1" x14ac:dyDescent="0.2">
      <c r="A134" s="18">
        <f>+'SERVICIO FAENA'!E132</f>
        <v>0</v>
      </c>
      <c r="B134" s="20">
        <f>+'SERVICIO FAENA'!A132</f>
        <v>0</v>
      </c>
      <c r="C134" s="49">
        <f>+'SERVICIO FAENA'!C132</f>
        <v>0</v>
      </c>
      <c r="D134" s="110"/>
      <c r="E134" s="110"/>
      <c r="F134" s="49"/>
      <c r="G134" s="49"/>
      <c r="H134" s="49">
        <f t="shared" si="6"/>
        <v>0</v>
      </c>
      <c r="I134" s="16"/>
      <c r="J134" s="16">
        <v>0</v>
      </c>
      <c r="K134" s="16">
        <v>0</v>
      </c>
      <c r="L134" s="11"/>
      <c r="M134" s="11"/>
      <c r="N134" s="16">
        <f t="shared" si="4"/>
        <v>0</v>
      </c>
      <c r="O134" s="18"/>
      <c r="P134" s="19">
        <v>0</v>
      </c>
      <c r="Q134" s="29">
        <f t="shared" si="5"/>
        <v>0</v>
      </c>
      <c r="R134" s="11"/>
    </row>
    <row r="135" spans="1:18" x14ac:dyDescent="0.2">
      <c r="A135" s="18">
        <f>+'SERVICIO FAENA'!E133</f>
        <v>0</v>
      </c>
      <c r="B135" s="20">
        <f>+'SERVICIO FAENA'!A133</f>
        <v>0</v>
      </c>
      <c r="C135" s="49">
        <f>+'SERVICIO FAENA'!C133</f>
        <v>0</v>
      </c>
      <c r="D135" s="110"/>
      <c r="E135" s="110"/>
      <c r="F135" s="49"/>
      <c r="G135" s="49"/>
      <c r="H135" s="49">
        <f t="shared" si="6"/>
        <v>0</v>
      </c>
      <c r="I135" s="16"/>
      <c r="J135" s="16">
        <v>0</v>
      </c>
      <c r="K135" s="16">
        <v>0</v>
      </c>
      <c r="L135" s="11"/>
      <c r="M135" s="11"/>
      <c r="N135" s="16">
        <f t="shared" si="4"/>
        <v>0</v>
      </c>
      <c r="O135" s="18"/>
      <c r="P135" s="19">
        <v>0</v>
      </c>
      <c r="Q135" s="29">
        <f t="shared" si="5"/>
        <v>0</v>
      </c>
      <c r="R135" s="11"/>
    </row>
    <row r="136" spans="1:18" ht="12.75" customHeight="1" x14ac:dyDescent="0.2">
      <c r="A136" s="18">
        <f>+'SERVICIO FAENA'!E134</f>
        <v>0</v>
      </c>
      <c r="B136" s="20">
        <f>+'SERVICIO FAENA'!A134</f>
        <v>0</v>
      </c>
      <c r="C136" s="49">
        <f>+'SERVICIO FAENA'!C134</f>
        <v>0</v>
      </c>
      <c r="D136" s="110"/>
      <c r="E136" s="110"/>
      <c r="F136" s="49"/>
      <c r="G136" s="49"/>
      <c r="H136" s="49">
        <f t="shared" si="6"/>
        <v>0</v>
      </c>
      <c r="I136" s="16"/>
      <c r="J136" s="16">
        <v>0</v>
      </c>
      <c r="K136" s="16">
        <v>0</v>
      </c>
      <c r="L136" s="11"/>
      <c r="M136" s="11"/>
      <c r="N136" s="16">
        <f t="shared" ref="N136:N199" si="7">+K136*I136</f>
        <v>0</v>
      </c>
      <c r="O136" s="18"/>
      <c r="P136" s="19">
        <v>0</v>
      </c>
      <c r="Q136" s="29">
        <f t="shared" ref="Q136:Q199" si="8">+P136-N136</f>
        <v>0</v>
      </c>
      <c r="R136" s="11"/>
    </row>
    <row r="137" spans="1:18" x14ac:dyDescent="0.2">
      <c r="A137" s="18">
        <f>+'SERVICIO FAENA'!E135</f>
        <v>0</v>
      </c>
      <c r="B137" s="20">
        <f>+'SERVICIO FAENA'!A135</f>
        <v>0</v>
      </c>
      <c r="C137" s="49">
        <f>+'SERVICIO FAENA'!C135</f>
        <v>0</v>
      </c>
      <c r="D137" s="110"/>
      <c r="E137" s="110"/>
      <c r="F137" s="49"/>
      <c r="G137" s="49"/>
      <c r="H137" s="49">
        <f t="shared" si="6"/>
        <v>0</v>
      </c>
      <c r="I137" s="16"/>
      <c r="J137" s="16">
        <v>0</v>
      </c>
      <c r="K137" s="16">
        <v>0</v>
      </c>
      <c r="L137" s="11"/>
      <c r="M137" s="11"/>
      <c r="N137" s="16">
        <f t="shared" si="7"/>
        <v>0</v>
      </c>
      <c r="O137" s="18"/>
      <c r="P137" s="19">
        <v>0</v>
      </c>
      <c r="Q137" s="29">
        <f t="shared" si="8"/>
        <v>0</v>
      </c>
      <c r="R137" s="11"/>
    </row>
    <row r="138" spans="1:18" ht="12.75" customHeight="1" x14ac:dyDescent="0.2">
      <c r="A138" s="18">
        <f>+'SERVICIO FAENA'!E136</f>
        <v>0</v>
      </c>
      <c r="B138" s="20">
        <f>+'SERVICIO FAENA'!A136</f>
        <v>0</v>
      </c>
      <c r="C138" s="49">
        <f>+'SERVICIO FAENA'!C136</f>
        <v>0</v>
      </c>
      <c r="D138" s="110"/>
      <c r="E138" s="110"/>
      <c r="F138" s="49"/>
      <c r="G138" s="49"/>
      <c r="H138" s="49">
        <f t="shared" si="6"/>
        <v>0</v>
      </c>
      <c r="I138" s="16"/>
      <c r="J138" s="16">
        <v>0</v>
      </c>
      <c r="K138" s="16">
        <v>0</v>
      </c>
      <c r="L138" s="11"/>
      <c r="M138" s="11"/>
      <c r="N138" s="16">
        <f t="shared" si="7"/>
        <v>0</v>
      </c>
      <c r="O138" s="18"/>
      <c r="P138" s="19">
        <v>0</v>
      </c>
      <c r="Q138" s="29">
        <f t="shared" si="8"/>
        <v>0</v>
      </c>
      <c r="R138" s="11"/>
    </row>
    <row r="139" spans="1:18" x14ac:dyDescent="0.2">
      <c r="A139" s="18">
        <f>+'SERVICIO FAENA'!E137</f>
        <v>0</v>
      </c>
      <c r="B139" s="20">
        <f>+'SERVICIO FAENA'!A137</f>
        <v>0</v>
      </c>
      <c r="C139" s="49">
        <f>+'SERVICIO FAENA'!C137</f>
        <v>0</v>
      </c>
      <c r="D139" s="110"/>
      <c r="E139" s="110"/>
      <c r="F139" s="49"/>
      <c r="G139" s="49"/>
      <c r="H139" s="49">
        <f t="shared" si="6"/>
        <v>0</v>
      </c>
      <c r="I139" s="16"/>
      <c r="J139" s="16">
        <v>0</v>
      </c>
      <c r="K139" s="16">
        <v>0</v>
      </c>
      <c r="L139" s="11"/>
      <c r="M139" s="11"/>
      <c r="N139" s="16">
        <f t="shared" si="7"/>
        <v>0</v>
      </c>
      <c r="O139" s="18"/>
      <c r="P139" s="19">
        <v>0</v>
      </c>
      <c r="Q139" s="29">
        <f t="shared" si="8"/>
        <v>0</v>
      </c>
      <c r="R139" s="11"/>
    </row>
    <row r="140" spans="1:18" ht="12.75" customHeight="1" x14ac:dyDescent="0.2">
      <c r="A140" s="18">
        <f>+'SERVICIO FAENA'!E138</f>
        <v>0</v>
      </c>
      <c r="B140" s="20">
        <f>+'SERVICIO FAENA'!A138</f>
        <v>0</v>
      </c>
      <c r="C140" s="49">
        <f>+'SERVICIO FAENA'!C138</f>
        <v>0</v>
      </c>
      <c r="D140" s="110"/>
      <c r="E140" s="110"/>
      <c r="F140" s="49"/>
      <c r="G140" s="49"/>
      <c r="H140" s="49">
        <f t="shared" si="6"/>
        <v>0</v>
      </c>
      <c r="I140" s="16"/>
      <c r="J140" s="16">
        <v>0</v>
      </c>
      <c r="K140" s="16">
        <v>0</v>
      </c>
      <c r="L140" s="11"/>
      <c r="M140" s="11"/>
      <c r="N140" s="16">
        <f t="shared" si="7"/>
        <v>0</v>
      </c>
      <c r="O140" s="18"/>
      <c r="P140" s="19">
        <v>0</v>
      </c>
      <c r="Q140" s="29">
        <f t="shared" si="8"/>
        <v>0</v>
      </c>
      <c r="R140" s="11"/>
    </row>
    <row r="141" spans="1:18" x14ac:dyDescent="0.2">
      <c r="A141" s="18">
        <f>+'SERVICIO FAENA'!E139</f>
        <v>0</v>
      </c>
      <c r="B141" s="20">
        <f>+'SERVICIO FAENA'!A139</f>
        <v>0</v>
      </c>
      <c r="C141" s="49">
        <f>+'SERVICIO FAENA'!C139</f>
        <v>0</v>
      </c>
      <c r="D141" s="110"/>
      <c r="E141" s="110"/>
      <c r="F141" s="49"/>
      <c r="G141" s="49"/>
      <c r="H141" s="49">
        <f t="shared" si="6"/>
        <v>0</v>
      </c>
      <c r="I141" s="16"/>
      <c r="J141" s="16">
        <v>0</v>
      </c>
      <c r="K141" s="16">
        <v>0</v>
      </c>
      <c r="L141" s="11"/>
      <c r="M141" s="11"/>
      <c r="N141" s="16">
        <f t="shared" si="7"/>
        <v>0</v>
      </c>
      <c r="O141" s="18"/>
      <c r="P141" s="19">
        <v>0</v>
      </c>
      <c r="Q141" s="29">
        <f t="shared" si="8"/>
        <v>0</v>
      </c>
      <c r="R141" s="11"/>
    </row>
    <row r="142" spans="1:18" ht="12.75" customHeight="1" x14ac:dyDescent="0.2">
      <c r="A142" s="18">
        <f>+'SERVICIO FAENA'!E140</f>
        <v>0</v>
      </c>
      <c r="B142" s="20">
        <f>+'SERVICIO FAENA'!A140</f>
        <v>0</v>
      </c>
      <c r="C142" s="49">
        <f>+'SERVICIO FAENA'!C140</f>
        <v>0</v>
      </c>
      <c r="D142" s="110"/>
      <c r="E142" s="110"/>
      <c r="F142" s="49"/>
      <c r="G142" s="49"/>
      <c r="H142" s="49">
        <f t="shared" si="6"/>
        <v>0</v>
      </c>
      <c r="I142" s="16"/>
      <c r="J142" s="16">
        <v>0</v>
      </c>
      <c r="K142" s="16">
        <v>0</v>
      </c>
      <c r="L142" s="11"/>
      <c r="M142" s="11"/>
      <c r="N142" s="16">
        <f t="shared" si="7"/>
        <v>0</v>
      </c>
      <c r="O142" s="18"/>
      <c r="P142" s="19">
        <v>0</v>
      </c>
      <c r="Q142" s="29">
        <f t="shared" si="8"/>
        <v>0</v>
      </c>
      <c r="R142" s="11"/>
    </row>
    <row r="143" spans="1:18" x14ac:dyDescent="0.2">
      <c r="A143" s="18">
        <f>+'SERVICIO FAENA'!E141</f>
        <v>0</v>
      </c>
      <c r="B143" s="20">
        <f>+'SERVICIO FAENA'!A141</f>
        <v>0</v>
      </c>
      <c r="C143" s="49">
        <f>+'SERVICIO FAENA'!C141</f>
        <v>0</v>
      </c>
      <c r="D143" s="110"/>
      <c r="E143" s="110"/>
      <c r="F143" s="49"/>
      <c r="G143" s="49"/>
      <c r="H143" s="49">
        <f t="shared" si="6"/>
        <v>0</v>
      </c>
      <c r="I143" s="16"/>
      <c r="J143" s="16">
        <v>0</v>
      </c>
      <c r="K143" s="16">
        <v>0</v>
      </c>
      <c r="L143" s="11"/>
      <c r="M143" s="11"/>
      <c r="N143" s="16">
        <f t="shared" si="7"/>
        <v>0</v>
      </c>
      <c r="O143" s="18"/>
      <c r="P143" s="19">
        <v>0</v>
      </c>
      <c r="Q143" s="29">
        <f t="shared" si="8"/>
        <v>0</v>
      </c>
      <c r="R143" s="11"/>
    </row>
    <row r="144" spans="1:18" ht="12.75" customHeight="1" x14ac:dyDescent="0.2">
      <c r="A144" s="18">
        <f>+'SERVICIO FAENA'!E142</f>
        <v>0</v>
      </c>
      <c r="B144" s="20">
        <f>+'SERVICIO FAENA'!A142</f>
        <v>0</v>
      </c>
      <c r="C144" s="49">
        <f>+'SERVICIO FAENA'!C142</f>
        <v>0</v>
      </c>
      <c r="D144" s="110"/>
      <c r="E144" s="110"/>
      <c r="F144" s="49"/>
      <c r="G144" s="49"/>
      <c r="H144" s="49">
        <f t="shared" si="6"/>
        <v>0</v>
      </c>
      <c r="I144" s="16"/>
      <c r="J144" s="16">
        <v>0</v>
      </c>
      <c r="K144" s="16">
        <v>0</v>
      </c>
      <c r="L144" s="11"/>
      <c r="M144" s="11"/>
      <c r="N144" s="16">
        <f t="shared" si="7"/>
        <v>0</v>
      </c>
      <c r="O144" s="18"/>
      <c r="P144" s="19">
        <v>0</v>
      </c>
      <c r="Q144" s="29">
        <f t="shared" si="8"/>
        <v>0</v>
      </c>
      <c r="R144" s="11"/>
    </row>
    <row r="145" spans="1:18" x14ac:dyDescent="0.2">
      <c r="A145" s="18">
        <f>+'SERVICIO FAENA'!E143</f>
        <v>0</v>
      </c>
      <c r="B145" s="20">
        <f>+'SERVICIO FAENA'!A143</f>
        <v>0</v>
      </c>
      <c r="C145" s="49">
        <f>+'SERVICIO FAENA'!C143</f>
        <v>0</v>
      </c>
      <c r="D145" s="110"/>
      <c r="E145" s="110"/>
      <c r="F145" s="49"/>
      <c r="G145" s="49"/>
      <c r="H145" s="49">
        <f t="shared" ref="H145:H208" si="9">+D145+E145</f>
        <v>0</v>
      </c>
      <c r="I145" s="16"/>
      <c r="J145" s="16">
        <v>0</v>
      </c>
      <c r="K145" s="16">
        <v>0</v>
      </c>
      <c r="L145" s="11"/>
      <c r="M145" s="11"/>
      <c r="N145" s="16">
        <f t="shared" si="7"/>
        <v>0</v>
      </c>
      <c r="O145" s="18"/>
      <c r="P145" s="19">
        <v>0</v>
      </c>
      <c r="Q145" s="29">
        <f t="shared" si="8"/>
        <v>0</v>
      </c>
      <c r="R145" s="11"/>
    </row>
    <row r="146" spans="1:18" ht="12.75" customHeight="1" x14ac:dyDescent="0.2">
      <c r="A146" s="18">
        <f>+'SERVICIO FAENA'!E144</f>
        <v>0</v>
      </c>
      <c r="B146" s="20">
        <f>+'SERVICIO FAENA'!A144</f>
        <v>0</v>
      </c>
      <c r="C146" s="49">
        <f>+'SERVICIO FAENA'!C144</f>
        <v>0</v>
      </c>
      <c r="D146" s="110"/>
      <c r="E146" s="110"/>
      <c r="F146" s="49"/>
      <c r="G146" s="49"/>
      <c r="H146" s="49">
        <f t="shared" si="9"/>
        <v>0</v>
      </c>
      <c r="I146" s="16"/>
      <c r="J146" s="16">
        <v>0</v>
      </c>
      <c r="K146" s="16">
        <v>0</v>
      </c>
      <c r="L146" s="11"/>
      <c r="M146" s="11"/>
      <c r="N146" s="16">
        <f t="shared" si="7"/>
        <v>0</v>
      </c>
      <c r="O146" s="18"/>
      <c r="P146" s="19">
        <v>0</v>
      </c>
      <c r="Q146" s="29">
        <f t="shared" si="8"/>
        <v>0</v>
      </c>
      <c r="R146" s="11"/>
    </row>
    <row r="147" spans="1:18" x14ac:dyDescent="0.2">
      <c r="A147" s="18">
        <f>+'SERVICIO FAENA'!E145</f>
        <v>0</v>
      </c>
      <c r="B147" s="20">
        <f>+'SERVICIO FAENA'!A145</f>
        <v>0</v>
      </c>
      <c r="C147" s="49">
        <f>+'SERVICIO FAENA'!C145</f>
        <v>0</v>
      </c>
      <c r="D147" s="110"/>
      <c r="E147" s="110"/>
      <c r="F147" s="49"/>
      <c r="G147" s="49"/>
      <c r="H147" s="49">
        <f t="shared" si="9"/>
        <v>0</v>
      </c>
      <c r="I147" s="16"/>
      <c r="J147" s="16">
        <v>0</v>
      </c>
      <c r="K147" s="16">
        <v>0</v>
      </c>
      <c r="L147" s="11"/>
      <c r="M147" s="11"/>
      <c r="N147" s="16">
        <f t="shared" si="7"/>
        <v>0</v>
      </c>
      <c r="O147" s="18"/>
      <c r="P147" s="19">
        <v>0</v>
      </c>
      <c r="Q147" s="29">
        <f t="shared" si="8"/>
        <v>0</v>
      </c>
      <c r="R147" s="11"/>
    </row>
    <row r="148" spans="1:18" ht="12.75" customHeight="1" x14ac:dyDescent="0.2">
      <c r="A148" s="18">
        <f>+'SERVICIO FAENA'!E146</f>
        <v>0</v>
      </c>
      <c r="B148" s="20">
        <f>+'SERVICIO FAENA'!A146</f>
        <v>0</v>
      </c>
      <c r="C148" s="49">
        <f>+'SERVICIO FAENA'!C146</f>
        <v>0</v>
      </c>
      <c r="D148" s="110"/>
      <c r="E148" s="110"/>
      <c r="F148" s="49"/>
      <c r="G148" s="49"/>
      <c r="H148" s="49">
        <f t="shared" si="9"/>
        <v>0</v>
      </c>
      <c r="I148" s="16"/>
      <c r="J148" s="16">
        <v>0</v>
      </c>
      <c r="K148" s="16">
        <v>0</v>
      </c>
      <c r="L148" s="11"/>
      <c r="M148" s="11"/>
      <c r="N148" s="16">
        <f t="shared" si="7"/>
        <v>0</v>
      </c>
      <c r="O148" s="18"/>
      <c r="P148" s="19">
        <v>0</v>
      </c>
      <c r="Q148" s="29">
        <f t="shared" si="8"/>
        <v>0</v>
      </c>
      <c r="R148" s="11"/>
    </row>
    <row r="149" spans="1:18" x14ac:dyDescent="0.2">
      <c r="A149" s="18">
        <f>+'SERVICIO FAENA'!E147</f>
        <v>0</v>
      </c>
      <c r="B149" s="20">
        <f>+'SERVICIO FAENA'!A147</f>
        <v>0</v>
      </c>
      <c r="C149" s="49">
        <f>+'SERVICIO FAENA'!C147</f>
        <v>0</v>
      </c>
      <c r="D149" s="110"/>
      <c r="E149" s="110"/>
      <c r="F149" s="49"/>
      <c r="G149" s="49"/>
      <c r="H149" s="49">
        <f t="shared" si="9"/>
        <v>0</v>
      </c>
      <c r="I149" s="16"/>
      <c r="J149" s="16">
        <v>0</v>
      </c>
      <c r="K149" s="16">
        <v>0</v>
      </c>
      <c r="L149" s="11"/>
      <c r="M149" s="11"/>
      <c r="N149" s="16">
        <f t="shared" si="7"/>
        <v>0</v>
      </c>
      <c r="O149" s="18"/>
      <c r="P149" s="19">
        <v>0</v>
      </c>
      <c r="Q149" s="29">
        <f t="shared" si="8"/>
        <v>0</v>
      </c>
      <c r="R149" s="11"/>
    </row>
    <row r="150" spans="1:18" ht="12.75" customHeight="1" x14ac:dyDescent="0.2">
      <c r="A150" s="18">
        <f>+'SERVICIO FAENA'!E148</f>
        <v>0</v>
      </c>
      <c r="B150" s="20">
        <f>+'SERVICIO FAENA'!A148</f>
        <v>0</v>
      </c>
      <c r="C150" s="49">
        <f>+'SERVICIO FAENA'!C148</f>
        <v>0</v>
      </c>
      <c r="D150" s="110"/>
      <c r="E150" s="110"/>
      <c r="F150" s="49"/>
      <c r="G150" s="49"/>
      <c r="H150" s="49">
        <f t="shared" si="9"/>
        <v>0</v>
      </c>
      <c r="I150" s="16"/>
      <c r="J150" s="16">
        <v>0</v>
      </c>
      <c r="K150" s="16">
        <v>0</v>
      </c>
      <c r="L150" s="11"/>
      <c r="M150" s="11"/>
      <c r="N150" s="16">
        <f t="shared" si="7"/>
        <v>0</v>
      </c>
      <c r="O150" s="18"/>
      <c r="P150" s="19">
        <v>0</v>
      </c>
      <c r="Q150" s="29">
        <f t="shared" si="8"/>
        <v>0</v>
      </c>
      <c r="R150" s="11"/>
    </row>
    <row r="151" spans="1:18" x14ac:dyDescent="0.2">
      <c r="A151" s="18">
        <f>+'SERVICIO FAENA'!E149</f>
        <v>0</v>
      </c>
      <c r="B151" s="20">
        <f>+'SERVICIO FAENA'!A149</f>
        <v>0</v>
      </c>
      <c r="C151" s="49">
        <f>+'SERVICIO FAENA'!C149</f>
        <v>0</v>
      </c>
      <c r="D151" s="110"/>
      <c r="E151" s="110"/>
      <c r="F151" s="49"/>
      <c r="G151" s="49"/>
      <c r="H151" s="49">
        <f t="shared" si="9"/>
        <v>0</v>
      </c>
      <c r="I151" s="16"/>
      <c r="J151" s="16">
        <v>0</v>
      </c>
      <c r="K151" s="16">
        <v>0</v>
      </c>
      <c r="L151" s="11"/>
      <c r="M151" s="11"/>
      <c r="N151" s="16">
        <f t="shared" si="7"/>
        <v>0</v>
      </c>
      <c r="O151" s="18"/>
      <c r="P151" s="19">
        <v>0</v>
      </c>
      <c r="Q151" s="29">
        <f t="shared" si="8"/>
        <v>0</v>
      </c>
      <c r="R151" s="11"/>
    </row>
    <row r="152" spans="1:18" ht="12.75" customHeight="1" x14ac:dyDescent="0.2">
      <c r="A152" s="18">
        <f>+'SERVICIO FAENA'!E150</f>
        <v>0</v>
      </c>
      <c r="B152" s="20">
        <f>+'SERVICIO FAENA'!A150</f>
        <v>0</v>
      </c>
      <c r="C152" s="49">
        <f>+'SERVICIO FAENA'!C150</f>
        <v>0</v>
      </c>
      <c r="D152" s="110"/>
      <c r="E152" s="110"/>
      <c r="F152" s="49"/>
      <c r="G152" s="49"/>
      <c r="H152" s="49">
        <f t="shared" si="9"/>
        <v>0</v>
      </c>
      <c r="I152" s="16"/>
      <c r="J152" s="16">
        <v>0</v>
      </c>
      <c r="K152" s="16">
        <v>0</v>
      </c>
      <c r="L152" s="11"/>
      <c r="M152" s="11"/>
      <c r="N152" s="16">
        <f t="shared" si="7"/>
        <v>0</v>
      </c>
      <c r="O152" s="18"/>
      <c r="P152" s="19">
        <v>0</v>
      </c>
      <c r="Q152" s="29">
        <f t="shared" si="8"/>
        <v>0</v>
      </c>
      <c r="R152" s="11"/>
    </row>
    <row r="153" spans="1:18" x14ac:dyDescent="0.2">
      <c r="A153" s="18">
        <f>+'SERVICIO FAENA'!E151</f>
        <v>0</v>
      </c>
      <c r="B153" s="20">
        <f>+'SERVICIO FAENA'!A151</f>
        <v>0</v>
      </c>
      <c r="C153" s="49">
        <f>+'SERVICIO FAENA'!C151</f>
        <v>0</v>
      </c>
      <c r="D153" s="110"/>
      <c r="E153" s="110"/>
      <c r="F153" s="49"/>
      <c r="G153" s="49"/>
      <c r="H153" s="49">
        <f t="shared" si="9"/>
        <v>0</v>
      </c>
      <c r="I153" s="16"/>
      <c r="J153" s="16">
        <v>0</v>
      </c>
      <c r="K153" s="16">
        <v>0</v>
      </c>
      <c r="L153" s="11"/>
      <c r="M153" s="11"/>
      <c r="N153" s="16">
        <f t="shared" si="7"/>
        <v>0</v>
      </c>
      <c r="O153" s="18"/>
      <c r="P153" s="19">
        <v>0</v>
      </c>
      <c r="Q153" s="29">
        <f t="shared" si="8"/>
        <v>0</v>
      </c>
      <c r="R153" s="11"/>
    </row>
    <row r="154" spans="1:18" ht="12.75" customHeight="1" x14ac:dyDescent="0.2">
      <c r="A154" s="18">
        <f>+'SERVICIO FAENA'!E152</f>
        <v>0</v>
      </c>
      <c r="B154" s="20">
        <f>+'SERVICIO FAENA'!A152</f>
        <v>0</v>
      </c>
      <c r="C154" s="49">
        <f>+'SERVICIO FAENA'!C152</f>
        <v>0</v>
      </c>
      <c r="D154" s="110"/>
      <c r="E154" s="110"/>
      <c r="F154" s="49"/>
      <c r="G154" s="49"/>
      <c r="H154" s="49">
        <f t="shared" si="9"/>
        <v>0</v>
      </c>
      <c r="I154" s="16"/>
      <c r="J154" s="16">
        <v>0</v>
      </c>
      <c r="K154" s="16">
        <v>0</v>
      </c>
      <c r="L154" s="11"/>
      <c r="M154" s="11"/>
      <c r="N154" s="16">
        <f t="shared" si="7"/>
        <v>0</v>
      </c>
      <c r="O154" s="18"/>
      <c r="P154" s="19">
        <v>0</v>
      </c>
      <c r="Q154" s="29">
        <f t="shared" si="8"/>
        <v>0</v>
      </c>
      <c r="R154" s="11"/>
    </row>
    <row r="155" spans="1:18" x14ac:dyDescent="0.2">
      <c r="A155" s="18">
        <f>+'SERVICIO FAENA'!E153</f>
        <v>0</v>
      </c>
      <c r="B155" s="20">
        <f>+'SERVICIO FAENA'!A153</f>
        <v>0</v>
      </c>
      <c r="C155" s="49">
        <f>+'SERVICIO FAENA'!C153</f>
        <v>0</v>
      </c>
      <c r="D155" s="110"/>
      <c r="E155" s="110"/>
      <c r="F155" s="49"/>
      <c r="G155" s="49"/>
      <c r="H155" s="49">
        <f t="shared" si="9"/>
        <v>0</v>
      </c>
      <c r="I155" s="16"/>
      <c r="J155" s="16">
        <v>0</v>
      </c>
      <c r="K155" s="16">
        <v>0</v>
      </c>
      <c r="L155" s="11"/>
      <c r="M155" s="11"/>
      <c r="N155" s="16">
        <f t="shared" si="7"/>
        <v>0</v>
      </c>
      <c r="O155" s="18"/>
      <c r="P155" s="19">
        <v>0</v>
      </c>
      <c r="Q155" s="29">
        <f t="shared" si="8"/>
        <v>0</v>
      </c>
      <c r="R155" s="11"/>
    </row>
    <row r="156" spans="1:18" ht="12.75" customHeight="1" x14ac:dyDescent="0.2">
      <c r="A156" s="18">
        <f>+'SERVICIO FAENA'!E154</f>
        <v>0</v>
      </c>
      <c r="B156" s="20">
        <f>+'SERVICIO FAENA'!A154</f>
        <v>0</v>
      </c>
      <c r="C156" s="49">
        <f>+'SERVICIO FAENA'!C154</f>
        <v>0</v>
      </c>
      <c r="D156" s="110"/>
      <c r="E156" s="110"/>
      <c r="F156" s="49"/>
      <c r="G156" s="49"/>
      <c r="H156" s="49">
        <f t="shared" si="9"/>
        <v>0</v>
      </c>
      <c r="I156" s="16"/>
      <c r="J156" s="16">
        <v>0</v>
      </c>
      <c r="K156" s="16">
        <v>0</v>
      </c>
      <c r="L156" s="11"/>
      <c r="M156" s="11"/>
      <c r="N156" s="16">
        <f t="shared" si="7"/>
        <v>0</v>
      </c>
      <c r="O156" s="18"/>
      <c r="P156" s="19">
        <v>0</v>
      </c>
      <c r="Q156" s="29">
        <f t="shared" si="8"/>
        <v>0</v>
      </c>
      <c r="R156" s="11"/>
    </row>
    <row r="157" spans="1:18" x14ac:dyDescent="0.2">
      <c r="A157" s="18">
        <f>+'SERVICIO FAENA'!E155</f>
        <v>0</v>
      </c>
      <c r="B157" s="20">
        <f>+'SERVICIO FAENA'!A155</f>
        <v>0</v>
      </c>
      <c r="C157" s="49">
        <f>+'SERVICIO FAENA'!C155</f>
        <v>0</v>
      </c>
      <c r="D157" s="110"/>
      <c r="E157" s="110"/>
      <c r="F157" s="49"/>
      <c r="G157" s="49"/>
      <c r="H157" s="49">
        <f t="shared" si="9"/>
        <v>0</v>
      </c>
      <c r="I157" s="16"/>
      <c r="J157" s="16">
        <v>0</v>
      </c>
      <c r="K157" s="16">
        <v>0</v>
      </c>
      <c r="L157" s="11"/>
      <c r="M157" s="11"/>
      <c r="N157" s="16">
        <f t="shared" si="7"/>
        <v>0</v>
      </c>
      <c r="O157" s="18"/>
      <c r="P157" s="19">
        <v>0</v>
      </c>
      <c r="Q157" s="29">
        <f t="shared" si="8"/>
        <v>0</v>
      </c>
      <c r="R157" s="11"/>
    </row>
    <row r="158" spans="1:18" ht="12.75" customHeight="1" x14ac:dyDescent="0.2">
      <c r="A158" s="18">
        <f>+'SERVICIO FAENA'!E156</f>
        <v>0</v>
      </c>
      <c r="B158" s="20">
        <f>+'SERVICIO FAENA'!A156</f>
        <v>0</v>
      </c>
      <c r="C158" s="49">
        <f>+'SERVICIO FAENA'!C156</f>
        <v>0</v>
      </c>
      <c r="D158" s="110"/>
      <c r="E158" s="110"/>
      <c r="F158" s="49"/>
      <c r="G158" s="49"/>
      <c r="H158" s="49">
        <f t="shared" si="9"/>
        <v>0</v>
      </c>
      <c r="I158" s="16"/>
      <c r="J158" s="16">
        <v>0</v>
      </c>
      <c r="K158" s="16">
        <v>0</v>
      </c>
      <c r="L158" s="11"/>
      <c r="M158" s="11"/>
      <c r="N158" s="16">
        <f t="shared" si="7"/>
        <v>0</v>
      </c>
      <c r="O158" s="18"/>
      <c r="P158" s="19">
        <v>0</v>
      </c>
      <c r="Q158" s="29">
        <f t="shared" si="8"/>
        <v>0</v>
      </c>
      <c r="R158" s="11"/>
    </row>
    <row r="159" spans="1:18" x14ac:dyDescent="0.2">
      <c r="A159" s="18">
        <f>+'SERVICIO FAENA'!E157</f>
        <v>0</v>
      </c>
      <c r="B159" s="20">
        <f>+'SERVICIO FAENA'!A157</f>
        <v>0</v>
      </c>
      <c r="C159" s="49">
        <f>+'SERVICIO FAENA'!C157</f>
        <v>0</v>
      </c>
      <c r="D159" s="110"/>
      <c r="E159" s="110"/>
      <c r="F159" s="49"/>
      <c r="G159" s="49"/>
      <c r="H159" s="49">
        <f t="shared" si="9"/>
        <v>0</v>
      </c>
      <c r="I159" s="16"/>
      <c r="J159" s="16">
        <v>0</v>
      </c>
      <c r="K159" s="16">
        <v>0</v>
      </c>
      <c r="L159" s="11"/>
      <c r="M159" s="11"/>
      <c r="N159" s="16">
        <f t="shared" si="7"/>
        <v>0</v>
      </c>
      <c r="O159" s="18"/>
      <c r="P159" s="19">
        <v>0</v>
      </c>
      <c r="Q159" s="29">
        <f t="shared" si="8"/>
        <v>0</v>
      </c>
      <c r="R159" s="11"/>
    </row>
    <row r="160" spans="1:18" ht="12.75" customHeight="1" x14ac:dyDescent="0.2">
      <c r="A160" s="18">
        <f>+'SERVICIO FAENA'!E158</f>
        <v>0</v>
      </c>
      <c r="B160" s="20">
        <f>+'SERVICIO FAENA'!A158</f>
        <v>0</v>
      </c>
      <c r="C160" s="49">
        <f>+'SERVICIO FAENA'!C158</f>
        <v>0</v>
      </c>
      <c r="D160" s="110"/>
      <c r="E160" s="110"/>
      <c r="F160" s="49"/>
      <c r="G160" s="49"/>
      <c r="H160" s="49">
        <f t="shared" si="9"/>
        <v>0</v>
      </c>
      <c r="I160" s="16"/>
      <c r="J160" s="16">
        <v>0</v>
      </c>
      <c r="K160" s="16">
        <v>0</v>
      </c>
      <c r="L160" s="11"/>
      <c r="M160" s="11"/>
      <c r="N160" s="16">
        <f t="shared" si="7"/>
        <v>0</v>
      </c>
      <c r="O160" s="18"/>
      <c r="P160" s="19">
        <v>0</v>
      </c>
      <c r="Q160" s="29">
        <f t="shared" si="8"/>
        <v>0</v>
      </c>
      <c r="R160" s="11"/>
    </row>
    <row r="161" spans="1:18" x14ac:dyDescent="0.2">
      <c r="A161" s="18">
        <f>+'SERVICIO FAENA'!E159</f>
        <v>0</v>
      </c>
      <c r="B161" s="20">
        <f>+'SERVICIO FAENA'!A159</f>
        <v>0</v>
      </c>
      <c r="C161" s="49">
        <f>+'SERVICIO FAENA'!C159</f>
        <v>0</v>
      </c>
      <c r="D161" s="110"/>
      <c r="E161" s="110"/>
      <c r="F161" s="49"/>
      <c r="G161" s="49"/>
      <c r="H161" s="49">
        <f t="shared" si="9"/>
        <v>0</v>
      </c>
      <c r="I161" s="16"/>
      <c r="J161" s="16">
        <v>0</v>
      </c>
      <c r="K161" s="16">
        <v>0</v>
      </c>
      <c r="L161" s="11"/>
      <c r="M161" s="11"/>
      <c r="N161" s="16">
        <f t="shared" si="7"/>
        <v>0</v>
      </c>
      <c r="O161" s="18"/>
      <c r="P161" s="19">
        <v>0</v>
      </c>
      <c r="Q161" s="29">
        <f t="shared" si="8"/>
        <v>0</v>
      </c>
      <c r="R161" s="11"/>
    </row>
    <row r="162" spans="1:18" ht="12.75" customHeight="1" x14ac:dyDescent="0.2">
      <c r="A162" s="18">
        <f>+'SERVICIO FAENA'!E160</f>
        <v>0</v>
      </c>
      <c r="B162" s="20">
        <f>+'SERVICIO FAENA'!A160</f>
        <v>0</v>
      </c>
      <c r="C162" s="49">
        <f>+'SERVICIO FAENA'!C160</f>
        <v>0</v>
      </c>
      <c r="D162" s="110"/>
      <c r="E162" s="110"/>
      <c r="F162" s="49"/>
      <c r="G162" s="49"/>
      <c r="H162" s="49">
        <f t="shared" si="9"/>
        <v>0</v>
      </c>
      <c r="I162" s="16"/>
      <c r="J162" s="16">
        <v>0</v>
      </c>
      <c r="K162" s="16">
        <v>0</v>
      </c>
      <c r="L162" s="11"/>
      <c r="M162" s="11"/>
      <c r="N162" s="16">
        <f t="shared" si="7"/>
        <v>0</v>
      </c>
      <c r="O162" s="18"/>
      <c r="P162" s="19">
        <v>0</v>
      </c>
      <c r="Q162" s="29">
        <f t="shared" si="8"/>
        <v>0</v>
      </c>
      <c r="R162" s="11"/>
    </row>
    <row r="163" spans="1:18" x14ac:dyDescent="0.2">
      <c r="A163" s="18">
        <f>+'SERVICIO FAENA'!E161</f>
        <v>0</v>
      </c>
      <c r="B163" s="20">
        <f>+'SERVICIO FAENA'!A161</f>
        <v>0</v>
      </c>
      <c r="C163" s="49">
        <f>+'SERVICIO FAENA'!C161</f>
        <v>0</v>
      </c>
      <c r="D163" s="110"/>
      <c r="E163" s="110"/>
      <c r="F163" s="49"/>
      <c r="G163" s="49"/>
      <c r="H163" s="49">
        <f t="shared" si="9"/>
        <v>0</v>
      </c>
      <c r="I163" s="16"/>
      <c r="J163" s="16">
        <v>0</v>
      </c>
      <c r="K163" s="16">
        <v>0</v>
      </c>
      <c r="L163" s="11"/>
      <c r="M163" s="11"/>
      <c r="N163" s="16">
        <f t="shared" si="7"/>
        <v>0</v>
      </c>
      <c r="O163" s="18"/>
      <c r="P163" s="19">
        <v>0</v>
      </c>
      <c r="Q163" s="29">
        <f t="shared" si="8"/>
        <v>0</v>
      </c>
      <c r="R163" s="11"/>
    </row>
    <row r="164" spans="1:18" ht="12.75" customHeight="1" x14ac:dyDescent="0.2">
      <c r="A164" s="18">
        <f>+'SERVICIO FAENA'!E162</f>
        <v>0</v>
      </c>
      <c r="B164" s="20">
        <f>+'SERVICIO FAENA'!A162</f>
        <v>0</v>
      </c>
      <c r="C164" s="49">
        <f>+'SERVICIO FAENA'!C162</f>
        <v>0</v>
      </c>
      <c r="D164" s="110"/>
      <c r="E164" s="110"/>
      <c r="F164" s="49"/>
      <c r="G164" s="49"/>
      <c r="H164" s="49">
        <f t="shared" si="9"/>
        <v>0</v>
      </c>
      <c r="I164" s="16"/>
      <c r="J164" s="16">
        <v>0</v>
      </c>
      <c r="K164" s="16">
        <v>0</v>
      </c>
      <c r="L164" s="11"/>
      <c r="M164" s="11"/>
      <c r="N164" s="16">
        <f t="shared" si="7"/>
        <v>0</v>
      </c>
      <c r="O164" s="18"/>
      <c r="P164" s="19">
        <v>0</v>
      </c>
      <c r="Q164" s="29">
        <f t="shared" si="8"/>
        <v>0</v>
      </c>
      <c r="R164" s="11"/>
    </row>
    <row r="165" spans="1:18" x14ac:dyDescent="0.2">
      <c r="A165" s="18">
        <f>+'SERVICIO FAENA'!E163</f>
        <v>0</v>
      </c>
      <c r="B165" s="20">
        <f>+'SERVICIO FAENA'!A163</f>
        <v>0</v>
      </c>
      <c r="C165" s="49">
        <f>+'SERVICIO FAENA'!C163</f>
        <v>0</v>
      </c>
      <c r="D165" s="110"/>
      <c r="E165" s="110"/>
      <c r="F165" s="49"/>
      <c r="G165" s="49"/>
      <c r="H165" s="49">
        <f t="shared" si="9"/>
        <v>0</v>
      </c>
      <c r="I165" s="16"/>
      <c r="J165" s="16">
        <v>0</v>
      </c>
      <c r="K165" s="16">
        <v>0</v>
      </c>
      <c r="L165" s="11"/>
      <c r="M165" s="11"/>
      <c r="N165" s="16">
        <f t="shared" si="7"/>
        <v>0</v>
      </c>
      <c r="O165" s="18"/>
      <c r="P165" s="19">
        <v>0</v>
      </c>
      <c r="Q165" s="29">
        <f t="shared" si="8"/>
        <v>0</v>
      </c>
      <c r="R165" s="11"/>
    </row>
    <row r="166" spans="1:18" ht="12.75" customHeight="1" x14ac:dyDescent="0.2">
      <c r="A166" s="18">
        <f>+'SERVICIO FAENA'!E164</f>
        <v>0</v>
      </c>
      <c r="B166" s="20">
        <f>+'SERVICIO FAENA'!A164</f>
        <v>0</v>
      </c>
      <c r="C166" s="49">
        <f>+'SERVICIO FAENA'!C164</f>
        <v>0</v>
      </c>
      <c r="D166" s="110"/>
      <c r="E166" s="110"/>
      <c r="F166" s="49"/>
      <c r="G166" s="49"/>
      <c r="H166" s="49">
        <f t="shared" si="9"/>
        <v>0</v>
      </c>
      <c r="I166" s="16"/>
      <c r="J166" s="16">
        <v>0</v>
      </c>
      <c r="K166" s="16">
        <v>0</v>
      </c>
      <c r="L166" s="11"/>
      <c r="M166" s="11"/>
      <c r="N166" s="16">
        <f t="shared" si="7"/>
        <v>0</v>
      </c>
      <c r="O166" s="18"/>
      <c r="P166" s="19">
        <v>0</v>
      </c>
      <c r="Q166" s="29">
        <f t="shared" si="8"/>
        <v>0</v>
      </c>
      <c r="R166" s="11"/>
    </row>
    <row r="167" spans="1:18" x14ac:dyDescent="0.2">
      <c r="A167" s="18">
        <f>+'SERVICIO FAENA'!E165</f>
        <v>0</v>
      </c>
      <c r="B167" s="20">
        <f>+'SERVICIO FAENA'!A165</f>
        <v>0</v>
      </c>
      <c r="C167" s="49">
        <f>+'SERVICIO FAENA'!C165</f>
        <v>0</v>
      </c>
      <c r="D167" s="110"/>
      <c r="E167" s="110"/>
      <c r="F167" s="49"/>
      <c r="G167" s="49"/>
      <c r="H167" s="49">
        <f t="shared" si="9"/>
        <v>0</v>
      </c>
      <c r="I167" s="16"/>
      <c r="J167" s="16">
        <v>0</v>
      </c>
      <c r="K167" s="16">
        <v>0</v>
      </c>
      <c r="L167" s="11"/>
      <c r="M167" s="11"/>
      <c r="N167" s="16">
        <f t="shared" si="7"/>
        <v>0</v>
      </c>
      <c r="O167" s="18"/>
      <c r="P167" s="19">
        <v>0</v>
      </c>
      <c r="Q167" s="29">
        <f t="shared" si="8"/>
        <v>0</v>
      </c>
      <c r="R167" s="11"/>
    </row>
    <row r="168" spans="1:18" ht="12.75" customHeight="1" x14ac:dyDescent="0.2">
      <c r="A168" s="18">
        <f>+'SERVICIO FAENA'!E166</f>
        <v>0</v>
      </c>
      <c r="B168" s="20">
        <f>+'SERVICIO FAENA'!A166</f>
        <v>0</v>
      </c>
      <c r="C168" s="49">
        <f>+'SERVICIO FAENA'!C166</f>
        <v>0</v>
      </c>
      <c r="D168" s="110"/>
      <c r="E168" s="110"/>
      <c r="F168" s="49"/>
      <c r="G168" s="49"/>
      <c r="H168" s="49">
        <f t="shared" si="9"/>
        <v>0</v>
      </c>
      <c r="I168" s="16"/>
      <c r="J168" s="16">
        <v>0</v>
      </c>
      <c r="K168" s="16">
        <v>0</v>
      </c>
      <c r="L168" s="11"/>
      <c r="M168" s="11"/>
      <c r="N168" s="16">
        <f t="shared" si="7"/>
        <v>0</v>
      </c>
      <c r="O168" s="18"/>
      <c r="P168" s="19">
        <v>0</v>
      </c>
      <c r="Q168" s="29">
        <f t="shared" si="8"/>
        <v>0</v>
      </c>
      <c r="R168" s="11"/>
    </row>
    <row r="169" spans="1:18" x14ac:dyDescent="0.2">
      <c r="A169" s="18">
        <f>+'SERVICIO FAENA'!E167</f>
        <v>0</v>
      </c>
      <c r="B169" s="20">
        <f>+'SERVICIO FAENA'!A167</f>
        <v>0</v>
      </c>
      <c r="C169" s="49">
        <f>+'SERVICIO FAENA'!C167</f>
        <v>0</v>
      </c>
      <c r="D169" s="110"/>
      <c r="E169" s="110"/>
      <c r="F169" s="49"/>
      <c r="G169" s="49"/>
      <c r="H169" s="49">
        <f t="shared" si="9"/>
        <v>0</v>
      </c>
      <c r="I169" s="16"/>
      <c r="J169" s="16">
        <v>0</v>
      </c>
      <c r="K169" s="16">
        <v>0</v>
      </c>
      <c r="L169" s="11"/>
      <c r="M169" s="11"/>
      <c r="N169" s="16">
        <f t="shared" si="7"/>
        <v>0</v>
      </c>
      <c r="O169" s="18"/>
      <c r="P169" s="19">
        <v>0</v>
      </c>
      <c r="Q169" s="29">
        <f t="shared" si="8"/>
        <v>0</v>
      </c>
      <c r="R169" s="11"/>
    </row>
    <row r="170" spans="1:18" ht="12.75" customHeight="1" x14ac:dyDescent="0.2">
      <c r="A170" s="18">
        <f>+'SERVICIO FAENA'!E168</f>
        <v>0</v>
      </c>
      <c r="B170" s="20">
        <f>+'SERVICIO FAENA'!A168</f>
        <v>0</v>
      </c>
      <c r="C170" s="49">
        <f>+'SERVICIO FAENA'!C168</f>
        <v>0</v>
      </c>
      <c r="D170" s="110"/>
      <c r="E170" s="110"/>
      <c r="F170" s="49"/>
      <c r="G170" s="49"/>
      <c r="H170" s="49">
        <f t="shared" si="9"/>
        <v>0</v>
      </c>
      <c r="I170" s="16"/>
      <c r="J170" s="16">
        <v>0</v>
      </c>
      <c r="K170" s="16">
        <v>0</v>
      </c>
      <c r="L170" s="11"/>
      <c r="M170" s="11"/>
      <c r="N170" s="16">
        <f t="shared" si="7"/>
        <v>0</v>
      </c>
      <c r="O170" s="18"/>
      <c r="P170" s="19">
        <v>0</v>
      </c>
      <c r="Q170" s="29">
        <f t="shared" si="8"/>
        <v>0</v>
      </c>
      <c r="R170" s="11"/>
    </row>
    <row r="171" spans="1:18" x14ac:dyDescent="0.2">
      <c r="A171" s="18">
        <f>+'SERVICIO FAENA'!E169</f>
        <v>0</v>
      </c>
      <c r="B171" s="20">
        <f>+'SERVICIO FAENA'!A169</f>
        <v>0</v>
      </c>
      <c r="C171" s="49">
        <f>+'SERVICIO FAENA'!C169</f>
        <v>0</v>
      </c>
      <c r="D171" s="110"/>
      <c r="E171" s="110"/>
      <c r="F171" s="49"/>
      <c r="G171" s="49"/>
      <c r="H171" s="49">
        <f t="shared" si="9"/>
        <v>0</v>
      </c>
      <c r="I171" s="16"/>
      <c r="J171" s="16">
        <v>0</v>
      </c>
      <c r="K171" s="16">
        <v>0</v>
      </c>
      <c r="L171" s="11"/>
      <c r="M171" s="11"/>
      <c r="N171" s="16">
        <f t="shared" si="7"/>
        <v>0</v>
      </c>
      <c r="O171" s="18"/>
      <c r="P171" s="19">
        <v>0</v>
      </c>
      <c r="Q171" s="29">
        <f t="shared" si="8"/>
        <v>0</v>
      </c>
      <c r="R171" s="11"/>
    </row>
    <row r="172" spans="1:18" ht="12.75" customHeight="1" x14ac:dyDescent="0.2">
      <c r="A172" s="18">
        <f>+'SERVICIO FAENA'!E170</f>
        <v>0</v>
      </c>
      <c r="B172" s="20">
        <f>+'SERVICIO FAENA'!A170</f>
        <v>0</v>
      </c>
      <c r="C172" s="49">
        <f>+'SERVICIO FAENA'!C170</f>
        <v>0</v>
      </c>
      <c r="D172" s="110"/>
      <c r="E172" s="110"/>
      <c r="F172" s="49"/>
      <c r="G172" s="49"/>
      <c r="H172" s="49">
        <f t="shared" si="9"/>
        <v>0</v>
      </c>
      <c r="I172" s="16"/>
      <c r="J172" s="16">
        <v>0</v>
      </c>
      <c r="K172" s="16">
        <v>0</v>
      </c>
      <c r="L172" s="11"/>
      <c r="M172" s="11"/>
      <c r="N172" s="16">
        <f t="shared" si="7"/>
        <v>0</v>
      </c>
      <c r="O172" s="18"/>
      <c r="P172" s="19">
        <v>0</v>
      </c>
      <c r="Q172" s="29">
        <f t="shared" si="8"/>
        <v>0</v>
      </c>
      <c r="R172" s="11"/>
    </row>
    <row r="173" spans="1:18" x14ac:dyDescent="0.2">
      <c r="A173" s="18">
        <f>+'SERVICIO FAENA'!E171</f>
        <v>0</v>
      </c>
      <c r="B173" s="20">
        <f>+'SERVICIO FAENA'!A171</f>
        <v>0</v>
      </c>
      <c r="C173" s="49">
        <f>+'SERVICIO FAENA'!C171</f>
        <v>0</v>
      </c>
      <c r="D173" s="110"/>
      <c r="E173" s="110"/>
      <c r="F173" s="49"/>
      <c r="G173" s="49"/>
      <c r="H173" s="49">
        <f t="shared" si="9"/>
        <v>0</v>
      </c>
      <c r="I173" s="16"/>
      <c r="J173" s="16">
        <v>0</v>
      </c>
      <c r="K173" s="16">
        <v>0</v>
      </c>
      <c r="L173" s="11"/>
      <c r="M173" s="11"/>
      <c r="N173" s="16">
        <f t="shared" si="7"/>
        <v>0</v>
      </c>
      <c r="O173" s="18"/>
      <c r="P173" s="19">
        <v>0</v>
      </c>
      <c r="Q173" s="29">
        <f t="shared" si="8"/>
        <v>0</v>
      </c>
      <c r="R173" s="11"/>
    </row>
    <row r="174" spans="1:18" ht="12.75" customHeight="1" x14ac:dyDescent="0.2">
      <c r="A174" s="18">
        <f>+'SERVICIO FAENA'!E172</f>
        <v>0</v>
      </c>
      <c r="B174" s="20">
        <f>+'SERVICIO FAENA'!A172</f>
        <v>0</v>
      </c>
      <c r="C174" s="49">
        <f>+'SERVICIO FAENA'!C172</f>
        <v>0</v>
      </c>
      <c r="D174" s="110"/>
      <c r="E174" s="110"/>
      <c r="F174" s="49"/>
      <c r="G174" s="49"/>
      <c r="H174" s="49">
        <f t="shared" si="9"/>
        <v>0</v>
      </c>
      <c r="I174" s="16"/>
      <c r="J174" s="16">
        <v>0</v>
      </c>
      <c r="K174" s="16">
        <v>0</v>
      </c>
      <c r="L174" s="11"/>
      <c r="M174" s="11"/>
      <c r="N174" s="16">
        <f t="shared" si="7"/>
        <v>0</v>
      </c>
      <c r="O174" s="18"/>
      <c r="P174" s="19">
        <v>0</v>
      </c>
      <c r="Q174" s="29">
        <f t="shared" si="8"/>
        <v>0</v>
      </c>
      <c r="R174" s="11"/>
    </row>
    <row r="175" spans="1:18" x14ac:dyDescent="0.2">
      <c r="A175" s="18">
        <f>+'SERVICIO FAENA'!E173</f>
        <v>0</v>
      </c>
      <c r="B175" s="20">
        <f>+'SERVICIO FAENA'!A173</f>
        <v>0</v>
      </c>
      <c r="C175" s="49">
        <f>+'SERVICIO FAENA'!C173</f>
        <v>0</v>
      </c>
      <c r="D175" s="110"/>
      <c r="E175" s="110"/>
      <c r="F175" s="49"/>
      <c r="G175" s="49"/>
      <c r="H175" s="49">
        <f t="shared" si="9"/>
        <v>0</v>
      </c>
      <c r="I175" s="16"/>
      <c r="J175" s="16">
        <v>0</v>
      </c>
      <c r="K175" s="16">
        <v>0</v>
      </c>
      <c r="L175" s="11"/>
      <c r="M175" s="11"/>
      <c r="N175" s="16">
        <f t="shared" si="7"/>
        <v>0</v>
      </c>
      <c r="O175" s="18"/>
      <c r="P175" s="19">
        <v>0</v>
      </c>
      <c r="Q175" s="29">
        <f t="shared" si="8"/>
        <v>0</v>
      </c>
      <c r="R175" s="11"/>
    </row>
    <row r="176" spans="1:18" ht="12.75" customHeight="1" x14ac:dyDescent="0.2">
      <c r="A176" s="18">
        <f>+'SERVICIO FAENA'!E174</f>
        <v>0</v>
      </c>
      <c r="B176" s="20">
        <f>+'SERVICIO FAENA'!A174</f>
        <v>0</v>
      </c>
      <c r="C176" s="49">
        <f>+'SERVICIO FAENA'!C174</f>
        <v>0</v>
      </c>
      <c r="D176" s="110"/>
      <c r="E176" s="110"/>
      <c r="F176" s="49"/>
      <c r="G176" s="49"/>
      <c r="H176" s="49">
        <f t="shared" si="9"/>
        <v>0</v>
      </c>
      <c r="I176" s="16"/>
      <c r="J176" s="16">
        <v>0</v>
      </c>
      <c r="K176" s="16">
        <v>0</v>
      </c>
      <c r="L176" s="11"/>
      <c r="M176" s="11"/>
      <c r="N176" s="16">
        <f t="shared" si="7"/>
        <v>0</v>
      </c>
      <c r="O176" s="18"/>
      <c r="P176" s="19">
        <v>0</v>
      </c>
      <c r="Q176" s="29">
        <f t="shared" si="8"/>
        <v>0</v>
      </c>
      <c r="R176" s="11"/>
    </row>
    <row r="177" spans="1:18" x14ac:dyDescent="0.2">
      <c r="A177" s="18">
        <f>+'SERVICIO FAENA'!E175</f>
        <v>0</v>
      </c>
      <c r="B177" s="20">
        <f>+'SERVICIO FAENA'!A175</f>
        <v>0</v>
      </c>
      <c r="C177" s="49">
        <f>+'SERVICIO FAENA'!C175</f>
        <v>0</v>
      </c>
      <c r="D177" s="110"/>
      <c r="E177" s="110"/>
      <c r="F177" s="49"/>
      <c r="G177" s="49"/>
      <c r="H177" s="49">
        <f t="shared" si="9"/>
        <v>0</v>
      </c>
      <c r="I177" s="16"/>
      <c r="J177" s="16">
        <v>0</v>
      </c>
      <c r="K177" s="16">
        <v>0</v>
      </c>
      <c r="L177" s="11"/>
      <c r="M177" s="11"/>
      <c r="N177" s="16">
        <f t="shared" si="7"/>
        <v>0</v>
      </c>
      <c r="O177" s="18"/>
      <c r="P177" s="19">
        <v>0</v>
      </c>
      <c r="Q177" s="29">
        <f t="shared" si="8"/>
        <v>0</v>
      </c>
      <c r="R177" s="11"/>
    </row>
    <row r="178" spans="1:18" ht="12.75" customHeight="1" x14ac:dyDescent="0.2">
      <c r="A178" s="18">
        <f>+'SERVICIO FAENA'!E176</f>
        <v>0</v>
      </c>
      <c r="B178" s="20">
        <f>+'SERVICIO FAENA'!A176</f>
        <v>0</v>
      </c>
      <c r="C178" s="49">
        <f>+'SERVICIO FAENA'!C176</f>
        <v>0</v>
      </c>
      <c r="D178" s="110"/>
      <c r="E178" s="110"/>
      <c r="F178" s="49"/>
      <c r="G178" s="49"/>
      <c r="H178" s="49">
        <f t="shared" si="9"/>
        <v>0</v>
      </c>
      <c r="I178" s="16"/>
      <c r="J178" s="16">
        <v>0</v>
      </c>
      <c r="K178" s="16">
        <v>0</v>
      </c>
      <c r="L178" s="11"/>
      <c r="M178" s="11"/>
      <c r="N178" s="16">
        <f t="shared" si="7"/>
        <v>0</v>
      </c>
      <c r="O178" s="18"/>
      <c r="P178" s="19">
        <v>0</v>
      </c>
      <c r="Q178" s="29">
        <f t="shared" si="8"/>
        <v>0</v>
      </c>
      <c r="R178" s="11"/>
    </row>
    <row r="179" spans="1:18" x14ac:dyDescent="0.2">
      <c r="A179" s="18">
        <f>+'SERVICIO FAENA'!E177</f>
        <v>0</v>
      </c>
      <c r="B179" s="20">
        <f>+'SERVICIO FAENA'!A177</f>
        <v>0</v>
      </c>
      <c r="C179" s="49">
        <f>+'SERVICIO FAENA'!C177</f>
        <v>0</v>
      </c>
      <c r="D179" s="110"/>
      <c r="E179" s="110"/>
      <c r="F179" s="49"/>
      <c r="G179" s="49"/>
      <c r="H179" s="49">
        <f t="shared" si="9"/>
        <v>0</v>
      </c>
      <c r="I179" s="16"/>
      <c r="J179" s="16">
        <v>0</v>
      </c>
      <c r="K179" s="16">
        <v>0</v>
      </c>
      <c r="L179" s="11"/>
      <c r="M179" s="11"/>
      <c r="N179" s="16">
        <f t="shared" si="7"/>
        <v>0</v>
      </c>
      <c r="O179" s="18"/>
      <c r="P179" s="19">
        <v>0</v>
      </c>
      <c r="Q179" s="29">
        <f t="shared" si="8"/>
        <v>0</v>
      </c>
      <c r="R179" s="11"/>
    </row>
    <row r="180" spans="1:18" ht="12.75" customHeight="1" x14ac:dyDescent="0.2">
      <c r="A180" s="18">
        <f>+'SERVICIO FAENA'!E178</f>
        <v>0</v>
      </c>
      <c r="B180" s="20">
        <f>+'SERVICIO FAENA'!A178</f>
        <v>0</v>
      </c>
      <c r="C180" s="49">
        <f>+'SERVICIO FAENA'!C178</f>
        <v>0</v>
      </c>
      <c r="D180" s="110"/>
      <c r="E180" s="110"/>
      <c r="F180" s="49"/>
      <c r="G180" s="49"/>
      <c r="H180" s="49">
        <f t="shared" si="9"/>
        <v>0</v>
      </c>
      <c r="I180" s="16"/>
      <c r="J180" s="16">
        <v>0</v>
      </c>
      <c r="K180" s="16">
        <v>0</v>
      </c>
      <c r="L180" s="11"/>
      <c r="M180" s="11"/>
      <c r="N180" s="16">
        <f t="shared" si="7"/>
        <v>0</v>
      </c>
      <c r="O180" s="18"/>
      <c r="P180" s="19">
        <v>0</v>
      </c>
      <c r="Q180" s="29">
        <f t="shared" si="8"/>
        <v>0</v>
      </c>
      <c r="R180" s="11"/>
    </row>
    <row r="181" spans="1:18" x14ac:dyDescent="0.2">
      <c r="A181" s="18">
        <f>+'SERVICIO FAENA'!E179</f>
        <v>0</v>
      </c>
      <c r="B181" s="20">
        <f>+'SERVICIO FAENA'!A179</f>
        <v>0</v>
      </c>
      <c r="C181" s="49">
        <f>+'SERVICIO FAENA'!C179</f>
        <v>0</v>
      </c>
      <c r="D181" s="110"/>
      <c r="E181" s="110"/>
      <c r="F181" s="49"/>
      <c r="G181" s="49"/>
      <c r="H181" s="49">
        <f t="shared" si="9"/>
        <v>0</v>
      </c>
      <c r="I181" s="16"/>
      <c r="J181" s="16">
        <v>0</v>
      </c>
      <c r="K181" s="16">
        <v>0</v>
      </c>
      <c r="L181" s="11"/>
      <c r="M181" s="11"/>
      <c r="N181" s="16">
        <f t="shared" si="7"/>
        <v>0</v>
      </c>
      <c r="O181" s="18"/>
      <c r="P181" s="19">
        <v>0</v>
      </c>
      <c r="Q181" s="29">
        <f t="shared" si="8"/>
        <v>0</v>
      </c>
      <c r="R181" s="11"/>
    </row>
    <row r="182" spans="1:18" ht="12.75" customHeight="1" x14ac:dyDescent="0.2">
      <c r="A182" s="18">
        <f>+'SERVICIO FAENA'!E180</f>
        <v>0</v>
      </c>
      <c r="B182" s="20">
        <f>+'SERVICIO FAENA'!A180</f>
        <v>0</v>
      </c>
      <c r="C182" s="49">
        <f>+'SERVICIO FAENA'!C180</f>
        <v>0</v>
      </c>
      <c r="D182" s="110"/>
      <c r="E182" s="110"/>
      <c r="F182" s="49"/>
      <c r="G182" s="49"/>
      <c r="H182" s="49">
        <f t="shared" si="9"/>
        <v>0</v>
      </c>
      <c r="I182" s="16"/>
      <c r="J182" s="16">
        <v>0</v>
      </c>
      <c r="K182" s="16">
        <v>0</v>
      </c>
      <c r="L182" s="11"/>
      <c r="M182" s="11"/>
      <c r="N182" s="16">
        <f t="shared" si="7"/>
        <v>0</v>
      </c>
      <c r="O182" s="18"/>
      <c r="P182" s="19">
        <v>0</v>
      </c>
      <c r="Q182" s="29">
        <f t="shared" si="8"/>
        <v>0</v>
      </c>
      <c r="R182" s="11"/>
    </row>
    <row r="183" spans="1:18" x14ac:dyDescent="0.2">
      <c r="A183" s="18">
        <f>+'SERVICIO FAENA'!E181</f>
        <v>0</v>
      </c>
      <c r="B183" s="20">
        <f>+'SERVICIO FAENA'!A181</f>
        <v>0</v>
      </c>
      <c r="C183" s="49">
        <f>+'SERVICIO FAENA'!C181</f>
        <v>0</v>
      </c>
      <c r="D183" s="110"/>
      <c r="E183" s="110"/>
      <c r="F183" s="49"/>
      <c r="G183" s="49"/>
      <c r="H183" s="49">
        <f t="shared" si="9"/>
        <v>0</v>
      </c>
      <c r="I183" s="16"/>
      <c r="J183" s="16">
        <v>0</v>
      </c>
      <c r="K183" s="16">
        <v>0</v>
      </c>
      <c r="L183" s="11"/>
      <c r="M183" s="11"/>
      <c r="N183" s="16">
        <f t="shared" si="7"/>
        <v>0</v>
      </c>
      <c r="O183" s="18"/>
      <c r="P183" s="19">
        <v>0</v>
      </c>
      <c r="Q183" s="29">
        <f t="shared" si="8"/>
        <v>0</v>
      </c>
      <c r="R183" s="11"/>
    </row>
    <row r="184" spans="1:18" ht="12.75" customHeight="1" x14ac:dyDescent="0.2">
      <c r="A184" s="18">
        <f>+'SERVICIO FAENA'!E182</f>
        <v>0</v>
      </c>
      <c r="B184" s="20">
        <f>+'SERVICIO FAENA'!A182</f>
        <v>0</v>
      </c>
      <c r="C184" s="49">
        <f>+'SERVICIO FAENA'!C182</f>
        <v>0</v>
      </c>
      <c r="D184" s="110"/>
      <c r="E184" s="110"/>
      <c r="F184" s="49"/>
      <c r="G184" s="49"/>
      <c r="H184" s="49">
        <f t="shared" si="9"/>
        <v>0</v>
      </c>
      <c r="I184" s="16"/>
      <c r="J184" s="16">
        <v>0</v>
      </c>
      <c r="K184" s="16">
        <v>0</v>
      </c>
      <c r="L184" s="11"/>
      <c r="M184" s="11"/>
      <c r="N184" s="16">
        <f t="shared" si="7"/>
        <v>0</v>
      </c>
      <c r="O184" s="18"/>
      <c r="P184" s="19">
        <v>0</v>
      </c>
      <c r="Q184" s="29">
        <f t="shared" si="8"/>
        <v>0</v>
      </c>
      <c r="R184" s="11"/>
    </row>
    <row r="185" spans="1:18" x14ac:dyDescent="0.2">
      <c r="A185" s="18">
        <f>+'SERVICIO FAENA'!E183</f>
        <v>0</v>
      </c>
      <c r="B185" s="20">
        <f>+'SERVICIO FAENA'!A183</f>
        <v>0</v>
      </c>
      <c r="C185" s="49">
        <f>+'SERVICIO FAENA'!C183</f>
        <v>0</v>
      </c>
      <c r="D185" s="110"/>
      <c r="E185" s="110"/>
      <c r="F185" s="49"/>
      <c r="G185" s="49"/>
      <c r="H185" s="49">
        <f t="shared" si="9"/>
        <v>0</v>
      </c>
      <c r="I185" s="16"/>
      <c r="J185" s="16">
        <v>0</v>
      </c>
      <c r="K185" s="16">
        <v>0</v>
      </c>
      <c r="L185" s="11"/>
      <c r="M185" s="11"/>
      <c r="N185" s="16">
        <f t="shared" si="7"/>
        <v>0</v>
      </c>
      <c r="O185" s="18"/>
      <c r="P185" s="19">
        <v>0</v>
      </c>
      <c r="Q185" s="29">
        <f t="shared" si="8"/>
        <v>0</v>
      </c>
      <c r="R185" s="11"/>
    </row>
    <row r="186" spans="1:18" ht="12.75" customHeight="1" x14ac:dyDescent="0.2">
      <c r="A186" s="18">
        <f>+'SERVICIO FAENA'!E184</f>
        <v>0</v>
      </c>
      <c r="B186" s="20">
        <f>+'SERVICIO FAENA'!A184</f>
        <v>0</v>
      </c>
      <c r="C186" s="49">
        <f>+'SERVICIO FAENA'!C184</f>
        <v>0</v>
      </c>
      <c r="D186" s="110"/>
      <c r="E186" s="110"/>
      <c r="F186" s="49"/>
      <c r="G186" s="49"/>
      <c r="H186" s="49">
        <f t="shared" si="9"/>
        <v>0</v>
      </c>
      <c r="I186" s="16"/>
      <c r="J186" s="16">
        <v>0</v>
      </c>
      <c r="K186" s="16">
        <v>0</v>
      </c>
      <c r="L186" s="11"/>
      <c r="M186" s="11"/>
      <c r="N186" s="16">
        <f t="shared" si="7"/>
        <v>0</v>
      </c>
      <c r="O186" s="18"/>
      <c r="P186" s="19">
        <v>0</v>
      </c>
      <c r="Q186" s="29">
        <f t="shared" si="8"/>
        <v>0</v>
      </c>
      <c r="R186" s="11"/>
    </row>
    <row r="187" spans="1:18" x14ac:dyDescent="0.2">
      <c r="A187" s="18">
        <f>+'SERVICIO FAENA'!E185</f>
        <v>0</v>
      </c>
      <c r="B187" s="20">
        <f>+'SERVICIO FAENA'!A185</f>
        <v>0</v>
      </c>
      <c r="C187" s="49">
        <f>+'SERVICIO FAENA'!C185</f>
        <v>0</v>
      </c>
      <c r="D187" s="110"/>
      <c r="E187" s="110"/>
      <c r="F187" s="49"/>
      <c r="G187" s="49"/>
      <c r="H187" s="49">
        <f t="shared" si="9"/>
        <v>0</v>
      </c>
      <c r="I187" s="16"/>
      <c r="J187" s="16">
        <v>0</v>
      </c>
      <c r="K187" s="16">
        <v>0</v>
      </c>
      <c r="L187" s="11"/>
      <c r="M187" s="11"/>
      <c r="N187" s="16">
        <f t="shared" si="7"/>
        <v>0</v>
      </c>
      <c r="O187" s="18"/>
      <c r="P187" s="19">
        <v>0</v>
      </c>
      <c r="Q187" s="29">
        <f t="shared" si="8"/>
        <v>0</v>
      </c>
      <c r="R187" s="11"/>
    </row>
    <row r="188" spans="1:18" ht="12.75" customHeight="1" x14ac:dyDescent="0.2">
      <c r="A188" s="18">
        <f>+'SERVICIO FAENA'!E186</f>
        <v>0</v>
      </c>
      <c r="B188" s="20">
        <f>+'SERVICIO FAENA'!A186</f>
        <v>0</v>
      </c>
      <c r="C188" s="49">
        <f>+'SERVICIO FAENA'!C186</f>
        <v>0</v>
      </c>
      <c r="D188" s="110"/>
      <c r="E188" s="110"/>
      <c r="F188" s="49"/>
      <c r="G188" s="49"/>
      <c r="H188" s="49">
        <f t="shared" si="9"/>
        <v>0</v>
      </c>
      <c r="I188" s="16"/>
      <c r="J188" s="16">
        <v>0</v>
      </c>
      <c r="K188" s="16">
        <v>0</v>
      </c>
      <c r="L188" s="11"/>
      <c r="M188" s="11"/>
      <c r="N188" s="16">
        <f t="shared" si="7"/>
        <v>0</v>
      </c>
      <c r="O188" s="18"/>
      <c r="P188" s="19">
        <v>0</v>
      </c>
      <c r="Q188" s="29">
        <f t="shared" si="8"/>
        <v>0</v>
      </c>
      <c r="R188" s="11"/>
    </row>
    <row r="189" spans="1:18" x14ac:dyDescent="0.2">
      <c r="A189" s="18">
        <f>+'SERVICIO FAENA'!E187</f>
        <v>0</v>
      </c>
      <c r="B189" s="20">
        <f>+'SERVICIO FAENA'!A187</f>
        <v>0</v>
      </c>
      <c r="C189" s="49">
        <f>+'SERVICIO FAENA'!C187</f>
        <v>0</v>
      </c>
      <c r="D189" s="110"/>
      <c r="E189" s="110"/>
      <c r="F189" s="49"/>
      <c r="G189" s="49"/>
      <c r="H189" s="49">
        <f t="shared" si="9"/>
        <v>0</v>
      </c>
      <c r="I189" s="16"/>
      <c r="J189" s="16">
        <v>0</v>
      </c>
      <c r="K189" s="16">
        <v>0</v>
      </c>
      <c r="L189" s="11"/>
      <c r="M189" s="11"/>
      <c r="N189" s="16">
        <f t="shared" si="7"/>
        <v>0</v>
      </c>
      <c r="O189" s="18"/>
      <c r="P189" s="19">
        <v>0</v>
      </c>
      <c r="Q189" s="29">
        <f t="shared" si="8"/>
        <v>0</v>
      </c>
      <c r="R189" s="11"/>
    </row>
    <row r="190" spans="1:18" ht="12.75" customHeight="1" x14ac:dyDescent="0.2">
      <c r="A190" s="18">
        <f>+'SERVICIO FAENA'!E188</f>
        <v>0</v>
      </c>
      <c r="B190" s="20">
        <f>+'SERVICIO FAENA'!A188</f>
        <v>0</v>
      </c>
      <c r="C190" s="49">
        <f>+'SERVICIO FAENA'!C188</f>
        <v>0</v>
      </c>
      <c r="D190" s="110"/>
      <c r="E190" s="110"/>
      <c r="F190" s="49"/>
      <c r="G190" s="49"/>
      <c r="H190" s="49">
        <f t="shared" si="9"/>
        <v>0</v>
      </c>
      <c r="I190" s="16"/>
      <c r="J190" s="16">
        <v>0</v>
      </c>
      <c r="K190" s="16">
        <v>0</v>
      </c>
      <c r="L190" s="11"/>
      <c r="M190" s="11"/>
      <c r="N190" s="16">
        <f t="shared" si="7"/>
        <v>0</v>
      </c>
      <c r="O190" s="18"/>
      <c r="P190" s="19">
        <v>0</v>
      </c>
      <c r="Q190" s="29">
        <f t="shared" si="8"/>
        <v>0</v>
      </c>
      <c r="R190" s="11"/>
    </row>
    <row r="191" spans="1:18" x14ac:dyDescent="0.2">
      <c r="A191" s="18">
        <f>+'SERVICIO FAENA'!E189</f>
        <v>0</v>
      </c>
      <c r="B191" s="20">
        <f>+'SERVICIO FAENA'!A189</f>
        <v>0</v>
      </c>
      <c r="C191" s="49">
        <f>+'SERVICIO FAENA'!C189</f>
        <v>0</v>
      </c>
      <c r="D191" s="110"/>
      <c r="E191" s="110"/>
      <c r="F191" s="49"/>
      <c r="G191" s="49"/>
      <c r="H191" s="49">
        <f t="shared" si="9"/>
        <v>0</v>
      </c>
      <c r="I191" s="16"/>
      <c r="J191" s="16">
        <v>0</v>
      </c>
      <c r="K191" s="16">
        <v>0</v>
      </c>
      <c r="L191" s="11"/>
      <c r="M191" s="11"/>
      <c r="N191" s="16">
        <f t="shared" si="7"/>
        <v>0</v>
      </c>
      <c r="O191" s="18"/>
      <c r="P191" s="19">
        <v>0</v>
      </c>
      <c r="Q191" s="29">
        <f t="shared" si="8"/>
        <v>0</v>
      </c>
      <c r="R191" s="11"/>
    </row>
    <row r="192" spans="1:18" ht="12.75" customHeight="1" x14ac:dyDescent="0.2">
      <c r="A192" s="18">
        <f>+'SERVICIO FAENA'!E190</f>
        <v>0</v>
      </c>
      <c r="B192" s="20">
        <f>+'SERVICIO FAENA'!A190</f>
        <v>0</v>
      </c>
      <c r="C192" s="49">
        <f>+'SERVICIO FAENA'!C190</f>
        <v>0</v>
      </c>
      <c r="D192" s="110"/>
      <c r="E192" s="110"/>
      <c r="F192" s="49"/>
      <c r="G192" s="49"/>
      <c r="H192" s="49">
        <f t="shared" si="9"/>
        <v>0</v>
      </c>
      <c r="I192" s="16"/>
      <c r="J192" s="16">
        <v>0</v>
      </c>
      <c r="K192" s="16">
        <v>0</v>
      </c>
      <c r="L192" s="11"/>
      <c r="M192" s="11"/>
      <c r="N192" s="16">
        <f t="shared" si="7"/>
        <v>0</v>
      </c>
      <c r="O192" s="18"/>
      <c r="P192" s="19">
        <v>0</v>
      </c>
      <c r="Q192" s="29">
        <f t="shared" si="8"/>
        <v>0</v>
      </c>
      <c r="R192" s="11"/>
    </row>
    <row r="193" spans="1:18" x14ac:dyDescent="0.2">
      <c r="A193" s="18">
        <f>+'SERVICIO FAENA'!E191</f>
        <v>0</v>
      </c>
      <c r="B193" s="20">
        <f>+'SERVICIO FAENA'!A191</f>
        <v>0</v>
      </c>
      <c r="C193" s="49">
        <f>+'SERVICIO FAENA'!C191</f>
        <v>0</v>
      </c>
      <c r="D193" s="110"/>
      <c r="E193" s="110"/>
      <c r="F193" s="49"/>
      <c r="G193" s="49"/>
      <c r="H193" s="49">
        <f t="shared" si="9"/>
        <v>0</v>
      </c>
      <c r="I193" s="16"/>
      <c r="J193" s="16">
        <v>0</v>
      </c>
      <c r="K193" s="16">
        <v>0</v>
      </c>
      <c r="L193" s="11"/>
      <c r="M193" s="11"/>
      <c r="N193" s="16">
        <f t="shared" si="7"/>
        <v>0</v>
      </c>
      <c r="O193" s="18"/>
      <c r="P193" s="19">
        <v>0</v>
      </c>
      <c r="Q193" s="29">
        <f t="shared" si="8"/>
        <v>0</v>
      </c>
      <c r="R193" s="11"/>
    </row>
    <row r="194" spans="1:18" ht="12.75" customHeight="1" x14ac:dyDescent="0.2">
      <c r="A194" s="18">
        <f>+'SERVICIO FAENA'!E192</f>
        <v>0</v>
      </c>
      <c r="B194" s="20">
        <f>+'SERVICIO FAENA'!A192</f>
        <v>0</v>
      </c>
      <c r="C194" s="49">
        <f>+'SERVICIO FAENA'!C192</f>
        <v>0</v>
      </c>
      <c r="D194" s="110"/>
      <c r="E194" s="110"/>
      <c r="F194" s="49"/>
      <c r="G194" s="49"/>
      <c r="H194" s="49">
        <f t="shared" si="9"/>
        <v>0</v>
      </c>
      <c r="I194" s="16"/>
      <c r="J194" s="16">
        <v>0</v>
      </c>
      <c r="K194" s="16">
        <v>0</v>
      </c>
      <c r="L194" s="11"/>
      <c r="M194" s="11"/>
      <c r="N194" s="16">
        <f t="shared" si="7"/>
        <v>0</v>
      </c>
      <c r="O194" s="18"/>
      <c r="P194" s="19">
        <v>0</v>
      </c>
      <c r="Q194" s="29">
        <f t="shared" si="8"/>
        <v>0</v>
      </c>
      <c r="R194" s="11"/>
    </row>
    <row r="195" spans="1:18" x14ac:dyDescent="0.2">
      <c r="A195" s="18">
        <f>+'SERVICIO FAENA'!E193</f>
        <v>0</v>
      </c>
      <c r="B195" s="20">
        <f>+'SERVICIO FAENA'!A193</f>
        <v>0</v>
      </c>
      <c r="C195" s="49">
        <f>+'SERVICIO FAENA'!C193</f>
        <v>0</v>
      </c>
      <c r="D195" s="110"/>
      <c r="E195" s="110"/>
      <c r="F195" s="49"/>
      <c r="G195" s="49"/>
      <c r="H195" s="49">
        <f t="shared" si="9"/>
        <v>0</v>
      </c>
      <c r="I195" s="16"/>
      <c r="J195" s="16">
        <v>0</v>
      </c>
      <c r="K195" s="16">
        <v>0</v>
      </c>
      <c r="L195" s="11"/>
      <c r="M195" s="11"/>
      <c r="N195" s="16">
        <f t="shared" si="7"/>
        <v>0</v>
      </c>
      <c r="O195" s="18"/>
      <c r="P195" s="19">
        <v>0</v>
      </c>
      <c r="Q195" s="29">
        <f t="shared" si="8"/>
        <v>0</v>
      </c>
      <c r="R195" s="11"/>
    </row>
    <row r="196" spans="1:18" ht="12.75" customHeight="1" x14ac:dyDescent="0.2">
      <c r="A196" s="18">
        <f>+'SERVICIO FAENA'!E194</f>
        <v>0</v>
      </c>
      <c r="B196" s="20">
        <f>+'SERVICIO FAENA'!A194</f>
        <v>0</v>
      </c>
      <c r="C196" s="49">
        <f>+'SERVICIO FAENA'!C194</f>
        <v>0</v>
      </c>
      <c r="D196" s="110"/>
      <c r="E196" s="110"/>
      <c r="F196" s="49"/>
      <c r="G196" s="49"/>
      <c r="H196" s="49">
        <f t="shared" si="9"/>
        <v>0</v>
      </c>
      <c r="I196" s="16"/>
      <c r="J196" s="16">
        <v>0</v>
      </c>
      <c r="K196" s="16">
        <v>0</v>
      </c>
      <c r="L196" s="11"/>
      <c r="M196" s="11"/>
      <c r="N196" s="16">
        <f t="shared" si="7"/>
        <v>0</v>
      </c>
      <c r="O196" s="18"/>
      <c r="P196" s="19">
        <v>0</v>
      </c>
      <c r="Q196" s="29">
        <f t="shared" si="8"/>
        <v>0</v>
      </c>
      <c r="R196" s="11"/>
    </row>
    <row r="197" spans="1:18" x14ac:dyDescent="0.2">
      <c r="A197" s="18">
        <f>+'SERVICIO FAENA'!E195</f>
        <v>0</v>
      </c>
      <c r="B197" s="20">
        <f>+'SERVICIO FAENA'!A195</f>
        <v>0</v>
      </c>
      <c r="C197" s="49">
        <f>+'SERVICIO FAENA'!C195</f>
        <v>0</v>
      </c>
      <c r="D197" s="110"/>
      <c r="E197" s="110"/>
      <c r="F197" s="49"/>
      <c r="G197" s="49"/>
      <c r="H197" s="49">
        <f t="shared" si="9"/>
        <v>0</v>
      </c>
      <c r="I197" s="16"/>
      <c r="J197" s="16">
        <v>0</v>
      </c>
      <c r="K197" s="16">
        <v>0</v>
      </c>
      <c r="L197" s="11"/>
      <c r="M197" s="11"/>
      <c r="N197" s="16">
        <f t="shared" si="7"/>
        <v>0</v>
      </c>
      <c r="O197" s="18"/>
      <c r="P197" s="19">
        <v>0</v>
      </c>
      <c r="Q197" s="29">
        <f t="shared" si="8"/>
        <v>0</v>
      </c>
      <c r="R197" s="11"/>
    </row>
    <row r="198" spans="1:18" ht="12.75" customHeight="1" x14ac:dyDescent="0.2">
      <c r="A198" s="18">
        <f>+'SERVICIO FAENA'!E196</f>
        <v>0</v>
      </c>
      <c r="B198" s="20">
        <f>+'SERVICIO FAENA'!A196</f>
        <v>0</v>
      </c>
      <c r="C198" s="49">
        <f>+'SERVICIO FAENA'!C196</f>
        <v>0</v>
      </c>
      <c r="D198" s="110"/>
      <c r="E198" s="110"/>
      <c r="F198" s="49"/>
      <c r="G198" s="49"/>
      <c r="H198" s="49">
        <f t="shared" si="9"/>
        <v>0</v>
      </c>
      <c r="I198" s="16"/>
      <c r="J198" s="16">
        <v>0</v>
      </c>
      <c r="K198" s="16">
        <v>0</v>
      </c>
      <c r="L198" s="11"/>
      <c r="M198" s="11"/>
      <c r="N198" s="16">
        <f t="shared" si="7"/>
        <v>0</v>
      </c>
      <c r="O198" s="18"/>
      <c r="P198" s="19">
        <v>0</v>
      </c>
      <c r="Q198" s="29">
        <f t="shared" si="8"/>
        <v>0</v>
      </c>
      <c r="R198" s="11"/>
    </row>
    <row r="199" spans="1:18" x14ac:dyDescent="0.2">
      <c r="A199" s="18">
        <f>+'SERVICIO FAENA'!E197</f>
        <v>0</v>
      </c>
      <c r="B199" s="20">
        <f>+'SERVICIO FAENA'!A197</f>
        <v>0</v>
      </c>
      <c r="C199" s="49">
        <f>+'SERVICIO FAENA'!C197</f>
        <v>0</v>
      </c>
      <c r="D199" s="110"/>
      <c r="E199" s="110"/>
      <c r="F199" s="49"/>
      <c r="G199" s="49"/>
      <c r="H199" s="49">
        <f t="shared" si="9"/>
        <v>0</v>
      </c>
      <c r="I199" s="16"/>
      <c r="J199" s="16">
        <v>0</v>
      </c>
      <c r="K199" s="16">
        <v>0</v>
      </c>
      <c r="L199" s="11"/>
      <c r="M199" s="11"/>
      <c r="N199" s="16">
        <f t="shared" si="7"/>
        <v>0</v>
      </c>
      <c r="O199" s="18"/>
      <c r="P199" s="19">
        <v>0</v>
      </c>
      <c r="Q199" s="29">
        <f t="shared" si="8"/>
        <v>0</v>
      </c>
      <c r="R199" s="11"/>
    </row>
    <row r="200" spans="1:18" ht="12.75" customHeight="1" x14ac:dyDescent="0.2">
      <c r="A200" s="18">
        <f>+'SERVICIO FAENA'!E198</f>
        <v>0</v>
      </c>
      <c r="B200" s="20">
        <f>+'SERVICIO FAENA'!A198</f>
        <v>0</v>
      </c>
      <c r="C200" s="49">
        <f>+'SERVICIO FAENA'!C198</f>
        <v>0</v>
      </c>
      <c r="D200" s="110"/>
      <c r="E200" s="110"/>
      <c r="F200" s="49"/>
      <c r="G200" s="49"/>
      <c r="H200" s="49">
        <f t="shared" si="9"/>
        <v>0</v>
      </c>
      <c r="I200" s="16"/>
      <c r="J200" s="16">
        <v>0</v>
      </c>
      <c r="K200" s="16">
        <v>0</v>
      </c>
      <c r="L200" s="11"/>
      <c r="M200" s="11"/>
      <c r="N200" s="16">
        <f t="shared" ref="N200:N263" si="10">+K200*I200</f>
        <v>0</v>
      </c>
      <c r="O200" s="18"/>
      <c r="P200" s="19">
        <v>0</v>
      </c>
      <c r="Q200" s="29">
        <f t="shared" ref="Q200:Q263" si="11">+P200-N200</f>
        <v>0</v>
      </c>
      <c r="R200" s="11"/>
    </row>
    <row r="201" spans="1:18" x14ac:dyDescent="0.2">
      <c r="A201" s="18">
        <f>+'SERVICIO FAENA'!E199</f>
        <v>0</v>
      </c>
      <c r="B201" s="20">
        <f>+'SERVICIO FAENA'!A199</f>
        <v>0</v>
      </c>
      <c r="C201" s="49">
        <f>+'SERVICIO FAENA'!C199</f>
        <v>0</v>
      </c>
      <c r="D201" s="110"/>
      <c r="E201" s="110"/>
      <c r="F201" s="49"/>
      <c r="G201" s="49"/>
      <c r="H201" s="49">
        <f t="shared" si="9"/>
        <v>0</v>
      </c>
      <c r="I201" s="16"/>
      <c r="J201" s="16">
        <v>0</v>
      </c>
      <c r="K201" s="16">
        <v>0</v>
      </c>
      <c r="L201" s="11"/>
      <c r="M201" s="11"/>
      <c r="N201" s="16">
        <f t="shared" si="10"/>
        <v>0</v>
      </c>
      <c r="O201" s="18"/>
      <c r="P201" s="19">
        <v>0</v>
      </c>
      <c r="Q201" s="29">
        <f t="shared" si="11"/>
        <v>0</v>
      </c>
      <c r="R201" s="11"/>
    </row>
    <row r="202" spans="1:18" ht="12.75" customHeight="1" x14ac:dyDescent="0.2">
      <c r="A202" s="18">
        <f>+'SERVICIO FAENA'!E200</f>
        <v>0</v>
      </c>
      <c r="B202" s="20">
        <f>+'SERVICIO FAENA'!A200</f>
        <v>0</v>
      </c>
      <c r="C202" s="49">
        <f>+'SERVICIO FAENA'!C200</f>
        <v>0</v>
      </c>
      <c r="D202" s="110"/>
      <c r="E202" s="110"/>
      <c r="F202" s="49"/>
      <c r="G202" s="49"/>
      <c r="H202" s="49">
        <f t="shared" si="9"/>
        <v>0</v>
      </c>
      <c r="I202" s="16"/>
      <c r="J202" s="16">
        <v>0</v>
      </c>
      <c r="K202" s="16">
        <v>0</v>
      </c>
      <c r="L202" s="11"/>
      <c r="M202" s="11"/>
      <c r="N202" s="16">
        <f t="shared" si="10"/>
        <v>0</v>
      </c>
      <c r="O202" s="18"/>
      <c r="P202" s="19">
        <v>0</v>
      </c>
      <c r="Q202" s="29">
        <f t="shared" si="11"/>
        <v>0</v>
      </c>
      <c r="R202" s="11"/>
    </row>
    <row r="203" spans="1:18" x14ac:dyDescent="0.2">
      <c r="A203" s="18">
        <f>+'SERVICIO FAENA'!E201</f>
        <v>0</v>
      </c>
      <c r="B203" s="20">
        <f>+'SERVICIO FAENA'!A201</f>
        <v>0</v>
      </c>
      <c r="C203" s="49">
        <f>+'SERVICIO FAENA'!C201</f>
        <v>0</v>
      </c>
      <c r="D203" s="110"/>
      <c r="E203" s="110"/>
      <c r="F203" s="49"/>
      <c r="G203" s="49"/>
      <c r="H203" s="49">
        <f t="shared" si="9"/>
        <v>0</v>
      </c>
      <c r="I203" s="16"/>
      <c r="J203" s="16">
        <v>0</v>
      </c>
      <c r="K203" s="16">
        <v>0</v>
      </c>
      <c r="L203" s="11"/>
      <c r="M203" s="11"/>
      <c r="N203" s="16">
        <f t="shared" si="10"/>
        <v>0</v>
      </c>
      <c r="O203" s="18"/>
      <c r="P203" s="19">
        <v>0</v>
      </c>
      <c r="Q203" s="29">
        <f t="shared" si="11"/>
        <v>0</v>
      </c>
      <c r="R203" s="11"/>
    </row>
    <row r="204" spans="1:18" ht="12.75" customHeight="1" x14ac:dyDescent="0.2">
      <c r="A204" s="18">
        <f>+'SERVICIO FAENA'!E202</f>
        <v>0</v>
      </c>
      <c r="B204" s="20">
        <f>+'SERVICIO FAENA'!A202</f>
        <v>0</v>
      </c>
      <c r="C204" s="49">
        <f>+'SERVICIO FAENA'!C202</f>
        <v>0</v>
      </c>
      <c r="D204" s="110"/>
      <c r="E204" s="110"/>
      <c r="F204" s="49"/>
      <c r="G204" s="49"/>
      <c r="H204" s="49">
        <f t="shared" si="9"/>
        <v>0</v>
      </c>
      <c r="I204" s="16"/>
      <c r="J204" s="16">
        <v>0</v>
      </c>
      <c r="K204" s="16">
        <v>0</v>
      </c>
      <c r="L204" s="11"/>
      <c r="M204" s="11"/>
      <c r="N204" s="16">
        <f t="shared" si="10"/>
        <v>0</v>
      </c>
      <c r="O204" s="18"/>
      <c r="P204" s="19">
        <v>0</v>
      </c>
      <c r="Q204" s="29">
        <f t="shared" si="11"/>
        <v>0</v>
      </c>
      <c r="R204" s="11"/>
    </row>
    <row r="205" spans="1:18" x14ac:dyDescent="0.2">
      <c r="A205" s="18">
        <f>+'SERVICIO FAENA'!E203</f>
        <v>0</v>
      </c>
      <c r="B205" s="20">
        <f>+'SERVICIO FAENA'!A203</f>
        <v>0</v>
      </c>
      <c r="C205" s="49">
        <f>+'SERVICIO FAENA'!C203</f>
        <v>0</v>
      </c>
      <c r="D205" s="110"/>
      <c r="E205" s="110"/>
      <c r="F205" s="49"/>
      <c r="G205" s="49"/>
      <c r="H205" s="49">
        <f t="shared" si="9"/>
        <v>0</v>
      </c>
      <c r="I205" s="16"/>
      <c r="J205" s="16">
        <v>0</v>
      </c>
      <c r="K205" s="16">
        <v>0</v>
      </c>
      <c r="L205" s="11"/>
      <c r="M205" s="11"/>
      <c r="N205" s="16">
        <f t="shared" si="10"/>
        <v>0</v>
      </c>
      <c r="O205" s="18"/>
      <c r="P205" s="19">
        <v>0</v>
      </c>
      <c r="Q205" s="29">
        <f t="shared" si="11"/>
        <v>0</v>
      </c>
      <c r="R205" s="11"/>
    </row>
    <row r="206" spans="1:18" ht="12.75" customHeight="1" x14ac:dyDescent="0.2">
      <c r="A206" s="18">
        <f>+'SERVICIO FAENA'!E204</f>
        <v>0</v>
      </c>
      <c r="B206" s="20">
        <f>+'SERVICIO FAENA'!A204</f>
        <v>0</v>
      </c>
      <c r="C206" s="49">
        <f>+'SERVICIO FAENA'!C204</f>
        <v>0</v>
      </c>
      <c r="D206" s="110"/>
      <c r="E206" s="110"/>
      <c r="F206" s="49"/>
      <c r="G206" s="49"/>
      <c r="H206" s="49">
        <f t="shared" si="9"/>
        <v>0</v>
      </c>
      <c r="I206" s="16"/>
      <c r="J206" s="16">
        <v>0</v>
      </c>
      <c r="K206" s="16">
        <v>0</v>
      </c>
      <c r="L206" s="11"/>
      <c r="M206" s="11"/>
      <c r="N206" s="16">
        <f t="shared" si="10"/>
        <v>0</v>
      </c>
      <c r="O206" s="18"/>
      <c r="P206" s="19">
        <v>0</v>
      </c>
      <c r="Q206" s="29">
        <f t="shared" si="11"/>
        <v>0</v>
      </c>
      <c r="R206" s="11"/>
    </row>
    <row r="207" spans="1:18" x14ac:dyDescent="0.2">
      <c r="A207" s="18">
        <f>+'SERVICIO FAENA'!E205</f>
        <v>0</v>
      </c>
      <c r="B207" s="20">
        <f>+'SERVICIO FAENA'!A205</f>
        <v>0</v>
      </c>
      <c r="C207" s="49">
        <f>+'SERVICIO FAENA'!C205</f>
        <v>0</v>
      </c>
      <c r="D207" s="110"/>
      <c r="E207" s="110"/>
      <c r="F207" s="49"/>
      <c r="G207" s="49"/>
      <c r="H207" s="49">
        <f t="shared" si="9"/>
        <v>0</v>
      </c>
      <c r="I207" s="16"/>
      <c r="J207" s="16">
        <v>0</v>
      </c>
      <c r="K207" s="16">
        <v>0</v>
      </c>
      <c r="L207" s="11"/>
      <c r="M207" s="11"/>
      <c r="N207" s="16">
        <f t="shared" si="10"/>
        <v>0</v>
      </c>
      <c r="O207" s="18"/>
      <c r="P207" s="19">
        <v>0</v>
      </c>
      <c r="Q207" s="29">
        <f t="shared" si="11"/>
        <v>0</v>
      </c>
      <c r="R207" s="11"/>
    </row>
    <row r="208" spans="1:18" ht="12.75" customHeight="1" x14ac:dyDescent="0.2">
      <c r="A208" s="18">
        <f>+'SERVICIO FAENA'!E206</f>
        <v>0</v>
      </c>
      <c r="B208" s="20">
        <f>+'SERVICIO FAENA'!A206</f>
        <v>0</v>
      </c>
      <c r="C208" s="49">
        <f>+'SERVICIO FAENA'!C206</f>
        <v>0</v>
      </c>
      <c r="D208" s="110"/>
      <c r="E208" s="110"/>
      <c r="F208" s="49"/>
      <c r="G208" s="49"/>
      <c r="H208" s="49">
        <f t="shared" si="9"/>
        <v>0</v>
      </c>
      <c r="I208" s="16"/>
      <c r="J208" s="16">
        <v>0</v>
      </c>
      <c r="K208" s="16">
        <v>0</v>
      </c>
      <c r="L208" s="11"/>
      <c r="M208" s="11"/>
      <c r="N208" s="16">
        <f t="shared" si="10"/>
        <v>0</v>
      </c>
      <c r="O208" s="18"/>
      <c r="P208" s="19">
        <v>0</v>
      </c>
      <c r="Q208" s="29">
        <f t="shared" si="11"/>
        <v>0</v>
      </c>
      <c r="R208" s="11"/>
    </row>
    <row r="209" spans="1:18" x14ac:dyDescent="0.2">
      <c r="A209" s="18">
        <f>+'SERVICIO FAENA'!E207</f>
        <v>0</v>
      </c>
      <c r="B209" s="20">
        <f>+'SERVICIO FAENA'!A207</f>
        <v>0</v>
      </c>
      <c r="C209" s="49">
        <f>+'SERVICIO FAENA'!C207</f>
        <v>0</v>
      </c>
      <c r="D209" s="110"/>
      <c r="E209" s="110"/>
      <c r="F209" s="49"/>
      <c r="G209" s="49"/>
      <c r="H209" s="49">
        <f t="shared" ref="H209:H272" si="12">+D209+E209</f>
        <v>0</v>
      </c>
      <c r="I209" s="16"/>
      <c r="J209" s="16">
        <v>0</v>
      </c>
      <c r="K209" s="16">
        <v>0</v>
      </c>
      <c r="L209" s="11"/>
      <c r="M209" s="11"/>
      <c r="N209" s="16">
        <f t="shared" si="10"/>
        <v>0</v>
      </c>
      <c r="O209" s="18"/>
      <c r="P209" s="19">
        <v>0</v>
      </c>
      <c r="Q209" s="29">
        <f t="shared" si="11"/>
        <v>0</v>
      </c>
      <c r="R209" s="11"/>
    </row>
    <row r="210" spans="1:18" ht="12.75" customHeight="1" x14ac:dyDescent="0.2">
      <c r="A210" s="18">
        <f>+'SERVICIO FAENA'!E208</f>
        <v>0</v>
      </c>
      <c r="B210" s="20">
        <f>+'SERVICIO FAENA'!A208</f>
        <v>0</v>
      </c>
      <c r="C210" s="49">
        <f>+'SERVICIO FAENA'!C208</f>
        <v>0</v>
      </c>
      <c r="D210" s="110"/>
      <c r="E210" s="110"/>
      <c r="F210" s="49"/>
      <c r="G210" s="49"/>
      <c r="H210" s="49">
        <f t="shared" si="12"/>
        <v>0</v>
      </c>
      <c r="I210" s="16"/>
      <c r="J210" s="16">
        <v>0</v>
      </c>
      <c r="K210" s="16">
        <v>0</v>
      </c>
      <c r="L210" s="11"/>
      <c r="M210" s="11"/>
      <c r="N210" s="16">
        <f t="shared" si="10"/>
        <v>0</v>
      </c>
      <c r="O210" s="18"/>
      <c r="P210" s="19">
        <v>0</v>
      </c>
      <c r="Q210" s="29">
        <f t="shared" si="11"/>
        <v>0</v>
      </c>
      <c r="R210" s="11"/>
    </row>
    <row r="211" spans="1:18" x14ac:dyDescent="0.2">
      <c r="A211" s="18">
        <f>+'SERVICIO FAENA'!E209</f>
        <v>0</v>
      </c>
      <c r="B211" s="20">
        <f>+'SERVICIO FAENA'!A209</f>
        <v>0</v>
      </c>
      <c r="C211" s="49">
        <f>+'SERVICIO FAENA'!C209</f>
        <v>0</v>
      </c>
      <c r="D211" s="110"/>
      <c r="E211" s="110"/>
      <c r="F211" s="49"/>
      <c r="G211" s="49"/>
      <c r="H211" s="49">
        <f t="shared" si="12"/>
        <v>0</v>
      </c>
      <c r="I211" s="16"/>
      <c r="J211" s="16">
        <v>0</v>
      </c>
      <c r="K211" s="16">
        <v>0</v>
      </c>
      <c r="L211" s="11"/>
      <c r="M211" s="11"/>
      <c r="N211" s="16">
        <f t="shared" si="10"/>
        <v>0</v>
      </c>
      <c r="O211" s="18"/>
      <c r="P211" s="19">
        <v>0</v>
      </c>
      <c r="Q211" s="29">
        <f t="shared" si="11"/>
        <v>0</v>
      </c>
      <c r="R211" s="11"/>
    </row>
    <row r="212" spans="1:18" ht="12.75" customHeight="1" x14ac:dyDescent="0.2">
      <c r="A212" s="18">
        <f>+'SERVICIO FAENA'!E210</f>
        <v>0</v>
      </c>
      <c r="B212" s="20">
        <f>+'SERVICIO FAENA'!A210</f>
        <v>0</v>
      </c>
      <c r="C212" s="49">
        <f>+'SERVICIO FAENA'!C210</f>
        <v>0</v>
      </c>
      <c r="D212" s="110"/>
      <c r="E212" s="110"/>
      <c r="F212" s="49"/>
      <c r="G212" s="49"/>
      <c r="H212" s="49">
        <f t="shared" si="12"/>
        <v>0</v>
      </c>
      <c r="I212" s="16"/>
      <c r="J212" s="16">
        <v>0</v>
      </c>
      <c r="K212" s="16">
        <v>0</v>
      </c>
      <c r="L212" s="11"/>
      <c r="M212" s="11"/>
      <c r="N212" s="16">
        <f t="shared" si="10"/>
        <v>0</v>
      </c>
      <c r="O212" s="18"/>
      <c r="P212" s="19">
        <v>0</v>
      </c>
      <c r="Q212" s="29">
        <f t="shared" si="11"/>
        <v>0</v>
      </c>
      <c r="R212" s="11"/>
    </row>
    <row r="213" spans="1:18" x14ac:dyDescent="0.2">
      <c r="A213" s="18">
        <f>+'SERVICIO FAENA'!E211</f>
        <v>0</v>
      </c>
      <c r="B213" s="20">
        <f>+'SERVICIO FAENA'!A211</f>
        <v>0</v>
      </c>
      <c r="C213" s="49">
        <f>+'SERVICIO FAENA'!C211</f>
        <v>0</v>
      </c>
      <c r="D213" s="110"/>
      <c r="E213" s="110"/>
      <c r="F213" s="49"/>
      <c r="G213" s="49"/>
      <c r="H213" s="49">
        <f t="shared" si="12"/>
        <v>0</v>
      </c>
      <c r="I213" s="16"/>
      <c r="J213" s="16">
        <v>0</v>
      </c>
      <c r="K213" s="16">
        <v>0</v>
      </c>
      <c r="L213" s="11"/>
      <c r="M213" s="11"/>
      <c r="N213" s="16">
        <f t="shared" si="10"/>
        <v>0</v>
      </c>
      <c r="O213" s="18"/>
      <c r="P213" s="19">
        <v>0</v>
      </c>
      <c r="Q213" s="29">
        <f t="shared" si="11"/>
        <v>0</v>
      </c>
      <c r="R213" s="11"/>
    </row>
    <row r="214" spans="1:18" ht="12.75" customHeight="1" x14ac:dyDescent="0.2">
      <c r="A214" s="18">
        <f>+'SERVICIO FAENA'!E212</f>
        <v>0</v>
      </c>
      <c r="B214" s="20">
        <f>+'SERVICIO FAENA'!A212</f>
        <v>0</v>
      </c>
      <c r="C214" s="49">
        <f>+'SERVICIO FAENA'!C212</f>
        <v>0</v>
      </c>
      <c r="D214" s="110"/>
      <c r="E214" s="110"/>
      <c r="F214" s="49"/>
      <c r="G214" s="49"/>
      <c r="H214" s="49">
        <f t="shared" si="12"/>
        <v>0</v>
      </c>
      <c r="I214" s="16"/>
      <c r="J214" s="16">
        <v>0</v>
      </c>
      <c r="K214" s="16">
        <v>0</v>
      </c>
      <c r="L214" s="11"/>
      <c r="M214" s="11"/>
      <c r="N214" s="16">
        <f t="shared" si="10"/>
        <v>0</v>
      </c>
      <c r="O214" s="18"/>
      <c r="P214" s="19">
        <v>0</v>
      </c>
      <c r="Q214" s="29">
        <f t="shared" si="11"/>
        <v>0</v>
      </c>
      <c r="R214" s="11"/>
    </row>
    <row r="215" spans="1:18" x14ac:dyDescent="0.2">
      <c r="A215" s="18">
        <f>+'SERVICIO FAENA'!E213</f>
        <v>0</v>
      </c>
      <c r="B215" s="20">
        <f>+'SERVICIO FAENA'!A213</f>
        <v>0</v>
      </c>
      <c r="C215" s="49">
        <f>+'SERVICIO FAENA'!C213</f>
        <v>0</v>
      </c>
      <c r="D215" s="110"/>
      <c r="E215" s="110"/>
      <c r="F215" s="49"/>
      <c r="G215" s="49"/>
      <c r="H215" s="49">
        <f t="shared" si="12"/>
        <v>0</v>
      </c>
      <c r="I215" s="16"/>
      <c r="J215" s="16">
        <v>0</v>
      </c>
      <c r="K215" s="16">
        <v>0</v>
      </c>
      <c r="L215" s="11"/>
      <c r="M215" s="11"/>
      <c r="N215" s="16">
        <f t="shared" si="10"/>
        <v>0</v>
      </c>
      <c r="O215" s="18"/>
      <c r="P215" s="19">
        <v>0</v>
      </c>
      <c r="Q215" s="29">
        <f t="shared" si="11"/>
        <v>0</v>
      </c>
      <c r="R215" s="11"/>
    </row>
    <row r="216" spans="1:18" ht="12.75" customHeight="1" x14ac:dyDescent="0.2">
      <c r="A216" s="18">
        <f>+'SERVICIO FAENA'!E214</f>
        <v>0</v>
      </c>
      <c r="B216" s="20">
        <f>+'SERVICIO FAENA'!A214</f>
        <v>0</v>
      </c>
      <c r="C216" s="49">
        <f>+'SERVICIO FAENA'!C214</f>
        <v>0</v>
      </c>
      <c r="D216" s="110"/>
      <c r="E216" s="110"/>
      <c r="F216" s="49"/>
      <c r="G216" s="49"/>
      <c r="H216" s="49">
        <f t="shared" si="12"/>
        <v>0</v>
      </c>
      <c r="I216" s="16"/>
      <c r="J216" s="16">
        <v>0</v>
      </c>
      <c r="K216" s="16">
        <v>0</v>
      </c>
      <c r="L216" s="11"/>
      <c r="M216" s="11"/>
      <c r="N216" s="16">
        <f t="shared" si="10"/>
        <v>0</v>
      </c>
      <c r="O216" s="18"/>
      <c r="P216" s="19">
        <v>0</v>
      </c>
      <c r="Q216" s="29">
        <f t="shared" si="11"/>
        <v>0</v>
      </c>
      <c r="R216" s="11"/>
    </row>
    <row r="217" spans="1:18" x14ac:dyDescent="0.2">
      <c r="A217" s="18">
        <f>+'SERVICIO FAENA'!E215</f>
        <v>0</v>
      </c>
      <c r="B217" s="20">
        <f>+'SERVICIO FAENA'!A215</f>
        <v>0</v>
      </c>
      <c r="C217" s="49">
        <f>+'SERVICIO FAENA'!C215</f>
        <v>0</v>
      </c>
      <c r="D217" s="110"/>
      <c r="E217" s="110"/>
      <c r="F217" s="49"/>
      <c r="G217" s="49"/>
      <c r="H217" s="49">
        <f t="shared" si="12"/>
        <v>0</v>
      </c>
      <c r="I217" s="16"/>
      <c r="J217" s="16">
        <v>0</v>
      </c>
      <c r="K217" s="16">
        <v>0</v>
      </c>
      <c r="L217" s="11"/>
      <c r="M217" s="11"/>
      <c r="N217" s="16">
        <f t="shared" si="10"/>
        <v>0</v>
      </c>
      <c r="O217" s="18"/>
      <c r="P217" s="19">
        <v>0</v>
      </c>
      <c r="Q217" s="29">
        <f t="shared" si="11"/>
        <v>0</v>
      </c>
      <c r="R217" s="11"/>
    </row>
    <row r="218" spans="1:18" ht="12.75" customHeight="1" x14ac:dyDescent="0.2">
      <c r="A218" s="18">
        <f>+'SERVICIO FAENA'!E216</f>
        <v>0</v>
      </c>
      <c r="B218" s="20">
        <f>+'SERVICIO FAENA'!A216</f>
        <v>0</v>
      </c>
      <c r="C218" s="49">
        <f>+'SERVICIO FAENA'!C216</f>
        <v>0</v>
      </c>
      <c r="D218" s="110"/>
      <c r="E218" s="110"/>
      <c r="F218" s="49"/>
      <c r="G218" s="49"/>
      <c r="H218" s="49">
        <f t="shared" si="12"/>
        <v>0</v>
      </c>
      <c r="I218" s="16"/>
      <c r="J218" s="16">
        <v>0</v>
      </c>
      <c r="K218" s="16">
        <v>0</v>
      </c>
      <c r="L218" s="11"/>
      <c r="M218" s="11"/>
      <c r="N218" s="16">
        <f t="shared" si="10"/>
        <v>0</v>
      </c>
      <c r="O218" s="18"/>
      <c r="P218" s="19">
        <v>0</v>
      </c>
      <c r="Q218" s="29">
        <f t="shared" si="11"/>
        <v>0</v>
      </c>
      <c r="R218" s="11"/>
    </row>
    <row r="219" spans="1:18" x14ac:dyDescent="0.2">
      <c r="A219" s="18">
        <f>+'SERVICIO FAENA'!E217</f>
        <v>0</v>
      </c>
      <c r="B219" s="20">
        <f>+'SERVICIO FAENA'!A217</f>
        <v>0</v>
      </c>
      <c r="C219" s="49">
        <f>+'SERVICIO FAENA'!C217</f>
        <v>0</v>
      </c>
      <c r="D219" s="110"/>
      <c r="E219" s="110"/>
      <c r="F219" s="49"/>
      <c r="G219" s="49"/>
      <c r="H219" s="49">
        <f t="shared" si="12"/>
        <v>0</v>
      </c>
      <c r="I219" s="16"/>
      <c r="J219" s="16">
        <v>0</v>
      </c>
      <c r="K219" s="16">
        <v>0</v>
      </c>
      <c r="L219" s="11"/>
      <c r="M219" s="11"/>
      <c r="N219" s="16">
        <f t="shared" si="10"/>
        <v>0</v>
      </c>
      <c r="O219" s="18"/>
      <c r="P219" s="19">
        <v>0</v>
      </c>
      <c r="Q219" s="29">
        <f t="shared" si="11"/>
        <v>0</v>
      </c>
      <c r="R219" s="11"/>
    </row>
    <row r="220" spans="1:18" ht="12.75" customHeight="1" x14ac:dyDescent="0.2">
      <c r="A220" s="18">
        <f>+'SERVICIO FAENA'!E218</f>
        <v>0</v>
      </c>
      <c r="B220" s="20">
        <f>+'SERVICIO FAENA'!A218</f>
        <v>0</v>
      </c>
      <c r="C220" s="49">
        <f>+'SERVICIO FAENA'!C218</f>
        <v>0</v>
      </c>
      <c r="D220" s="110"/>
      <c r="E220" s="110"/>
      <c r="F220" s="49"/>
      <c r="G220" s="49"/>
      <c r="H220" s="49">
        <f t="shared" si="12"/>
        <v>0</v>
      </c>
      <c r="I220" s="16"/>
      <c r="J220" s="16">
        <v>0</v>
      </c>
      <c r="K220" s="16">
        <v>0</v>
      </c>
      <c r="L220" s="11"/>
      <c r="M220" s="11"/>
      <c r="N220" s="16">
        <f t="shared" si="10"/>
        <v>0</v>
      </c>
      <c r="O220" s="18"/>
      <c r="P220" s="19">
        <v>0</v>
      </c>
      <c r="Q220" s="29">
        <f t="shared" si="11"/>
        <v>0</v>
      </c>
      <c r="R220" s="11"/>
    </row>
    <row r="221" spans="1:18" x14ac:dyDescent="0.2">
      <c r="A221" s="18">
        <f>+'SERVICIO FAENA'!E219</f>
        <v>0</v>
      </c>
      <c r="B221" s="20">
        <f>+'SERVICIO FAENA'!A219</f>
        <v>0</v>
      </c>
      <c r="C221" s="49">
        <f>+'SERVICIO FAENA'!C219</f>
        <v>0</v>
      </c>
      <c r="D221" s="110"/>
      <c r="E221" s="110"/>
      <c r="F221" s="49"/>
      <c r="G221" s="49"/>
      <c r="H221" s="49">
        <f t="shared" si="12"/>
        <v>0</v>
      </c>
      <c r="I221" s="16"/>
      <c r="J221" s="16">
        <v>0</v>
      </c>
      <c r="K221" s="16">
        <v>0</v>
      </c>
      <c r="L221" s="11"/>
      <c r="M221" s="11"/>
      <c r="N221" s="16">
        <f t="shared" si="10"/>
        <v>0</v>
      </c>
      <c r="O221" s="18"/>
      <c r="P221" s="19">
        <v>0</v>
      </c>
      <c r="Q221" s="29">
        <f t="shared" si="11"/>
        <v>0</v>
      </c>
      <c r="R221" s="11"/>
    </row>
    <row r="222" spans="1:18" ht="12.75" customHeight="1" x14ac:dyDescent="0.2">
      <c r="A222" s="18">
        <f>+'SERVICIO FAENA'!E220</f>
        <v>0</v>
      </c>
      <c r="B222" s="20">
        <f>+'SERVICIO FAENA'!A220</f>
        <v>0</v>
      </c>
      <c r="C222" s="49">
        <f>+'SERVICIO FAENA'!C220</f>
        <v>0</v>
      </c>
      <c r="D222" s="110"/>
      <c r="E222" s="110"/>
      <c r="F222" s="49"/>
      <c r="G222" s="49"/>
      <c r="H222" s="49">
        <f t="shared" si="12"/>
        <v>0</v>
      </c>
      <c r="I222" s="16"/>
      <c r="J222" s="16">
        <v>0</v>
      </c>
      <c r="K222" s="16">
        <v>0</v>
      </c>
      <c r="L222" s="11"/>
      <c r="M222" s="11"/>
      <c r="N222" s="16">
        <f t="shared" si="10"/>
        <v>0</v>
      </c>
      <c r="O222" s="18"/>
      <c r="P222" s="19">
        <v>0</v>
      </c>
      <c r="Q222" s="29">
        <f t="shared" si="11"/>
        <v>0</v>
      </c>
      <c r="R222" s="11"/>
    </row>
    <row r="223" spans="1:18" x14ac:dyDescent="0.2">
      <c r="A223" s="18">
        <f>+'SERVICIO FAENA'!E221</f>
        <v>0</v>
      </c>
      <c r="B223" s="20">
        <f>+'SERVICIO FAENA'!A221</f>
        <v>0</v>
      </c>
      <c r="C223" s="49">
        <f>+'SERVICIO FAENA'!C221</f>
        <v>0</v>
      </c>
      <c r="D223" s="110"/>
      <c r="E223" s="110"/>
      <c r="F223" s="49"/>
      <c r="G223" s="49"/>
      <c r="H223" s="49">
        <f t="shared" si="12"/>
        <v>0</v>
      </c>
      <c r="I223" s="16"/>
      <c r="J223" s="16">
        <v>0</v>
      </c>
      <c r="K223" s="16">
        <v>0</v>
      </c>
      <c r="L223" s="11"/>
      <c r="M223" s="11"/>
      <c r="N223" s="16">
        <f t="shared" si="10"/>
        <v>0</v>
      </c>
      <c r="O223" s="18"/>
      <c r="P223" s="19">
        <v>0</v>
      </c>
      <c r="Q223" s="29">
        <f t="shared" si="11"/>
        <v>0</v>
      </c>
      <c r="R223" s="11"/>
    </row>
    <row r="224" spans="1:18" ht="12.75" customHeight="1" x14ac:dyDescent="0.2">
      <c r="A224" s="18">
        <f>+'SERVICIO FAENA'!E222</f>
        <v>0</v>
      </c>
      <c r="B224" s="20">
        <f>+'SERVICIO FAENA'!A222</f>
        <v>0</v>
      </c>
      <c r="C224" s="49">
        <f>+'SERVICIO FAENA'!C222</f>
        <v>0</v>
      </c>
      <c r="D224" s="110"/>
      <c r="E224" s="110"/>
      <c r="F224" s="49"/>
      <c r="G224" s="49"/>
      <c r="H224" s="49">
        <f t="shared" si="12"/>
        <v>0</v>
      </c>
      <c r="I224" s="16"/>
      <c r="J224" s="16">
        <v>0</v>
      </c>
      <c r="K224" s="16">
        <v>0</v>
      </c>
      <c r="L224" s="11"/>
      <c r="M224" s="11"/>
      <c r="N224" s="16">
        <f t="shared" si="10"/>
        <v>0</v>
      </c>
      <c r="O224" s="18"/>
      <c r="P224" s="19">
        <v>0</v>
      </c>
      <c r="Q224" s="29">
        <f t="shared" si="11"/>
        <v>0</v>
      </c>
      <c r="R224" s="11"/>
    </row>
    <row r="225" spans="1:18" x14ac:dyDescent="0.2">
      <c r="A225" s="18">
        <f>+'SERVICIO FAENA'!E223</f>
        <v>0</v>
      </c>
      <c r="B225" s="20">
        <f>+'SERVICIO FAENA'!A223</f>
        <v>0</v>
      </c>
      <c r="C225" s="49">
        <f>+'SERVICIO FAENA'!C223</f>
        <v>0</v>
      </c>
      <c r="D225" s="110"/>
      <c r="E225" s="110"/>
      <c r="F225" s="49"/>
      <c r="G225" s="49"/>
      <c r="H225" s="49">
        <f t="shared" si="12"/>
        <v>0</v>
      </c>
      <c r="I225" s="16"/>
      <c r="J225" s="16">
        <v>0</v>
      </c>
      <c r="K225" s="16">
        <v>0</v>
      </c>
      <c r="L225" s="11"/>
      <c r="M225" s="11"/>
      <c r="N225" s="16">
        <f t="shared" si="10"/>
        <v>0</v>
      </c>
      <c r="O225" s="18"/>
      <c r="P225" s="19">
        <v>0</v>
      </c>
      <c r="Q225" s="29">
        <f t="shared" si="11"/>
        <v>0</v>
      </c>
      <c r="R225" s="11"/>
    </row>
    <row r="226" spans="1:18" ht="12.75" customHeight="1" x14ac:dyDescent="0.2">
      <c r="A226" s="18">
        <f>+'SERVICIO FAENA'!E224</f>
        <v>0</v>
      </c>
      <c r="B226" s="20">
        <f>+'SERVICIO FAENA'!A224</f>
        <v>0</v>
      </c>
      <c r="C226" s="49">
        <f>+'SERVICIO FAENA'!C224</f>
        <v>0</v>
      </c>
      <c r="D226" s="110"/>
      <c r="E226" s="110"/>
      <c r="F226" s="49"/>
      <c r="G226" s="49"/>
      <c r="H226" s="49">
        <f t="shared" si="12"/>
        <v>0</v>
      </c>
      <c r="I226" s="16"/>
      <c r="J226" s="16">
        <v>0</v>
      </c>
      <c r="K226" s="16">
        <v>0</v>
      </c>
      <c r="L226" s="11"/>
      <c r="M226" s="11"/>
      <c r="N226" s="16">
        <f t="shared" si="10"/>
        <v>0</v>
      </c>
      <c r="O226" s="18"/>
      <c r="P226" s="19">
        <v>0</v>
      </c>
      <c r="Q226" s="29">
        <f t="shared" si="11"/>
        <v>0</v>
      </c>
      <c r="R226" s="11"/>
    </row>
    <row r="227" spans="1:18" x14ac:dyDescent="0.2">
      <c r="A227" s="18">
        <f>+'SERVICIO FAENA'!E225</f>
        <v>0</v>
      </c>
      <c r="B227" s="20">
        <f>+'SERVICIO FAENA'!A225</f>
        <v>0</v>
      </c>
      <c r="C227" s="49">
        <f>+'SERVICIO FAENA'!C225</f>
        <v>0</v>
      </c>
      <c r="D227" s="110"/>
      <c r="E227" s="110"/>
      <c r="F227" s="49"/>
      <c r="G227" s="49"/>
      <c r="H227" s="49">
        <f t="shared" si="12"/>
        <v>0</v>
      </c>
      <c r="I227" s="16"/>
      <c r="J227" s="16">
        <v>0</v>
      </c>
      <c r="K227" s="16">
        <v>0</v>
      </c>
      <c r="L227" s="11"/>
      <c r="M227" s="11"/>
      <c r="N227" s="16">
        <f t="shared" si="10"/>
        <v>0</v>
      </c>
      <c r="O227" s="18"/>
      <c r="P227" s="19">
        <v>0</v>
      </c>
      <c r="Q227" s="29">
        <f t="shared" si="11"/>
        <v>0</v>
      </c>
      <c r="R227" s="11"/>
    </row>
    <row r="228" spans="1:18" ht="12.75" customHeight="1" x14ac:dyDescent="0.2">
      <c r="A228" s="18">
        <f>+'SERVICIO FAENA'!E226</f>
        <v>0</v>
      </c>
      <c r="B228" s="20">
        <f>+'SERVICIO FAENA'!A226</f>
        <v>0</v>
      </c>
      <c r="C228" s="49">
        <f>+'SERVICIO FAENA'!C226</f>
        <v>0</v>
      </c>
      <c r="D228" s="110"/>
      <c r="E228" s="110"/>
      <c r="F228" s="49"/>
      <c r="G228" s="49"/>
      <c r="H228" s="49">
        <f t="shared" si="12"/>
        <v>0</v>
      </c>
      <c r="I228" s="16"/>
      <c r="J228" s="16">
        <v>0</v>
      </c>
      <c r="K228" s="16">
        <v>0</v>
      </c>
      <c r="L228" s="11"/>
      <c r="M228" s="11"/>
      <c r="N228" s="16">
        <f t="shared" si="10"/>
        <v>0</v>
      </c>
      <c r="O228" s="18"/>
      <c r="P228" s="19">
        <v>0</v>
      </c>
      <c r="Q228" s="29">
        <f t="shared" si="11"/>
        <v>0</v>
      </c>
      <c r="R228" s="11"/>
    </row>
    <row r="229" spans="1:18" x14ac:dyDescent="0.2">
      <c r="A229" s="18">
        <f>+'SERVICIO FAENA'!E227</f>
        <v>0</v>
      </c>
      <c r="B229" s="20">
        <f>+'SERVICIO FAENA'!A227</f>
        <v>0</v>
      </c>
      <c r="C229" s="49">
        <f>+'SERVICIO FAENA'!C227</f>
        <v>0</v>
      </c>
      <c r="D229" s="110"/>
      <c r="E229" s="110"/>
      <c r="F229" s="49"/>
      <c r="G229" s="49"/>
      <c r="H229" s="49">
        <f t="shared" si="12"/>
        <v>0</v>
      </c>
      <c r="I229" s="16"/>
      <c r="J229" s="16">
        <v>0</v>
      </c>
      <c r="K229" s="16">
        <v>0</v>
      </c>
      <c r="L229" s="11"/>
      <c r="M229" s="11"/>
      <c r="N229" s="16">
        <f t="shared" si="10"/>
        <v>0</v>
      </c>
      <c r="O229" s="18"/>
      <c r="P229" s="19">
        <v>0</v>
      </c>
      <c r="Q229" s="29">
        <f t="shared" si="11"/>
        <v>0</v>
      </c>
      <c r="R229" s="11"/>
    </row>
    <row r="230" spans="1:18" ht="12.75" customHeight="1" x14ac:dyDescent="0.2">
      <c r="A230" s="18">
        <f>+'SERVICIO FAENA'!E228</f>
        <v>0</v>
      </c>
      <c r="B230" s="20">
        <f>+'SERVICIO FAENA'!A228</f>
        <v>0</v>
      </c>
      <c r="C230" s="49">
        <f>+'SERVICIO FAENA'!C228</f>
        <v>0</v>
      </c>
      <c r="D230" s="110"/>
      <c r="E230" s="110"/>
      <c r="F230" s="49"/>
      <c r="G230" s="49"/>
      <c r="H230" s="49">
        <f t="shared" si="12"/>
        <v>0</v>
      </c>
      <c r="I230" s="16"/>
      <c r="J230" s="16">
        <v>0</v>
      </c>
      <c r="K230" s="16">
        <v>0</v>
      </c>
      <c r="L230" s="11"/>
      <c r="M230" s="11"/>
      <c r="N230" s="16">
        <f t="shared" si="10"/>
        <v>0</v>
      </c>
      <c r="O230" s="18"/>
      <c r="P230" s="19">
        <v>0</v>
      </c>
      <c r="Q230" s="29">
        <f t="shared" si="11"/>
        <v>0</v>
      </c>
      <c r="R230" s="11"/>
    </row>
    <row r="231" spans="1:18" x14ac:dyDescent="0.2">
      <c r="A231" s="18">
        <f>+'SERVICIO FAENA'!E229</f>
        <v>0</v>
      </c>
      <c r="B231" s="20">
        <f>+'SERVICIO FAENA'!A229</f>
        <v>0</v>
      </c>
      <c r="C231" s="49">
        <f>+'SERVICIO FAENA'!C229</f>
        <v>0</v>
      </c>
      <c r="D231" s="110"/>
      <c r="E231" s="110"/>
      <c r="F231" s="49"/>
      <c r="G231" s="49"/>
      <c r="H231" s="49">
        <f t="shared" si="12"/>
        <v>0</v>
      </c>
      <c r="I231" s="16"/>
      <c r="J231" s="16">
        <v>0</v>
      </c>
      <c r="K231" s="16">
        <v>0</v>
      </c>
      <c r="L231" s="11"/>
      <c r="M231" s="11"/>
      <c r="N231" s="16">
        <f t="shared" si="10"/>
        <v>0</v>
      </c>
      <c r="O231" s="18"/>
      <c r="P231" s="19">
        <v>0</v>
      </c>
      <c r="Q231" s="29">
        <f t="shared" si="11"/>
        <v>0</v>
      </c>
      <c r="R231" s="11"/>
    </row>
    <row r="232" spans="1:18" ht="12.75" customHeight="1" x14ac:dyDescent="0.2">
      <c r="A232" s="18">
        <f>+'SERVICIO FAENA'!E230</f>
        <v>0</v>
      </c>
      <c r="B232" s="20">
        <f>+'SERVICIO FAENA'!A230</f>
        <v>0</v>
      </c>
      <c r="C232" s="49">
        <f>+'SERVICIO FAENA'!C230</f>
        <v>0</v>
      </c>
      <c r="D232" s="110"/>
      <c r="E232" s="110"/>
      <c r="F232" s="49"/>
      <c r="G232" s="49"/>
      <c r="H232" s="49">
        <f t="shared" si="12"/>
        <v>0</v>
      </c>
      <c r="I232" s="16"/>
      <c r="J232" s="16">
        <v>0</v>
      </c>
      <c r="K232" s="16">
        <v>0</v>
      </c>
      <c r="L232" s="11"/>
      <c r="M232" s="11"/>
      <c r="N232" s="16">
        <f t="shared" si="10"/>
        <v>0</v>
      </c>
      <c r="O232" s="18"/>
      <c r="P232" s="19">
        <v>0</v>
      </c>
      <c r="Q232" s="29">
        <f t="shared" si="11"/>
        <v>0</v>
      </c>
      <c r="R232" s="11"/>
    </row>
    <row r="233" spans="1:18" x14ac:dyDescent="0.2">
      <c r="A233" s="18">
        <f>+'SERVICIO FAENA'!E231</f>
        <v>0</v>
      </c>
      <c r="B233" s="20">
        <f>+'SERVICIO FAENA'!A231</f>
        <v>0</v>
      </c>
      <c r="C233" s="49">
        <f>+'SERVICIO FAENA'!C231</f>
        <v>0</v>
      </c>
      <c r="D233" s="110"/>
      <c r="E233" s="110"/>
      <c r="F233" s="49"/>
      <c r="G233" s="49"/>
      <c r="H233" s="49">
        <f t="shared" si="12"/>
        <v>0</v>
      </c>
      <c r="I233" s="16"/>
      <c r="J233" s="16">
        <v>0</v>
      </c>
      <c r="K233" s="16">
        <v>0</v>
      </c>
      <c r="L233" s="11"/>
      <c r="M233" s="11"/>
      <c r="N233" s="16">
        <f t="shared" si="10"/>
        <v>0</v>
      </c>
      <c r="O233" s="18"/>
      <c r="P233" s="19">
        <v>0</v>
      </c>
      <c r="Q233" s="29">
        <f t="shared" si="11"/>
        <v>0</v>
      </c>
      <c r="R233" s="11"/>
    </row>
    <row r="234" spans="1:18" ht="12.75" customHeight="1" x14ac:dyDescent="0.2">
      <c r="A234" s="18">
        <f>+'SERVICIO FAENA'!E232</f>
        <v>0</v>
      </c>
      <c r="B234" s="20">
        <f>+'SERVICIO FAENA'!A232</f>
        <v>0</v>
      </c>
      <c r="C234" s="49">
        <f>+'SERVICIO FAENA'!C232</f>
        <v>0</v>
      </c>
      <c r="D234" s="110"/>
      <c r="E234" s="110"/>
      <c r="F234" s="49"/>
      <c r="G234" s="49"/>
      <c r="H234" s="49">
        <f t="shared" si="12"/>
        <v>0</v>
      </c>
      <c r="I234" s="16"/>
      <c r="J234" s="16">
        <v>0</v>
      </c>
      <c r="K234" s="16">
        <v>0</v>
      </c>
      <c r="L234" s="11"/>
      <c r="M234" s="11"/>
      <c r="N234" s="16">
        <f t="shared" si="10"/>
        <v>0</v>
      </c>
      <c r="O234" s="18"/>
      <c r="P234" s="19">
        <v>0</v>
      </c>
      <c r="Q234" s="29">
        <f t="shared" si="11"/>
        <v>0</v>
      </c>
      <c r="R234" s="11"/>
    </row>
    <row r="235" spans="1:18" x14ac:dyDescent="0.2">
      <c r="A235" s="18">
        <f>+'SERVICIO FAENA'!E233</f>
        <v>0</v>
      </c>
      <c r="B235" s="20">
        <f>+'SERVICIO FAENA'!A233</f>
        <v>0</v>
      </c>
      <c r="C235" s="49">
        <f>+'SERVICIO FAENA'!C233</f>
        <v>0</v>
      </c>
      <c r="D235" s="110"/>
      <c r="E235" s="110"/>
      <c r="F235" s="49"/>
      <c r="G235" s="49"/>
      <c r="H235" s="49">
        <f t="shared" si="12"/>
        <v>0</v>
      </c>
      <c r="I235" s="16"/>
      <c r="J235" s="16">
        <v>0</v>
      </c>
      <c r="K235" s="16">
        <v>0</v>
      </c>
      <c r="L235" s="11"/>
      <c r="M235" s="11"/>
      <c r="N235" s="16">
        <f t="shared" si="10"/>
        <v>0</v>
      </c>
      <c r="O235" s="18"/>
      <c r="P235" s="19">
        <v>0</v>
      </c>
      <c r="Q235" s="29">
        <f t="shared" si="11"/>
        <v>0</v>
      </c>
      <c r="R235" s="11"/>
    </row>
    <row r="236" spans="1:18" ht="12.75" customHeight="1" x14ac:dyDescent="0.2">
      <c r="A236" s="18">
        <f>+'SERVICIO FAENA'!E234</f>
        <v>0</v>
      </c>
      <c r="B236" s="20">
        <f>+'SERVICIO FAENA'!A234</f>
        <v>0</v>
      </c>
      <c r="C236" s="49">
        <f>+'SERVICIO FAENA'!C234</f>
        <v>0</v>
      </c>
      <c r="D236" s="110"/>
      <c r="E236" s="110"/>
      <c r="F236" s="49"/>
      <c r="G236" s="49"/>
      <c r="H236" s="49">
        <f t="shared" si="12"/>
        <v>0</v>
      </c>
      <c r="I236" s="16"/>
      <c r="J236" s="16">
        <v>0</v>
      </c>
      <c r="K236" s="16">
        <v>0</v>
      </c>
      <c r="L236" s="11"/>
      <c r="M236" s="11"/>
      <c r="N236" s="16">
        <f t="shared" si="10"/>
        <v>0</v>
      </c>
      <c r="O236" s="18"/>
      <c r="P236" s="19">
        <v>0</v>
      </c>
      <c r="Q236" s="29">
        <f t="shared" si="11"/>
        <v>0</v>
      </c>
      <c r="R236" s="11"/>
    </row>
    <row r="237" spans="1:18" x14ac:dyDescent="0.2">
      <c r="A237" s="18">
        <f>+'SERVICIO FAENA'!E235</f>
        <v>0</v>
      </c>
      <c r="B237" s="20">
        <f>+'SERVICIO FAENA'!A235</f>
        <v>0</v>
      </c>
      <c r="C237" s="49">
        <f>+'SERVICIO FAENA'!C235</f>
        <v>0</v>
      </c>
      <c r="D237" s="110"/>
      <c r="E237" s="110"/>
      <c r="F237" s="49"/>
      <c r="G237" s="49"/>
      <c r="H237" s="49">
        <f t="shared" si="12"/>
        <v>0</v>
      </c>
      <c r="I237" s="16"/>
      <c r="J237" s="16">
        <v>0</v>
      </c>
      <c r="K237" s="16">
        <v>0</v>
      </c>
      <c r="L237" s="11"/>
      <c r="M237" s="11"/>
      <c r="N237" s="16">
        <f t="shared" si="10"/>
        <v>0</v>
      </c>
      <c r="O237" s="18"/>
      <c r="P237" s="19">
        <v>0</v>
      </c>
      <c r="Q237" s="29">
        <f t="shared" si="11"/>
        <v>0</v>
      </c>
      <c r="R237" s="11"/>
    </row>
    <row r="238" spans="1:18" ht="12.75" customHeight="1" x14ac:dyDescent="0.2">
      <c r="A238" s="18">
        <f>+'SERVICIO FAENA'!E236</f>
        <v>0</v>
      </c>
      <c r="B238" s="20">
        <f>+'SERVICIO FAENA'!A236</f>
        <v>0</v>
      </c>
      <c r="C238" s="49">
        <f>+'SERVICIO FAENA'!C236</f>
        <v>0</v>
      </c>
      <c r="D238" s="110"/>
      <c r="E238" s="110"/>
      <c r="F238" s="49"/>
      <c r="G238" s="49"/>
      <c r="H238" s="49">
        <f t="shared" si="12"/>
        <v>0</v>
      </c>
      <c r="I238" s="16"/>
      <c r="J238" s="16">
        <v>0</v>
      </c>
      <c r="K238" s="16">
        <v>0</v>
      </c>
      <c r="L238" s="11"/>
      <c r="M238" s="11"/>
      <c r="N238" s="16">
        <f t="shared" si="10"/>
        <v>0</v>
      </c>
      <c r="O238" s="18"/>
      <c r="P238" s="19">
        <v>0</v>
      </c>
      <c r="Q238" s="29">
        <f t="shared" si="11"/>
        <v>0</v>
      </c>
      <c r="R238" s="11"/>
    </row>
    <row r="239" spans="1:18" x14ac:dyDescent="0.2">
      <c r="A239" s="18">
        <f>+'SERVICIO FAENA'!E237</f>
        <v>0</v>
      </c>
      <c r="B239" s="20">
        <f>+'SERVICIO FAENA'!A237</f>
        <v>0</v>
      </c>
      <c r="C239" s="49">
        <f>+'SERVICIO FAENA'!C237</f>
        <v>0</v>
      </c>
      <c r="D239" s="110"/>
      <c r="E239" s="110"/>
      <c r="F239" s="49"/>
      <c r="G239" s="49"/>
      <c r="H239" s="49">
        <f t="shared" si="12"/>
        <v>0</v>
      </c>
      <c r="I239" s="16"/>
      <c r="J239" s="16">
        <v>0</v>
      </c>
      <c r="K239" s="16">
        <v>0</v>
      </c>
      <c r="L239" s="11"/>
      <c r="M239" s="11"/>
      <c r="N239" s="16">
        <f t="shared" si="10"/>
        <v>0</v>
      </c>
      <c r="O239" s="18"/>
      <c r="P239" s="19">
        <v>0</v>
      </c>
      <c r="Q239" s="29">
        <f t="shared" si="11"/>
        <v>0</v>
      </c>
      <c r="R239" s="11"/>
    </row>
    <row r="240" spans="1:18" ht="12.75" customHeight="1" x14ac:dyDescent="0.2">
      <c r="A240" s="18">
        <f>+'SERVICIO FAENA'!E238</f>
        <v>0</v>
      </c>
      <c r="B240" s="20">
        <f>+'SERVICIO FAENA'!A238</f>
        <v>0</v>
      </c>
      <c r="C240" s="49">
        <f>+'SERVICIO FAENA'!C238</f>
        <v>0</v>
      </c>
      <c r="D240" s="110"/>
      <c r="E240" s="110"/>
      <c r="F240" s="49"/>
      <c r="G240" s="49"/>
      <c r="H240" s="49">
        <f t="shared" si="12"/>
        <v>0</v>
      </c>
      <c r="I240" s="16"/>
      <c r="J240" s="16">
        <v>0</v>
      </c>
      <c r="K240" s="16">
        <v>0</v>
      </c>
      <c r="L240" s="11"/>
      <c r="M240" s="11"/>
      <c r="N240" s="16">
        <f t="shared" si="10"/>
        <v>0</v>
      </c>
      <c r="O240" s="18"/>
      <c r="P240" s="19">
        <v>0</v>
      </c>
      <c r="Q240" s="29">
        <f t="shared" si="11"/>
        <v>0</v>
      </c>
      <c r="R240" s="11"/>
    </row>
    <row r="241" spans="1:18" x14ac:dyDescent="0.2">
      <c r="A241" s="18">
        <f>+'SERVICIO FAENA'!E239</f>
        <v>0</v>
      </c>
      <c r="B241" s="20">
        <f>+'SERVICIO FAENA'!A239</f>
        <v>0</v>
      </c>
      <c r="C241" s="49">
        <f>+'SERVICIO FAENA'!C239</f>
        <v>0</v>
      </c>
      <c r="D241" s="110"/>
      <c r="E241" s="110"/>
      <c r="F241" s="49"/>
      <c r="G241" s="49"/>
      <c r="H241" s="49">
        <f t="shared" si="12"/>
        <v>0</v>
      </c>
      <c r="I241" s="16"/>
      <c r="J241" s="16">
        <v>0</v>
      </c>
      <c r="K241" s="16">
        <v>0</v>
      </c>
      <c r="L241" s="11"/>
      <c r="M241" s="11"/>
      <c r="N241" s="16">
        <f t="shared" si="10"/>
        <v>0</v>
      </c>
      <c r="O241" s="18"/>
      <c r="P241" s="19">
        <v>0</v>
      </c>
      <c r="Q241" s="29">
        <f t="shared" si="11"/>
        <v>0</v>
      </c>
      <c r="R241" s="11"/>
    </row>
    <row r="242" spans="1:18" ht="12.75" customHeight="1" x14ac:dyDescent="0.2">
      <c r="A242" s="18">
        <f>+'SERVICIO FAENA'!E240</f>
        <v>0</v>
      </c>
      <c r="B242" s="20">
        <f>+'SERVICIO FAENA'!A240</f>
        <v>0</v>
      </c>
      <c r="C242" s="49">
        <f>+'SERVICIO FAENA'!C240</f>
        <v>0</v>
      </c>
      <c r="D242" s="110"/>
      <c r="E242" s="110"/>
      <c r="F242" s="49"/>
      <c r="G242" s="49"/>
      <c r="H242" s="49">
        <f t="shared" si="12"/>
        <v>0</v>
      </c>
      <c r="I242" s="16"/>
      <c r="J242" s="16">
        <v>0</v>
      </c>
      <c r="K242" s="16">
        <v>0</v>
      </c>
      <c r="L242" s="11"/>
      <c r="M242" s="11"/>
      <c r="N242" s="16">
        <f t="shared" si="10"/>
        <v>0</v>
      </c>
      <c r="O242" s="18"/>
      <c r="P242" s="19">
        <v>0</v>
      </c>
      <c r="Q242" s="29">
        <f t="shared" si="11"/>
        <v>0</v>
      </c>
      <c r="R242" s="11"/>
    </row>
    <row r="243" spans="1:18" x14ac:dyDescent="0.2">
      <c r="A243" s="18">
        <f>+'SERVICIO FAENA'!E241</f>
        <v>0</v>
      </c>
      <c r="B243" s="20">
        <f>+'SERVICIO FAENA'!A241</f>
        <v>0</v>
      </c>
      <c r="C243" s="49">
        <f>+'SERVICIO FAENA'!C241</f>
        <v>0</v>
      </c>
      <c r="D243" s="110"/>
      <c r="E243" s="110"/>
      <c r="F243" s="49"/>
      <c r="G243" s="49"/>
      <c r="H243" s="49">
        <f t="shared" si="12"/>
        <v>0</v>
      </c>
      <c r="I243" s="16"/>
      <c r="J243" s="16">
        <v>0</v>
      </c>
      <c r="K243" s="16">
        <v>0</v>
      </c>
      <c r="L243" s="11"/>
      <c r="M243" s="11"/>
      <c r="N243" s="16">
        <f t="shared" si="10"/>
        <v>0</v>
      </c>
      <c r="O243" s="18"/>
      <c r="P243" s="19">
        <v>0</v>
      </c>
      <c r="Q243" s="29">
        <f t="shared" si="11"/>
        <v>0</v>
      </c>
      <c r="R243" s="11"/>
    </row>
    <row r="244" spans="1:18" ht="12.75" customHeight="1" x14ac:dyDescent="0.2">
      <c r="A244" s="18">
        <f>+'SERVICIO FAENA'!E242</f>
        <v>0</v>
      </c>
      <c r="B244" s="20">
        <f>+'SERVICIO FAENA'!A242</f>
        <v>0</v>
      </c>
      <c r="C244" s="49">
        <f>+'SERVICIO FAENA'!C242</f>
        <v>0</v>
      </c>
      <c r="D244" s="110"/>
      <c r="E244" s="110"/>
      <c r="F244" s="49"/>
      <c r="G244" s="49"/>
      <c r="H244" s="49">
        <f t="shared" si="12"/>
        <v>0</v>
      </c>
      <c r="I244" s="16"/>
      <c r="J244" s="16">
        <v>0</v>
      </c>
      <c r="K244" s="16">
        <v>0</v>
      </c>
      <c r="L244" s="11"/>
      <c r="M244" s="11"/>
      <c r="N244" s="16">
        <f t="shared" si="10"/>
        <v>0</v>
      </c>
      <c r="O244" s="18"/>
      <c r="P244" s="19">
        <v>0</v>
      </c>
      <c r="Q244" s="29">
        <f t="shared" si="11"/>
        <v>0</v>
      </c>
      <c r="R244" s="11"/>
    </row>
    <row r="245" spans="1:18" x14ac:dyDescent="0.2">
      <c r="A245" s="18">
        <f>+'SERVICIO FAENA'!E243</f>
        <v>0</v>
      </c>
      <c r="B245" s="20">
        <f>+'SERVICIO FAENA'!A243</f>
        <v>0</v>
      </c>
      <c r="C245" s="49">
        <f>+'SERVICIO FAENA'!C243</f>
        <v>0</v>
      </c>
      <c r="D245" s="110"/>
      <c r="E245" s="110"/>
      <c r="F245" s="49"/>
      <c r="G245" s="49"/>
      <c r="H245" s="49">
        <f t="shared" si="12"/>
        <v>0</v>
      </c>
      <c r="I245" s="16"/>
      <c r="J245" s="16">
        <v>0</v>
      </c>
      <c r="K245" s="16">
        <v>0</v>
      </c>
      <c r="L245" s="11"/>
      <c r="M245" s="11"/>
      <c r="N245" s="16">
        <f t="shared" si="10"/>
        <v>0</v>
      </c>
      <c r="O245" s="18"/>
      <c r="P245" s="19">
        <v>0</v>
      </c>
      <c r="Q245" s="29">
        <f t="shared" si="11"/>
        <v>0</v>
      </c>
      <c r="R245" s="11"/>
    </row>
    <row r="246" spans="1:18" ht="12.75" customHeight="1" x14ac:dyDescent="0.2">
      <c r="A246" s="18">
        <f>+'SERVICIO FAENA'!E244</f>
        <v>0</v>
      </c>
      <c r="B246" s="20">
        <f>+'SERVICIO FAENA'!A244</f>
        <v>0</v>
      </c>
      <c r="C246" s="49">
        <f>+'SERVICIO FAENA'!C244</f>
        <v>0</v>
      </c>
      <c r="D246" s="110"/>
      <c r="E246" s="110"/>
      <c r="F246" s="49"/>
      <c r="G246" s="49"/>
      <c r="H246" s="49">
        <f t="shared" si="12"/>
        <v>0</v>
      </c>
      <c r="I246" s="16"/>
      <c r="J246" s="16">
        <v>0</v>
      </c>
      <c r="K246" s="16">
        <v>0</v>
      </c>
      <c r="L246" s="11"/>
      <c r="M246" s="11"/>
      <c r="N246" s="16">
        <f t="shared" si="10"/>
        <v>0</v>
      </c>
      <c r="O246" s="18"/>
      <c r="P246" s="19">
        <v>0</v>
      </c>
      <c r="Q246" s="29">
        <f t="shared" si="11"/>
        <v>0</v>
      </c>
      <c r="R246" s="11"/>
    </row>
    <row r="247" spans="1:18" x14ac:dyDescent="0.2">
      <c r="A247" s="18">
        <f>+'SERVICIO FAENA'!E245</f>
        <v>0</v>
      </c>
      <c r="B247" s="20">
        <f>+'SERVICIO FAENA'!A245</f>
        <v>0</v>
      </c>
      <c r="C247" s="49">
        <f>+'SERVICIO FAENA'!C245</f>
        <v>0</v>
      </c>
      <c r="D247" s="110"/>
      <c r="E247" s="110"/>
      <c r="F247" s="49"/>
      <c r="G247" s="49"/>
      <c r="H247" s="49">
        <f t="shared" si="12"/>
        <v>0</v>
      </c>
      <c r="I247" s="16"/>
      <c r="J247" s="16">
        <v>0</v>
      </c>
      <c r="K247" s="16">
        <v>0</v>
      </c>
      <c r="L247" s="11"/>
      <c r="M247" s="11"/>
      <c r="N247" s="16">
        <f t="shared" si="10"/>
        <v>0</v>
      </c>
      <c r="O247" s="18"/>
      <c r="P247" s="19">
        <v>0</v>
      </c>
      <c r="Q247" s="29">
        <f t="shared" si="11"/>
        <v>0</v>
      </c>
      <c r="R247" s="11"/>
    </row>
    <row r="248" spans="1:18" ht="12.75" customHeight="1" x14ac:dyDescent="0.2">
      <c r="A248" s="18">
        <f>+'SERVICIO FAENA'!E246</f>
        <v>0</v>
      </c>
      <c r="B248" s="20">
        <f>+'SERVICIO FAENA'!A246</f>
        <v>0</v>
      </c>
      <c r="C248" s="49">
        <f>+'SERVICIO FAENA'!C246</f>
        <v>0</v>
      </c>
      <c r="D248" s="110"/>
      <c r="E248" s="110"/>
      <c r="F248" s="49"/>
      <c r="G248" s="49"/>
      <c r="H248" s="49">
        <f t="shared" si="12"/>
        <v>0</v>
      </c>
      <c r="I248" s="16"/>
      <c r="J248" s="16">
        <v>0</v>
      </c>
      <c r="K248" s="16">
        <v>0</v>
      </c>
      <c r="L248" s="11"/>
      <c r="M248" s="11"/>
      <c r="N248" s="16">
        <f t="shared" si="10"/>
        <v>0</v>
      </c>
      <c r="O248" s="18"/>
      <c r="P248" s="19">
        <v>0</v>
      </c>
      <c r="Q248" s="29">
        <f t="shared" si="11"/>
        <v>0</v>
      </c>
      <c r="R248" s="11"/>
    </row>
    <row r="249" spans="1:18" x14ac:dyDescent="0.2">
      <c r="A249" s="18">
        <f>+'SERVICIO FAENA'!E247</f>
        <v>0</v>
      </c>
      <c r="B249" s="20">
        <f>+'SERVICIO FAENA'!A247</f>
        <v>0</v>
      </c>
      <c r="C249" s="49">
        <f>+'SERVICIO FAENA'!C247</f>
        <v>0</v>
      </c>
      <c r="D249" s="110"/>
      <c r="E249" s="110"/>
      <c r="F249" s="49"/>
      <c r="G249" s="49"/>
      <c r="H249" s="49">
        <f t="shared" si="12"/>
        <v>0</v>
      </c>
      <c r="I249" s="16"/>
      <c r="J249" s="16">
        <v>0</v>
      </c>
      <c r="K249" s="16">
        <v>0</v>
      </c>
      <c r="L249" s="11"/>
      <c r="M249" s="11"/>
      <c r="N249" s="16">
        <f t="shared" si="10"/>
        <v>0</v>
      </c>
      <c r="O249" s="18"/>
      <c r="P249" s="19">
        <v>0</v>
      </c>
      <c r="Q249" s="29">
        <f t="shared" si="11"/>
        <v>0</v>
      </c>
      <c r="R249" s="11"/>
    </row>
    <row r="250" spans="1:18" ht="12.75" customHeight="1" x14ac:dyDescent="0.2">
      <c r="A250" s="18">
        <f>+'SERVICIO FAENA'!E248</f>
        <v>0</v>
      </c>
      <c r="B250" s="20">
        <f>+'SERVICIO FAENA'!A248</f>
        <v>0</v>
      </c>
      <c r="C250" s="49">
        <f>+'SERVICIO FAENA'!C248</f>
        <v>0</v>
      </c>
      <c r="D250" s="110"/>
      <c r="E250" s="110"/>
      <c r="F250" s="49"/>
      <c r="G250" s="49"/>
      <c r="H250" s="49">
        <f t="shared" si="12"/>
        <v>0</v>
      </c>
      <c r="I250" s="16"/>
      <c r="J250" s="16">
        <v>0</v>
      </c>
      <c r="K250" s="16">
        <v>0</v>
      </c>
      <c r="L250" s="11"/>
      <c r="M250" s="11"/>
      <c r="N250" s="16">
        <f t="shared" si="10"/>
        <v>0</v>
      </c>
      <c r="O250" s="18"/>
      <c r="P250" s="19">
        <v>0</v>
      </c>
      <c r="Q250" s="29">
        <f t="shared" si="11"/>
        <v>0</v>
      </c>
      <c r="R250" s="11"/>
    </row>
    <row r="251" spans="1:18" x14ac:dyDescent="0.2">
      <c r="A251" s="18">
        <f>+'SERVICIO FAENA'!E249</f>
        <v>0</v>
      </c>
      <c r="B251" s="20">
        <f>+'SERVICIO FAENA'!A249</f>
        <v>0</v>
      </c>
      <c r="C251" s="49">
        <f>+'SERVICIO FAENA'!C249</f>
        <v>0</v>
      </c>
      <c r="D251" s="110"/>
      <c r="E251" s="110"/>
      <c r="F251" s="49"/>
      <c r="G251" s="49"/>
      <c r="H251" s="49">
        <f t="shared" si="12"/>
        <v>0</v>
      </c>
      <c r="I251" s="16"/>
      <c r="J251" s="16">
        <v>0</v>
      </c>
      <c r="K251" s="16">
        <v>0</v>
      </c>
      <c r="L251" s="11"/>
      <c r="M251" s="11"/>
      <c r="N251" s="16">
        <f t="shared" si="10"/>
        <v>0</v>
      </c>
      <c r="O251" s="18"/>
      <c r="P251" s="19">
        <v>0</v>
      </c>
      <c r="Q251" s="29">
        <f t="shared" si="11"/>
        <v>0</v>
      </c>
      <c r="R251" s="11"/>
    </row>
    <row r="252" spans="1:18" ht="12.75" customHeight="1" x14ac:dyDescent="0.2">
      <c r="A252" s="18">
        <f>+'SERVICIO FAENA'!E250</f>
        <v>0</v>
      </c>
      <c r="B252" s="20">
        <f>+'SERVICIO FAENA'!A250</f>
        <v>0</v>
      </c>
      <c r="C252" s="49">
        <f>+'SERVICIO FAENA'!C250</f>
        <v>0</v>
      </c>
      <c r="D252" s="110"/>
      <c r="E252" s="110"/>
      <c r="F252" s="49"/>
      <c r="G252" s="49"/>
      <c r="H252" s="49">
        <f t="shared" si="12"/>
        <v>0</v>
      </c>
      <c r="I252" s="16"/>
      <c r="J252" s="16">
        <v>0</v>
      </c>
      <c r="K252" s="16">
        <v>0</v>
      </c>
      <c r="L252" s="11"/>
      <c r="M252" s="11"/>
      <c r="N252" s="16">
        <f t="shared" si="10"/>
        <v>0</v>
      </c>
      <c r="O252" s="18"/>
      <c r="P252" s="19">
        <v>0</v>
      </c>
      <c r="Q252" s="29">
        <f t="shared" si="11"/>
        <v>0</v>
      </c>
      <c r="R252" s="11"/>
    </row>
    <row r="253" spans="1:18" x14ac:dyDescent="0.2">
      <c r="A253" s="18">
        <f>+'SERVICIO FAENA'!E251</f>
        <v>0</v>
      </c>
      <c r="B253" s="20">
        <f>+'SERVICIO FAENA'!A251</f>
        <v>0</v>
      </c>
      <c r="C253" s="49">
        <f>+'SERVICIO FAENA'!C251</f>
        <v>0</v>
      </c>
      <c r="D253" s="110"/>
      <c r="E253" s="110"/>
      <c r="F253" s="49"/>
      <c r="G253" s="49"/>
      <c r="H253" s="49">
        <f t="shared" si="12"/>
        <v>0</v>
      </c>
      <c r="I253" s="16"/>
      <c r="J253" s="16">
        <v>0</v>
      </c>
      <c r="K253" s="16">
        <v>0</v>
      </c>
      <c r="L253" s="11"/>
      <c r="M253" s="11"/>
      <c r="N253" s="16">
        <f t="shared" si="10"/>
        <v>0</v>
      </c>
      <c r="O253" s="18"/>
      <c r="P253" s="19">
        <v>0</v>
      </c>
      <c r="Q253" s="29">
        <f t="shared" si="11"/>
        <v>0</v>
      </c>
      <c r="R253" s="11"/>
    </row>
    <row r="254" spans="1:18" ht="12.75" customHeight="1" x14ac:dyDescent="0.2">
      <c r="A254" s="18">
        <f>+'SERVICIO FAENA'!E252</f>
        <v>0</v>
      </c>
      <c r="B254" s="20">
        <f>+'SERVICIO FAENA'!A252</f>
        <v>0</v>
      </c>
      <c r="C254" s="49">
        <f>+'SERVICIO FAENA'!C252</f>
        <v>0</v>
      </c>
      <c r="D254" s="110"/>
      <c r="E254" s="110"/>
      <c r="F254" s="49"/>
      <c r="G254" s="49"/>
      <c r="H254" s="49">
        <f t="shared" si="12"/>
        <v>0</v>
      </c>
      <c r="I254" s="16"/>
      <c r="J254" s="16">
        <v>0</v>
      </c>
      <c r="K254" s="16">
        <v>0</v>
      </c>
      <c r="L254" s="11"/>
      <c r="M254" s="11"/>
      <c r="N254" s="16">
        <f t="shared" si="10"/>
        <v>0</v>
      </c>
      <c r="O254" s="18"/>
      <c r="P254" s="19">
        <v>0</v>
      </c>
      <c r="Q254" s="29">
        <f t="shared" si="11"/>
        <v>0</v>
      </c>
      <c r="R254" s="11"/>
    </row>
    <row r="255" spans="1:18" x14ac:dyDescent="0.2">
      <c r="A255" s="18">
        <f>+'SERVICIO FAENA'!E253</f>
        <v>0</v>
      </c>
      <c r="B255" s="20">
        <f>+'SERVICIO FAENA'!A253</f>
        <v>0</v>
      </c>
      <c r="C255" s="49">
        <f>+'SERVICIO FAENA'!C253</f>
        <v>0</v>
      </c>
      <c r="D255" s="110"/>
      <c r="E255" s="110"/>
      <c r="F255" s="49"/>
      <c r="G255" s="49"/>
      <c r="H255" s="49">
        <f t="shared" si="12"/>
        <v>0</v>
      </c>
      <c r="I255" s="16"/>
      <c r="J255" s="16">
        <v>0</v>
      </c>
      <c r="K255" s="16">
        <v>0</v>
      </c>
      <c r="L255" s="11"/>
      <c r="M255" s="11"/>
      <c r="N255" s="16">
        <f t="shared" si="10"/>
        <v>0</v>
      </c>
      <c r="O255" s="18"/>
      <c r="P255" s="19">
        <v>0</v>
      </c>
      <c r="Q255" s="29">
        <f t="shared" si="11"/>
        <v>0</v>
      </c>
      <c r="R255" s="11"/>
    </row>
    <row r="256" spans="1:18" ht="12.75" customHeight="1" x14ac:dyDescent="0.2">
      <c r="A256" s="18">
        <f>+'SERVICIO FAENA'!E254</f>
        <v>0</v>
      </c>
      <c r="B256" s="20">
        <f>+'SERVICIO FAENA'!A254</f>
        <v>0</v>
      </c>
      <c r="C256" s="49">
        <f>+'SERVICIO FAENA'!C254</f>
        <v>0</v>
      </c>
      <c r="D256" s="110"/>
      <c r="E256" s="110"/>
      <c r="F256" s="49"/>
      <c r="G256" s="49"/>
      <c r="H256" s="49">
        <f t="shared" si="12"/>
        <v>0</v>
      </c>
      <c r="I256" s="16"/>
      <c r="J256" s="16">
        <v>0</v>
      </c>
      <c r="K256" s="16">
        <v>0</v>
      </c>
      <c r="L256" s="11"/>
      <c r="M256" s="11"/>
      <c r="N256" s="16">
        <f t="shared" si="10"/>
        <v>0</v>
      </c>
      <c r="O256" s="18"/>
      <c r="P256" s="19">
        <v>0</v>
      </c>
      <c r="Q256" s="29">
        <f t="shared" si="11"/>
        <v>0</v>
      </c>
      <c r="R256" s="11"/>
    </row>
    <row r="257" spans="1:18" x14ac:dyDescent="0.2">
      <c r="A257" s="18">
        <f>+'SERVICIO FAENA'!E255</f>
        <v>0</v>
      </c>
      <c r="B257" s="20">
        <f>+'SERVICIO FAENA'!A255</f>
        <v>0</v>
      </c>
      <c r="C257" s="49">
        <f>+'SERVICIO FAENA'!C255</f>
        <v>0</v>
      </c>
      <c r="D257" s="110"/>
      <c r="E257" s="110"/>
      <c r="F257" s="49"/>
      <c r="G257" s="49"/>
      <c r="H257" s="49">
        <f t="shared" si="12"/>
        <v>0</v>
      </c>
      <c r="I257" s="16"/>
      <c r="J257" s="16">
        <v>0</v>
      </c>
      <c r="K257" s="16">
        <v>0</v>
      </c>
      <c r="L257" s="11"/>
      <c r="M257" s="11"/>
      <c r="N257" s="16">
        <f t="shared" si="10"/>
        <v>0</v>
      </c>
      <c r="O257" s="18"/>
      <c r="P257" s="19">
        <v>0</v>
      </c>
      <c r="Q257" s="29">
        <f t="shared" si="11"/>
        <v>0</v>
      </c>
      <c r="R257" s="11"/>
    </row>
    <row r="258" spans="1:18" ht="12.75" customHeight="1" x14ac:dyDescent="0.2">
      <c r="A258" s="18">
        <f>+'SERVICIO FAENA'!E256</f>
        <v>0</v>
      </c>
      <c r="B258" s="20">
        <f>+'SERVICIO FAENA'!A256</f>
        <v>0</v>
      </c>
      <c r="C258" s="49">
        <f>+'SERVICIO FAENA'!C256</f>
        <v>0</v>
      </c>
      <c r="D258" s="110"/>
      <c r="E258" s="110"/>
      <c r="F258" s="49"/>
      <c r="G258" s="49"/>
      <c r="H258" s="49">
        <f t="shared" si="12"/>
        <v>0</v>
      </c>
      <c r="I258" s="16"/>
      <c r="J258" s="16">
        <v>0</v>
      </c>
      <c r="K258" s="16">
        <v>0</v>
      </c>
      <c r="L258" s="11"/>
      <c r="M258" s="11"/>
      <c r="N258" s="16">
        <f t="shared" si="10"/>
        <v>0</v>
      </c>
      <c r="O258" s="18"/>
      <c r="P258" s="19">
        <v>0</v>
      </c>
      <c r="Q258" s="29">
        <f t="shared" si="11"/>
        <v>0</v>
      </c>
      <c r="R258" s="11"/>
    </row>
    <row r="259" spans="1:18" x14ac:dyDescent="0.2">
      <c r="A259" s="18">
        <f>+'SERVICIO FAENA'!E257</f>
        <v>0</v>
      </c>
      <c r="B259" s="20">
        <f>+'SERVICIO FAENA'!A257</f>
        <v>0</v>
      </c>
      <c r="C259" s="49">
        <f>+'SERVICIO FAENA'!C257</f>
        <v>0</v>
      </c>
      <c r="D259" s="110"/>
      <c r="E259" s="110"/>
      <c r="F259" s="49"/>
      <c r="G259" s="49"/>
      <c r="H259" s="49">
        <f t="shared" si="12"/>
        <v>0</v>
      </c>
      <c r="I259" s="16"/>
      <c r="J259" s="16">
        <v>0</v>
      </c>
      <c r="K259" s="16">
        <v>0</v>
      </c>
      <c r="L259" s="11"/>
      <c r="M259" s="11"/>
      <c r="N259" s="16">
        <f t="shared" si="10"/>
        <v>0</v>
      </c>
      <c r="O259" s="18"/>
      <c r="P259" s="19">
        <v>0</v>
      </c>
      <c r="Q259" s="29">
        <f t="shared" si="11"/>
        <v>0</v>
      </c>
      <c r="R259" s="11"/>
    </row>
    <row r="260" spans="1:18" ht="12.75" customHeight="1" x14ac:dyDescent="0.2">
      <c r="A260" s="18">
        <f>+'SERVICIO FAENA'!E258</f>
        <v>0</v>
      </c>
      <c r="B260" s="20">
        <f>+'SERVICIO FAENA'!A258</f>
        <v>0</v>
      </c>
      <c r="C260" s="49">
        <f>+'SERVICIO FAENA'!C258</f>
        <v>0</v>
      </c>
      <c r="D260" s="110"/>
      <c r="E260" s="110"/>
      <c r="F260" s="49"/>
      <c r="G260" s="49"/>
      <c r="H260" s="49">
        <f t="shared" si="12"/>
        <v>0</v>
      </c>
      <c r="I260" s="16"/>
      <c r="J260" s="16">
        <v>0</v>
      </c>
      <c r="K260" s="16">
        <v>0</v>
      </c>
      <c r="L260" s="11"/>
      <c r="M260" s="11"/>
      <c r="N260" s="16">
        <f t="shared" si="10"/>
        <v>0</v>
      </c>
      <c r="O260" s="18"/>
      <c r="P260" s="19">
        <v>0</v>
      </c>
      <c r="Q260" s="29">
        <f t="shared" si="11"/>
        <v>0</v>
      </c>
      <c r="R260" s="11"/>
    </row>
    <row r="261" spans="1:18" x14ac:dyDescent="0.2">
      <c r="A261" s="18">
        <f>+'SERVICIO FAENA'!E259</f>
        <v>0</v>
      </c>
      <c r="B261" s="20">
        <f>+'SERVICIO FAENA'!A259</f>
        <v>0</v>
      </c>
      <c r="C261" s="49">
        <f>+'SERVICIO FAENA'!C259</f>
        <v>0</v>
      </c>
      <c r="D261" s="110"/>
      <c r="E261" s="110"/>
      <c r="F261" s="49"/>
      <c r="G261" s="49"/>
      <c r="H261" s="49">
        <f t="shared" si="12"/>
        <v>0</v>
      </c>
      <c r="I261" s="16"/>
      <c r="J261" s="16">
        <v>0</v>
      </c>
      <c r="K261" s="16">
        <v>0</v>
      </c>
      <c r="L261" s="11"/>
      <c r="M261" s="11"/>
      <c r="N261" s="16">
        <f t="shared" si="10"/>
        <v>0</v>
      </c>
      <c r="O261" s="18"/>
      <c r="P261" s="19">
        <v>0</v>
      </c>
      <c r="Q261" s="29">
        <f t="shared" si="11"/>
        <v>0</v>
      </c>
      <c r="R261" s="11"/>
    </row>
    <row r="262" spans="1:18" ht="12.75" customHeight="1" x14ac:dyDescent="0.2">
      <c r="A262" s="18">
        <f>+'SERVICIO FAENA'!E260</f>
        <v>0</v>
      </c>
      <c r="B262" s="20">
        <f>+'SERVICIO FAENA'!A260</f>
        <v>0</v>
      </c>
      <c r="C262" s="49">
        <f>+'SERVICIO FAENA'!C260</f>
        <v>0</v>
      </c>
      <c r="D262" s="110"/>
      <c r="E262" s="110"/>
      <c r="F262" s="49"/>
      <c r="G262" s="49"/>
      <c r="H262" s="49">
        <f t="shared" si="12"/>
        <v>0</v>
      </c>
      <c r="I262" s="16"/>
      <c r="J262" s="16">
        <v>0</v>
      </c>
      <c r="K262" s="16">
        <v>0</v>
      </c>
      <c r="L262" s="11"/>
      <c r="M262" s="11"/>
      <c r="N262" s="16">
        <f t="shared" si="10"/>
        <v>0</v>
      </c>
      <c r="O262" s="18"/>
      <c r="P262" s="19">
        <v>0</v>
      </c>
      <c r="Q262" s="29">
        <f t="shared" si="11"/>
        <v>0</v>
      </c>
      <c r="R262" s="11"/>
    </row>
    <row r="263" spans="1:18" x14ac:dyDescent="0.2">
      <c r="A263" s="18">
        <f>+'SERVICIO FAENA'!E261</f>
        <v>0</v>
      </c>
      <c r="B263" s="20">
        <f>+'SERVICIO FAENA'!A261</f>
        <v>0</v>
      </c>
      <c r="C263" s="49">
        <f>+'SERVICIO FAENA'!C261</f>
        <v>0</v>
      </c>
      <c r="D263" s="110"/>
      <c r="E263" s="110"/>
      <c r="F263" s="49"/>
      <c r="G263" s="49"/>
      <c r="H263" s="49">
        <f t="shared" si="12"/>
        <v>0</v>
      </c>
      <c r="I263" s="16"/>
      <c r="J263" s="16">
        <v>0</v>
      </c>
      <c r="K263" s="16">
        <v>0</v>
      </c>
      <c r="L263" s="11"/>
      <c r="M263" s="11"/>
      <c r="N263" s="16">
        <f t="shared" si="10"/>
        <v>0</v>
      </c>
      <c r="O263" s="18"/>
      <c r="P263" s="19">
        <v>0</v>
      </c>
      <c r="Q263" s="29">
        <f t="shared" si="11"/>
        <v>0</v>
      </c>
      <c r="R263" s="11"/>
    </row>
    <row r="264" spans="1:18" ht="12.75" customHeight="1" x14ac:dyDescent="0.2">
      <c r="A264" s="18">
        <f>+'SERVICIO FAENA'!E262</f>
        <v>0</v>
      </c>
      <c r="B264" s="20">
        <f>+'SERVICIO FAENA'!A262</f>
        <v>0</v>
      </c>
      <c r="C264" s="49">
        <f>+'SERVICIO FAENA'!C262</f>
        <v>0</v>
      </c>
      <c r="D264" s="110"/>
      <c r="E264" s="110"/>
      <c r="F264" s="49"/>
      <c r="G264" s="49"/>
      <c r="H264" s="49">
        <f t="shared" si="12"/>
        <v>0</v>
      </c>
      <c r="I264" s="16"/>
      <c r="J264" s="16">
        <v>0</v>
      </c>
      <c r="K264" s="16">
        <v>0</v>
      </c>
      <c r="L264" s="11"/>
      <c r="M264" s="11"/>
      <c r="N264" s="16">
        <f t="shared" ref="N264:N327" si="13">+K264*I264</f>
        <v>0</v>
      </c>
      <c r="O264" s="18"/>
      <c r="P264" s="19">
        <v>0</v>
      </c>
      <c r="Q264" s="29">
        <f t="shared" ref="Q264:Q327" si="14">+P264-N264</f>
        <v>0</v>
      </c>
      <c r="R264" s="11"/>
    </row>
    <row r="265" spans="1:18" x14ac:dyDescent="0.2">
      <c r="A265" s="18">
        <f>+'SERVICIO FAENA'!E263</f>
        <v>0</v>
      </c>
      <c r="B265" s="20">
        <f>+'SERVICIO FAENA'!A263</f>
        <v>0</v>
      </c>
      <c r="C265" s="49">
        <f>+'SERVICIO FAENA'!C263</f>
        <v>0</v>
      </c>
      <c r="D265" s="110"/>
      <c r="E265" s="110"/>
      <c r="F265" s="49"/>
      <c r="G265" s="49"/>
      <c r="H265" s="49">
        <f t="shared" si="12"/>
        <v>0</v>
      </c>
      <c r="I265" s="16"/>
      <c r="J265" s="16">
        <v>0</v>
      </c>
      <c r="K265" s="16">
        <v>0</v>
      </c>
      <c r="L265" s="11"/>
      <c r="M265" s="11"/>
      <c r="N265" s="16">
        <f t="shared" si="13"/>
        <v>0</v>
      </c>
      <c r="O265" s="18"/>
      <c r="P265" s="19">
        <v>0</v>
      </c>
      <c r="Q265" s="29">
        <f t="shared" si="14"/>
        <v>0</v>
      </c>
      <c r="R265" s="11"/>
    </row>
    <row r="266" spans="1:18" ht="12.75" customHeight="1" x14ac:dyDescent="0.2">
      <c r="A266" s="18">
        <f>+'SERVICIO FAENA'!E264</f>
        <v>0</v>
      </c>
      <c r="B266" s="20">
        <f>+'SERVICIO FAENA'!A264</f>
        <v>0</v>
      </c>
      <c r="C266" s="49">
        <f>+'SERVICIO FAENA'!C264</f>
        <v>0</v>
      </c>
      <c r="D266" s="110"/>
      <c r="E266" s="110"/>
      <c r="F266" s="49"/>
      <c r="G266" s="49"/>
      <c r="H266" s="49">
        <f t="shared" si="12"/>
        <v>0</v>
      </c>
      <c r="I266" s="16"/>
      <c r="J266" s="16">
        <v>0</v>
      </c>
      <c r="K266" s="16">
        <v>0</v>
      </c>
      <c r="L266" s="11"/>
      <c r="M266" s="11"/>
      <c r="N266" s="16">
        <f t="shared" si="13"/>
        <v>0</v>
      </c>
      <c r="O266" s="18"/>
      <c r="P266" s="19">
        <v>0</v>
      </c>
      <c r="Q266" s="29">
        <f t="shared" si="14"/>
        <v>0</v>
      </c>
      <c r="R266" s="11"/>
    </row>
    <row r="267" spans="1:18" x14ac:dyDescent="0.2">
      <c r="A267" s="18">
        <f>+'SERVICIO FAENA'!E265</f>
        <v>0</v>
      </c>
      <c r="B267" s="20">
        <f>+'SERVICIO FAENA'!A265</f>
        <v>0</v>
      </c>
      <c r="C267" s="49">
        <f>+'SERVICIO FAENA'!C265</f>
        <v>0</v>
      </c>
      <c r="D267" s="110"/>
      <c r="E267" s="110"/>
      <c r="F267" s="49"/>
      <c r="G267" s="49"/>
      <c r="H267" s="49">
        <f t="shared" si="12"/>
        <v>0</v>
      </c>
      <c r="I267" s="16"/>
      <c r="J267" s="16">
        <v>0</v>
      </c>
      <c r="K267" s="16">
        <v>0</v>
      </c>
      <c r="L267" s="11"/>
      <c r="M267" s="11"/>
      <c r="N267" s="16">
        <f t="shared" si="13"/>
        <v>0</v>
      </c>
      <c r="O267" s="18"/>
      <c r="P267" s="19">
        <v>0</v>
      </c>
      <c r="Q267" s="29">
        <f t="shared" si="14"/>
        <v>0</v>
      </c>
      <c r="R267" s="11"/>
    </row>
    <row r="268" spans="1:18" ht="12.75" customHeight="1" x14ac:dyDescent="0.2">
      <c r="A268" s="18">
        <f>+'SERVICIO FAENA'!E266</f>
        <v>0</v>
      </c>
      <c r="B268" s="20">
        <f>+'SERVICIO FAENA'!A266</f>
        <v>0</v>
      </c>
      <c r="C268" s="49">
        <f>+'SERVICIO FAENA'!C266</f>
        <v>0</v>
      </c>
      <c r="D268" s="110"/>
      <c r="E268" s="110"/>
      <c r="F268" s="49"/>
      <c r="G268" s="49"/>
      <c r="H268" s="49">
        <f t="shared" si="12"/>
        <v>0</v>
      </c>
      <c r="I268" s="16"/>
      <c r="J268" s="16">
        <v>0</v>
      </c>
      <c r="K268" s="16">
        <v>0</v>
      </c>
      <c r="L268" s="11"/>
      <c r="M268" s="11"/>
      <c r="N268" s="16">
        <f t="shared" si="13"/>
        <v>0</v>
      </c>
      <c r="O268" s="18"/>
      <c r="P268" s="19">
        <v>0</v>
      </c>
      <c r="Q268" s="29">
        <f t="shared" si="14"/>
        <v>0</v>
      </c>
      <c r="R268" s="11"/>
    </row>
    <row r="269" spans="1:18" x14ac:dyDescent="0.2">
      <c r="A269" s="18">
        <f>+'SERVICIO FAENA'!E267</f>
        <v>0</v>
      </c>
      <c r="B269" s="20">
        <f>+'SERVICIO FAENA'!A267</f>
        <v>0</v>
      </c>
      <c r="C269" s="49">
        <f>+'SERVICIO FAENA'!C267</f>
        <v>0</v>
      </c>
      <c r="D269" s="110"/>
      <c r="E269" s="110"/>
      <c r="F269" s="49"/>
      <c r="G269" s="49"/>
      <c r="H269" s="49">
        <f t="shared" si="12"/>
        <v>0</v>
      </c>
      <c r="I269" s="16"/>
      <c r="J269" s="16">
        <v>0</v>
      </c>
      <c r="K269" s="16">
        <v>0</v>
      </c>
      <c r="L269" s="11"/>
      <c r="M269" s="11"/>
      <c r="N269" s="16">
        <f t="shared" si="13"/>
        <v>0</v>
      </c>
      <c r="O269" s="18"/>
      <c r="P269" s="19">
        <v>0</v>
      </c>
      <c r="Q269" s="29">
        <f t="shared" si="14"/>
        <v>0</v>
      </c>
      <c r="R269" s="11"/>
    </row>
    <row r="270" spans="1:18" ht="12.75" customHeight="1" x14ac:dyDescent="0.2">
      <c r="A270" s="18">
        <f>+'SERVICIO FAENA'!E268</f>
        <v>0</v>
      </c>
      <c r="B270" s="20">
        <f>+'SERVICIO FAENA'!A268</f>
        <v>0</v>
      </c>
      <c r="C270" s="49">
        <f>+'SERVICIO FAENA'!C268</f>
        <v>0</v>
      </c>
      <c r="D270" s="110"/>
      <c r="E270" s="110"/>
      <c r="F270" s="49"/>
      <c r="G270" s="49"/>
      <c r="H270" s="49">
        <f t="shared" si="12"/>
        <v>0</v>
      </c>
      <c r="I270" s="16"/>
      <c r="J270" s="16">
        <v>0</v>
      </c>
      <c r="K270" s="16">
        <v>0</v>
      </c>
      <c r="L270" s="11"/>
      <c r="M270" s="11"/>
      <c r="N270" s="16">
        <f t="shared" si="13"/>
        <v>0</v>
      </c>
      <c r="O270" s="18"/>
      <c r="P270" s="19">
        <v>0</v>
      </c>
      <c r="Q270" s="29">
        <f t="shared" si="14"/>
        <v>0</v>
      </c>
      <c r="R270" s="11"/>
    </row>
    <row r="271" spans="1:18" x14ac:dyDescent="0.2">
      <c r="A271" s="18">
        <f>+'SERVICIO FAENA'!E269</f>
        <v>0</v>
      </c>
      <c r="B271" s="20">
        <f>+'SERVICIO FAENA'!A269</f>
        <v>0</v>
      </c>
      <c r="C271" s="49">
        <f>+'SERVICIO FAENA'!C269</f>
        <v>0</v>
      </c>
      <c r="D271" s="110"/>
      <c r="E271" s="110"/>
      <c r="F271" s="49"/>
      <c r="G271" s="49"/>
      <c r="H271" s="49">
        <f t="shared" si="12"/>
        <v>0</v>
      </c>
      <c r="I271" s="16"/>
      <c r="J271" s="16">
        <v>0</v>
      </c>
      <c r="K271" s="16">
        <v>0</v>
      </c>
      <c r="L271" s="11"/>
      <c r="M271" s="11"/>
      <c r="N271" s="16">
        <f t="shared" si="13"/>
        <v>0</v>
      </c>
      <c r="O271" s="18"/>
      <c r="P271" s="19">
        <v>0</v>
      </c>
      <c r="Q271" s="29">
        <f t="shared" si="14"/>
        <v>0</v>
      </c>
      <c r="R271" s="11"/>
    </row>
    <row r="272" spans="1:18" ht="12.75" customHeight="1" x14ac:dyDescent="0.2">
      <c r="A272" s="18">
        <f>+'SERVICIO FAENA'!E270</f>
        <v>0</v>
      </c>
      <c r="B272" s="20">
        <f>+'SERVICIO FAENA'!A270</f>
        <v>0</v>
      </c>
      <c r="C272" s="49">
        <f>+'SERVICIO FAENA'!C270</f>
        <v>0</v>
      </c>
      <c r="D272" s="110"/>
      <c r="E272" s="110"/>
      <c r="F272" s="49"/>
      <c r="G272" s="49"/>
      <c r="H272" s="49">
        <f t="shared" si="12"/>
        <v>0</v>
      </c>
      <c r="I272" s="16"/>
      <c r="J272" s="16">
        <v>0</v>
      </c>
      <c r="K272" s="16">
        <v>0</v>
      </c>
      <c r="L272" s="11"/>
      <c r="M272" s="11"/>
      <c r="N272" s="16">
        <f t="shared" si="13"/>
        <v>0</v>
      </c>
      <c r="O272" s="18"/>
      <c r="P272" s="19">
        <v>0</v>
      </c>
      <c r="Q272" s="29">
        <f t="shared" si="14"/>
        <v>0</v>
      </c>
      <c r="R272" s="11"/>
    </row>
    <row r="273" spans="1:18" x14ac:dyDescent="0.2">
      <c r="A273" s="18">
        <f>+'SERVICIO FAENA'!E271</f>
        <v>0</v>
      </c>
      <c r="B273" s="20">
        <f>+'SERVICIO FAENA'!A271</f>
        <v>0</v>
      </c>
      <c r="C273" s="49">
        <f>+'SERVICIO FAENA'!C271</f>
        <v>0</v>
      </c>
      <c r="D273" s="110"/>
      <c r="E273" s="110"/>
      <c r="F273" s="49"/>
      <c r="G273" s="49"/>
      <c r="H273" s="49">
        <f t="shared" ref="H273:H336" si="15">+D273+E273</f>
        <v>0</v>
      </c>
      <c r="I273" s="16"/>
      <c r="J273" s="16">
        <v>0</v>
      </c>
      <c r="K273" s="16">
        <v>0</v>
      </c>
      <c r="L273" s="11"/>
      <c r="M273" s="11"/>
      <c r="N273" s="16">
        <f t="shared" si="13"/>
        <v>0</v>
      </c>
      <c r="O273" s="18"/>
      <c r="P273" s="19">
        <v>0</v>
      </c>
      <c r="Q273" s="29">
        <f t="shared" si="14"/>
        <v>0</v>
      </c>
      <c r="R273" s="11"/>
    </row>
    <row r="274" spans="1:18" ht="12.75" customHeight="1" x14ac:dyDescent="0.2">
      <c r="A274" s="18">
        <f>+'SERVICIO FAENA'!E272</f>
        <v>0</v>
      </c>
      <c r="B274" s="20">
        <f>+'SERVICIO FAENA'!A272</f>
        <v>0</v>
      </c>
      <c r="C274" s="49">
        <f>+'SERVICIO FAENA'!C272</f>
        <v>0</v>
      </c>
      <c r="D274" s="110"/>
      <c r="E274" s="110"/>
      <c r="F274" s="49"/>
      <c r="G274" s="49"/>
      <c r="H274" s="49">
        <f t="shared" si="15"/>
        <v>0</v>
      </c>
      <c r="I274" s="16"/>
      <c r="J274" s="16">
        <v>0</v>
      </c>
      <c r="K274" s="16">
        <v>0</v>
      </c>
      <c r="L274" s="11"/>
      <c r="M274" s="11"/>
      <c r="N274" s="16">
        <f t="shared" si="13"/>
        <v>0</v>
      </c>
      <c r="O274" s="18"/>
      <c r="P274" s="19">
        <v>0</v>
      </c>
      <c r="Q274" s="29">
        <f t="shared" si="14"/>
        <v>0</v>
      </c>
      <c r="R274" s="11"/>
    </row>
    <row r="275" spans="1:18" x14ac:dyDescent="0.2">
      <c r="A275" s="18">
        <f>+'SERVICIO FAENA'!E273</f>
        <v>0</v>
      </c>
      <c r="B275" s="20">
        <f>+'SERVICIO FAENA'!A273</f>
        <v>0</v>
      </c>
      <c r="C275" s="49">
        <f>+'SERVICIO FAENA'!C273</f>
        <v>0</v>
      </c>
      <c r="D275" s="110"/>
      <c r="E275" s="110"/>
      <c r="F275" s="49"/>
      <c r="G275" s="49"/>
      <c r="H275" s="49">
        <f t="shared" si="15"/>
        <v>0</v>
      </c>
      <c r="I275" s="16"/>
      <c r="J275" s="16">
        <v>0</v>
      </c>
      <c r="K275" s="16">
        <v>0</v>
      </c>
      <c r="L275" s="11"/>
      <c r="M275" s="11"/>
      <c r="N275" s="16">
        <f t="shared" si="13"/>
        <v>0</v>
      </c>
      <c r="O275" s="18"/>
      <c r="P275" s="19">
        <v>0</v>
      </c>
      <c r="Q275" s="29">
        <f t="shared" si="14"/>
        <v>0</v>
      </c>
      <c r="R275" s="11"/>
    </row>
    <row r="276" spans="1:18" ht="12.75" customHeight="1" x14ac:dyDescent="0.2">
      <c r="A276" s="18">
        <f>+'SERVICIO FAENA'!E274</f>
        <v>0</v>
      </c>
      <c r="B276" s="20">
        <f>+'SERVICIO FAENA'!A274</f>
        <v>0</v>
      </c>
      <c r="C276" s="49">
        <f>+'SERVICIO FAENA'!C274</f>
        <v>0</v>
      </c>
      <c r="D276" s="110"/>
      <c r="E276" s="110"/>
      <c r="F276" s="49"/>
      <c r="G276" s="49"/>
      <c r="H276" s="49">
        <f t="shared" si="15"/>
        <v>0</v>
      </c>
      <c r="I276" s="16"/>
      <c r="J276" s="16">
        <v>0</v>
      </c>
      <c r="K276" s="16">
        <v>0</v>
      </c>
      <c r="L276" s="11"/>
      <c r="M276" s="11"/>
      <c r="N276" s="16">
        <f t="shared" si="13"/>
        <v>0</v>
      </c>
      <c r="O276" s="18"/>
      <c r="P276" s="19">
        <v>0</v>
      </c>
      <c r="Q276" s="29">
        <f t="shared" si="14"/>
        <v>0</v>
      </c>
      <c r="R276" s="11"/>
    </row>
    <row r="277" spans="1:18" x14ac:dyDescent="0.2">
      <c r="A277" s="18">
        <f>+'SERVICIO FAENA'!E275</f>
        <v>0</v>
      </c>
      <c r="B277" s="20">
        <f>+'SERVICIO FAENA'!A275</f>
        <v>0</v>
      </c>
      <c r="C277" s="49">
        <f>+'SERVICIO FAENA'!C275</f>
        <v>0</v>
      </c>
      <c r="D277" s="110"/>
      <c r="E277" s="110"/>
      <c r="F277" s="49"/>
      <c r="G277" s="49"/>
      <c r="H277" s="49">
        <f t="shared" si="15"/>
        <v>0</v>
      </c>
      <c r="I277" s="16"/>
      <c r="J277" s="16">
        <v>0</v>
      </c>
      <c r="K277" s="16">
        <v>0</v>
      </c>
      <c r="L277" s="11"/>
      <c r="M277" s="11"/>
      <c r="N277" s="16">
        <f t="shared" si="13"/>
        <v>0</v>
      </c>
      <c r="O277" s="18"/>
      <c r="P277" s="19">
        <v>0</v>
      </c>
      <c r="Q277" s="29">
        <f t="shared" si="14"/>
        <v>0</v>
      </c>
      <c r="R277" s="11"/>
    </row>
    <row r="278" spans="1:18" ht="12.75" customHeight="1" x14ac:dyDescent="0.2">
      <c r="A278" s="18">
        <f>+'SERVICIO FAENA'!E276</f>
        <v>0</v>
      </c>
      <c r="B278" s="20">
        <f>+'SERVICIO FAENA'!A276</f>
        <v>0</v>
      </c>
      <c r="C278" s="49">
        <f>+'SERVICIO FAENA'!C276</f>
        <v>0</v>
      </c>
      <c r="D278" s="110"/>
      <c r="E278" s="110"/>
      <c r="F278" s="49"/>
      <c r="G278" s="49"/>
      <c r="H278" s="49">
        <f t="shared" si="15"/>
        <v>0</v>
      </c>
      <c r="I278" s="16"/>
      <c r="J278" s="16">
        <v>0</v>
      </c>
      <c r="K278" s="16">
        <v>0</v>
      </c>
      <c r="L278" s="11"/>
      <c r="M278" s="11"/>
      <c r="N278" s="16">
        <f t="shared" si="13"/>
        <v>0</v>
      </c>
      <c r="O278" s="18"/>
      <c r="P278" s="19">
        <v>0</v>
      </c>
      <c r="Q278" s="29">
        <f t="shared" si="14"/>
        <v>0</v>
      </c>
      <c r="R278" s="11"/>
    </row>
    <row r="279" spans="1:18" x14ac:dyDescent="0.2">
      <c r="A279" s="18">
        <f>+'SERVICIO FAENA'!E277</f>
        <v>0</v>
      </c>
      <c r="B279" s="20">
        <f>+'SERVICIO FAENA'!A277</f>
        <v>0</v>
      </c>
      <c r="C279" s="49">
        <f>+'SERVICIO FAENA'!C277</f>
        <v>0</v>
      </c>
      <c r="D279" s="110"/>
      <c r="E279" s="110"/>
      <c r="F279" s="49"/>
      <c r="G279" s="49"/>
      <c r="H279" s="49">
        <f t="shared" si="15"/>
        <v>0</v>
      </c>
      <c r="I279" s="16"/>
      <c r="J279" s="16">
        <v>0</v>
      </c>
      <c r="K279" s="16">
        <v>0</v>
      </c>
      <c r="L279" s="11"/>
      <c r="M279" s="11"/>
      <c r="N279" s="16">
        <f t="shared" si="13"/>
        <v>0</v>
      </c>
      <c r="O279" s="18"/>
      <c r="P279" s="19">
        <v>0</v>
      </c>
      <c r="Q279" s="29">
        <f t="shared" si="14"/>
        <v>0</v>
      </c>
      <c r="R279" s="11"/>
    </row>
    <row r="280" spans="1:18" ht="12.75" customHeight="1" x14ac:dyDescent="0.2">
      <c r="A280" s="18">
        <f>+'SERVICIO FAENA'!E278</f>
        <v>0</v>
      </c>
      <c r="B280" s="20">
        <f>+'SERVICIO FAENA'!A278</f>
        <v>0</v>
      </c>
      <c r="C280" s="49">
        <f>+'SERVICIO FAENA'!C278</f>
        <v>0</v>
      </c>
      <c r="D280" s="110"/>
      <c r="E280" s="110"/>
      <c r="F280" s="49"/>
      <c r="G280" s="49"/>
      <c r="H280" s="49">
        <f t="shared" si="15"/>
        <v>0</v>
      </c>
      <c r="I280" s="16"/>
      <c r="J280" s="16">
        <v>0</v>
      </c>
      <c r="K280" s="16">
        <v>0</v>
      </c>
      <c r="L280" s="11"/>
      <c r="M280" s="11"/>
      <c r="N280" s="16">
        <f t="shared" si="13"/>
        <v>0</v>
      </c>
      <c r="O280" s="18"/>
      <c r="P280" s="19">
        <v>0</v>
      </c>
      <c r="Q280" s="29">
        <f t="shared" si="14"/>
        <v>0</v>
      </c>
      <c r="R280" s="11"/>
    </row>
    <row r="281" spans="1:18" x14ac:dyDescent="0.2">
      <c r="A281" s="18">
        <f>+'SERVICIO FAENA'!E279</f>
        <v>0</v>
      </c>
      <c r="B281" s="20">
        <f>+'SERVICIO FAENA'!A279</f>
        <v>0</v>
      </c>
      <c r="C281" s="49">
        <f>+'SERVICIO FAENA'!C279</f>
        <v>0</v>
      </c>
      <c r="D281" s="110"/>
      <c r="E281" s="110"/>
      <c r="F281" s="49"/>
      <c r="G281" s="49"/>
      <c r="H281" s="49">
        <f t="shared" si="15"/>
        <v>0</v>
      </c>
      <c r="I281" s="16"/>
      <c r="J281" s="16">
        <v>0</v>
      </c>
      <c r="K281" s="16">
        <v>0</v>
      </c>
      <c r="L281" s="11"/>
      <c r="M281" s="11"/>
      <c r="N281" s="16">
        <f t="shared" si="13"/>
        <v>0</v>
      </c>
      <c r="O281" s="18"/>
      <c r="P281" s="19">
        <v>0</v>
      </c>
      <c r="Q281" s="29">
        <f t="shared" si="14"/>
        <v>0</v>
      </c>
      <c r="R281" s="11"/>
    </row>
    <row r="282" spans="1:18" ht="12.75" customHeight="1" x14ac:dyDescent="0.2">
      <c r="A282" s="18">
        <f>+'SERVICIO FAENA'!E280</f>
        <v>0</v>
      </c>
      <c r="B282" s="20">
        <f>+'SERVICIO FAENA'!A280</f>
        <v>0</v>
      </c>
      <c r="C282" s="49">
        <f>+'SERVICIO FAENA'!C280</f>
        <v>0</v>
      </c>
      <c r="D282" s="110"/>
      <c r="E282" s="110"/>
      <c r="F282" s="49"/>
      <c r="G282" s="49"/>
      <c r="H282" s="49">
        <f t="shared" si="15"/>
        <v>0</v>
      </c>
      <c r="I282" s="16"/>
      <c r="J282" s="16">
        <v>0</v>
      </c>
      <c r="K282" s="16">
        <v>0</v>
      </c>
      <c r="L282" s="11"/>
      <c r="M282" s="11"/>
      <c r="N282" s="16">
        <f t="shared" si="13"/>
        <v>0</v>
      </c>
      <c r="O282" s="18"/>
      <c r="P282" s="19">
        <v>0</v>
      </c>
      <c r="Q282" s="29">
        <f t="shared" si="14"/>
        <v>0</v>
      </c>
      <c r="R282" s="11"/>
    </row>
    <row r="283" spans="1:18" x14ac:dyDescent="0.2">
      <c r="A283" s="18">
        <f>+'SERVICIO FAENA'!E281</f>
        <v>0</v>
      </c>
      <c r="B283" s="20">
        <f>+'SERVICIO FAENA'!A281</f>
        <v>0</v>
      </c>
      <c r="C283" s="49">
        <f>+'SERVICIO FAENA'!C281</f>
        <v>0</v>
      </c>
      <c r="D283" s="110"/>
      <c r="E283" s="110"/>
      <c r="F283" s="49"/>
      <c r="G283" s="49"/>
      <c r="H283" s="49">
        <f t="shared" si="15"/>
        <v>0</v>
      </c>
      <c r="I283" s="16"/>
      <c r="J283" s="16">
        <v>0</v>
      </c>
      <c r="K283" s="16">
        <v>0</v>
      </c>
      <c r="L283" s="11"/>
      <c r="M283" s="11"/>
      <c r="N283" s="16">
        <f t="shared" si="13"/>
        <v>0</v>
      </c>
      <c r="O283" s="18"/>
      <c r="P283" s="19">
        <v>0</v>
      </c>
      <c r="Q283" s="29">
        <f t="shared" si="14"/>
        <v>0</v>
      </c>
      <c r="R283" s="11"/>
    </row>
    <row r="284" spans="1:18" ht="12.75" customHeight="1" x14ac:dyDescent="0.2">
      <c r="A284" s="18">
        <f>+'SERVICIO FAENA'!E282</f>
        <v>0</v>
      </c>
      <c r="B284" s="20">
        <f>+'SERVICIO FAENA'!A282</f>
        <v>0</v>
      </c>
      <c r="C284" s="49">
        <f>+'SERVICIO FAENA'!C282</f>
        <v>0</v>
      </c>
      <c r="D284" s="110"/>
      <c r="E284" s="110"/>
      <c r="F284" s="49"/>
      <c r="G284" s="49"/>
      <c r="H284" s="49">
        <f t="shared" si="15"/>
        <v>0</v>
      </c>
      <c r="I284" s="16"/>
      <c r="J284" s="16">
        <v>0</v>
      </c>
      <c r="K284" s="16">
        <v>0</v>
      </c>
      <c r="L284" s="11"/>
      <c r="M284" s="11"/>
      <c r="N284" s="16">
        <f t="shared" si="13"/>
        <v>0</v>
      </c>
      <c r="O284" s="18"/>
      <c r="P284" s="19">
        <v>0</v>
      </c>
      <c r="Q284" s="29">
        <f t="shared" si="14"/>
        <v>0</v>
      </c>
      <c r="R284" s="11"/>
    </row>
    <row r="285" spans="1:18" x14ac:dyDescent="0.2">
      <c r="A285" s="18">
        <f>+'SERVICIO FAENA'!E283</f>
        <v>0</v>
      </c>
      <c r="B285" s="20">
        <f>+'SERVICIO FAENA'!A283</f>
        <v>0</v>
      </c>
      <c r="C285" s="49">
        <f>+'SERVICIO FAENA'!C283</f>
        <v>0</v>
      </c>
      <c r="D285" s="110"/>
      <c r="E285" s="110"/>
      <c r="F285" s="49"/>
      <c r="G285" s="49"/>
      <c r="H285" s="49">
        <f t="shared" si="15"/>
        <v>0</v>
      </c>
      <c r="I285" s="16"/>
      <c r="J285" s="16">
        <v>0</v>
      </c>
      <c r="K285" s="16">
        <v>0</v>
      </c>
      <c r="L285" s="11"/>
      <c r="M285" s="11"/>
      <c r="N285" s="16">
        <f t="shared" si="13"/>
        <v>0</v>
      </c>
      <c r="O285" s="18"/>
      <c r="P285" s="19">
        <v>0</v>
      </c>
      <c r="Q285" s="29">
        <f t="shared" si="14"/>
        <v>0</v>
      </c>
      <c r="R285" s="11"/>
    </row>
    <row r="286" spans="1:18" ht="12.75" customHeight="1" x14ac:dyDescent="0.2">
      <c r="A286" s="18">
        <f>+'SERVICIO FAENA'!E284</f>
        <v>0</v>
      </c>
      <c r="B286" s="20">
        <f>+'SERVICIO FAENA'!A284</f>
        <v>0</v>
      </c>
      <c r="C286" s="49">
        <f>+'SERVICIO FAENA'!C284</f>
        <v>0</v>
      </c>
      <c r="D286" s="110"/>
      <c r="E286" s="110"/>
      <c r="F286" s="49"/>
      <c r="G286" s="49"/>
      <c r="H286" s="49">
        <f t="shared" si="15"/>
        <v>0</v>
      </c>
      <c r="I286" s="16"/>
      <c r="J286" s="16">
        <v>0</v>
      </c>
      <c r="K286" s="16">
        <v>0</v>
      </c>
      <c r="L286" s="11"/>
      <c r="M286" s="11"/>
      <c r="N286" s="16">
        <f t="shared" si="13"/>
        <v>0</v>
      </c>
      <c r="O286" s="18"/>
      <c r="P286" s="19">
        <v>0</v>
      </c>
      <c r="Q286" s="29">
        <f t="shared" si="14"/>
        <v>0</v>
      </c>
      <c r="R286" s="11"/>
    </row>
    <row r="287" spans="1:18" x14ac:dyDescent="0.2">
      <c r="A287" s="18">
        <f>+'SERVICIO FAENA'!E285</f>
        <v>0</v>
      </c>
      <c r="B287" s="20">
        <f>+'SERVICIO FAENA'!A285</f>
        <v>0</v>
      </c>
      <c r="C287" s="49">
        <f>+'SERVICIO FAENA'!C285</f>
        <v>0</v>
      </c>
      <c r="D287" s="110"/>
      <c r="E287" s="110"/>
      <c r="F287" s="49"/>
      <c r="G287" s="49"/>
      <c r="H287" s="49">
        <f t="shared" si="15"/>
        <v>0</v>
      </c>
      <c r="I287" s="16"/>
      <c r="J287" s="16">
        <v>0</v>
      </c>
      <c r="K287" s="16">
        <v>0</v>
      </c>
      <c r="L287" s="11"/>
      <c r="M287" s="11"/>
      <c r="N287" s="16">
        <f t="shared" si="13"/>
        <v>0</v>
      </c>
      <c r="O287" s="18"/>
      <c r="P287" s="19">
        <v>0</v>
      </c>
      <c r="Q287" s="29">
        <f t="shared" si="14"/>
        <v>0</v>
      </c>
      <c r="R287" s="11"/>
    </row>
    <row r="288" spans="1:18" ht="12.75" customHeight="1" x14ac:dyDescent="0.2">
      <c r="A288" s="18">
        <f>+'SERVICIO FAENA'!E286</f>
        <v>0</v>
      </c>
      <c r="B288" s="20">
        <f>+'SERVICIO FAENA'!A286</f>
        <v>0</v>
      </c>
      <c r="C288" s="49">
        <f>+'SERVICIO FAENA'!C286</f>
        <v>0</v>
      </c>
      <c r="D288" s="110"/>
      <c r="E288" s="110"/>
      <c r="F288" s="49"/>
      <c r="G288" s="49"/>
      <c r="H288" s="49">
        <f t="shared" si="15"/>
        <v>0</v>
      </c>
      <c r="I288" s="16"/>
      <c r="J288" s="16">
        <v>0</v>
      </c>
      <c r="K288" s="16">
        <v>0</v>
      </c>
      <c r="L288" s="11"/>
      <c r="M288" s="11"/>
      <c r="N288" s="16">
        <f t="shared" si="13"/>
        <v>0</v>
      </c>
      <c r="O288" s="18"/>
      <c r="P288" s="19">
        <v>0</v>
      </c>
      <c r="Q288" s="29">
        <f t="shared" si="14"/>
        <v>0</v>
      </c>
      <c r="R288" s="11"/>
    </row>
    <row r="289" spans="1:18" x14ac:dyDescent="0.2">
      <c r="A289" s="18">
        <f>+'SERVICIO FAENA'!E287</f>
        <v>0</v>
      </c>
      <c r="B289" s="20">
        <f>+'SERVICIO FAENA'!A287</f>
        <v>0</v>
      </c>
      <c r="C289" s="49">
        <f>+'SERVICIO FAENA'!C287</f>
        <v>0</v>
      </c>
      <c r="D289" s="110"/>
      <c r="E289" s="110"/>
      <c r="F289" s="49"/>
      <c r="G289" s="49"/>
      <c r="H289" s="49">
        <f t="shared" si="15"/>
        <v>0</v>
      </c>
      <c r="I289" s="16"/>
      <c r="J289" s="16">
        <v>0</v>
      </c>
      <c r="K289" s="16">
        <v>0</v>
      </c>
      <c r="L289" s="11"/>
      <c r="M289" s="11"/>
      <c r="N289" s="16">
        <f t="shared" si="13"/>
        <v>0</v>
      </c>
      <c r="O289" s="18"/>
      <c r="P289" s="19">
        <v>0</v>
      </c>
      <c r="Q289" s="29">
        <f t="shared" si="14"/>
        <v>0</v>
      </c>
      <c r="R289" s="11"/>
    </row>
    <row r="290" spans="1:18" ht="12.75" customHeight="1" x14ac:dyDescent="0.2">
      <c r="A290" s="18">
        <f>+'SERVICIO FAENA'!E288</f>
        <v>0</v>
      </c>
      <c r="B290" s="20">
        <f>+'SERVICIO FAENA'!A288</f>
        <v>0</v>
      </c>
      <c r="C290" s="49">
        <f>+'SERVICIO FAENA'!C288</f>
        <v>0</v>
      </c>
      <c r="D290" s="110"/>
      <c r="E290" s="110"/>
      <c r="F290" s="49"/>
      <c r="G290" s="49"/>
      <c r="H290" s="49">
        <f t="shared" si="15"/>
        <v>0</v>
      </c>
      <c r="I290" s="16"/>
      <c r="J290" s="16">
        <v>0</v>
      </c>
      <c r="K290" s="16">
        <v>0</v>
      </c>
      <c r="L290" s="11"/>
      <c r="M290" s="11"/>
      <c r="N290" s="16">
        <f t="shared" si="13"/>
        <v>0</v>
      </c>
      <c r="O290" s="18"/>
      <c r="P290" s="19">
        <v>0</v>
      </c>
      <c r="Q290" s="29">
        <f t="shared" si="14"/>
        <v>0</v>
      </c>
      <c r="R290" s="11"/>
    </row>
    <row r="291" spans="1:18" x14ac:dyDescent="0.2">
      <c r="A291" s="18">
        <f>+'SERVICIO FAENA'!E289</f>
        <v>0</v>
      </c>
      <c r="B291" s="20">
        <f>+'SERVICIO FAENA'!A289</f>
        <v>0</v>
      </c>
      <c r="C291" s="49">
        <f>+'SERVICIO FAENA'!C289</f>
        <v>0</v>
      </c>
      <c r="D291" s="110"/>
      <c r="E291" s="110"/>
      <c r="F291" s="49"/>
      <c r="G291" s="49"/>
      <c r="H291" s="49">
        <f t="shared" si="15"/>
        <v>0</v>
      </c>
      <c r="I291" s="16"/>
      <c r="J291" s="16">
        <v>0</v>
      </c>
      <c r="K291" s="16">
        <v>0</v>
      </c>
      <c r="L291" s="11"/>
      <c r="M291" s="11"/>
      <c r="N291" s="16">
        <f t="shared" si="13"/>
        <v>0</v>
      </c>
      <c r="O291" s="18"/>
      <c r="P291" s="19">
        <v>0</v>
      </c>
      <c r="Q291" s="29">
        <f t="shared" si="14"/>
        <v>0</v>
      </c>
      <c r="R291" s="11"/>
    </row>
    <row r="292" spans="1:18" ht="12.75" customHeight="1" x14ac:dyDescent="0.2">
      <c r="A292" s="18">
        <f>+'SERVICIO FAENA'!E290</f>
        <v>0</v>
      </c>
      <c r="B292" s="20">
        <f>+'SERVICIO FAENA'!A290</f>
        <v>0</v>
      </c>
      <c r="C292" s="49">
        <f>+'SERVICIO FAENA'!C290</f>
        <v>0</v>
      </c>
      <c r="D292" s="110"/>
      <c r="E292" s="110"/>
      <c r="F292" s="49"/>
      <c r="G292" s="49"/>
      <c r="H292" s="49">
        <f t="shared" si="15"/>
        <v>0</v>
      </c>
      <c r="I292" s="16"/>
      <c r="J292" s="16">
        <v>0</v>
      </c>
      <c r="K292" s="16">
        <v>0</v>
      </c>
      <c r="L292" s="11"/>
      <c r="M292" s="11"/>
      <c r="N292" s="16">
        <f t="shared" si="13"/>
        <v>0</v>
      </c>
      <c r="O292" s="18"/>
      <c r="P292" s="19">
        <v>0</v>
      </c>
      <c r="Q292" s="29">
        <f t="shared" si="14"/>
        <v>0</v>
      </c>
      <c r="R292" s="11"/>
    </row>
    <row r="293" spans="1:18" x14ac:dyDescent="0.2">
      <c r="A293" s="18">
        <f>+'SERVICIO FAENA'!E291</f>
        <v>0</v>
      </c>
      <c r="B293" s="20">
        <f>+'SERVICIO FAENA'!A291</f>
        <v>0</v>
      </c>
      <c r="C293" s="49">
        <f>+'SERVICIO FAENA'!C291</f>
        <v>0</v>
      </c>
      <c r="D293" s="110"/>
      <c r="E293" s="110"/>
      <c r="F293" s="49"/>
      <c r="G293" s="49"/>
      <c r="H293" s="49">
        <f t="shared" si="15"/>
        <v>0</v>
      </c>
      <c r="I293" s="16"/>
      <c r="J293" s="16">
        <v>0</v>
      </c>
      <c r="K293" s="16">
        <v>0</v>
      </c>
      <c r="L293" s="11"/>
      <c r="M293" s="11"/>
      <c r="N293" s="16">
        <f t="shared" si="13"/>
        <v>0</v>
      </c>
      <c r="O293" s="18"/>
      <c r="P293" s="19">
        <v>0</v>
      </c>
      <c r="Q293" s="29">
        <f t="shared" si="14"/>
        <v>0</v>
      </c>
      <c r="R293" s="11"/>
    </row>
    <row r="294" spans="1:18" ht="12.75" customHeight="1" x14ac:dyDescent="0.2">
      <c r="A294" s="18">
        <f>+'SERVICIO FAENA'!E292</f>
        <v>0</v>
      </c>
      <c r="B294" s="20">
        <f>+'SERVICIO FAENA'!A292</f>
        <v>0</v>
      </c>
      <c r="C294" s="49">
        <f>+'SERVICIO FAENA'!C292</f>
        <v>0</v>
      </c>
      <c r="D294" s="110"/>
      <c r="E294" s="110"/>
      <c r="F294" s="49"/>
      <c r="G294" s="49"/>
      <c r="H294" s="49">
        <f t="shared" si="15"/>
        <v>0</v>
      </c>
      <c r="I294" s="16"/>
      <c r="J294" s="16">
        <v>0</v>
      </c>
      <c r="K294" s="16">
        <v>0</v>
      </c>
      <c r="L294" s="11"/>
      <c r="M294" s="11"/>
      <c r="N294" s="16">
        <f t="shared" si="13"/>
        <v>0</v>
      </c>
      <c r="O294" s="18"/>
      <c r="P294" s="19">
        <v>0</v>
      </c>
      <c r="Q294" s="29">
        <f t="shared" si="14"/>
        <v>0</v>
      </c>
      <c r="R294" s="11"/>
    </row>
    <row r="295" spans="1:18" x14ac:dyDescent="0.2">
      <c r="A295" s="18">
        <f>+'SERVICIO FAENA'!E293</f>
        <v>0</v>
      </c>
      <c r="B295" s="20">
        <f>+'SERVICIO FAENA'!A293</f>
        <v>0</v>
      </c>
      <c r="C295" s="49">
        <f>+'SERVICIO FAENA'!C293</f>
        <v>0</v>
      </c>
      <c r="D295" s="110"/>
      <c r="E295" s="110"/>
      <c r="F295" s="49"/>
      <c r="G295" s="49"/>
      <c r="H295" s="49">
        <f t="shared" si="15"/>
        <v>0</v>
      </c>
      <c r="I295" s="16"/>
      <c r="J295" s="16">
        <v>0</v>
      </c>
      <c r="K295" s="16">
        <v>0</v>
      </c>
      <c r="L295" s="11"/>
      <c r="M295" s="11"/>
      <c r="N295" s="16">
        <f t="shared" si="13"/>
        <v>0</v>
      </c>
      <c r="O295" s="18"/>
      <c r="P295" s="19">
        <v>0</v>
      </c>
      <c r="Q295" s="29">
        <f t="shared" si="14"/>
        <v>0</v>
      </c>
      <c r="R295" s="11"/>
    </row>
    <row r="296" spans="1:18" ht="12.75" customHeight="1" x14ac:dyDescent="0.2">
      <c r="A296" s="18">
        <f>+'SERVICIO FAENA'!E294</f>
        <v>0</v>
      </c>
      <c r="B296" s="20">
        <f>+'SERVICIO FAENA'!A294</f>
        <v>0</v>
      </c>
      <c r="C296" s="49">
        <f>+'SERVICIO FAENA'!C294</f>
        <v>0</v>
      </c>
      <c r="D296" s="110"/>
      <c r="E296" s="110"/>
      <c r="F296" s="49"/>
      <c r="G296" s="49"/>
      <c r="H296" s="49">
        <f t="shared" si="15"/>
        <v>0</v>
      </c>
      <c r="I296" s="16"/>
      <c r="J296" s="16">
        <v>0</v>
      </c>
      <c r="K296" s="16">
        <v>0</v>
      </c>
      <c r="L296" s="11"/>
      <c r="M296" s="11"/>
      <c r="N296" s="16">
        <f t="shared" si="13"/>
        <v>0</v>
      </c>
      <c r="O296" s="18"/>
      <c r="P296" s="19">
        <v>0</v>
      </c>
      <c r="Q296" s="29">
        <f t="shared" si="14"/>
        <v>0</v>
      </c>
      <c r="R296" s="11"/>
    </row>
    <row r="297" spans="1:18" x14ac:dyDescent="0.2">
      <c r="A297" s="18">
        <f>+'SERVICIO FAENA'!E295</f>
        <v>0</v>
      </c>
      <c r="B297" s="20">
        <f>+'SERVICIO FAENA'!A295</f>
        <v>0</v>
      </c>
      <c r="C297" s="49">
        <f>+'SERVICIO FAENA'!C295</f>
        <v>0</v>
      </c>
      <c r="D297" s="110"/>
      <c r="E297" s="110"/>
      <c r="F297" s="49"/>
      <c r="G297" s="49"/>
      <c r="H297" s="49">
        <f t="shared" si="15"/>
        <v>0</v>
      </c>
      <c r="I297" s="16"/>
      <c r="J297" s="16">
        <v>0</v>
      </c>
      <c r="K297" s="16">
        <v>0</v>
      </c>
      <c r="L297" s="11"/>
      <c r="M297" s="11"/>
      <c r="N297" s="16">
        <f t="shared" si="13"/>
        <v>0</v>
      </c>
      <c r="O297" s="18"/>
      <c r="P297" s="19">
        <v>0</v>
      </c>
      <c r="Q297" s="29">
        <f t="shared" si="14"/>
        <v>0</v>
      </c>
      <c r="R297" s="11"/>
    </row>
    <row r="298" spans="1:18" ht="12.75" customHeight="1" x14ac:dyDescent="0.2">
      <c r="A298" s="18">
        <f>+'SERVICIO FAENA'!E296</f>
        <v>0</v>
      </c>
      <c r="B298" s="20">
        <f>+'SERVICIO FAENA'!A296</f>
        <v>0</v>
      </c>
      <c r="C298" s="49">
        <f>+'SERVICIO FAENA'!C296</f>
        <v>0</v>
      </c>
      <c r="D298" s="110"/>
      <c r="E298" s="110"/>
      <c r="F298" s="49"/>
      <c r="G298" s="49"/>
      <c r="H298" s="49">
        <f t="shared" si="15"/>
        <v>0</v>
      </c>
      <c r="I298" s="16"/>
      <c r="J298" s="16">
        <v>0</v>
      </c>
      <c r="K298" s="16">
        <v>0</v>
      </c>
      <c r="L298" s="11"/>
      <c r="M298" s="11"/>
      <c r="N298" s="16">
        <f t="shared" si="13"/>
        <v>0</v>
      </c>
      <c r="O298" s="18"/>
      <c r="P298" s="19">
        <v>0</v>
      </c>
      <c r="Q298" s="29">
        <f t="shared" si="14"/>
        <v>0</v>
      </c>
      <c r="R298" s="11"/>
    </row>
    <row r="299" spans="1:18" x14ac:dyDescent="0.2">
      <c r="A299" s="18">
        <f>+'SERVICIO FAENA'!E297</f>
        <v>0</v>
      </c>
      <c r="B299" s="20">
        <f>+'SERVICIO FAENA'!A297</f>
        <v>0</v>
      </c>
      <c r="C299" s="49">
        <f>+'SERVICIO FAENA'!C297</f>
        <v>0</v>
      </c>
      <c r="D299" s="110"/>
      <c r="E299" s="110"/>
      <c r="F299" s="49"/>
      <c r="G299" s="49"/>
      <c r="H299" s="49">
        <f t="shared" si="15"/>
        <v>0</v>
      </c>
      <c r="I299" s="16"/>
      <c r="J299" s="16">
        <v>0</v>
      </c>
      <c r="K299" s="16">
        <v>0</v>
      </c>
      <c r="L299" s="11"/>
      <c r="M299" s="11"/>
      <c r="N299" s="16">
        <f t="shared" si="13"/>
        <v>0</v>
      </c>
      <c r="O299" s="18"/>
      <c r="P299" s="19">
        <v>0</v>
      </c>
      <c r="Q299" s="29">
        <f t="shared" si="14"/>
        <v>0</v>
      </c>
      <c r="R299" s="11"/>
    </row>
    <row r="300" spans="1:18" ht="12.75" customHeight="1" x14ac:dyDescent="0.2">
      <c r="A300" s="18">
        <f>+'SERVICIO FAENA'!E298</f>
        <v>0</v>
      </c>
      <c r="B300" s="20">
        <f>+'SERVICIO FAENA'!A298</f>
        <v>0</v>
      </c>
      <c r="C300" s="49">
        <f>+'SERVICIO FAENA'!C298</f>
        <v>0</v>
      </c>
      <c r="D300" s="110"/>
      <c r="E300" s="110"/>
      <c r="F300" s="49"/>
      <c r="G300" s="49"/>
      <c r="H300" s="49">
        <f t="shared" si="15"/>
        <v>0</v>
      </c>
      <c r="I300" s="16"/>
      <c r="J300" s="16">
        <v>0</v>
      </c>
      <c r="K300" s="16">
        <v>0</v>
      </c>
      <c r="L300" s="11"/>
      <c r="M300" s="11"/>
      <c r="N300" s="16">
        <f t="shared" si="13"/>
        <v>0</v>
      </c>
      <c r="O300" s="18"/>
      <c r="P300" s="19">
        <v>0</v>
      </c>
      <c r="Q300" s="29">
        <f t="shared" si="14"/>
        <v>0</v>
      </c>
      <c r="R300" s="11"/>
    </row>
    <row r="301" spans="1:18" x14ac:dyDescent="0.2">
      <c r="A301" s="18">
        <f>+'SERVICIO FAENA'!E299</f>
        <v>0</v>
      </c>
      <c r="B301" s="20">
        <f>+'SERVICIO FAENA'!A299</f>
        <v>0</v>
      </c>
      <c r="C301" s="49">
        <f>+'SERVICIO FAENA'!C299</f>
        <v>0</v>
      </c>
      <c r="D301" s="110"/>
      <c r="E301" s="110"/>
      <c r="F301" s="49"/>
      <c r="G301" s="49"/>
      <c r="H301" s="49">
        <f t="shared" si="15"/>
        <v>0</v>
      </c>
      <c r="I301" s="16"/>
      <c r="J301" s="16">
        <v>0</v>
      </c>
      <c r="K301" s="16">
        <v>0</v>
      </c>
      <c r="L301" s="11"/>
      <c r="M301" s="11"/>
      <c r="N301" s="16">
        <f t="shared" si="13"/>
        <v>0</v>
      </c>
      <c r="O301" s="18"/>
      <c r="P301" s="19">
        <v>0</v>
      </c>
      <c r="Q301" s="29">
        <f t="shared" si="14"/>
        <v>0</v>
      </c>
      <c r="R301" s="11"/>
    </row>
    <row r="302" spans="1:18" ht="12.75" customHeight="1" x14ac:dyDescent="0.2">
      <c r="A302" s="18">
        <f>+'SERVICIO FAENA'!E300</f>
        <v>0</v>
      </c>
      <c r="B302" s="20">
        <f>+'SERVICIO FAENA'!A300</f>
        <v>0</v>
      </c>
      <c r="C302" s="49">
        <f>+'SERVICIO FAENA'!C300</f>
        <v>0</v>
      </c>
      <c r="D302" s="110"/>
      <c r="E302" s="110"/>
      <c r="F302" s="49"/>
      <c r="G302" s="49"/>
      <c r="H302" s="49">
        <f t="shared" si="15"/>
        <v>0</v>
      </c>
      <c r="I302" s="16"/>
      <c r="J302" s="16">
        <v>0</v>
      </c>
      <c r="K302" s="16">
        <v>0</v>
      </c>
      <c r="L302" s="11"/>
      <c r="M302" s="11"/>
      <c r="N302" s="16">
        <f t="shared" si="13"/>
        <v>0</v>
      </c>
      <c r="O302" s="18"/>
      <c r="P302" s="19">
        <v>0</v>
      </c>
      <c r="Q302" s="29">
        <f t="shared" si="14"/>
        <v>0</v>
      </c>
      <c r="R302" s="11"/>
    </row>
    <row r="303" spans="1:18" x14ac:dyDescent="0.2">
      <c r="A303" s="18">
        <f>+'SERVICIO FAENA'!E301</f>
        <v>0</v>
      </c>
      <c r="B303" s="20">
        <f>+'SERVICIO FAENA'!A301</f>
        <v>0</v>
      </c>
      <c r="C303" s="49">
        <f>+'SERVICIO FAENA'!C301</f>
        <v>0</v>
      </c>
      <c r="D303" s="110"/>
      <c r="E303" s="110"/>
      <c r="F303" s="49"/>
      <c r="G303" s="49"/>
      <c r="H303" s="49">
        <f t="shared" si="15"/>
        <v>0</v>
      </c>
      <c r="I303" s="16"/>
      <c r="J303" s="16">
        <v>0</v>
      </c>
      <c r="K303" s="16">
        <v>0</v>
      </c>
      <c r="L303" s="11"/>
      <c r="M303" s="11"/>
      <c r="N303" s="16">
        <f t="shared" si="13"/>
        <v>0</v>
      </c>
      <c r="O303" s="18"/>
      <c r="P303" s="19">
        <v>0</v>
      </c>
      <c r="Q303" s="29">
        <f t="shared" si="14"/>
        <v>0</v>
      </c>
      <c r="R303" s="11"/>
    </row>
    <row r="304" spans="1:18" ht="12.75" customHeight="1" x14ac:dyDescent="0.2">
      <c r="A304" s="18">
        <f>+'SERVICIO FAENA'!E302</f>
        <v>0</v>
      </c>
      <c r="B304" s="20">
        <f>+'SERVICIO FAENA'!A302</f>
        <v>0</v>
      </c>
      <c r="C304" s="49">
        <f>+'SERVICIO FAENA'!C302</f>
        <v>0</v>
      </c>
      <c r="D304" s="110"/>
      <c r="E304" s="110"/>
      <c r="F304" s="49"/>
      <c r="G304" s="49"/>
      <c r="H304" s="49">
        <f t="shared" si="15"/>
        <v>0</v>
      </c>
      <c r="I304" s="16"/>
      <c r="J304" s="16">
        <v>0</v>
      </c>
      <c r="K304" s="16">
        <v>0</v>
      </c>
      <c r="L304" s="11"/>
      <c r="M304" s="11"/>
      <c r="N304" s="16">
        <f t="shared" si="13"/>
        <v>0</v>
      </c>
      <c r="O304" s="18"/>
      <c r="P304" s="19">
        <v>0</v>
      </c>
      <c r="Q304" s="29">
        <f t="shared" si="14"/>
        <v>0</v>
      </c>
      <c r="R304" s="11"/>
    </row>
    <row r="305" spans="1:18" x14ac:dyDescent="0.2">
      <c r="A305" s="18">
        <f>+'SERVICIO FAENA'!E303</f>
        <v>0</v>
      </c>
      <c r="B305" s="20">
        <f>+'SERVICIO FAENA'!A303</f>
        <v>0</v>
      </c>
      <c r="C305" s="49">
        <f>+'SERVICIO FAENA'!C303</f>
        <v>0</v>
      </c>
      <c r="D305" s="110"/>
      <c r="E305" s="110"/>
      <c r="F305" s="49"/>
      <c r="G305" s="49"/>
      <c r="H305" s="49">
        <f t="shared" si="15"/>
        <v>0</v>
      </c>
      <c r="I305" s="16"/>
      <c r="J305" s="16">
        <v>0</v>
      </c>
      <c r="K305" s="16">
        <v>0</v>
      </c>
      <c r="L305" s="11"/>
      <c r="M305" s="11"/>
      <c r="N305" s="16">
        <f t="shared" si="13"/>
        <v>0</v>
      </c>
      <c r="O305" s="18"/>
      <c r="P305" s="19">
        <v>0</v>
      </c>
      <c r="Q305" s="29">
        <f t="shared" si="14"/>
        <v>0</v>
      </c>
      <c r="R305" s="11"/>
    </row>
    <row r="306" spans="1:18" ht="12.75" customHeight="1" x14ac:dyDescent="0.2">
      <c r="A306" s="18">
        <f>+'SERVICIO FAENA'!E304</f>
        <v>0</v>
      </c>
      <c r="B306" s="20">
        <f>+'SERVICIO FAENA'!A304</f>
        <v>0</v>
      </c>
      <c r="C306" s="49">
        <f>+'SERVICIO FAENA'!C304</f>
        <v>0</v>
      </c>
      <c r="D306" s="110"/>
      <c r="E306" s="110"/>
      <c r="F306" s="49"/>
      <c r="G306" s="49"/>
      <c r="H306" s="49">
        <f t="shared" si="15"/>
        <v>0</v>
      </c>
      <c r="I306" s="16"/>
      <c r="J306" s="16">
        <v>0</v>
      </c>
      <c r="K306" s="16">
        <v>0</v>
      </c>
      <c r="L306" s="11"/>
      <c r="M306" s="11"/>
      <c r="N306" s="16">
        <f t="shared" si="13"/>
        <v>0</v>
      </c>
      <c r="O306" s="18"/>
      <c r="P306" s="19">
        <v>0</v>
      </c>
      <c r="Q306" s="29">
        <f t="shared" si="14"/>
        <v>0</v>
      </c>
      <c r="R306" s="11"/>
    </row>
    <row r="307" spans="1:18" x14ac:dyDescent="0.2">
      <c r="A307" s="18">
        <f>+'SERVICIO FAENA'!E305</f>
        <v>0</v>
      </c>
      <c r="B307" s="20">
        <f>+'SERVICIO FAENA'!A305</f>
        <v>0</v>
      </c>
      <c r="C307" s="49">
        <f>+'SERVICIO FAENA'!C305</f>
        <v>0</v>
      </c>
      <c r="D307" s="110"/>
      <c r="E307" s="110"/>
      <c r="F307" s="49"/>
      <c r="G307" s="49"/>
      <c r="H307" s="49">
        <f t="shared" si="15"/>
        <v>0</v>
      </c>
      <c r="I307" s="16"/>
      <c r="J307" s="16">
        <v>0</v>
      </c>
      <c r="K307" s="16">
        <v>0</v>
      </c>
      <c r="L307" s="11"/>
      <c r="M307" s="11"/>
      <c r="N307" s="16">
        <f t="shared" si="13"/>
        <v>0</v>
      </c>
      <c r="O307" s="18"/>
      <c r="P307" s="19">
        <v>0</v>
      </c>
      <c r="Q307" s="29">
        <f t="shared" si="14"/>
        <v>0</v>
      </c>
      <c r="R307" s="11"/>
    </row>
    <row r="308" spans="1:18" ht="12.75" customHeight="1" x14ac:dyDescent="0.2">
      <c r="A308" s="18">
        <f>+'SERVICIO FAENA'!E306</f>
        <v>0</v>
      </c>
      <c r="B308" s="20">
        <f>+'SERVICIO FAENA'!A306</f>
        <v>0</v>
      </c>
      <c r="C308" s="49">
        <f>+'SERVICIO FAENA'!C306</f>
        <v>0</v>
      </c>
      <c r="D308" s="110"/>
      <c r="E308" s="110"/>
      <c r="F308" s="49"/>
      <c r="G308" s="49"/>
      <c r="H308" s="49">
        <f t="shared" si="15"/>
        <v>0</v>
      </c>
      <c r="I308" s="16"/>
      <c r="J308" s="16">
        <v>0</v>
      </c>
      <c r="K308" s="16">
        <v>0</v>
      </c>
      <c r="L308" s="11"/>
      <c r="M308" s="11"/>
      <c r="N308" s="16">
        <f t="shared" si="13"/>
        <v>0</v>
      </c>
      <c r="O308" s="18"/>
      <c r="P308" s="19">
        <v>0</v>
      </c>
      <c r="Q308" s="29">
        <f t="shared" si="14"/>
        <v>0</v>
      </c>
      <c r="R308" s="11"/>
    </row>
    <row r="309" spans="1:18" x14ac:dyDescent="0.2">
      <c r="A309" s="18">
        <f>+'SERVICIO FAENA'!E307</f>
        <v>0</v>
      </c>
      <c r="B309" s="20">
        <f>+'SERVICIO FAENA'!A307</f>
        <v>0</v>
      </c>
      <c r="C309" s="49">
        <f>+'SERVICIO FAENA'!C307</f>
        <v>0</v>
      </c>
      <c r="D309" s="110"/>
      <c r="E309" s="110"/>
      <c r="F309" s="49"/>
      <c r="G309" s="49"/>
      <c r="H309" s="49">
        <f t="shared" si="15"/>
        <v>0</v>
      </c>
      <c r="I309" s="16"/>
      <c r="J309" s="16">
        <v>0</v>
      </c>
      <c r="K309" s="16">
        <v>0</v>
      </c>
      <c r="L309" s="11"/>
      <c r="M309" s="11"/>
      <c r="N309" s="16">
        <f t="shared" si="13"/>
        <v>0</v>
      </c>
      <c r="O309" s="18"/>
      <c r="P309" s="19">
        <v>0</v>
      </c>
      <c r="Q309" s="29">
        <f t="shared" si="14"/>
        <v>0</v>
      </c>
      <c r="R309" s="11"/>
    </row>
    <row r="310" spans="1:18" ht="12.75" customHeight="1" x14ac:dyDescent="0.2">
      <c r="A310" s="18">
        <f>+'SERVICIO FAENA'!E308</f>
        <v>0</v>
      </c>
      <c r="B310" s="20">
        <f>+'SERVICIO FAENA'!A308</f>
        <v>0</v>
      </c>
      <c r="C310" s="49">
        <f>+'SERVICIO FAENA'!C308</f>
        <v>0</v>
      </c>
      <c r="D310" s="110"/>
      <c r="E310" s="110"/>
      <c r="F310" s="49"/>
      <c r="G310" s="49"/>
      <c r="H310" s="49">
        <f t="shared" si="15"/>
        <v>0</v>
      </c>
      <c r="I310" s="16"/>
      <c r="J310" s="16">
        <v>0</v>
      </c>
      <c r="K310" s="16">
        <v>0</v>
      </c>
      <c r="L310" s="11"/>
      <c r="M310" s="11"/>
      <c r="N310" s="16">
        <f t="shared" si="13"/>
        <v>0</v>
      </c>
      <c r="O310" s="18"/>
      <c r="P310" s="19">
        <v>0</v>
      </c>
      <c r="Q310" s="29">
        <f t="shared" si="14"/>
        <v>0</v>
      </c>
      <c r="R310" s="11"/>
    </row>
    <row r="311" spans="1:18" x14ac:dyDescent="0.2">
      <c r="A311" s="18">
        <f>+'SERVICIO FAENA'!E309</f>
        <v>0</v>
      </c>
      <c r="B311" s="20">
        <f>+'SERVICIO FAENA'!A309</f>
        <v>0</v>
      </c>
      <c r="C311" s="49">
        <f>+'SERVICIO FAENA'!C309</f>
        <v>0</v>
      </c>
      <c r="D311" s="110"/>
      <c r="E311" s="110"/>
      <c r="F311" s="49"/>
      <c r="G311" s="49"/>
      <c r="H311" s="49">
        <f t="shared" si="15"/>
        <v>0</v>
      </c>
      <c r="I311" s="16"/>
      <c r="J311" s="16">
        <v>0</v>
      </c>
      <c r="K311" s="16">
        <v>0</v>
      </c>
      <c r="L311" s="11"/>
      <c r="M311" s="11"/>
      <c r="N311" s="16">
        <f t="shared" si="13"/>
        <v>0</v>
      </c>
      <c r="O311" s="18"/>
      <c r="P311" s="19">
        <v>0</v>
      </c>
      <c r="Q311" s="29">
        <f t="shared" si="14"/>
        <v>0</v>
      </c>
      <c r="R311" s="11"/>
    </row>
    <row r="312" spans="1:18" ht="12.75" customHeight="1" x14ac:dyDescent="0.2">
      <c r="A312" s="18">
        <f>+'SERVICIO FAENA'!E310</f>
        <v>0</v>
      </c>
      <c r="B312" s="20">
        <f>+'SERVICIO FAENA'!A310</f>
        <v>0</v>
      </c>
      <c r="C312" s="49">
        <f>+'SERVICIO FAENA'!C310</f>
        <v>0</v>
      </c>
      <c r="D312" s="110"/>
      <c r="E312" s="110"/>
      <c r="F312" s="49"/>
      <c r="G312" s="49"/>
      <c r="H312" s="49">
        <f t="shared" si="15"/>
        <v>0</v>
      </c>
      <c r="I312" s="16"/>
      <c r="J312" s="16">
        <v>0</v>
      </c>
      <c r="K312" s="16">
        <v>0</v>
      </c>
      <c r="L312" s="11"/>
      <c r="M312" s="11"/>
      <c r="N312" s="16">
        <f t="shared" si="13"/>
        <v>0</v>
      </c>
      <c r="O312" s="18"/>
      <c r="P312" s="19">
        <v>0</v>
      </c>
      <c r="Q312" s="29">
        <f t="shared" si="14"/>
        <v>0</v>
      </c>
      <c r="R312" s="11"/>
    </row>
    <row r="313" spans="1:18" x14ac:dyDescent="0.2">
      <c r="A313" s="18">
        <f>+'SERVICIO FAENA'!E311</f>
        <v>0</v>
      </c>
      <c r="B313" s="20">
        <f>+'SERVICIO FAENA'!A311</f>
        <v>0</v>
      </c>
      <c r="C313" s="49">
        <f>+'SERVICIO FAENA'!C311</f>
        <v>0</v>
      </c>
      <c r="D313" s="110"/>
      <c r="E313" s="110"/>
      <c r="F313" s="49"/>
      <c r="G313" s="49"/>
      <c r="H313" s="49">
        <f t="shared" si="15"/>
        <v>0</v>
      </c>
      <c r="I313" s="16"/>
      <c r="J313" s="16">
        <v>0</v>
      </c>
      <c r="K313" s="16">
        <v>0</v>
      </c>
      <c r="L313" s="11"/>
      <c r="M313" s="11"/>
      <c r="N313" s="16">
        <f t="shared" si="13"/>
        <v>0</v>
      </c>
      <c r="O313" s="18"/>
      <c r="P313" s="19">
        <v>0</v>
      </c>
      <c r="Q313" s="29">
        <f t="shared" si="14"/>
        <v>0</v>
      </c>
      <c r="R313" s="11"/>
    </row>
    <row r="314" spans="1:18" ht="12.75" customHeight="1" x14ac:dyDescent="0.2">
      <c r="A314" s="18">
        <f>+'SERVICIO FAENA'!E312</f>
        <v>0</v>
      </c>
      <c r="B314" s="20">
        <f>+'SERVICIO FAENA'!A312</f>
        <v>0</v>
      </c>
      <c r="C314" s="49">
        <f>+'SERVICIO FAENA'!C312</f>
        <v>0</v>
      </c>
      <c r="D314" s="110"/>
      <c r="E314" s="110"/>
      <c r="F314" s="49"/>
      <c r="G314" s="49"/>
      <c r="H314" s="49">
        <f t="shared" si="15"/>
        <v>0</v>
      </c>
      <c r="I314" s="16"/>
      <c r="J314" s="16">
        <v>0</v>
      </c>
      <c r="K314" s="16">
        <v>0</v>
      </c>
      <c r="L314" s="11"/>
      <c r="M314" s="11"/>
      <c r="N314" s="16">
        <f t="shared" si="13"/>
        <v>0</v>
      </c>
      <c r="O314" s="18"/>
      <c r="P314" s="19">
        <v>0</v>
      </c>
      <c r="Q314" s="29">
        <f t="shared" si="14"/>
        <v>0</v>
      </c>
      <c r="R314" s="11"/>
    </row>
    <row r="315" spans="1:18" x14ac:dyDescent="0.2">
      <c r="A315" s="18">
        <f>+'SERVICIO FAENA'!E313</f>
        <v>0</v>
      </c>
      <c r="B315" s="20">
        <f>+'SERVICIO FAENA'!A313</f>
        <v>0</v>
      </c>
      <c r="C315" s="49">
        <f>+'SERVICIO FAENA'!C313</f>
        <v>0</v>
      </c>
      <c r="D315" s="110"/>
      <c r="E315" s="110"/>
      <c r="F315" s="49"/>
      <c r="G315" s="49"/>
      <c r="H315" s="49">
        <f t="shared" si="15"/>
        <v>0</v>
      </c>
      <c r="I315" s="16"/>
      <c r="J315" s="16">
        <v>0</v>
      </c>
      <c r="K315" s="16">
        <v>0</v>
      </c>
      <c r="L315" s="11"/>
      <c r="M315" s="11"/>
      <c r="N315" s="16">
        <f t="shared" si="13"/>
        <v>0</v>
      </c>
      <c r="O315" s="18"/>
      <c r="P315" s="19">
        <v>0</v>
      </c>
      <c r="Q315" s="29">
        <f t="shared" si="14"/>
        <v>0</v>
      </c>
      <c r="R315" s="11"/>
    </row>
    <row r="316" spans="1:18" ht="12.75" customHeight="1" x14ac:dyDescent="0.2">
      <c r="A316" s="18">
        <f>+'SERVICIO FAENA'!E314</f>
        <v>0</v>
      </c>
      <c r="B316" s="20">
        <f>+'SERVICIO FAENA'!A314</f>
        <v>0</v>
      </c>
      <c r="C316" s="49">
        <f>+'SERVICIO FAENA'!C314</f>
        <v>0</v>
      </c>
      <c r="D316" s="110"/>
      <c r="E316" s="110"/>
      <c r="F316" s="49"/>
      <c r="G316" s="49"/>
      <c r="H316" s="49">
        <f t="shared" si="15"/>
        <v>0</v>
      </c>
      <c r="I316" s="16"/>
      <c r="J316" s="16">
        <v>0</v>
      </c>
      <c r="K316" s="16">
        <v>0</v>
      </c>
      <c r="L316" s="11"/>
      <c r="M316" s="11"/>
      <c r="N316" s="16">
        <f t="shared" si="13"/>
        <v>0</v>
      </c>
      <c r="O316" s="18"/>
      <c r="P316" s="19">
        <v>0</v>
      </c>
      <c r="Q316" s="29">
        <f t="shared" si="14"/>
        <v>0</v>
      </c>
      <c r="R316" s="11"/>
    </row>
    <row r="317" spans="1:18" x14ac:dyDescent="0.2">
      <c r="A317" s="18">
        <f>+'SERVICIO FAENA'!E315</f>
        <v>0</v>
      </c>
      <c r="B317" s="20">
        <f>+'SERVICIO FAENA'!A315</f>
        <v>0</v>
      </c>
      <c r="C317" s="49">
        <f>+'SERVICIO FAENA'!C315</f>
        <v>0</v>
      </c>
      <c r="D317" s="110"/>
      <c r="E317" s="110"/>
      <c r="F317" s="49"/>
      <c r="G317" s="49"/>
      <c r="H317" s="49">
        <f t="shared" si="15"/>
        <v>0</v>
      </c>
      <c r="I317" s="16"/>
      <c r="J317" s="16">
        <v>0</v>
      </c>
      <c r="K317" s="16">
        <v>0</v>
      </c>
      <c r="L317" s="11"/>
      <c r="M317" s="11"/>
      <c r="N317" s="16">
        <f t="shared" si="13"/>
        <v>0</v>
      </c>
      <c r="O317" s="18"/>
      <c r="P317" s="19">
        <v>0</v>
      </c>
      <c r="Q317" s="29">
        <f t="shared" si="14"/>
        <v>0</v>
      </c>
      <c r="R317" s="11"/>
    </row>
    <row r="318" spans="1:18" ht="12.75" customHeight="1" x14ac:dyDescent="0.2">
      <c r="A318" s="18">
        <f>+'SERVICIO FAENA'!E316</f>
        <v>0</v>
      </c>
      <c r="B318" s="20">
        <f>+'SERVICIO FAENA'!A316</f>
        <v>0</v>
      </c>
      <c r="C318" s="49">
        <f>+'SERVICIO FAENA'!C316</f>
        <v>0</v>
      </c>
      <c r="D318" s="110"/>
      <c r="E318" s="110"/>
      <c r="F318" s="49"/>
      <c r="G318" s="49"/>
      <c r="H318" s="49">
        <f t="shared" si="15"/>
        <v>0</v>
      </c>
      <c r="I318" s="16"/>
      <c r="J318" s="16">
        <v>0</v>
      </c>
      <c r="K318" s="16">
        <v>0</v>
      </c>
      <c r="L318" s="11"/>
      <c r="M318" s="11"/>
      <c r="N318" s="16">
        <f t="shared" si="13"/>
        <v>0</v>
      </c>
      <c r="O318" s="18"/>
      <c r="P318" s="19">
        <v>0</v>
      </c>
      <c r="Q318" s="29">
        <f t="shared" si="14"/>
        <v>0</v>
      </c>
      <c r="R318" s="11"/>
    </row>
    <row r="319" spans="1:18" x14ac:dyDescent="0.2">
      <c r="A319" s="18">
        <f>+'SERVICIO FAENA'!E317</f>
        <v>0</v>
      </c>
      <c r="B319" s="20">
        <f>+'SERVICIO FAENA'!A317</f>
        <v>0</v>
      </c>
      <c r="C319" s="49">
        <f>+'SERVICIO FAENA'!C317</f>
        <v>0</v>
      </c>
      <c r="D319" s="110"/>
      <c r="E319" s="110"/>
      <c r="F319" s="49"/>
      <c r="G319" s="49"/>
      <c r="H319" s="49">
        <f t="shared" si="15"/>
        <v>0</v>
      </c>
      <c r="I319" s="16"/>
      <c r="J319" s="16">
        <v>0</v>
      </c>
      <c r="K319" s="16">
        <v>0</v>
      </c>
      <c r="L319" s="11"/>
      <c r="M319" s="11"/>
      <c r="N319" s="16">
        <f t="shared" si="13"/>
        <v>0</v>
      </c>
      <c r="O319" s="18"/>
      <c r="P319" s="19">
        <v>0</v>
      </c>
      <c r="Q319" s="29">
        <f t="shared" si="14"/>
        <v>0</v>
      </c>
      <c r="R319" s="11"/>
    </row>
    <row r="320" spans="1:18" ht="12.75" customHeight="1" x14ac:dyDescent="0.2">
      <c r="A320" s="18">
        <f>+'SERVICIO FAENA'!E318</f>
        <v>0</v>
      </c>
      <c r="B320" s="20">
        <f>+'SERVICIO FAENA'!A318</f>
        <v>0</v>
      </c>
      <c r="C320" s="49">
        <f>+'SERVICIO FAENA'!C318</f>
        <v>0</v>
      </c>
      <c r="D320" s="110"/>
      <c r="E320" s="110"/>
      <c r="F320" s="49"/>
      <c r="G320" s="49"/>
      <c r="H320" s="49">
        <f t="shared" si="15"/>
        <v>0</v>
      </c>
      <c r="I320" s="16"/>
      <c r="J320" s="16">
        <v>0</v>
      </c>
      <c r="K320" s="16">
        <v>0</v>
      </c>
      <c r="L320" s="11"/>
      <c r="M320" s="11"/>
      <c r="N320" s="16">
        <f t="shared" si="13"/>
        <v>0</v>
      </c>
      <c r="O320" s="18"/>
      <c r="P320" s="19">
        <v>0</v>
      </c>
      <c r="Q320" s="29">
        <f t="shared" si="14"/>
        <v>0</v>
      </c>
      <c r="R320" s="11"/>
    </row>
    <row r="321" spans="1:18" x14ac:dyDescent="0.2">
      <c r="A321" s="18">
        <f>+'SERVICIO FAENA'!E319</f>
        <v>0</v>
      </c>
      <c r="B321" s="20">
        <f>+'SERVICIO FAENA'!A319</f>
        <v>0</v>
      </c>
      <c r="C321" s="49">
        <f>+'SERVICIO FAENA'!C319</f>
        <v>0</v>
      </c>
      <c r="D321" s="110"/>
      <c r="E321" s="110"/>
      <c r="F321" s="49"/>
      <c r="G321" s="49"/>
      <c r="H321" s="49">
        <f t="shared" si="15"/>
        <v>0</v>
      </c>
      <c r="I321" s="16"/>
      <c r="J321" s="16">
        <v>0</v>
      </c>
      <c r="K321" s="16">
        <v>0</v>
      </c>
      <c r="L321" s="11"/>
      <c r="M321" s="11"/>
      <c r="N321" s="16">
        <f t="shared" si="13"/>
        <v>0</v>
      </c>
      <c r="O321" s="18"/>
      <c r="P321" s="19">
        <v>0</v>
      </c>
      <c r="Q321" s="29">
        <f t="shared" si="14"/>
        <v>0</v>
      </c>
      <c r="R321" s="11"/>
    </row>
    <row r="322" spans="1:18" ht="12.75" customHeight="1" x14ac:dyDescent="0.2">
      <c r="A322" s="18">
        <f>+'SERVICIO FAENA'!E320</f>
        <v>0</v>
      </c>
      <c r="B322" s="20">
        <f>+'SERVICIO FAENA'!A320</f>
        <v>0</v>
      </c>
      <c r="C322" s="49">
        <f>+'SERVICIO FAENA'!C320</f>
        <v>0</v>
      </c>
      <c r="D322" s="110"/>
      <c r="E322" s="110"/>
      <c r="F322" s="49"/>
      <c r="G322" s="49"/>
      <c r="H322" s="49">
        <f t="shared" si="15"/>
        <v>0</v>
      </c>
      <c r="I322" s="16"/>
      <c r="J322" s="16">
        <v>0</v>
      </c>
      <c r="K322" s="16">
        <v>0</v>
      </c>
      <c r="L322" s="11"/>
      <c r="M322" s="11"/>
      <c r="N322" s="16">
        <f t="shared" si="13"/>
        <v>0</v>
      </c>
      <c r="O322" s="18"/>
      <c r="P322" s="19">
        <v>0</v>
      </c>
      <c r="Q322" s="29">
        <f t="shared" si="14"/>
        <v>0</v>
      </c>
      <c r="R322" s="11"/>
    </row>
    <row r="323" spans="1:18" x14ac:dyDescent="0.2">
      <c r="A323" s="18">
        <f>+'SERVICIO FAENA'!E321</f>
        <v>0</v>
      </c>
      <c r="B323" s="20">
        <f>+'SERVICIO FAENA'!A321</f>
        <v>0</v>
      </c>
      <c r="C323" s="49">
        <f>+'SERVICIO FAENA'!C321</f>
        <v>0</v>
      </c>
      <c r="D323" s="110"/>
      <c r="E323" s="110"/>
      <c r="F323" s="49"/>
      <c r="G323" s="49"/>
      <c r="H323" s="49">
        <f t="shared" si="15"/>
        <v>0</v>
      </c>
      <c r="I323" s="16"/>
      <c r="J323" s="16">
        <v>0</v>
      </c>
      <c r="K323" s="16">
        <v>0</v>
      </c>
      <c r="L323" s="11"/>
      <c r="M323" s="11"/>
      <c r="N323" s="16">
        <f t="shared" si="13"/>
        <v>0</v>
      </c>
      <c r="O323" s="18"/>
      <c r="P323" s="19">
        <v>0</v>
      </c>
      <c r="Q323" s="29">
        <f t="shared" si="14"/>
        <v>0</v>
      </c>
      <c r="R323" s="11"/>
    </row>
    <row r="324" spans="1:18" ht="12.75" customHeight="1" x14ac:dyDescent="0.2">
      <c r="A324" s="18">
        <f>+'SERVICIO FAENA'!E322</f>
        <v>0</v>
      </c>
      <c r="B324" s="20">
        <f>+'SERVICIO FAENA'!A322</f>
        <v>0</v>
      </c>
      <c r="C324" s="49">
        <f>+'SERVICIO FAENA'!C322</f>
        <v>0</v>
      </c>
      <c r="D324" s="110"/>
      <c r="E324" s="110"/>
      <c r="F324" s="49"/>
      <c r="G324" s="49"/>
      <c r="H324" s="49">
        <f t="shared" si="15"/>
        <v>0</v>
      </c>
      <c r="I324" s="16"/>
      <c r="J324" s="16">
        <v>0</v>
      </c>
      <c r="K324" s="16">
        <v>0</v>
      </c>
      <c r="L324" s="11"/>
      <c r="M324" s="11"/>
      <c r="N324" s="16">
        <f t="shared" si="13"/>
        <v>0</v>
      </c>
      <c r="O324" s="18"/>
      <c r="P324" s="19">
        <v>0</v>
      </c>
      <c r="Q324" s="29">
        <f t="shared" si="14"/>
        <v>0</v>
      </c>
      <c r="R324" s="11"/>
    </row>
    <row r="325" spans="1:18" x14ac:dyDescent="0.2">
      <c r="A325" s="18">
        <f>+'SERVICIO FAENA'!E323</f>
        <v>0</v>
      </c>
      <c r="B325" s="20">
        <f>+'SERVICIO FAENA'!A323</f>
        <v>0</v>
      </c>
      <c r="C325" s="49">
        <f>+'SERVICIO FAENA'!C323</f>
        <v>0</v>
      </c>
      <c r="D325" s="110"/>
      <c r="E325" s="110"/>
      <c r="F325" s="49"/>
      <c r="G325" s="49"/>
      <c r="H325" s="49">
        <f t="shared" si="15"/>
        <v>0</v>
      </c>
      <c r="I325" s="16"/>
      <c r="J325" s="16">
        <v>0</v>
      </c>
      <c r="K325" s="16">
        <v>0</v>
      </c>
      <c r="L325" s="11"/>
      <c r="M325" s="11"/>
      <c r="N325" s="16">
        <f t="shared" si="13"/>
        <v>0</v>
      </c>
      <c r="O325" s="18"/>
      <c r="P325" s="19">
        <v>0</v>
      </c>
      <c r="Q325" s="29">
        <f t="shared" si="14"/>
        <v>0</v>
      </c>
      <c r="R325" s="11"/>
    </row>
    <row r="326" spans="1:18" ht="12.75" customHeight="1" x14ac:dyDescent="0.2">
      <c r="A326" s="18">
        <f>+'SERVICIO FAENA'!E324</f>
        <v>0</v>
      </c>
      <c r="B326" s="20">
        <f>+'SERVICIO FAENA'!A324</f>
        <v>0</v>
      </c>
      <c r="C326" s="49">
        <f>+'SERVICIO FAENA'!C324</f>
        <v>0</v>
      </c>
      <c r="D326" s="110"/>
      <c r="E326" s="110"/>
      <c r="F326" s="49"/>
      <c r="G326" s="49"/>
      <c r="H326" s="49">
        <f t="shared" si="15"/>
        <v>0</v>
      </c>
      <c r="I326" s="16"/>
      <c r="J326" s="16">
        <v>0</v>
      </c>
      <c r="K326" s="16">
        <v>0</v>
      </c>
      <c r="L326" s="11"/>
      <c r="M326" s="11"/>
      <c r="N326" s="16">
        <f t="shared" si="13"/>
        <v>0</v>
      </c>
      <c r="O326" s="18"/>
      <c r="P326" s="19">
        <v>0</v>
      </c>
      <c r="Q326" s="29">
        <f t="shared" si="14"/>
        <v>0</v>
      </c>
      <c r="R326" s="11"/>
    </row>
    <row r="327" spans="1:18" x14ac:dyDescent="0.2">
      <c r="A327" s="18">
        <f>+'SERVICIO FAENA'!E325</f>
        <v>0</v>
      </c>
      <c r="B327" s="20">
        <f>+'SERVICIO FAENA'!A325</f>
        <v>0</v>
      </c>
      <c r="C327" s="49">
        <f>+'SERVICIO FAENA'!C325</f>
        <v>0</v>
      </c>
      <c r="D327" s="110"/>
      <c r="E327" s="110"/>
      <c r="F327" s="49"/>
      <c r="G327" s="49"/>
      <c r="H327" s="49">
        <f t="shared" si="15"/>
        <v>0</v>
      </c>
      <c r="I327" s="16"/>
      <c r="J327" s="16">
        <v>0</v>
      </c>
      <c r="K327" s="16">
        <v>0</v>
      </c>
      <c r="L327" s="11"/>
      <c r="M327" s="11"/>
      <c r="N327" s="16">
        <f t="shared" si="13"/>
        <v>0</v>
      </c>
      <c r="O327" s="18"/>
      <c r="P327" s="19">
        <v>0</v>
      </c>
      <c r="Q327" s="29">
        <f t="shared" si="14"/>
        <v>0</v>
      </c>
      <c r="R327" s="11"/>
    </row>
    <row r="328" spans="1:18" ht="12.75" customHeight="1" x14ac:dyDescent="0.2">
      <c r="A328" s="18">
        <f>+'SERVICIO FAENA'!E326</f>
        <v>0</v>
      </c>
      <c r="B328" s="20">
        <f>+'SERVICIO FAENA'!A326</f>
        <v>0</v>
      </c>
      <c r="C328" s="49">
        <f>+'SERVICIO FAENA'!C326</f>
        <v>0</v>
      </c>
      <c r="D328" s="110"/>
      <c r="E328" s="110"/>
      <c r="F328" s="49"/>
      <c r="G328" s="49"/>
      <c r="H328" s="49">
        <f t="shared" si="15"/>
        <v>0</v>
      </c>
      <c r="I328" s="16"/>
      <c r="J328" s="16">
        <v>0</v>
      </c>
      <c r="K328" s="16">
        <v>0</v>
      </c>
      <c r="L328" s="11"/>
      <c r="M328" s="11"/>
      <c r="N328" s="16">
        <f t="shared" ref="N328:N391" si="16">+K328*I328</f>
        <v>0</v>
      </c>
      <c r="O328" s="18"/>
      <c r="P328" s="19">
        <v>0</v>
      </c>
      <c r="Q328" s="29">
        <f t="shared" ref="Q328:Q391" si="17">+P328-N328</f>
        <v>0</v>
      </c>
      <c r="R328" s="11"/>
    </row>
    <row r="329" spans="1:18" x14ac:dyDescent="0.2">
      <c r="A329" s="18">
        <f>+'SERVICIO FAENA'!E327</f>
        <v>0</v>
      </c>
      <c r="B329" s="20">
        <f>+'SERVICIO FAENA'!A327</f>
        <v>0</v>
      </c>
      <c r="C329" s="49">
        <f>+'SERVICIO FAENA'!C327</f>
        <v>0</v>
      </c>
      <c r="D329" s="110"/>
      <c r="E329" s="110"/>
      <c r="F329" s="49"/>
      <c r="G329" s="49"/>
      <c r="H329" s="49">
        <f t="shared" si="15"/>
        <v>0</v>
      </c>
      <c r="I329" s="16"/>
      <c r="J329" s="16">
        <v>0</v>
      </c>
      <c r="K329" s="16">
        <v>0</v>
      </c>
      <c r="L329" s="11"/>
      <c r="M329" s="11"/>
      <c r="N329" s="16">
        <f t="shared" si="16"/>
        <v>0</v>
      </c>
      <c r="O329" s="18"/>
      <c r="P329" s="19">
        <v>0</v>
      </c>
      <c r="Q329" s="29">
        <f t="shared" si="17"/>
        <v>0</v>
      </c>
      <c r="R329" s="11"/>
    </row>
    <row r="330" spans="1:18" ht="12.75" customHeight="1" x14ac:dyDescent="0.2">
      <c r="A330" s="18">
        <f>+'SERVICIO FAENA'!E328</f>
        <v>0</v>
      </c>
      <c r="B330" s="20">
        <f>+'SERVICIO FAENA'!A328</f>
        <v>0</v>
      </c>
      <c r="C330" s="49">
        <f>+'SERVICIO FAENA'!C328</f>
        <v>0</v>
      </c>
      <c r="D330" s="110"/>
      <c r="E330" s="110"/>
      <c r="F330" s="49"/>
      <c r="G330" s="49"/>
      <c r="H330" s="49">
        <f t="shared" si="15"/>
        <v>0</v>
      </c>
      <c r="I330" s="16"/>
      <c r="J330" s="16">
        <v>0</v>
      </c>
      <c r="K330" s="16">
        <v>0</v>
      </c>
      <c r="L330" s="11"/>
      <c r="M330" s="11"/>
      <c r="N330" s="16">
        <f t="shared" si="16"/>
        <v>0</v>
      </c>
      <c r="O330" s="18"/>
      <c r="P330" s="19">
        <v>0</v>
      </c>
      <c r="Q330" s="29">
        <f t="shared" si="17"/>
        <v>0</v>
      </c>
      <c r="R330" s="11"/>
    </row>
    <row r="331" spans="1:18" x14ac:dyDescent="0.2">
      <c r="A331" s="18">
        <f>+'SERVICIO FAENA'!E329</f>
        <v>0</v>
      </c>
      <c r="B331" s="20">
        <f>+'SERVICIO FAENA'!A329</f>
        <v>0</v>
      </c>
      <c r="C331" s="49">
        <f>+'SERVICIO FAENA'!C329</f>
        <v>0</v>
      </c>
      <c r="D331" s="110"/>
      <c r="E331" s="110"/>
      <c r="F331" s="49"/>
      <c r="G331" s="49"/>
      <c r="H331" s="49">
        <f t="shared" si="15"/>
        <v>0</v>
      </c>
      <c r="I331" s="16"/>
      <c r="J331" s="16">
        <v>0</v>
      </c>
      <c r="K331" s="16">
        <v>0</v>
      </c>
      <c r="L331" s="11"/>
      <c r="M331" s="11"/>
      <c r="N331" s="16">
        <f t="shared" si="16"/>
        <v>0</v>
      </c>
      <c r="O331" s="18"/>
      <c r="P331" s="19">
        <v>0</v>
      </c>
      <c r="Q331" s="29">
        <f t="shared" si="17"/>
        <v>0</v>
      </c>
      <c r="R331" s="11"/>
    </row>
    <row r="332" spans="1:18" ht="12.75" customHeight="1" x14ac:dyDescent="0.2">
      <c r="A332" s="18">
        <f>+'SERVICIO FAENA'!E330</f>
        <v>0</v>
      </c>
      <c r="B332" s="20">
        <f>+'SERVICIO FAENA'!A330</f>
        <v>0</v>
      </c>
      <c r="C332" s="49">
        <f>+'SERVICIO FAENA'!C330</f>
        <v>0</v>
      </c>
      <c r="D332" s="110"/>
      <c r="E332" s="110"/>
      <c r="F332" s="49"/>
      <c r="G332" s="49"/>
      <c r="H332" s="49">
        <f t="shared" si="15"/>
        <v>0</v>
      </c>
      <c r="I332" s="16"/>
      <c r="J332" s="16">
        <v>0</v>
      </c>
      <c r="K332" s="16">
        <v>0</v>
      </c>
      <c r="L332" s="11"/>
      <c r="M332" s="11"/>
      <c r="N332" s="16">
        <f t="shared" si="16"/>
        <v>0</v>
      </c>
      <c r="O332" s="18"/>
      <c r="P332" s="19">
        <v>0</v>
      </c>
      <c r="Q332" s="29">
        <f t="shared" si="17"/>
        <v>0</v>
      </c>
      <c r="R332" s="11"/>
    </row>
    <row r="333" spans="1:18" x14ac:dyDescent="0.2">
      <c r="A333" s="18">
        <f>+'SERVICIO FAENA'!E331</f>
        <v>0</v>
      </c>
      <c r="B333" s="20">
        <f>+'SERVICIO FAENA'!A331</f>
        <v>0</v>
      </c>
      <c r="C333" s="49">
        <f>+'SERVICIO FAENA'!C331</f>
        <v>0</v>
      </c>
      <c r="D333" s="110"/>
      <c r="E333" s="110"/>
      <c r="F333" s="49"/>
      <c r="G333" s="49"/>
      <c r="H333" s="49">
        <f t="shared" si="15"/>
        <v>0</v>
      </c>
      <c r="I333" s="16"/>
      <c r="J333" s="16">
        <v>0</v>
      </c>
      <c r="K333" s="16">
        <v>0</v>
      </c>
      <c r="L333" s="11"/>
      <c r="M333" s="11"/>
      <c r="N333" s="16">
        <f t="shared" si="16"/>
        <v>0</v>
      </c>
      <c r="O333" s="18"/>
      <c r="P333" s="19">
        <v>0</v>
      </c>
      <c r="Q333" s="29">
        <f t="shared" si="17"/>
        <v>0</v>
      </c>
      <c r="R333" s="11"/>
    </row>
    <row r="334" spans="1:18" ht="12.75" customHeight="1" x14ac:dyDescent="0.2">
      <c r="A334" s="18">
        <f>+'SERVICIO FAENA'!E332</f>
        <v>0</v>
      </c>
      <c r="B334" s="20">
        <f>+'SERVICIO FAENA'!A332</f>
        <v>0</v>
      </c>
      <c r="C334" s="49">
        <f>+'SERVICIO FAENA'!C332</f>
        <v>0</v>
      </c>
      <c r="D334" s="110"/>
      <c r="E334" s="110"/>
      <c r="F334" s="49"/>
      <c r="G334" s="49"/>
      <c r="H334" s="49">
        <f t="shared" si="15"/>
        <v>0</v>
      </c>
      <c r="I334" s="16"/>
      <c r="J334" s="16">
        <v>0</v>
      </c>
      <c r="K334" s="16">
        <v>0</v>
      </c>
      <c r="L334" s="11"/>
      <c r="M334" s="11"/>
      <c r="N334" s="16">
        <f t="shared" si="16"/>
        <v>0</v>
      </c>
      <c r="O334" s="18"/>
      <c r="P334" s="19">
        <v>0</v>
      </c>
      <c r="Q334" s="29">
        <f t="shared" si="17"/>
        <v>0</v>
      </c>
      <c r="R334" s="11"/>
    </row>
    <row r="335" spans="1:18" x14ac:dyDescent="0.2">
      <c r="A335" s="18">
        <f>+'SERVICIO FAENA'!E333</f>
        <v>0</v>
      </c>
      <c r="B335" s="20">
        <f>+'SERVICIO FAENA'!A333</f>
        <v>0</v>
      </c>
      <c r="C335" s="49">
        <f>+'SERVICIO FAENA'!C333</f>
        <v>0</v>
      </c>
      <c r="D335" s="110"/>
      <c r="E335" s="110"/>
      <c r="F335" s="49"/>
      <c r="G335" s="49"/>
      <c r="H335" s="49">
        <f t="shared" si="15"/>
        <v>0</v>
      </c>
      <c r="I335" s="16"/>
      <c r="J335" s="16">
        <v>0</v>
      </c>
      <c r="K335" s="16">
        <v>0</v>
      </c>
      <c r="L335" s="11"/>
      <c r="M335" s="11"/>
      <c r="N335" s="16">
        <f t="shared" si="16"/>
        <v>0</v>
      </c>
      <c r="O335" s="18"/>
      <c r="P335" s="19">
        <v>0</v>
      </c>
      <c r="Q335" s="29">
        <f t="shared" si="17"/>
        <v>0</v>
      </c>
      <c r="R335" s="11"/>
    </row>
    <row r="336" spans="1:18" ht="12.75" customHeight="1" x14ac:dyDescent="0.2">
      <c r="A336" s="18">
        <f>+'SERVICIO FAENA'!E334</f>
        <v>0</v>
      </c>
      <c r="B336" s="20">
        <f>+'SERVICIO FAENA'!A334</f>
        <v>0</v>
      </c>
      <c r="C336" s="49">
        <f>+'SERVICIO FAENA'!C334</f>
        <v>0</v>
      </c>
      <c r="D336" s="110"/>
      <c r="E336" s="110"/>
      <c r="F336" s="49"/>
      <c r="G336" s="49"/>
      <c r="H336" s="49">
        <f t="shared" si="15"/>
        <v>0</v>
      </c>
      <c r="I336" s="16"/>
      <c r="J336" s="16">
        <v>0</v>
      </c>
      <c r="K336" s="16">
        <v>0</v>
      </c>
      <c r="L336" s="11"/>
      <c r="M336" s="11"/>
      <c r="N336" s="16">
        <f t="shared" si="16"/>
        <v>0</v>
      </c>
      <c r="O336" s="18"/>
      <c r="P336" s="19">
        <v>0</v>
      </c>
      <c r="Q336" s="29">
        <f t="shared" si="17"/>
        <v>0</v>
      </c>
      <c r="R336" s="11"/>
    </row>
    <row r="337" spans="1:18" x14ac:dyDescent="0.2">
      <c r="A337" s="18">
        <f>+'SERVICIO FAENA'!E335</f>
        <v>0</v>
      </c>
      <c r="B337" s="20">
        <f>+'SERVICIO FAENA'!A335</f>
        <v>0</v>
      </c>
      <c r="C337" s="49">
        <f>+'SERVICIO FAENA'!C335</f>
        <v>0</v>
      </c>
      <c r="D337" s="110"/>
      <c r="E337" s="110"/>
      <c r="F337" s="49"/>
      <c r="G337" s="49"/>
      <c r="H337" s="49">
        <f t="shared" ref="H337:H400" si="18">+D337+E337</f>
        <v>0</v>
      </c>
      <c r="I337" s="16"/>
      <c r="J337" s="16">
        <v>0</v>
      </c>
      <c r="K337" s="16">
        <v>0</v>
      </c>
      <c r="L337" s="11"/>
      <c r="M337" s="11"/>
      <c r="N337" s="16">
        <f t="shared" si="16"/>
        <v>0</v>
      </c>
      <c r="O337" s="18"/>
      <c r="P337" s="19">
        <v>0</v>
      </c>
      <c r="Q337" s="29">
        <f t="shared" si="17"/>
        <v>0</v>
      </c>
      <c r="R337" s="11"/>
    </row>
    <row r="338" spans="1:18" ht="12.75" customHeight="1" x14ac:dyDescent="0.2">
      <c r="A338" s="18">
        <f>+'SERVICIO FAENA'!E336</f>
        <v>0</v>
      </c>
      <c r="B338" s="20">
        <f>+'SERVICIO FAENA'!A336</f>
        <v>0</v>
      </c>
      <c r="C338" s="49">
        <f>+'SERVICIO FAENA'!C336</f>
        <v>0</v>
      </c>
      <c r="D338" s="110"/>
      <c r="E338" s="110"/>
      <c r="F338" s="49"/>
      <c r="G338" s="49"/>
      <c r="H338" s="49">
        <f t="shared" si="18"/>
        <v>0</v>
      </c>
      <c r="I338" s="16"/>
      <c r="J338" s="16">
        <v>0</v>
      </c>
      <c r="K338" s="16">
        <v>0</v>
      </c>
      <c r="L338" s="11"/>
      <c r="M338" s="11"/>
      <c r="N338" s="16">
        <f t="shared" si="16"/>
        <v>0</v>
      </c>
      <c r="O338" s="18"/>
      <c r="P338" s="19">
        <v>0</v>
      </c>
      <c r="Q338" s="29">
        <f t="shared" si="17"/>
        <v>0</v>
      </c>
      <c r="R338" s="11"/>
    </row>
    <row r="339" spans="1:18" x14ac:dyDescent="0.2">
      <c r="A339" s="18">
        <f>+'SERVICIO FAENA'!E337</f>
        <v>0</v>
      </c>
      <c r="B339" s="20">
        <f>+'SERVICIO FAENA'!A337</f>
        <v>0</v>
      </c>
      <c r="C339" s="49">
        <f>+'SERVICIO FAENA'!C337</f>
        <v>0</v>
      </c>
      <c r="D339" s="110"/>
      <c r="E339" s="110"/>
      <c r="F339" s="49"/>
      <c r="G339" s="49"/>
      <c r="H339" s="49">
        <f t="shared" si="18"/>
        <v>0</v>
      </c>
      <c r="I339" s="16"/>
      <c r="J339" s="16">
        <v>0</v>
      </c>
      <c r="K339" s="16">
        <v>0</v>
      </c>
      <c r="L339" s="11"/>
      <c r="M339" s="11"/>
      <c r="N339" s="16">
        <f t="shared" si="16"/>
        <v>0</v>
      </c>
      <c r="O339" s="18"/>
      <c r="P339" s="19">
        <v>0</v>
      </c>
      <c r="Q339" s="29">
        <f t="shared" si="17"/>
        <v>0</v>
      </c>
      <c r="R339" s="11"/>
    </row>
    <row r="340" spans="1:18" ht="12.75" customHeight="1" x14ac:dyDescent="0.2">
      <c r="A340" s="18">
        <f>+'SERVICIO FAENA'!E338</f>
        <v>0</v>
      </c>
      <c r="B340" s="20">
        <f>+'SERVICIO FAENA'!A338</f>
        <v>0</v>
      </c>
      <c r="C340" s="49">
        <f>+'SERVICIO FAENA'!C338</f>
        <v>0</v>
      </c>
      <c r="D340" s="110"/>
      <c r="E340" s="110"/>
      <c r="F340" s="49"/>
      <c r="G340" s="49"/>
      <c r="H340" s="49">
        <f t="shared" si="18"/>
        <v>0</v>
      </c>
      <c r="I340" s="16"/>
      <c r="J340" s="16">
        <v>0</v>
      </c>
      <c r="K340" s="16">
        <v>0</v>
      </c>
      <c r="L340" s="11"/>
      <c r="M340" s="11"/>
      <c r="N340" s="16">
        <f t="shared" si="16"/>
        <v>0</v>
      </c>
      <c r="O340" s="18"/>
      <c r="P340" s="19">
        <v>0</v>
      </c>
      <c r="Q340" s="29">
        <f t="shared" si="17"/>
        <v>0</v>
      </c>
      <c r="R340" s="11"/>
    </row>
    <row r="341" spans="1:18" x14ac:dyDescent="0.2">
      <c r="A341" s="18">
        <f>+'SERVICIO FAENA'!E339</f>
        <v>0</v>
      </c>
      <c r="B341" s="20">
        <f>+'SERVICIO FAENA'!A339</f>
        <v>0</v>
      </c>
      <c r="C341" s="49">
        <f>+'SERVICIO FAENA'!C339</f>
        <v>0</v>
      </c>
      <c r="D341" s="110"/>
      <c r="E341" s="110"/>
      <c r="F341" s="49"/>
      <c r="G341" s="49"/>
      <c r="H341" s="49">
        <f t="shared" si="18"/>
        <v>0</v>
      </c>
      <c r="I341" s="16"/>
      <c r="J341" s="16">
        <v>0</v>
      </c>
      <c r="K341" s="16">
        <v>0</v>
      </c>
      <c r="L341" s="11"/>
      <c r="M341" s="11"/>
      <c r="N341" s="16">
        <f t="shared" si="16"/>
        <v>0</v>
      </c>
      <c r="O341" s="18"/>
      <c r="P341" s="19">
        <v>0</v>
      </c>
      <c r="Q341" s="29">
        <f t="shared" si="17"/>
        <v>0</v>
      </c>
      <c r="R341" s="11"/>
    </row>
    <row r="342" spans="1:18" ht="12.75" customHeight="1" x14ac:dyDescent="0.2">
      <c r="A342" s="18">
        <f>+'SERVICIO FAENA'!E340</f>
        <v>0</v>
      </c>
      <c r="B342" s="20">
        <f>+'SERVICIO FAENA'!A340</f>
        <v>0</v>
      </c>
      <c r="C342" s="49">
        <f>+'SERVICIO FAENA'!C340</f>
        <v>0</v>
      </c>
      <c r="D342" s="110"/>
      <c r="E342" s="110"/>
      <c r="F342" s="49"/>
      <c r="G342" s="49"/>
      <c r="H342" s="49">
        <f t="shared" si="18"/>
        <v>0</v>
      </c>
      <c r="I342" s="16"/>
      <c r="J342" s="16">
        <v>0</v>
      </c>
      <c r="K342" s="16">
        <v>0</v>
      </c>
      <c r="L342" s="11"/>
      <c r="M342" s="11"/>
      <c r="N342" s="16">
        <f t="shared" si="16"/>
        <v>0</v>
      </c>
      <c r="O342" s="18"/>
      <c r="P342" s="19">
        <v>0</v>
      </c>
      <c r="Q342" s="29">
        <f t="shared" si="17"/>
        <v>0</v>
      </c>
      <c r="R342" s="11"/>
    </row>
    <row r="343" spans="1:18" x14ac:dyDescent="0.2">
      <c r="A343" s="18">
        <f>+'SERVICIO FAENA'!E341</f>
        <v>0</v>
      </c>
      <c r="B343" s="20">
        <f>+'SERVICIO FAENA'!A341</f>
        <v>0</v>
      </c>
      <c r="C343" s="49">
        <f>+'SERVICIO FAENA'!C341</f>
        <v>0</v>
      </c>
      <c r="D343" s="110"/>
      <c r="E343" s="110"/>
      <c r="F343" s="49"/>
      <c r="G343" s="49"/>
      <c r="H343" s="49">
        <f t="shared" si="18"/>
        <v>0</v>
      </c>
      <c r="I343" s="16"/>
      <c r="J343" s="16">
        <v>0</v>
      </c>
      <c r="K343" s="16">
        <v>0</v>
      </c>
      <c r="L343" s="11"/>
      <c r="M343" s="11"/>
      <c r="N343" s="16">
        <f t="shared" si="16"/>
        <v>0</v>
      </c>
      <c r="O343" s="18"/>
      <c r="P343" s="19">
        <v>0</v>
      </c>
      <c r="Q343" s="29">
        <f t="shared" si="17"/>
        <v>0</v>
      </c>
      <c r="R343" s="11"/>
    </row>
    <row r="344" spans="1:18" ht="12.75" customHeight="1" x14ac:dyDescent="0.2">
      <c r="A344" s="18">
        <f>+'SERVICIO FAENA'!E342</f>
        <v>0</v>
      </c>
      <c r="B344" s="20">
        <f>+'SERVICIO FAENA'!A342</f>
        <v>0</v>
      </c>
      <c r="C344" s="49">
        <f>+'SERVICIO FAENA'!C342</f>
        <v>0</v>
      </c>
      <c r="D344" s="110"/>
      <c r="E344" s="110"/>
      <c r="F344" s="49"/>
      <c r="G344" s="49"/>
      <c r="H344" s="49">
        <f t="shared" si="18"/>
        <v>0</v>
      </c>
      <c r="I344" s="16"/>
      <c r="J344" s="16">
        <v>0</v>
      </c>
      <c r="K344" s="16">
        <v>0</v>
      </c>
      <c r="L344" s="11"/>
      <c r="M344" s="11"/>
      <c r="N344" s="16">
        <f t="shared" si="16"/>
        <v>0</v>
      </c>
      <c r="O344" s="18"/>
      <c r="P344" s="19">
        <v>0</v>
      </c>
      <c r="Q344" s="29">
        <f t="shared" si="17"/>
        <v>0</v>
      </c>
      <c r="R344" s="11"/>
    </row>
    <row r="345" spans="1:18" x14ac:dyDescent="0.2">
      <c r="A345" s="18">
        <f>+'SERVICIO FAENA'!E343</f>
        <v>0</v>
      </c>
      <c r="B345" s="20">
        <f>+'SERVICIO FAENA'!A343</f>
        <v>0</v>
      </c>
      <c r="C345" s="49">
        <f>+'SERVICIO FAENA'!C343</f>
        <v>0</v>
      </c>
      <c r="D345" s="110"/>
      <c r="E345" s="110"/>
      <c r="F345" s="49"/>
      <c r="G345" s="49"/>
      <c r="H345" s="49">
        <f t="shared" si="18"/>
        <v>0</v>
      </c>
      <c r="I345" s="16"/>
      <c r="J345" s="16">
        <v>0</v>
      </c>
      <c r="K345" s="16">
        <v>0</v>
      </c>
      <c r="L345" s="11"/>
      <c r="M345" s="11"/>
      <c r="N345" s="16">
        <f t="shared" si="16"/>
        <v>0</v>
      </c>
      <c r="O345" s="18"/>
      <c r="P345" s="19">
        <v>0</v>
      </c>
      <c r="Q345" s="29">
        <f t="shared" si="17"/>
        <v>0</v>
      </c>
      <c r="R345" s="11"/>
    </row>
    <row r="346" spans="1:18" ht="12.75" customHeight="1" x14ac:dyDescent="0.2">
      <c r="A346" s="18">
        <f>+'SERVICIO FAENA'!E344</f>
        <v>0</v>
      </c>
      <c r="B346" s="20">
        <f>+'SERVICIO FAENA'!A344</f>
        <v>0</v>
      </c>
      <c r="C346" s="49">
        <f>+'SERVICIO FAENA'!C344</f>
        <v>0</v>
      </c>
      <c r="D346" s="110"/>
      <c r="E346" s="110"/>
      <c r="F346" s="49"/>
      <c r="G346" s="49"/>
      <c r="H346" s="49">
        <f t="shared" si="18"/>
        <v>0</v>
      </c>
      <c r="I346" s="16"/>
      <c r="J346" s="16">
        <v>0</v>
      </c>
      <c r="K346" s="16">
        <v>0</v>
      </c>
      <c r="L346" s="11"/>
      <c r="M346" s="11"/>
      <c r="N346" s="16">
        <f t="shared" si="16"/>
        <v>0</v>
      </c>
      <c r="O346" s="18"/>
      <c r="P346" s="19">
        <v>0</v>
      </c>
      <c r="Q346" s="29">
        <f t="shared" si="17"/>
        <v>0</v>
      </c>
      <c r="R346" s="11"/>
    </row>
    <row r="347" spans="1:18" x14ac:dyDescent="0.2">
      <c r="A347" s="18">
        <f>+'SERVICIO FAENA'!E345</f>
        <v>0</v>
      </c>
      <c r="B347" s="20">
        <f>+'SERVICIO FAENA'!A345</f>
        <v>0</v>
      </c>
      <c r="C347" s="49">
        <f>+'SERVICIO FAENA'!C345</f>
        <v>0</v>
      </c>
      <c r="D347" s="110"/>
      <c r="E347" s="110"/>
      <c r="F347" s="49"/>
      <c r="G347" s="49"/>
      <c r="H347" s="49">
        <f t="shared" si="18"/>
        <v>0</v>
      </c>
      <c r="I347" s="16"/>
      <c r="J347" s="16">
        <v>0</v>
      </c>
      <c r="K347" s="16">
        <v>0</v>
      </c>
      <c r="L347" s="11"/>
      <c r="M347" s="11"/>
      <c r="N347" s="16">
        <f t="shared" si="16"/>
        <v>0</v>
      </c>
      <c r="O347" s="18"/>
      <c r="P347" s="19">
        <v>0</v>
      </c>
      <c r="Q347" s="29">
        <f t="shared" si="17"/>
        <v>0</v>
      </c>
      <c r="R347" s="11"/>
    </row>
    <row r="348" spans="1:18" ht="12.75" customHeight="1" x14ac:dyDescent="0.2">
      <c r="A348" s="18">
        <f>+'SERVICIO FAENA'!E346</f>
        <v>0</v>
      </c>
      <c r="B348" s="20">
        <f>+'SERVICIO FAENA'!A346</f>
        <v>0</v>
      </c>
      <c r="C348" s="49">
        <f>+'SERVICIO FAENA'!C346</f>
        <v>0</v>
      </c>
      <c r="D348" s="110"/>
      <c r="E348" s="110"/>
      <c r="F348" s="49"/>
      <c r="G348" s="49"/>
      <c r="H348" s="49">
        <f t="shared" si="18"/>
        <v>0</v>
      </c>
      <c r="I348" s="16"/>
      <c r="J348" s="16">
        <v>0</v>
      </c>
      <c r="K348" s="16">
        <v>0</v>
      </c>
      <c r="L348" s="11"/>
      <c r="M348" s="11"/>
      <c r="N348" s="16">
        <f t="shared" si="16"/>
        <v>0</v>
      </c>
      <c r="O348" s="18"/>
      <c r="P348" s="19">
        <v>0</v>
      </c>
      <c r="Q348" s="29">
        <f t="shared" si="17"/>
        <v>0</v>
      </c>
      <c r="R348" s="11"/>
    </row>
    <row r="349" spans="1:18" x14ac:dyDescent="0.2">
      <c r="A349" s="18">
        <f>+'SERVICIO FAENA'!E347</f>
        <v>0</v>
      </c>
      <c r="B349" s="20">
        <f>+'SERVICIO FAENA'!A347</f>
        <v>0</v>
      </c>
      <c r="C349" s="49">
        <f>+'SERVICIO FAENA'!C347</f>
        <v>0</v>
      </c>
      <c r="D349" s="110"/>
      <c r="E349" s="110"/>
      <c r="F349" s="49"/>
      <c r="G349" s="49"/>
      <c r="H349" s="49">
        <f t="shared" si="18"/>
        <v>0</v>
      </c>
      <c r="I349" s="16"/>
      <c r="J349" s="16">
        <v>0</v>
      </c>
      <c r="K349" s="16">
        <v>0</v>
      </c>
      <c r="L349" s="11"/>
      <c r="M349" s="11"/>
      <c r="N349" s="16">
        <f t="shared" si="16"/>
        <v>0</v>
      </c>
      <c r="O349" s="18"/>
      <c r="P349" s="19">
        <v>0</v>
      </c>
      <c r="Q349" s="29">
        <f t="shared" si="17"/>
        <v>0</v>
      </c>
      <c r="R349" s="11"/>
    </row>
    <row r="350" spans="1:18" ht="12.75" customHeight="1" x14ac:dyDescent="0.2">
      <c r="A350" s="18">
        <f>+'SERVICIO FAENA'!E348</f>
        <v>0</v>
      </c>
      <c r="B350" s="20">
        <f>+'SERVICIO FAENA'!A348</f>
        <v>0</v>
      </c>
      <c r="C350" s="49">
        <f>+'SERVICIO FAENA'!C348</f>
        <v>0</v>
      </c>
      <c r="D350" s="110"/>
      <c r="E350" s="110"/>
      <c r="F350" s="49"/>
      <c r="G350" s="49"/>
      <c r="H350" s="49">
        <f t="shared" si="18"/>
        <v>0</v>
      </c>
      <c r="I350" s="16"/>
      <c r="J350" s="16">
        <v>0</v>
      </c>
      <c r="K350" s="16">
        <v>0</v>
      </c>
      <c r="L350" s="11"/>
      <c r="M350" s="11"/>
      <c r="N350" s="16">
        <f t="shared" si="16"/>
        <v>0</v>
      </c>
      <c r="O350" s="18"/>
      <c r="P350" s="19">
        <v>0</v>
      </c>
      <c r="Q350" s="29">
        <f t="shared" si="17"/>
        <v>0</v>
      </c>
      <c r="R350" s="11"/>
    </row>
    <row r="351" spans="1:18" x14ac:dyDescent="0.2">
      <c r="A351" s="18">
        <f>+'SERVICIO FAENA'!E349</f>
        <v>0</v>
      </c>
      <c r="B351" s="20">
        <f>+'SERVICIO FAENA'!A349</f>
        <v>0</v>
      </c>
      <c r="C351" s="49">
        <f>+'SERVICIO FAENA'!C349</f>
        <v>0</v>
      </c>
      <c r="D351" s="110"/>
      <c r="E351" s="110"/>
      <c r="F351" s="49"/>
      <c r="G351" s="49"/>
      <c r="H351" s="49">
        <f t="shared" si="18"/>
        <v>0</v>
      </c>
      <c r="I351" s="16"/>
      <c r="J351" s="16">
        <v>0</v>
      </c>
      <c r="K351" s="16">
        <v>0</v>
      </c>
      <c r="L351" s="11"/>
      <c r="M351" s="11"/>
      <c r="N351" s="16">
        <f t="shared" si="16"/>
        <v>0</v>
      </c>
      <c r="O351" s="18"/>
      <c r="P351" s="19">
        <v>0</v>
      </c>
      <c r="Q351" s="29">
        <f t="shared" si="17"/>
        <v>0</v>
      </c>
      <c r="R351" s="11"/>
    </row>
    <row r="352" spans="1:18" ht="12.75" customHeight="1" x14ac:dyDescent="0.2">
      <c r="A352" s="18">
        <f>+'SERVICIO FAENA'!E350</f>
        <v>0</v>
      </c>
      <c r="B352" s="20">
        <f>+'SERVICIO FAENA'!A350</f>
        <v>0</v>
      </c>
      <c r="C352" s="49">
        <f>+'SERVICIO FAENA'!C350</f>
        <v>0</v>
      </c>
      <c r="D352" s="110"/>
      <c r="E352" s="110"/>
      <c r="F352" s="49"/>
      <c r="G352" s="49"/>
      <c r="H352" s="49">
        <f t="shared" si="18"/>
        <v>0</v>
      </c>
      <c r="I352" s="16"/>
      <c r="J352" s="16">
        <v>0</v>
      </c>
      <c r="K352" s="16">
        <v>0</v>
      </c>
      <c r="L352" s="11"/>
      <c r="M352" s="11"/>
      <c r="N352" s="16">
        <f t="shared" si="16"/>
        <v>0</v>
      </c>
      <c r="O352" s="18"/>
      <c r="P352" s="19">
        <v>0</v>
      </c>
      <c r="Q352" s="29">
        <f t="shared" si="17"/>
        <v>0</v>
      </c>
      <c r="R352" s="11"/>
    </row>
    <row r="353" spans="1:18" x14ac:dyDescent="0.2">
      <c r="A353" s="18">
        <f>+'SERVICIO FAENA'!E351</f>
        <v>0</v>
      </c>
      <c r="B353" s="20">
        <f>+'SERVICIO FAENA'!A351</f>
        <v>0</v>
      </c>
      <c r="C353" s="49">
        <f>+'SERVICIO FAENA'!C351</f>
        <v>0</v>
      </c>
      <c r="D353" s="110"/>
      <c r="E353" s="110"/>
      <c r="F353" s="49"/>
      <c r="G353" s="49"/>
      <c r="H353" s="49">
        <f t="shared" si="18"/>
        <v>0</v>
      </c>
      <c r="I353" s="16"/>
      <c r="J353" s="16">
        <v>0</v>
      </c>
      <c r="K353" s="16">
        <v>0</v>
      </c>
      <c r="L353" s="11"/>
      <c r="M353" s="11"/>
      <c r="N353" s="16">
        <f t="shared" si="16"/>
        <v>0</v>
      </c>
      <c r="O353" s="18"/>
      <c r="P353" s="19">
        <v>0</v>
      </c>
      <c r="Q353" s="29">
        <f t="shared" si="17"/>
        <v>0</v>
      </c>
      <c r="R353" s="11"/>
    </row>
    <row r="354" spans="1:18" ht="12.75" customHeight="1" x14ac:dyDescent="0.2">
      <c r="A354" s="18">
        <f>+'SERVICIO FAENA'!E352</f>
        <v>0</v>
      </c>
      <c r="B354" s="20">
        <f>+'SERVICIO FAENA'!A352</f>
        <v>0</v>
      </c>
      <c r="C354" s="49">
        <f>+'SERVICIO FAENA'!C352</f>
        <v>0</v>
      </c>
      <c r="D354" s="110"/>
      <c r="E354" s="110"/>
      <c r="F354" s="49"/>
      <c r="G354" s="49"/>
      <c r="H354" s="49">
        <f t="shared" si="18"/>
        <v>0</v>
      </c>
      <c r="I354" s="16"/>
      <c r="J354" s="16">
        <v>0</v>
      </c>
      <c r="K354" s="16">
        <v>0</v>
      </c>
      <c r="L354" s="11"/>
      <c r="M354" s="11"/>
      <c r="N354" s="16">
        <f t="shared" si="16"/>
        <v>0</v>
      </c>
      <c r="O354" s="18"/>
      <c r="P354" s="19">
        <v>0</v>
      </c>
      <c r="Q354" s="29">
        <f t="shared" si="17"/>
        <v>0</v>
      </c>
      <c r="R354" s="11"/>
    </row>
    <row r="355" spans="1:18" x14ac:dyDescent="0.2">
      <c r="A355" s="18">
        <f>+'SERVICIO FAENA'!E353</f>
        <v>0</v>
      </c>
      <c r="B355" s="20">
        <f>+'SERVICIO FAENA'!A353</f>
        <v>0</v>
      </c>
      <c r="C355" s="49">
        <f>+'SERVICIO FAENA'!C353</f>
        <v>0</v>
      </c>
      <c r="D355" s="110"/>
      <c r="E355" s="110"/>
      <c r="F355" s="49"/>
      <c r="G355" s="49"/>
      <c r="H355" s="49">
        <f t="shared" si="18"/>
        <v>0</v>
      </c>
      <c r="I355" s="16"/>
      <c r="J355" s="16">
        <v>0</v>
      </c>
      <c r="K355" s="16">
        <v>0</v>
      </c>
      <c r="L355" s="11"/>
      <c r="M355" s="11"/>
      <c r="N355" s="16">
        <f t="shared" si="16"/>
        <v>0</v>
      </c>
      <c r="O355" s="18"/>
      <c r="P355" s="19">
        <v>0</v>
      </c>
      <c r="Q355" s="29">
        <f t="shared" si="17"/>
        <v>0</v>
      </c>
      <c r="R355" s="11"/>
    </row>
    <row r="356" spans="1:18" ht="12.75" customHeight="1" x14ac:dyDescent="0.2">
      <c r="A356" s="18">
        <f>+'SERVICIO FAENA'!E354</f>
        <v>0</v>
      </c>
      <c r="B356" s="20">
        <f>+'SERVICIO FAENA'!A354</f>
        <v>0</v>
      </c>
      <c r="C356" s="49">
        <f>+'SERVICIO FAENA'!C354</f>
        <v>0</v>
      </c>
      <c r="D356" s="110"/>
      <c r="E356" s="110"/>
      <c r="F356" s="49"/>
      <c r="G356" s="49"/>
      <c r="H356" s="49">
        <f t="shared" si="18"/>
        <v>0</v>
      </c>
      <c r="I356" s="16"/>
      <c r="J356" s="16">
        <v>0</v>
      </c>
      <c r="K356" s="16">
        <v>0</v>
      </c>
      <c r="L356" s="11"/>
      <c r="M356" s="11"/>
      <c r="N356" s="16">
        <f t="shared" si="16"/>
        <v>0</v>
      </c>
      <c r="O356" s="18"/>
      <c r="P356" s="19">
        <v>0</v>
      </c>
      <c r="Q356" s="29">
        <f t="shared" si="17"/>
        <v>0</v>
      </c>
      <c r="R356" s="11"/>
    </row>
    <row r="357" spans="1:18" x14ac:dyDescent="0.2">
      <c r="A357" s="18">
        <f>+'SERVICIO FAENA'!E355</f>
        <v>0</v>
      </c>
      <c r="B357" s="20">
        <f>+'SERVICIO FAENA'!A355</f>
        <v>0</v>
      </c>
      <c r="C357" s="49">
        <f>+'SERVICIO FAENA'!C355</f>
        <v>0</v>
      </c>
      <c r="D357" s="110"/>
      <c r="E357" s="110"/>
      <c r="F357" s="49"/>
      <c r="G357" s="49"/>
      <c r="H357" s="49">
        <f t="shared" si="18"/>
        <v>0</v>
      </c>
      <c r="I357" s="16"/>
      <c r="J357" s="16">
        <v>0</v>
      </c>
      <c r="K357" s="16">
        <v>0</v>
      </c>
      <c r="L357" s="11"/>
      <c r="M357" s="11"/>
      <c r="N357" s="16">
        <f t="shared" si="16"/>
        <v>0</v>
      </c>
      <c r="O357" s="18"/>
      <c r="P357" s="19">
        <v>0</v>
      </c>
      <c r="Q357" s="29">
        <f t="shared" si="17"/>
        <v>0</v>
      </c>
      <c r="R357" s="11"/>
    </row>
    <row r="358" spans="1:18" ht="12.75" customHeight="1" x14ac:dyDescent="0.2">
      <c r="A358" s="18">
        <f>+'SERVICIO FAENA'!E356</f>
        <v>0</v>
      </c>
      <c r="B358" s="20">
        <f>+'SERVICIO FAENA'!A356</f>
        <v>0</v>
      </c>
      <c r="C358" s="49">
        <f>+'SERVICIO FAENA'!C356</f>
        <v>0</v>
      </c>
      <c r="D358" s="110"/>
      <c r="E358" s="110"/>
      <c r="F358" s="49"/>
      <c r="G358" s="49"/>
      <c r="H358" s="49">
        <f t="shared" si="18"/>
        <v>0</v>
      </c>
      <c r="I358" s="16"/>
      <c r="J358" s="16">
        <v>0</v>
      </c>
      <c r="K358" s="16">
        <v>0</v>
      </c>
      <c r="L358" s="11"/>
      <c r="M358" s="11"/>
      <c r="N358" s="16">
        <f t="shared" si="16"/>
        <v>0</v>
      </c>
      <c r="O358" s="18"/>
      <c r="P358" s="19">
        <v>0</v>
      </c>
      <c r="Q358" s="29">
        <f t="shared" si="17"/>
        <v>0</v>
      </c>
      <c r="R358" s="11"/>
    </row>
    <row r="359" spans="1:18" x14ac:dyDescent="0.2">
      <c r="A359" s="18">
        <f>+'SERVICIO FAENA'!E357</f>
        <v>0</v>
      </c>
      <c r="B359" s="20">
        <f>+'SERVICIO FAENA'!A357</f>
        <v>0</v>
      </c>
      <c r="C359" s="49">
        <f>+'SERVICIO FAENA'!C357</f>
        <v>0</v>
      </c>
      <c r="D359" s="110"/>
      <c r="E359" s="110"/>
      <c r="F359" s="49"/>
      <c r="G359" s="49"/>
      <c r="H359" s="49">
        <f t="shared" si="18"/>
        <v>0</v>
      </c>
      <c r="I359" s="16"/>
      <c r="J359" s="16">
        <v>0</v>
      </c>
      <c r="K359" s="16">
        <v>0</v>
      </c>
      <c r="L359" s="11"/>
      <c r="M359" s="11"/>
      <c r="N359" s="16">
        <f t="shared" si="16"/>
        <v>0</v>
      </c>
      <c r="O359" s="18"/>
      <c r="P359" s="19">
        <v>0</v>
      </c>
      <c r="Q359" s="29">
        <f t="shared" si="17"/>
        <v>0</v>
      </c>
      <c r="R359" s="11"/>
    </row>
    <row r="360" spans="1:18" ht="12.75" customHeight="1" x14ac:dyDescent="0.2">
      <c r="A360" s="18">
        <f>+'SERVICIO FAENA'!E358</f>
        <v>0</v>
      </c>
      <c r="B360" s="20">
        <f>+'SERVICIO FAENA'!A358</f>
        <v>0</v>
      </c>
      <c r="C360" s="49">
        <f>+'SERVICIO FAENA'!C358</f>
        <v>0</v>
      </c>
      <c r="D360" s="110"/>
      <c r="E360" s="110"/>
      <c r="F360" s="49"/>
      <c r="G360" s="49"/>
      <c r="H360" s="49">
        <f t="shared" si="18"/>
        <v>0</v>
      </c>
      <c r="I360" s="16"/>
      <c r="J360" s="16">
        <v>0</v>
      </c>
      <c r="K360" s="16">
        <v>0</v>
      </c>
      <c r="L360" s="11"/>
      <c r="M360" s="11"/>
      <c r="N360" s="16">
        <f t="shared" si="16"/>
        <v>0</v>
      </c>
      <c r="O360" s="18"/>
      <c r="P360" s="19">
        <v>0</v>
      </c>
      <c r="Q360" s="29">
        <f t="shared" si="17"/>
        <v>0</v>
      </c>
      <c r="R360" s="11"/>
    </row>
    <row r="361" spans="1:18" x14ac:dyDescent="0.2">
      <c r="A361" s="18">
        <f>+'SERVICIO FAENA'!E359</f>
        <v>0</v>
      </c>
      <c r="B361" s="20">
        <f>+'SERVICIO FAENA'!A359</f>
        <v>0</v>
      </c>
      <c r="C361" s="49">
        <f>+'SERVICIO FAENA'!C359</f>
        <v>0</v>
      </c>
      <c r="D361" s="110"/>
      <c r="E361" s="110"/>
      <c r="F361" s="49"/>
      <c r="G361" s="49"/>
      <c r="H361" s="49">
        <f t="shared" si="18"/>
        <v>0</v>
      </c>
      <c r="I361" s="16"/>
      <c r="J361" s="16">
        <v>0</v>
      </c>
      <c r="K361" s="16">
        <v>0</v>
      </c>
      <c r="L361" s="11"/>
      <c r="M361" s="11"/>
      <c r="N361" s="16">
        <f t="shared" si="16"/>
        <v>0</v>
      </c>
      <c r="O361" s="18"/>
      <c r="P361" s="19">
        <v>0</v>
      </c>
      <c r="Q361" s="29">
        <f t="shared" si="17"/>
        <v>0</v>
      </c>
      <c r="R361" s="11"/>
    </row>
    <row r="362" spans="1:18" ht="12.75" customHeight="1" x14ac:dyDescent="0.2">
      <c r="A362" s="18">
        <f>+'SERVICIO FAENA'!E360</f>
        <v>0</v>
      </c>
      <c r="B362" s="20">
        <f>+'SERVICIO FAENA'!A360</f>
        <v>0</v>
      </c>
      <c r="C362" s="49">
        <f>+'SERVICIO FAENA'!C360</f>
        <v>0</v>
      </c>
      <c r="D362" s="110"/>
      <c r="E362" s="110"/>
      <c r="F362" s="49"/>
      <c r="G362" s="49"/>
      <c r="H362" s="49">
        <f t="shared" si="18"/>
        <v>0</v>
      </c>
      <c r="I362" s="16"/>
      <c r="J362" s="16">
        <v>0</v>
      </c>
      <c r="K362" s="16">
        <v>0</v>
      </c>
      <c r="L362" s="11"/>
      <c r="M362" s="11"/>
      <c r="N362" s="16">
        <f t="shared" si="16"/>
        <v>0</v>
      </c>
      <c r="O362" s="18"/>
      <c r="P362" s="19">
        <v>0</v>
      </c>
      <c r="Q362" s="29">
        <f t="shared" si="17"/>
        <v>0</v>
      </c>
      <c r="R362" s="11"/>
    </row>
    <row r="363" spans="1:18" x14ac:dyDescent="0.2">
      <c r="A363" s="18">
        <f>+'SERVICIO FAENA'!E361</f>
        <v>0</v>
      </c>
      <c r="B363" s="20">
        <f>+'SERVICIO FAENA'!A361</f>
        <v>0</v>
      </c>
      <c r="C363" s="49">
        <f>+'SERVICIO FAENA'!C361</f>
        <v>0</v>
      </c>
      <c r="D363" s="110"/>
      <c r="E363" s="110"/>
      <c r="F363" s="49"/>
      <c r="G363" s="49"/>
      <c r="H363" s="49">
        <f t="shared" si="18"/>
        <v>0</v>
      </c>
      <c r="I363" s="16"/>
      <c r="J363" s="16">
        <v>0</v>
      </c>
      <c r="K363" s="16">
        <v>0</v>
      </c>
      <c r="L363" s="11"/>
      <c r="M363" s="11"/>
      <c r="N363" s="16">
        <f t="shared" si="16"/>
        <v>0</v>
      </c>
      <c r="O363" s="18"/>
      <c r="P363" s="19">
        <v>0</v>
      </c>
      <c r="Q363" s="29">
        <f t="shared" si="17"/>
        <v>0</v>
      </c>
      <c r="R363" s="11"/>
    </row>
    <row r="364" spans="1:18" ht="12.75" customHeight="1" x14ac:dyDescent="0.2">
      <c r="A364" s="18">
        <f>+'SERVICIO FAENA'!E362</f>
        <v>0</v>
      </c>
      <c r="B364" s="20">
        <f>+'SERVICIO FAENA'!A362</f>
        <v>0</v>
      </c>
      <c r="C364" s="49">
        <f>+'SERVICIO FAENA'!C362</f>
        <v>0</v>
      </c>
      <c r="D364" s="110"/>
      <c r="E364" s="110"/>
      <c r="F364" s="49"/>
      <c r="G364" s="49"/>
      <c r="H364" s="49">
        <f t="shared" si="18"/>
        <v>0</v>
      </c>
      <c r="I364" s="16"/>
      <c r="J364" s="16">
        <v>0</v>
      </c>
      <c r="K364" s="16">
        <v>0</v>
      </c>
      <c r="L364" s="11"/>
      <c r="M364" s="11"/>
      <c r="N364" s="16">
        <f t="shared" si="16"/>
        <v>0</v>
      </c>
      <c r="O364" s="18"/>
      <c r="P364" s="19">
        <v>0</v>
      </c>
      <c r="Q364" s="29">
        <f t="shared" si="17"/>
        <v>0</v>
      </c>
      <c r="R364" s="11"/>
    </row>
    <row r="365" spans="1:18" x14ac:dyDescent="0.2">
      <c r="A365" s="18">
        <f>+'SERVICIO FAENA'!E363</f>
        <v>0</v>
      </c>
      <c r="B365" s="20">
        <f>+'SERVICIO FAENA'!A363</f>
        <v>0</v>
      </c>
      <c r="C365" s="49">
        <f>+'SERVICIO FAENA'!C363</f>
        <v>0</v>
      </c>
      <c r="D365" s="110"/>
      <c r="E365" s="110"/>
      <c r="F365" s="49"/>
      <c r="G365" s="49"/>
      <c r="H365" s="49">
        <f t="shared" si="18"/>
        <v>0</v>
      </c>
      <c r="I365" s="16"/>
      <c r="J365" s="16">
        <v>0</v>
      </c>
      <c r="K365" s="16">
        <v>0</v>
      </c>
      <c r="L365" s="11"/>
      <c r="M365" s="11"/>
      <c r="N365" s="16">
        <f t="shared" si="16"/>
        <v>0</v>
      </c>
      <c r="O365" s="18"/>
      <c r="P365" s="19">
        <v>0</v>
      </c>
      <c r="Q365" s="29">
        <f t="shared" si="17"/>
        <v>0</v>
      </c>
      <c r="R365" s="11"/>
    </row>
    <row r="366" spans="1:18" ht="12.75" customHeight="1" x14ac:dyDescent="0.2">
      <c r="A366" s="18">
        <f>+'SERVICIO FAENA'!E364</f>
        <v>0</v>
      </c>
      <c r="B366" s="20">
        <f>+'SERVICIO FAENA'!A364</f>
        <v>0</v>
      </c>
      <c r="C366" s="49">
        <f>+'SERVICIO FAENA'!C364</f>
        <v>0</v>
      </c>
      <c r="D366" s="110"/>
      <c r="E366" s="110"/>
      <c r="F366" s="49"/>
      <c r="G366" s="49"/>
      <c r="H366" s="49">
        <f t="shared" si="18"/>
        <v>0</v>
      </c>
      <c r="I366" s="16"/>
      <c r="J366" s="16">
        <v>0</v>
      </c>
      <c r="K366" s="16">
        <v>0</v>
      </c>
      <c r="L366" s="11"/>
      <c r="M366" s="11"/>
      <c r="N366" s="16">
        <f t="shared" si="16"/>
        <v>0</v>
      </c>
      <c r="O366" s="18"/>
      <c r="P366" s="19">
        <v>0</v>
      </c>
      <c r="Q366" s="29">
        <f t="shared" si="17"/>
        <v>0</v>
      </c>
      <c r="R366" s="11"/>
    </row>
    <row r="367" spans="1:18" x14ac:dyDescent="0.2">
      <c r="A367" s="18">
        <f>+'SERVICIO FAENA'!E365</f>
        <v>0</v>
      </c>
      <c r="B367" s="20">
        <f>+'SERVICIO FAENA'!A365</f>
        <v>0</v>
      </c>
      <c r="C367" s="49">
        <f>+'SERVICIO FAENA'!C365</f>
        <v>0</v>
      </c>
      <c r="D367" s="110"/>
      <c r="E367" s="110"/>
      <c r="F367" s="49"/>
      <c r="G367" s="49"/>
      <c r="H367" s="49">
        <f t="shared" si="18"/>
        <v>0</v>
      </c>
      <c r="I367" s="16"/>
      <c r="J367" s="16">
        <v>0</v>
      </c>
      <c r="K367" s="16">
        <v>0</v>
      </c>
      <c r="L367" s="11"/>
      <c r="M367" s="11"/>
      <c r="N367" s="16">
        <f t="shared" si="16"/>
        <v>0</v>
      </c>
      <c r="O367" s="18"/>
      <c r="P367" s="19">
        <v>0</v>
      </c>
      <c r="Q367" s="29">
        <f t="shared" si="17"/>
        <v>0</v>
      </c>
      <c r="R367" s="11"/>
    </row>
    <row r="368" spans="1:18" ht="12.75" customHeight="1" x14ac:dyDescent="0.2">
      <c r="A368" s="18">
        <f>+'SERVICIO FAENA'!E366</f>
        <v>0</v>
      </c>
      <c r="B368" s="20">
        <f>+'SERVICIO FAENA'!A366</f>
        <v>0</v>
      </c>
      <c r="C368" s="49">
        <f>+'SERVICIO FAENA'!C366</f>
        <v>0</v>
      </c>
      <c r="D368" s="110"/>
      <c r="E368" s="110"/>
      <c r="F368" s="49"/>
      <c r="G368" s="49"/>
      <c r="H368" s="49">
        <f t="shared" si="18"/>
        <v>0</v>
      </c>
      <c r="I368" s="16"/>
      <c r="J368" s="16">
        <v>0</v>
      </c>
      <c r="K368" s="16">
        <v>0</v>
      </c>
      <c r="L368" s="11"/>
      <c r="M368" s="11"/>
      <c r="N368" s="16">
        <f t="shared" si="16"/>
        <v>0</v>
      </c>
      <c r="O368" s="18"/>
      <c r="P368" s="19">
        <v>0</v>
      </c>
      <c r="Q368" s="29">
        <f t="shared" si="17"/>
        <v>0</v>
      </c>
      <c r="R368" s="11"/>
    </row>
    <row r="369" spans="1:18" x14ac:dyDescent="0.2">
      <c r="A369" s="18">
        <f>+'SERVICIO FAENA'!E367</f>
        <v>0</v>
      </c>
      <c r="B369" s="20">
        <f>+'SERVICIO FAENA'!A367</f>
        <v>0</v>
      </c>
      <c r="C369" s="49">
        <f>+'SERVICIO FAENA'!C367</f>
        <v>0</v>
      </c>
      <c r="D369" s="110"/>
      <c r="E369" s="110"/>
      <c r="F369" s="49"/>
      <c r="G369" s="49"/>
      <c r="H369" s="49">
        <f t="shared" si="18"/>
        <v>0</v>
      </c>
      <c r="I369" s="16"/>
      <c r="J369" s="16">
        <v>0</v>
      </c>
      <c r="K369" s="16">
        <v>0</v>
      </c>
      <c r="L369" s="11"/>
      <c r="M369" s="11"/>
      <c r="N369" s="16">
        <f t="shared" si="16"/>
        <v>0</v>
      </c>
      <c r="O369" s="18"/>
      <c r="P369" s="19">
        <v>0</v>
      </c>
      <c r="Q369" s="29">
        <f t="shared" si="17"/>
        <v>0</v>
      </c>
      <c r="R369" s="11"/>
    </row>
    <row r="370" spans="1:18" ht="12.75" customHeight="1" x14ac:dyDescent="0.2">
      <c r="A370" s="18">
        <f>+'SERVICIO FAENA'!E368</f>
        <v>0</v>
      </c>
      <c r="B370" s="20">
        <f>+'SERVICIO FAENA'!A368</f>
        <v>0</v>
      </c>
      <c r="C370" s="49">
        <f>+'SERVICIO FAENA'!C368</f>
        <v>0</v>
      </c>
      <c r="D370" s="110"/>
      <c r="E370" s="110"/>
      <c r="F370" s="49"/>
      <c r="G370" s="49"/>
      <c r="H370" s="49">
        <f t="shared" si="18"/>
        <v>0</v>
      </c>
      <c r="I370" s="16"/>
      <c r="J370" s="16">
        <v>0</v>
      </c>
      <c r="K370" s="16">
        <v>0</v>
      </c>
      <c r="L370" s="11"/>
      <c r="M370" s="11"/>
      <c r="N370" s="16">
        <f t="shared" si="16"/>
        <v>0</v>
      </c>
      <c r="O370" s="18"/>
      <c r="P370" s="19">
        <v>0</v>
      </c>
      <c r="Q370" s="29">
        <f t="shared" si="17"/>
        <v>0</v>
      </c>
      <c r="R370" s="11"/>
    </row>
    <row r="371" spans="1:18" x14ac:dyDescent="0.2">
      <c r="A371" s="18">
        <f>+'SERVICIO FAENA'!E369</f>
        <v>0</v>
      </c>
      <c r="B371" s="20">
        <f>+'SERVICIO FAENA'!A369</f>
        <v>0</v>
      </c>
      <c r="C371" s="49">
        <f>+'SERVICIO FAENA'!C369</f>
        <v>0</v>
      </c>
      <c r="D371" s="110"/>
      <c r="E371" s="110"/>
      <c r="F371" s="49"/>
      <c r="G371" s="49"/>
      <c r="H371" s="49">
        <f t="shared" si="18"/>
        <v>0</v>
      </c>
      <c r="I371" s="16"/>
      <c r="J371" s="16">
        <v>0</v>
      </c>
      <c r="K371" s="16">
        <v>0</v>
      </c>
      <c r="L371" s="11"/>
      <c r="M371" s="11"/>
      <c r="N371" s="16">
        <f t="shared" si="16"/>
        <v>0</v>
      </c>
      <c r="O371" s="18"/>
      <c r="P371" s="19">
        <v>0</v>
      </c>
      <c r="Q371" s="29">
        <f t="shared" si="17"/>
        <v>0</v>
      </c>
      <c r="R371" s="11"/>
    </row>
    <row r="372" spans="1:18" ht="12.75" customHeight="1" x14ac:dyDescent="0.2">
      <c r="A372" s="18">
        <f>+'SERVICIO FAENA'!E370</f>
        <v>0</v>
      </c>
      <c r="B372" s="20">
        <f>+'SERVICIO FAENA'!A370</f>
        <v>0</v>
      </c>
      <c r="C372" s="49">
        <f>+'SERVICIO FAENA'!C370</f>
        <v>0</v>
      </c>
      <c r="D372" s="110"/>
      <c r="E372" s="110"/>
      <c r="F372" s="49"/>
      <c r="G372" s="49"/>
      <c r="H372" s="49">
        <f t="shared" si="18"/>
        <v>0</v>
      </c>
      <c r="I372" s="16"/>
      <c r="J372" s="16">
        <v>0</v>
      </c>
      <c r="K372" s="16">
        <v>0</v>
      </c>
      <c r="L372" s="11"/>
      <c r="M372" s="11"/>
      <c r="N372" s="16">
        <f t="shared" si="16"/>
        <v>0</v>
      </c>
      <c r="O372" s="18"/>
      <c r="P372" s="19">
        <v>0</v>
      </c>
      <c r="Q372" s="29">
        <f t="shared" si="17"/>
        <v>0</v>
      </c>
      <c r="R372" s="11"/>
    </row>
    <row r="373" spans="1:18" x14ac:dyDescent="0.2">
      <c r="A373" s="18">
        <f>+'SERVICIO FAENA'!E371</f>
        <v>0</v>
      </c>
      <c r="B373" s="20">
        <f>+'SERVICIO FAENA'!A371</f>
        <v>0</v>
      </c>
      <c r="C373" s="49">
        <f>+'SERVICIO FAENA'!C371</f>
        <v>0</v>
      </c>
      <c r="D373" s="110"/>
      <c r="E373" s="110"/>
      <c r="F373" s="49"/>
      <c r="G373" s="49"/>
      <c r="H373" s="49">
        <f t="shared" si="18"/>
        <v>0</v>
      </c>
      <c r="I373" s="16"/>
      <c r="J373" s="16">
        <v>0</v>
      </c>
      <c r="K373" s="16">
        <v>0</v>
      </c>
      <c r="L373" s="11"/>
      <c r="M373" s="11"/>
      <c r="N373" s="16">
        <f t="shared" si="16"/>
        <v>0</v>
      </c>
      <c r="O373" s="18"/>
      <c r="P373" s="19">
        <v>0</v>
      </c>
      <c r="Q373" s="29">
        <f t="shared" si="17"/>
        <v>0</v>
      </c>
      <c r="R373" s="11"/>
    </row>
    <row r="374" spans="1:18" ht="12.75" customHeight="1" x14ac:dyDescent="0.2">
      <c r="A374" s="18">
        <f>+'SERVICIO FAENA'!E372</f>
        <v>0</v>
      </c>
      <c r="B374" s="20">
        <f>+'SERVICIO FAENA'!A372</f>
        <v>0</v>
      </c>
      <c r="C374" s="49">
        <f>+'SERVICIO FAENA'!C372</f>
        <v>0</v>
      </c>
      <c r="D374" s="110"/>
      <c r="E374" s="110"/>
      <c r="F374" s="49"/>
      <c r="G374" s="49"/>
      <c r="H374" s="49">
        <f t="shared" si="18"/>
        <v>0</v>
      </c>
      <c r="I374" s="16"/>
      <c r="J374" s="16">
        <v>0</v>
      </c>
      <c r="K374" s="16">
        <v>0</v>
      </c>
      <c r="L374" s="11"/>
      <c r="M374" s="11"/>
      <c r="N374" s="16">
        <f t="shared" si="16"/>
        <v>0</v>
      </c>
      <c r="O374" s="18"/>
      <c r="P374" s="19">
        <v>0</v>
      </c>
      <c r="Q374" s="29">
        <f t="shared" si="17"/>
        <v>0</v>
      </c>
      <c r="R374" s="11"/>
    </row>
    <row r="375" spans="1:18" x14ac:dyDescent="0.2">
      <c r="A375" s="18">
        <f>+'SERVICIO FAENA'!E373</f>
        <v>0</v>
      </c>
      <c r="B375" s="20">
        <f>+'SERVICIO FAENA'!A373</f>
        <v>0</v>
      </c>
      <c r="C375" s="49">
        <f>+'SERVICIO FAENA'!C373</f>
        <v>0</v>
      </c>
      <c r="D375" s="110"/>
      <c r="E375" s="110"/>
      <c r="F375" s="49"/>
      <c r="G375" s="49"/>
      <c r="H375" s="49">
        <f t="shared" si="18"/>
        <v>0</v>
      </c>
      <c r="I375" s="16"/>
      <c r="J375" s="16">
        <v>0</v>
      </c>
      <c r="K375" s="16">
        <v>0</v>
      </c>
      <c r="L375" s="11"/>
      <c r="M375" s="11"/>
      <c r="N375" s="16">
        <f t="shared" si="16"/>
        <v>0</v>
      </c>
      <c r="O375" s="18"/>
      <c r="P375" s="19">
        <v>0</v>
      </c>
      <c r="Q375" s="29">
        <f t="shared" si="17"/>
        <v>0</v>
      </c>
      <c r="R375" s="11"/>
    </row>
    <row r="376" spans="1:18" ht="12.75" customHeight="1" x14ac:dyDescent="0.2">
      <c r="A376" s="18">
        <f>+'SERVICIO FAENA'!E374</f>
        <v>0</v>
      </c>
      <c r="B376" s="20">
        <f>+'SERVICIO FAENA'!A374</f>
        <v>0</v>
      </c>
      <c r="C376" s="49">
        <f>+'SERVICIO FAENA'!C374</f>
        <v>0</v>
      </c>
      <c r="D376" s="110"/>
      <c r="E376" s="110"/>
      <c r="F376" s="49"/>
      <c r="G376" s="49"/>
      <c r="H376" s="49">
        <f t="shared" si="18"/>
        <v>0</v>
      </c>
      <c r="I376" s="16"/>
      <c r="J376" s="16">
        <v>0</v>
      </c>
      <c r="K376" s="16">
        <v>0</v>
      </c>
      <c r="L376" s="11"/>
      <c r="M376" s="11"/>
      <c r="N376" s="16">
        <f t="shared" si="16"/>
        <v>0</v>
      </c>
      <c r="O376" s="18"/>
      <c r="P376" s="19">
        <v>0</v>
      </c>
      <c r="Q376" s="29">
        <f t="shared" si="17"/>
        <v>0</v>
      </c>
      <c r="R376" s="11"/>
    </row>
    <row r="377" spans="1:18" x14ac:dyDescent="0.2">
      <c r="A377" s="18">
        <f>+'SERVICIO FAENA'!E375</f>
        <v>0</v>
      </c>
      <c r="B377" s="20">
        <f>+'SERVICIO FAENA'!A375</f>
        <v>0</v>
      </c>
      <c r="C377" s="49">
        <f>+'SERVICIO FAENA'!C375</f>
        <v>0</v>
      </c>
      <c r="D377" s="110"/>
      <c r="E377" s="110"/>
      <c r="F377" s="49"/>
      <c r="G377" s="49"/>
      <c r="H377" s="49">
        <f t="shared" si="18"/>
        <v>0</v>
      </c>
      <c r="I377" s="16"/>
      <c r="J377" s="16">
        <v>0</v>
      </c>
      <c r="K377" s="16">
        <v>0</v>
      </c>
      <c r="L377" s="11"/>
      <c r="M377" s="11"/>
      <c r="N377" s="16">
        <f t="shared" si="16"/>
        <v>0</v>
      </c>
      <c r="O377" s="18"/>
      <c r="P377" s="19">
        <v>0</v>
      </c>
      <c r="Q377" s="29">
        <f t="shared" si="17"/>
        <v>0</v>
      </c>
      <c r="R377" s="11"/>
    </row>
    <row r="378" spans="1:18" ht="12.75" customHeight="1" x14ac:dyDescent="0.2">
      <c r="A378" s="18">
        <f>+'SERVICIO FAENA'!E376</f>
        <v>0</v>
      </c>
      <c r="B378" s="20">
        <f>+'SERVICIO FAENA'!A376</f>
        <v>0</v>
      </c>
      <c r="C378" s="49">
        <f>+'SERVICIO FAENA'!C376</f>
        <v>0</v>
      </c>
      <c r="D378" s="110"/>
      <c r="E378" s="110"/>
      <c r="F378" s="49"/>
      <c r="G378" s="49"/>
      <c r="H378" s="49">
        <f t="shared" si="18"/>
        <v>0</v>
      </c>
      <c r="I378" s="16"/>
      <c r="J378" s="16">
        <v>0</v>
      </c>
      <c r="K378" s="16">
        <v>0</v>
      </c>
      <c r="L378" s="11"/>
      <c r="M378" s="11"/>
      <c r="N378" s="16">
        <f t="shared" si="16"/>
        <v>0</v>
      </c>
      <c r="O378" s="18"/>
      <c r="P378" s="19">
        <v>0</v>
      </c>
      <c r="Q378" s="29">
        <f t="shared" si="17"/>
        <v>0</v>
      </c>
      <c r="R378" s="11"/>
    </row>
    <row r="379" spans="1:18" x14ac:dyDescent="0.2">
      <c r="A379" s="18">
        <f>+'SERVICIO FAENA'!E377</f>
        <v>0</v>
      </c>
      <c r="B379" s="20">
        <f>+'SERVICIO FAENA'!A377</f>
        <v>0</v>
      </c>
      <c r="C379" s="49">
        <f>+'SERVICIO FAENA'!C377</f>
        <v>0</v>
      </c>
      <c r="D379" s="110"/>
      <c r="E379" s="110"/>
      <c r="F379" s="49"/>
      <c r="G379" s="49"/>
      <c r="H379" s="49">
        <f t="shared" si="18"/>
        <v>0</v>
      </c>
      <c r="I379" s="16"/>
      <c r="J379" s="16">
        <v>0</v>
      </c>
      <c r="K379" s="16">
        <v>0</v>
      </c>
      <c r="L379" s="11"/>
      <c r="M379" s="11"/>
      <c r="N379" s="16">
        <f t="shared" si="16"/>
        <v>0</v>
      </c>
      <c r="O379" s="18"/>
      <c r="P379" s="19">
        <v>0</v>
      </c>
      <c r="Q379" s="29">
        <f t="shared" si="17"/>
        <v>0</v>
      </c>
      <c r="R379" s="11"/>
    </row>
    <row r="380" spans="1:18" ht="12.75" customHeight="1" x14ac:dyDescent="0.2">
      <c r="A380" s="18">
        <f>+'SERVICIO FAENA'!E378</f>
        <v>0</v>
      </c>
      <c r="B380" s="20">
        <f>+'SERVICIO FAENA'!A378</f>
        <v>0</v>
      </c>
      <c r="C380" s="49">
        <f>+'SERVICIO FAENA'!C378</f>
        <v>0</v>
      </c>
      <c r="D380" s="110"/>
      <c r="E380" s="110"/>
      <c r="F380" s="49"/>
      <c r="G380" s="49"/>
      <c r="H380" s="49">
        <f t="shared" si="18"/>
        <v>0</v>
      </c>
      <c r="I380" s="16"/>
      <c r="J380" s="16">
        <v>0</v>
      </c>
      <c r="K380" s="16">
        <v>0</v>
      </c>
      <c r="L380" s="11"/>
      <c r="M380" s="11"/>
      <c r="N380" s="16">
        <f t="shared" si="16"/>
        <v>0</v>
      </c>
      <c r="O380" s="18"/>
      <c r="P380" s="19">
        <v>0</v>
      </c>
      <c r="Q380" s="29">
        <f t="shared" si="17"/>
        <v>0</v>
      </c>
      <c r="R380" s="11"/>
    </row>
    <row r="381" spans="1:18" x14ac:dyDescent="0.2">
      <c r="A381" s="18">
        <f>+'SERVICIO FAENA'!E379</f>
        <v>0</v>
      </c>
      <c r="B381" s="20">
        <f>+'SERVICIO FAENA'!A379</f>
        <v>0</v>
      </c>
      <c r="C381" s="49">
        <f>+'SERVICIO FAENA'!C379</f>
        <v>0</v>
      </c>
      <c r="D381" s="110"/>
      <c r="E381" s="110"/>
      <c r="F381" s="49"/>
      <c r="G381" s="49"/>
      <c r="H381" s="49">
        <f t="shared" si="18"/>
        <v>0</v>
      </c>
      <c r="I381" s="16"/>
      <c r="J381" s="16">
        <v>0</v>
      </c>
      <c r="K381" s="16">
        <v>0</v>
      </c>
      <c r="L381" s="11"/>
      <c r="M381" s="11"/>
      <c r="N381" s="16">
        <f t="shared" si="16"/>
        <v>0</v>
      </c>
      <c r="O381" s="18"/>
      <c r="P381" s="19">
        <v>0</v>
      </c>
      <c r="Q381" s="29">
        <f t="shared" si="17"/>
        <v>0</v>
      </c>
      <c r="R381" s="11"/>
    </row>
    <row r="382" spans="1:18" ht="12.75" customHeight="1" x14ac:dyDescent="0.2">
      <c r="A382" s="18">
        <f>+'SERVICIO FAENA'!E380</f>
        <v>0</v>
      </c>
      <c r="B382" s="20">
        <f>+'SERVICIO FAENA'!A380</f>
        <v>0</v>
      </c>
      <c r="C382" s="49">
        <f>+'SERVICIO FAENA'!C380</f>
        <v>0</v>
      </c>
      <c r="D382" s="110"/>
      <c r="E382" s="110"/>
      <c r="F382" s="49"/>
      <c r="G382" s="49"/>
      <c r="H382" s="49">
        <f t="shared" si="18"/>
        <v>0</v>
      </c>
      <c r="I382" s="16"/>
      <c r="J382" s="16">
        <v>0</v>
      </c>
      <c r="K382" s="16">
        <v>0</v>
      </c>
      <c r="L382" s="11"/>
      <c r="M382" s="11"/>
      <c r="N382" s="16">
        <f t="shared" si="16"/>
        <v>0</v>
      </c>
      <c r="O382" s="18"/>
      <c r="P382" s="19">
        <v>0</v>
      </c>
      <c r="Q382" s="29">
        <f t="shared" si="17"/>
        <v>0</v>
      </c>
      <c r="R382" s="11"/>
    </row>
    <row r="383" spans="1:18" x14ac:dyDescent="0.2">
      <c r="A383" s="18">
        <f>+'SERVICIO FAENA'!E381</f>
        <v>0</v>
      </c>
      <c r="B383" s="20">
        <f>+'SERVICIO FAENA'!A381</f>
        <v>0</v>
      </c>
      <c r="C383" s="49">
        <f>+'SERVICIO FAENA'!C381</f>
        <v>0</v>
      </c>
      <c r="D383" s="110"/>
      <c r="E383" s="110"/>
      <c r="F383" s="49"/>
      <c r="G383" s="49"/>
      <c r="H383" s="49">
        <f t="shared" si="18"/>
        <v>0</v>
      </c>
      <c r="I383" s="16"/>
      <c r="J383" s="16">
        <v>0</v>
      </c>
      <c r="K383" s="16">
        <v>0</v>
      </c>
      <c r="L383" s="11"/>
      <c r="M383" s="11"/>
      <c r="N383" s="16">
        <f t="shared" si="16"/>
        <v>0</v>
      </c>
      <c r="O383" s="18"/>
      <c r="P383" s="19">
        <v>0</v>
      </c>
      <c r="Q383" s="29">
        <f t="shared" si="17"/>
        <v>0</v>
      </c>
      <c r="R383" s="11"/>
    </row>
    <row r="384" spans="1:18" ht="12.75" customHeight="1" x14ac:dyDescent="0.2">
      <c r="A384" s="18">
        <f>+'SERVICIO FAENA'!E382</f>
        <v>0</v>
      </c>
      <c r="B384" s="20">
        <f>+'SERVICIO FAENA'!A382</f>
        <v>0</v>
      </c>
      <c r="C384" s="49">
        <f>+'SERVICIO FAENA'!C382</f>
        <v>0</v>
      </c>
      <c r="D384" s="110"/>
      <c r="E384" s="110"/>
      <c r="F384" s="49"/>
      <c r="G384" s="49"/>
      <c r="H384" s="49">
        <f t="shared" si="18"/>
        <v>0</v>
      </c>
      <c r="I384" s="16"/>
      <c r="J384" s="16">
        <v>0</v>
      </c>
      <c r="K384" s="16">
        <v>0</v>
      </c>
      <c r="L384" s="11"/>
      <c r="M384" s="11"/>
      <c r="N384" s="16">
        <f t="shared" si="16"/>
        <v>0</v>
      </c>
      <c r="O384" s="18"/>
      <c r="P384" s="19">
        <v>0</v>
      </c>
      <c r="Q384" s="29">
        <f t="shared" si="17"/>
        <v>0</v>
      </c>
      <c r="R384" s="11"/>
    </row>
    <row r="385" spans="1:18" x14ac:dyDescent="0.2">
      <c r="A385" s="18">
        <f>+'SERVICIO FAENA'!E383</f>
        <v>0</v>
      </c>
      <c r="B385" s="20">
        <f>+'SERVICIO FAENA'!A383</f>
        <v>0</v>
      </c>
      <c r="C385" s="49">
        <f>+'SERVICIO FAENA'!C383</f>
        <v>0</v>
      </c>
      <c r="D385" s="110"/>
      <c r="E385" s="110"/>
      <c r="F385" s="49"/>
      <c r="G385" s="49"/>
      <c r="H385" s="49">
        <f t="shared" si="18"/>
        <v>0</v>
      </c>
      <c r="I385" s="16"/>
      <c r="J385" s="16">
        <v>0</v>
      </c>
      <c r="K385" s="16">
        <v>0</v>
      </c>
      <c r="L385" s="11"/>
      <c r="M385" s="11"/>
      <c r="N385" s="16">
        <f t="shared" si="16"/>
        <v>0</v>
      </c>
      <c r="O385" s="18"/>
      <c r="P385" s="19">
        <v>0</v>
      </c>
      <c r="Q385" s="29">
        <f t="shared" si="17"/>
        <v>0</v>
      </c>
      <c r="R385" s="11"/>
    </row>
    <row r="386" spans="1:18" ht="12.75" customHeight="1" x14ac:dyDescent="0.2">
      <c r="A386" s="18">
        <f>+'SERVICIO FAENA'!E384</f>
        <v>0</v>
      </c>
      <c r="B386" s="20">
        <f>+'SERVICIO FAENA'!A384</f>
        <v>0</v>
      </c>
      <c r="C386" s="49">
        <f>+'SERVICIO FAENA'!C384</f>
        <v>0</v>
      </c>
      <c r="D386" s="110"/>
      <c r="E386" s="110"/>
      <c r="F386" s="49"/>
      <c r="G386" s="49"/>
      <c r="H386" s="49">
        <f t="shared" si="18"/>
        <v>0</v>
      </c>
      <c r="I386" s="16"/>
      <c r="J386" s="16">
        <v>0</v>
      </c>
      <c r="K386" s="16">
        <v>0</v>
      </c>
      <c r="L386" s="11"/>
      <c r="M386" s="11"/>
      <c r="N386" s="16">
        <f t="shared" si="16"/>
        <v>0</v>
      </c>
      <c r="O386" s="18"/>
      <c r="P386" s="19">
        <v>0</v>
      </c>
      <c r="Q386" s="29">
        <f t="shared" si="17"/>
        <v>0</v>
      </c>
      <c r="R386" s="11"/>
    </row>
    <row r="387" spans="1:18" x14ac:dyDescent="0.2">
      <c r="A387" s="18">
        <f>+'SERVICIO FAENA'!E385</f>
        <v>0</v>
      </c>
      <c r="B387" s="20">
        <f>+'SERVICIO FAENA'!A385</f>
        <v>0</v>
      </c>
      <c r="C387" s="49">
        <f>+'SERVICIO FAENA'!C385</f>
        <v>0</v>
      </c>
      <c r="D387" s="110"/>
      <c r="E387" s="110"/>
      <c r="F387" s="49"/>
      <c r="G387" s="49"/>
      <c r="H387" s="49">
        <f t="shared" si="18"/>
        <v>0</v>
      </c>
      <c r="I387" s="16"/>
      <c r="J387" s="16">
        <v>0</v>
      </c>
      <c r="K387" s="16">
        <v>0</v>
      </c>
      <c r="L387" s="11"/>
      <c r="M387" s="11"/>
      <c r="N387" s="16">
        <f t="shared" si="16"/>
        <v>0</v>
      </c>
      <c r="O387" s="18"/>
      <c r="P387" s="19">
        <v>0</v>
      </c>
      <c r="Q387" s="29">
        <f t="shared" si="17"/>
        <v>0</v>
      </c>
      <c r="R387" s="11"/>
    </row>
    <row r="388" spans="1:18" ht="12.75" customHeight="1" x14ac:dyDescent="0.2">
      <c r="A388" s="18">
        <f>+'SERVICIO FAENA'!E386</f>
        <v>0</v>
      </c>
      <c r="B388" s="20">
        <f>+'SERVICIO FAENA'!A386</f>
        <v>0</v>
      </c>
      <c r="C388" s="49">
        <f>+'SERVICIO FAENA'!C386</f>
        <v>0</v>
      </c>
      <c r="D388" s="110"/>
      <c r="E388" s="110"/>
      <c r="F388" s="49"/>
      <c r="G388" s="49"/>
      <c r="H388" s="49">
        <f t="shared" si="18"/>
        <v>0</v>
      </c>
      <c r="I388" s="16"/>
      <c r="J388" s="16">
        <v>0</v>
      </c>
      <c r="K388" s="16">
        <v>0</v>
      </c>
      <c r="L388" s="11"/>
      <c r="M388" s="11"/>
      <c r="N388" s="16">
        <f t="shared" si="16"/>
        <v>0</v>
      </c>
      <c r="O388" s="18"/>
      <c r="P388" s="19">
        <v>0</v>
      </c>
      <c r="Q388" s="29">
        <f t="shared" si="17"/>
        <v>0</v>
      </c>
      <c r="R388" s="11"/>
    </row>
    <row r="389" spans="1:18" x14ac:dyDescent="0.2">
      <c r="A389" s="18">
        <f>+'SERVICIO FAENA'!E387</f>
        <v>0</v>
      </c>
      <c r="B389" s="20">
        <f>+'SERVICIO FAENA'!A387</f>
        <v>0</v>
      </c>
      <c r="C389" s="49">
        <f>+'SERVICIO FAENA'!C387</f>
        <v>0</v>
      </c>
      <c r="D389" s="110"/>
      <c r="E389" s="110"/>
      <c r="F389" s="49"/>
      <c r="G389" s="49"/>
      <c r="H389" s="49">
        <f t="shared" si="18"/>
        <v>0</v>
      </c>
      <c r="I389" s="16"/>
      <c r="J389" s="16">
        <v>0</v>
      </c>
      <c r="K389" s="16">
        <v>0</v>
      </c>
      <c r="L389" s="11"/>
      <c r="M389" s="11"/>
      <c r="N389" s="16">
        <f t="shared" si="16"/>
        <v>0</v>
      </c>
      <c r="O389" s="18"/>
      <c r="P389" s="19">
        <v>0</v>
      </c>
      <c r="Q389" s="29">
        <f t="shared" si="17"/>
        <v>0</v>
      </c>
      <c r="R389" s="11"/>
    </row>
    <row r="390" spans="1:18" ht="12.75" customHeight="1" x14ac:dyDescent="0.2">
      <c r="A390" s="18">
        <f>+'SERVICIO FAENA'!E388</f>
        <v>0</v>
      </c>
      <c r="B390" s="20">
        <f>+'SERVICIO FAENA'!A388</f>
        <v>0</v>
      </c>
      <c r="C390" s="49">
        <f>+'SERVICIO FAENA'!C388</f>
        <v>0</v>
      </c>
      <c r="D390" s="110"/>
      <c r="E390" s="110"/>
      <c r="F390" s="49"/>
      <c r="G390" s="49"/>
      <c r="H390" s="49">
        <f t="shared" si="18"/>
        <v>0</v>
      </c>
      <c r="I390" s="16"/>
      <c r="J390" s="16">
        <v>0</v>
      </c>
      <c r="K390" s="16">
        <v>0</v>
      </c>
      <c r="L390" s="11"/>
      <c r="M390" s="11"/>
      <c r="N390" s="16">
        <f t="shared" si="16"/>
        <v>0</v>
      </c>
      <c r="O390" s="18"/>
      <c r="P390" s="19">
        <v>0</v>
      </c>
      <c r="Q390" s="29">
        <f t="shared" si="17"/>
        <v>0</v>
      </c>
      <c r="R390" s="11"/>
    </row>
    <row r="391" spans="1:18" x14ac:dyDescent="0.2">
      <c r="A391" s="18">
        <f>+'SERVICIO FAENA'!E389</f>
        <v>0</v>
      </c>
      <c r="B391" s="20">
        <f>+'SERVICIO FAENA'!A389</f>
        <v>0</v>
      </c>
      <c r="C391" s="49">
        <f>+'SERVICIO FAENA'!C389</f>
        <v>0</v>
      </c>
      <c r="D391" s="110"/>
      <c r="E391" s="110"/>
      <c r="F391" s="49"/>
      <c r="G391" s="49"/>
      <c r="H391" s="49">
        <f t="shared" si="18"/>
        <v>0</v>
      </c>
      <c r="I391" s="16"/>
      <c r="J391" s="16">
        <v>0</v>
      </c>
      <c r="K391" s="16">
        <v>0</v>
      </c>
      <c r="L391" s="11"/>
      <c r="M391" s="11"/>
      <c r="N391" s="16">
        <f t="shared" si="16"/>
        <v>0</v>
      </c>
      <c r="O391" s="18"/>
      <c r="P391" s="19">
        <v>0</v>
      </c>
      <c r="Q391" s="29">
        <f t="shared" si="17"/>
        <v>0</v>
      </c>
      <c r="R391" s="11"/>
    </row>
    <row r="392" spans="1:18" ht="12.75" customHeight="1" x14ac:dyDescent="0.2">
      <c r="A392" s="18">
        <f>+'SERVICIO FAENA'!E390</f>
        <v>0</v>
      </c>
      <c r="B392" s="20">
        <f>+'SERVICIO FAENA'!A390</f>
        <v>0</v>
      </c>
      <c r="C392" s="49">
        <f>+'SERVICIO FAENA'!C390</f>
        <v>0</v>
      </c>
      <c r="D392" s="110"/>
      <c r="E392" s="110"/>
      <c r="F392" s="49"/>
      <c r="G392" s="49"/>
      <c r="H392" s="49">
        <f t="shared" si="18"/>
        <v>0</v>
      </c>
      <c r="I392" s="16"/>
      <c r="J392" s="16">
        <v>0</v>
      </c>
      <c r="K392" s="16">
        <v>0</v>
      </c>
      <c r="L392" s="11"/>
      <c r="M392" s="11"/>
      <c r="N392" s="16">
        <f t="shared" ref="N392:N455" si="19">+K392*I392</f>
        <v>0</v>
      </c>
      <c r="O392" s="18"/>
      <c r="P392" s="19">
        <v>0</v>
      </c>
      <c r="Q392" s="29">
        <f t="shared" ref="Q392:Q455" si="20">+P392-N392</f>
        <v>0</v>
      </c>
      <c r="R392" s="11"/>
    </row>
    <row r="393" spans="1:18" x14ac:dyDescent="0.2">
      <c r="A393" s="18">
        <f>+'SERVICIO FAENA'!E391</f>
        <v>0</v>
      </c>
      <c r="B393" s="20">
        <f>+'SERVICIO FAENA'!A391</f>
        <v>0</v>
      </c>
      <c r="C393" s="49">
        <f>+'SERVICIO FAENA'!C391</f>
        <v>0</v>
      </c>
      <c r="D393" s="110"/>
      <c r="E393" s="110"/>
      <c r="F393" s="49"/>
      <c r="G393" s="49"/>
      <c r="H393" s="49">
        <f t="shared" si="18"/>
        <v>0</v>
      </c>
      <c r="I393" s="16"/>
      <c r="J393" s="16">
        <v>0</v>
      </c>
      <c r="K393" s="16">
        <v>0</v>
      </c>
      <c r="L393" s="11"/>
      <c r="M393" s="11"/>
      <c r="N393" s="16">
        <f t="shared" si="19"/>
        <v>0</v>
      </c>
      <c r="O393" s="18"/>
      <c r="P393" s="19">
        <v>0</v>
      </c>
      <c r="Q393" s="29">
        <f t="shared" si="20"/>
        <v>0</v>
      </c>
      <c r="R393" s="11"/>
    </row>
    <row r="394" spans="1:18" ht="12.75" customHeight="1" x14ac:dyDescent="0.2">
      <c r="A394" s="18">
        <f>+'SERVICIO FAENA'!E392</f>
        <v>0</v>
      </c>
      <c r="B394" s="20">
        <f>+'SERVICIO FAENA'!A392</f>
        <v>0</v>
      </c>
      <c r="C394" s="49">
        <f>+'SERVICIO FAENA'!C392</f>
        <v>0</v>
      </c>
      <c r="D394" s="110"/>
      <c r="E394" s="110"/>
      <c r="F394" s="49"/>
      <c r="G394" s="49"/>
      <c r="H394" s="49">
        <f t="shared" si="18"/>
        <v>0</v>
      </c>
      <c r="I394" s="16"/>
      <c r="J394" s="16">
        <v>0</v>
      </c>
      <c r="K394" s="16">
        <v>0</v>
      </c>
      <c r="L394" s="11"/>
      <c r="M394" s="11"/>
      <c r="N394" s="16">
        <f t="shared" si="19"/>
        <v>0</v>
      </c>
      <c r="O394" s="18"/>
      <c r="P394" s="19">
        <v>0</v>
      </c>
      <c r="Q394" s="29">
        <f t="shared" si="20"/>
        <v>0</v>
      </c>
      <c r="R394" s="11"/>
    </row>
    <row r="395" spans="1:18" x14ac:dyDescent="0.2">
      <c r="A395" s="18">
        <f>+'SERVICIO FAENA'!E393</f>
        <v>0</v>
      </c>
      <c r="B395" s="20">
        <f>+'SERVICIO FAENA'!A393</f>
        <v>0</v>
      </c>
      <c r="C395" s="49">
        <f>+'SERVICIO FAENA'!C393</f>
        <v>0</v>
      </c>
      <c r="D395" s="110"/>
      <c r="E395" s="110"/>
      <c r="F395" s="49"/>
      <c r="G395" s="49"/>
      <c r="H395" s="49">
        <f t="shared" si="18"/>
        <v>0</v>
      </c>
      <c r="I395" s="16"/>
      <c r="J395" s="16">
        <v>0</v>
      </c>
      <c r="K395" s="16">
        <v>0</v>
      </c>
      <c r="L395" s="11"/>
      <c r="M395" s="11"/>
      <c r="N395" s="16">
        <f t="shared" si="19"/>
        <v>0</v>
      </c>
      <c r="O395" s="18"/>
      <c r="P395" s="19">
        <v>0</v>
      </c>
      <c r="Q395" s="29">
        <f t="shared" si="20"/>
        <v>0</v>
      </c>
      <c r="R395" s="11"/>
    </row>
    <row r="396" spans="1:18" ht="12.75" customHeight="1" x14ac:dyDescent="0.2">
      <c r="A396" s="18">
        <f>+'SERVICIO FAENA'!E394</f>
        <v>0</v>
      </c>
      <c r="B396" s="20">
        <f>+'SERVICIO FAENA'!A394</f>
        <v>0</v>
      </c>
      <c r="C396" s="49">
        <f>+'SERVICIO FAENA'!C394</f>
        <v>0</v>
      </c>
      <c r="D396" s="110"/>
      <c r="E396" s="110"/>
      <c r="F396" s="49"/>
      <c r="G396" s="49"/>
      <c r="H396" s="49">
        <f t="shared" si="18"/>
        <v>0</v>
      </c>
      <c r="I396" s="16"/>
      <c r="J396" s="16">
        <v>0</v>
      </c>
      <c r="K396" s="16">
        <v>0</v>
      </c>
      <c r="L396" s="11"/>
      <c r="M396" s="11"/>
      <c r="N396" s="16">
        <f t="shared" si="19"/>
        <v>0</v>
      </c>
      <c r="O396" s="18"/>
      <c r="P396" s="19">
        <v>0</v>
      </c>
      <c r="Q396" s="29">
        <f t="shared" si="20"/>
        <v>0</v>
      </c>
      <c r="R396" s="11"/>
    </row>
    <row r="397" spans="1:18" x14ac:dyDescent="0.2">
      <c r="A397" s="18">
        <f>+'SERVICIO FAENA'!E395</f>
        <v>0</v>
      </c>
      <c r="B397" s="20">
        <f>+'SERVICIO FAENA'!A395</f>
        <v>0</v>
      </c>
      <c r="C397" s="49">
        <f>+'SERVICIO FAENA'!C395</f>
        <v>0</v>
      </c>
      <c r="D397" s="110"/>
      <c r="E397" s="110"/>
      <c r="F397" s="49"/>
      <c r="G397" s="49"/>
      <c r="H397" s="49">
        <f t="shared" si="18"/>
        <v>0</v>
      </c>
      <c r="I397" s="16"/>
      <c r="J397" s="16">
        <v>0</v>
      </c>
      <c r="K397" s="16">
        <v>0</v>
      </c>
      <c r="L397" s="11"/>
      <c r="M397" s="11"/>
      <c r="N397" s="16">
        <f t="shared" si="19"/>
        <v>0</v>
      </c>
      <c r="O397" s="18"/>
      <c r="P397" s="19">
        <v>0</v>
      </c>
      <c r="Q397" s="29">
        <f t="shared" si="20"/>
        <v>0</v>
      </c>
      <c r="R397" s="11"/>
    </row>
    <row r="398" spans="1:18" ht="12.75" customHeight="1" x14ac:dyDescent="0.2">
      <c r="A398" s="18">
        <f>+'SERVICIO FAENA'!E396</f>
        <v>0</v>
      </c>
      <c r="B398" s="20">
        <f>+'SERVICIO FAENA'!A396</f>
        <v>0</v>
      </c>
      <c r="C398" s="49">
        <f>+'SERVICIO FAENA'!C396</f>
        <v>0</v>
      </c>
      <c r="D398" s="110"/>
      <c r="E398" s="110"/>
      <c r="F398" s="49"/>
      <c r="G398" s="49"/>
      <c r="H398" s="49">
        <f t="shared" si="18"/>
        <v>0</v>
      </c>
      <c r="I398" s="16"/>
      <c r="J398" s="16">
        <v>0</v>
      </c>
      <c r="K398" s="16">
        <v>0</v>
      </c>
      <c r="L398" s="11"/>
      <c r="M398" s="11"/>
      <c r="N398" s="16">
        <f t="shared" si="19"/>
        <v>0</v>
      </c>
      <c r="O398" s="18"/>
      <c r="P398" s="19">
        <v>0</v>
      </c>
      <c r="Q398" s="29">
        <f t="shared" si="20"/>
        <v>0</v>
      </c>
      <c r="R398" s="11"/>
    </row>
    <row r="399" spans="1:18" x14ac:dyDescent="0.2">
      <c r="A399" s="18">
        <f>+'SERVICIO FAENA'!E397</f>
        <v>0</v>
      </c>
      <c r="B399" s="20">
        <f>+'SERVICIO FAENA'!A397</f>
        <v>0</v>
      </c>
      <c r="C399" s="49">
        <f>+'SERVICIO FAENA'!C397</f>
        <v>0</v>
      </c>
      <c r="D399" s="110"/>
      <c r="E399" s="110"/>
      <c r="F399" s="49"/>
      <c r="G399" s="49"/>
      <c r="H399" s="49">
        <f t="shared" si="18"/>
        <v>0</v>
      </c>
      <c r="I399" s="16"/>
      <c r="J399" s="16">
        <v>0</v>
      </c>
      <c r="K399" s="16">
        <v>0</v>
      </c>
      <c r="L399" s="11"/>
      <c r="M399" s="11"/>
      <c r="N399" s="16">
        <f t="shared" si="19"/>
        <v>0</v>
      </c>
      <c r="O399" s="18"/>
      <c r="P399" s="19">
        <v>0</v>
      </c>
      <c r="Q399" s="29">
        <f t="shared" si="20"/>
        <v>0</v>
      </c>
      <c r="R399" s="11"/>
    </row>
    <row r="400" spans="1:18" ht="12.75" customHeight="1" x14ac:dyDescent="0.2">
      <c r="A400" s="18">
        <f>+'SERVICIO FAENA'!E398</f>
        <v>0</v>
      </c>
      <c r="B400" s="20">
        <f>+'SERVICIO FAENA'!A398</f>
        <v>0</v>
      </c>
      <c r="C400" s="49">
        <f>+'SERVICIO FAENA'!C398</f>
        <v>0</v>
      </c>
      <c r="D400" s="110"/>
      <c r="E400" s="110"/>
      <c r="F400" s="49"/>
      <c r="G400" s="49"/>
      <c r="H400" s="49">
        <f t="shared" si="18"/>
        <v>0</v>
      </c>
      <c r="I400" s="16"/>
      <c r="J400" s="16">
        <v>0</v>
      </c>
      <c r="K400" s="16">
        <v>0</v>
      </c>
      <c r="L400" s="11"/>
      <c r="M400" s="11"/>
      <c r="N400" s="16">
        <f t="shared" si="19"/>
        <v>0</v>
      </c>
      <c r="O400" s="18"/>
      <c r="P400" s="19">
        <v>0</v>
      </c>
      <c r="Q400" s="29">
        <f t="shared" si="20"/>
        <v>0</v>
      </c>
      <c r="R400" s="11"/>
    </row>
    <row r="401" spans="1:18" x14ac:dyDescent="0.2">
      <c r="A401" s="18">
        <f>+'SERVICIO FAENA'!E399</f>
        <v>0</v>
      </c>
      <c r="B401" s="20">
        <f>+'SERVICIO FAENA'!A399</f>
        <v>0</v>
      </c>
      <c r="C401" s="49">
        <f>+'SERVICIO FAENA'!C399</f>
        <v>0</v>
      </c>
      <c r="D401" s="110"/>
      <c r="E401" s="110"/>
      <c r="F401" s="49"/>
      <c r="G401" s="49"/>
      <c r="H401" s="49">
        <f t="shared" ref="H401:H464" si="21">+D401+E401</f>
        <v>0</v>
      </c>
      <c r="I401" s="16"/>
      <c r="J401" s="16">
        <v>0</v>
      </c>
      <c r="K401" s="16">
        <v>0</v>
      </c>
      <c r="L401" s="11"/>
      <c r="M401" s="11"/>
      <c r="N401" s="16">
        <f t="shared" si="19"/>
        <v>0</v>
      </c>
      <c r="O401" s="18"/>
      <c r="P401" s="19">
        <v>0</v>
      </c>
      <c r="Q401" s="29">
        <f t="shared" si="20"/>
        <v>0</v>
      </c>
      <c r="R401" s="11"/>
    </row>
    <row r="402" spans="1:18" ht="12.75" customHeight="1" x14ac:dyDescent="0.2">
      <c r="A402" s="18">
        <f>+'SERVICIO FAENA'!E400</f>
        <v>0</v>
      </c>
      <c r="B402" s="20">
        <f>+'SERVICIO FAENA'!A400</f>
        <v>0</v>
      </c>
      <c r="C402" s="49">
        <f>+'SERVICIO FAENA'!C400</f>
        <v>0</v>
      </c>
      <c r="D402" s="110"/>
      <c r="E402" s="110"/>
      <c r="F402" s="49"/>
      <c r="G402" s="49"/>
      <c r="H402" s="49">
        <f t="shared" si="21"/>
        <v>0</v>
      </c>
      <c r="I402" s="16"/>
      <c r="J402" s="16">
        <v>0</v>
      </c>
      <c r="K402" s="16">
        <v>0</v>
      </c>
      <c r="L402" s="11"/>
      <c r="M402" s="11"/>
      <c r="N402" s="16">
        <f t="shared" si="19"/>
        <v>0</v>
      </c>
      <c r="O402" s="18"/>
      <c r="P402" s="19">
        <v>0</v>
      </c>
      <c r="Q402" s="29">
        <f t="shared" si="20"/>
        <v>0</v>
      </c>
      <c r="R402" s="11"/>
    </row>
    <row r="403" spans="1:18" x14ac:dyDescent="0.2">
      <c r="A403" s="18">
        <f>+'SERVICIO FAENA'!E401</f>
        <v>0</v>
      </c>
      <c r="B403" s="20">
        <f>+'SERVICIO FAENA'!A401</f>
        <v>0</v>
      </c>
      <c r="C403" s="49">
        <f>+'SERVICIO FAENA'!C401</f>
        <v>0</v>
      </c>
      <c r="D403" s="110"/>
      <c r="E403" s="110"/>
      <c r="F403" s="49"/>
      <c r="G403" s="49"/>
      <c r="H403" s="49">
        <f t="shared" si="21"/>
        <v>0</v>
      </c>
      <c r="I403" s="16"/>
      <c r="J403" s="16">
        <v>0</v>
      </c>
      <c r="K403" s="16">
        <v>0</v>
      </c>
      <c r="L403" s="11"/>
      <c r="M403" s="11"/>
      <c r="N403" s="16">
        <f t="shared" si="19"/>
        <v>0</v>
      </c>
      <c r="O403" s="18"/>
      <c r="P403" s="19">
        <v>0</v>
      </c>
      <c r="Q403" s="29">
        <f t="shared" si="20"/>
        <v>0</v>
      </c>
      <c r="R403" s="11"/>
    </row>
    <row r="404" spans="1:18" ht="12.75" customHeight="1" x14ac:dyDescent="0.2">
      <c r="A404" s="18">
        <f>+'SERVICIO FAENA'!E402</f>
        <v>0</v>
      </c>
      <c r="B404" s="20">
        <f>+'SERVICIO FAENA'!A402</f>
        <v>0</v>
      </c>
      <c r="C404" s="49">
        <f>+'SERVICIO FAENA'!C402</f>
        <v>0</v>
      </c>
      <c r="D404" s="110"/>
      <c r="E404" s="110"/>
      <c r="F404" s="49"/>
      <c r="G404" s="49"/>
      <c r="H404" s="49">
        <f t="shared" si="21"/>
        <v>0</v>
      </c>
      <c r="I404" s="16"/>
      <c r="J404" s="16">
        <v>0</v>
      </c>
      <c r="K404" s="16">
        <v>0</v>
      </c>
      <c r="L404" s="11"/>
      <c r="M404" s="11"/>
      <c r="N404" s="16">
        <f t="shared" si="19"/>
        <v>0</v>
      </c>
      <c r="O404" s="18"/>
      <c r="P404" s="19">
        <v>0</v>
      </c>
      <c r="Q404" s="29">
        <f t="shared" si="20"/>
        <v>0</v>
      </c>
      <c r="R404" s="11"/>
    </row>
    <row r="405" spans="1:18" x14ac:dyDescent="0.2">
      <c r="A405" s="18">
        <f>+'SERVICIO FAENA'!E403</f>
        <v>0</v>
      </c>
      <c r="B405" s="20">
        <f>+'SERVICIO FAENA'!A403</f>
        <v>0</v>
      </c>
      <c r="C405" s="49">
        <f>+'SERVICIO FAENA'!C403</f>
        <v>0</v>
      </c>
      <c r="D405" s="110"/>
      <c r="E405" s="110"/>
      <c r="F405" s="49"/>
      <c r="G405" s="49"/>
      <c r="H405" s="49">
        <f t="shared" si="21"/>
        <v>0</v>
      </c>
      <c r="I405" s="16"/>
      <c r="J405" s="16">
        <v>0</v>
      </c>
      <c r="K405" s="16">
        <v>0</v>
      </c>
      <c r="L405" s="11"/>
      <c r="M405" s="11"/>
      <c r="N405" s="16">
        <f t="shared" si="19"/>
        <v>0</v>
      </c>
      <c r="O405" s="18"/>
      <c r="P405" s="19">
        <v>0</v>
      </c>
      <c r="Q405" s="29">
        <f t="shared" si="20"/>
        <v>0</v>
      </c>
      <c r="R405" s="11"/>
    </row>
    <row r="406" spans="1:18" ht="12.75" customHeight="1" x14ac:dyDescent="0.2">
      <c r="A406" s="18">
        <f>+'SERVICIO FAENA'!E404</f>
        <v>0</v>
      </c>
      <c r="B406" s="20">
        <f>+'SERVICIO FAENA'!A404</f>
        <v>0</v>
      </c>
      <c r="C406" s="49">
        <f>+'SERVICIO FAENA'!C404</f>
        <v>0</v>
      </c>
      <c r="D406" s="110"/>
      <c r="E406" s="110"/>
      <c r="F406" s="49"/>
      <c r="G406" s="49"/>
      <c r="H406" s="49">
        <f t="shared" si="21"/>
        <v>0</v>
      </c>
      <c r="I406" s="16"/>
      <c r="J406" s="16">
        <v>0</v>
      </c>
      <c r="K406" s="16">
        <v>0</v>
      </c>
      <c r="L406" s="11"/>
      <c r="M406" s="11"/>
      <c r="N406" s="16">
        <f t="shared" si="19"/>
        <v>0</v>
      </c>
      <c r="O406" s="18"/>
      <c r="P406" s="19">
        <v>0</v>
      </c>
      <c r="Q406" s="29">
        <f t="shared" si="20"/>
        <v>0</v>
      </c>
      <c r="R406" s="11"/>
    </row>
    <row r="407" spans="1:18" x14ac:dyDescent="0.2">
      <c r="A407" s="18">
        <f>+'SERVICIO FAENA'!E405</f>
        <v>0</v>
      </c>
      <c r="B407" s="20">
        <f>+'SERVICIO FAENA'!A405</f>
        <v>0</v>
      </c>
      <c r="C407" s="49">
        <f>+'SERVICIO FAENA'!C405</f>
        <v>0</v>
      </c>
      <c r="D407" s="110"/>
      <c r="E407" s="110"/>
      <c r="F407" s="49"/>
      <c r="G407" s="49"/>
      <c r="H407" s="49">
        <f t="shared" si="21"/>
        <v>0</v>
      </c>
      <c r="I407" s="16"/>
      <c r="J407" s="16">
        <v>0</v>
      </c>
      <c r="K407" s="16">
        <v>0</v>
      </c>
      <c r="L407" s="11"/>
      <c r="M407" s="11"/>
      <c r="N407" s="16">
        <f t="shared" si="19"/>
        <v>0</v>
      </c>
      <c r="O407" s="18"/>
      <c r="P407" s="19">
        <v>0</v>
      </c>
      <c r="Q407" s="29">
        <f t="shared" si="20"/>
        <v>0</v>
      </c>
      <c r="R407" s="11"/>
    </row>
    <row r="408" spans="1:18" ht="12.75" customHeight="1" x14ac:dyDescent="0.2">
      <c r="A408" s="18">
        <f>+'SERVICIO FAENA'!E406</f>
        <v>0</v>
      </c>
      <c r="B408" s="20">
        <f>+'SERVICIO FAENA'!A406</f>
        <v>0</v>
      </c>
      <c r="C408" s="49">
        <f>+'SERVICIO FAENA'!C406</f>
        <v>0</v>
      </c>
      <c r="D408" s="110"/>
      <c r="E408" s="110"/>
      <c r="F408" s="49"/>
      <c r="G408" s="49"/>
      <c r="H408" s="49">
        <f t="shared" si="21"/>
        <v>0</v>
      </c>
      <c r="I408" s="16"/>
      <c r="J408" s="16">
        <v>0</v>
      </c>
      <c r="K408" s="16">
        <v>0</v>
      </c>
      <c r="L408" s="11"/>
      <c r="M408" s="11"/>
      <c r="N408" s="16">
        <f t="shared" si="19"/>
        <v>0</v>
      </c>
      <c r="O408" s="18"/>
      <c r="P408" s="19">
        <v>0</v>
      </c>
      <c r="Q408" s="29">
        <f t="shared" si="20"/>
        <v>0</v>
      </c>
      <c r="R408" s="11"/>
    </row>
    <row r="409" spans="1:18" x14ac:dyDescent="0.2">
      <c r="A409" s="18">
        <f>+'SERVICIO FAENA'!E407</f>
        <v>0</v>
      </c>
      <c r="B409" s="20">
        <f>+'SERVICIO FAENA'!A407</f>
        <v>0</v>
      </c>
      <c r="C409" s="49">
        <f>+'SERVICIO FAENA'!C407</f>
        <v>0</v>
      </c>
      <c r="D409" s="110"/>
      <c r="E409" s="110"/>
      <c r="F409" s="49"/>
      <c r="G409" s="49"/>
      <c r="H409" s="49">
        <f t="shared" si="21"/>
        <v>0</v>
      </c>
      <c r="I409" s="16"/>
      <c r="J409" s="16">
        <v>0</v>
      </c>
      <c r="K409" s="16">
        <v>0</v>
      </c>
      <c r="L409" s="11"/>
      <c r="M409" s="11"/>
      <c r="N409" s="16">
        <f t="shared" si="19"/>
        <v>0</v>
      </c>
      <c r="O409" s="18"/>
      <c r="P409" s="19">
        <v>0</v>
      </c>
      <c r="Q409" s="29">
        <f t="shared" si="20"/>
        <v>0</v>
      </c>
      <c r="R409" s="11"/>
    </row>
    <row r="410" spans="1:18" ht="12.75" customHeight="1" x14ac:dyDescent="0.2">
      <c r="A410" s="18">
        <f>+'SERVICIO FAENA'!E408</f>
        <v>0</v>
      </c>
      <c r="B410" s="20">
        <f>+'SERVICIO FAENA'!A408</f>
        <v>0</v>
      </c>
      <c r="C410" s="49">
        <f>+'SERVICIO FAENA'!C408</f>
        <v>0</v>
      </c>
      <c r="D410" s="110"/>
      <c r="E410" s="110"/>
      <c r="F410" s="49"/>
      <c r="G410" s="49"/>
      <c r="H410" s="49">
        <f t="shared" si="21"/>
        <v>0</v>
      </c>
      <c r="I410" s="16"/>
      <c r="J410" s="16">
        <v>0</v>
      </c>
      <c r="K410" s="16">
        <v>0</v>
      </c>
      <c r="L410" s="11"/>
      <c r="M410" s="11"/>
      <c r="N410" s="16">
        <f t="shared" si="19"/>
        <v>0</v>
      </c>
      <c r="O410" s="18"/>
      <c r="P410" s="19">
        <v>0</v>
      </c>
      <c r="Q410" s="29">
        <f t="shared" si="20"/>
        <v>0</v>
      </c>
      <c r="R410" s="11"/>
    </row>
    <row r="411" spans="1:18" x14ac:dyDescent="0.2">
      <c r="A411" s="18">
        <f>+'SERVICIO FAENA'!E409</f>
        <v>0</v>
      </c>
      <c r="B411" s="20">
        <f>+'SERVICIO FAENA'!A409</f>
        <v>0</v>
      </c>
      <c r="C411" s="49">
        <f>+'SERVICIO FAENA'!C409</f>
        <v>0</v>
      </c>
      <c r="D411" s="110"/>
      <c r="E411" s="110"/>
      <c r="F411" s="49"/>
      <c r="G411" s="49"/>
      <c r="H411" s="49">
        <f t="shared" si="21"/>
        <v>0</v>
      </c>
      <c r="I411" s="16"/>
      <c r="J411" s="16">
        <v>0</v>
      </c>
      <c r="K411" s="16">
        <v>0</v>
      </c>
      <c r="L411" s="11"/>
      <c r="M411" s="11"/>
      <c r="N411" s="16">
        <f t="shared" si="19"/>
        <v>0</v>
      </c>
      <c r="O411" s="18"/>
      <c r="P411" s="19">
        <v>0</v>
      </c>
      <c r="Q411" s="29">
        <f t="shared" si="20"/>
        <v>0</v>
      </c>
      <c r="R411" s="11"/>
    </row>
    <row r="412" spans="1:18" ht="12.75" customHeight="1" x14ac:dyDescent="0.2">
      <c r="A412" s="18">
        <f>+'SERVICIO FAENA'!E410</f>
        <v>0</v>
      </c>
      <c r="B412" s="20">
        <f>+'SERVICIO FAENA'!A410</f>
        <v>0</v>
      </c>
      <c r="C412" s="49">
        <f>+'SERVICIO FAENA'!C410</f>
        <v>0</v>
      </c>
      <c r="D412" s="110"/>
      <c r="E412" s="110"/>
      <c r="F412" s="49"/>
      <c r="G412" s="49"/>
      <c r="H412" s="49">
        <f t="shared" si="21"/>
        <v>0</v>
      </c>
      <c r="I412" s="16"/>
      <c r="J412" s="16">
        <v>0</v>
      </c>
      <c r="K412" s="16">
        <v>0</v>
      </c>
      <c r="L412" s="11"/>
      <c r="M412" s="11"/>
      <c r="N412" s="16">
        <f t="shared" si="19"/>
        <v>0</v>
      </c>
      <c r="O412" s="18"/>
      <c r="P412" s="19">
        <v>0</v>
      </c>
      <c r="Q412" s="29">
        <f t="shared" si="20"/>
        <v>0</v>
      </c>
      <c r="R412" s="11"/>
    </row>
    <row r="413" spans="1:18" x14ac:dyDescent="0.2">
      <c r="A413" s="18">
        <f>+'SERVICIO FAENA'!E411</f>
        <v>0</v>
      </c>
      <c r="B413" s="20">
        <f>+'SERVICIO FAENA'!A411</f>
        <v>0</v>
      </c>
      <c r="C413" s="49">
        <f>+'SERVICIO FAENA'!C411</f>
        <v>0</v>
      </c>
      <c r="D413" s="110"/>
      <c r="E413" s="110"/>
      <c r="F413" s="49"/>
      <c r="G413" s="49"/>
      <c r="H413" s="49">
        <f t="shared" si="21"/>
        <v>0</v>
      </c>
      <c r="I413" s="16"/>
      <c r="J413" s="16">
        <v>0</v>
      </c>
      <c r="K413" s="16">
        <v>0</v>
      </c>
      <c r="L413" s="11"/>
      <c r="M413" s="11"/>
      <c r="N413" s="16">
        <f t="shared" si="19"/>
        <v>0</v>
      </c>
      <c r="O413" s="18"/>
      <c r="P413" s="19">
        <v>0</v>
      </c>
      <c r="Q413" s="29">
        <f t="shared" si="20"/>
        <v>0</v>
      </c>
      <c r="R413" s="11"/>
    </row>
    <row r="414" spans="1:18" ht="12.75" customHeight="1" x14ac:dyDescent="0.2">
      <c r="A414" s="18">
        <f>+'SERVICIO FAENA'!E412</f>
        <v>0</v>
      </c>
      <c r="B414" s="20">
        <f>+'SERVICIO FAENA'!A412</f>
        <v>0</v>
      </c>
      <c r="C414" s="49">
        <f>+'SERVICIO FAENA'!C412</f>
        <v>0</v>
      </c>
      <c r="D414" s="110"/>
      <c r="E414" s="110"/>
      <c r="F414" s="49"/>
      <c r="G414" s="49"/>
      <c r="H414" s="49">
        <f t="shared" si="21"/>
        <v>0</v>
      </c>
      <c r="I414" s="16"/>
      <c r="J414" s="16">
        <v>0</v>
      </c>
      <c r="K414" s="16">
        <v>0</v>
      </c>
      <c r="L414" s="11"/>
      <c r="M414" s="11"/>
      <c r="N414" s="16">
        <f t="shared" si="19"/>
        <v>0</v>
      </c>
      <c r="O414" s="18"/>
      <c r="P414" s="19">
        <v>0</v>
      </c>
      <c r="Q414" s="29">
        <f t="shared" si="20"/>
        <v>0</v>
      </c>
      <c r="R414" s="11"/>
    </row>
    <row r="415" spans="1:18" x14ac:dyDescent="0.2">
      <c r="A415" s="18">
        <f>+'SERVICIO FAENA'!E413</f>
        <v>0</v>
      </c>
      <c r="B415" s="20">
        <f>+'SERVICIO FAENA'!A413</f>
        <v>0</v>
      </c>
      <c r="C415" s="49">
        <f>+'SERVICIO FAENA'!C413</f>
        <v>0</v>
      </c>
      <c r="D415" s="110"/>
      <c r="E415" s="110"/>
      <c r="F415" s="49"/>
      <c r="G415" s="49"/>
      <c r="H415" s="49">
        <f t="shared" si="21"/>
        <v>0</v>
      </c>
      <c r="I415" s="16"/>
      <c r="J415" s="16">
        <v>0</v>
      </c>
      <c r="K415" s="16">
        <v>0</v>
      </c>
      <c r="L415" s="11"/>
      <c r="M415" s="11"/>
      <c r="N415" s="16">
        <f t="shared" si="19"/>
        <v>0</v>
      </c>
      <c r="O415" s="18"/>
      <c r="P415" s="19">
        <v>0</v>
      </c>
      <c r="Q415" s="29">
        <f t="shared" si="20"/>
        <v>0</v>
      </c>
      <c r="R415" s="11"/>
    </row>
    <row r="416" spans="1:18" ht="12.75" customHeight="1" x14ac:dyDescent="0.2">
      <c r="A416" s="18">
        <f>+'SERVICIO FAENA'!E414</f>
        <v>0</v>
      </c>
      <c r="B416" s="20">
        <f>+'SERVICIO FAENA'!A414</f>
        <v>0</v>
      </c>
      <c r="C416" s="49">
        <f>+'SERVICIO FAENA'!C414</f>
        <v>0</v>
      </c>
      <c r="D416" s="110"/>
      <c r="E416" s="110"/>
      <c r="F416" s="49"/>
      <c r="G416" s="49"/>
      <c r="H416" s="49">
        <f t="shared" si="21"/>
        <v>0</v>
      </c>
      <c r="I416" s="16"/>
      <c r="J416" s="16">
        <v>0</v>
      </c>
      <c r="K416" s="16">
        <v>0</v>
      </c>
      <c r="L416" s="11"/>
      <c r="M416" s="11"/>
      <c r="N416" s="16">
        <f t="shared" si="19"/>
        <v>0</v>
      </c>
      <c r="O416" s="18"/>
      <c r="P416" s="19">
        <v>0</v>
      </c>
      <c r="Q416" s="29">
        <f t="shared" si="20"/>
        <v>0</v>
      </c>
      <c r="R416" s="11"/>
    </row>
    <row r="417" spans="1:18" x14ac:dyDescent="0.2">
      <c r="A417" s="18">
        <f>+'SERVICIO FAENA'!E415</f>
        <v>0</v>
      </c>
      <c r="B417" s="20">
        <f>+'SERVICIO FAENA'!A415</f>
        <v>0</v>
      </c>
      <c r="C417" s="49">
        <f>+'SERVICIO FAENA'!C415</f>
        <v>0</v>
      </c>
      <c r="D417" s="110"/>
      <c r="E417" s="110"/>
      <c r="F417" s="49"/>
      <c r="G417" s="49"/>
      <c r="H417" s="49">
        <f t="shared" si="21"/>
        <v>0</v>
      </c>
      <c r="I417" s="16"/>
      <c r="J417" s="16">
        <v>0</v>
      </c>
      <c r="K417" s="16">
        <v>0</v>
      </c>
      <c r="L417" s="11"/>
      <c r="M417" s="11"/>
      <c r="N417" s="16">
        <f t="shared" si="19"/>
        <v>0</v>
      </c>
      <c r="O417" s="18"/>
      <c r="P417" s="19">
        <v>0</v>
      </c>
      <c r="Q417" s="29">
        <f t="shared" si="20"/>
        <v>0</v>
      </c>
      <c r="R417" s="11"/>
    </row>
    <row r="418" spans="1:18" ht="12.75" customHeight="1" x14ac:dyDescent="0.2">
      <c r="A418" s="18">
        <f>+'SERVICIO FAENA'!E416</f>
        <v>0</v>
      </c>
      <c r="B418" s="20">
        <f>+'SERVICIO FAENA'!A416</f>
        <v>0</v>
      </c>
      <c r="C418" s="49">
        <f>+'SERVICIO FAENA'!C416</f>
        <v>0</v>
      </c>
      <c r="D418" s="110"/>
      <c r="E418" s="110"/>
      <c r="F418" s="49"/>
      <c r="G418" s="49"/>
      <c r="H418" s="49">
        <f t="shared" si="21"/>
        <v>0</v>
      </c>
      <c r="I418" s="16"/>
      <c r="J418" s="16">
        <v>0</v>
      </c>
      <c r="K418" s="16">
        <v>0</v>
      </c>
      <c r="L418" s="11"/>
      <c r="M418" s="11"/>
      <c r="N418" s="16">
        <f t="shared" si="19"/>
        <v>0</v>
      </c>
      <c r="O418" s="18"/>
      <c r="P418" s="19">
        <v>0</v>
      </c>
      <c r="Q418" s="29">
        <f t="shared" si="20"/>
        <v>0</v>
      </c>
      <c r="R418" s="11"/>
    </row>
    <row r="419" spans="1:18" x14ac:dyDescent="0.2">
      <c r="A419" s="18">
        <f>+'SERVICIO FAENA'!E417</f>
        <v>0</v>
      </c>
      <c r="B419" s="20">
        <f>+'SERVICIO FAENA'!A417</f>
        <v>0</v>
      </c>
      <c r="C419" s="49">
        <f>+'SERVICIO FAENA'!C417</f>
        <v>0</v>
      </c>
      <c r="D419" s="110"/>
      <c r="E419" s="110"/>
      <c r="F419" s="49"/>
      <c r="G419" s="49"/>
      <c r="H419" s="49">
        <f t="shared" si="21"/>
        <v>0</v>
      </c>
      <c r="I419" s="16"/>
      <c r="J419" s="16">
        <v>0</v>
      </c>
      <c r="K419" s="16">
        <v>0</v>
      </c>
      <c r="L419" s="11"/>
      <c r="M419" s="11"/>
      <c r="N419" s="16">
        <f t="shared" si="19"/>
        <v>0</v>
      </c>
      <c r="O419" s="18"/>
      <c r="P419" s="19">
        <v>0</v>
      </c>
      <c r="Q419" s="29">
        <f t="shared" si="20"/>
        <v>0</v>
      </c>
      <c r="R419" s="11"/>
    </row>
    <row r="420" spans="1:18" ht="12.75" customHeight="1" x14ac:dyDescent="0.2">
      <c r="A420" s="18">
        <f>+'SERVICIO FAENA'!E418</f>
        <v>0</v>
      </c>
      <c r="B420" s="20">
        <f>+'SERVICIO FAENA'!A418</f>
        <v>0</v>
      </c>
      <c r="C420" s="49">
        <f>+'SERVICIO FAENA'!C418</f>
        <v>0</v>
      </c>
      <c r="D420" s="110"/>
      <c r="E420" s="110"/>
      <c r="F420" s="49"/>
      <c r="G420" s="49"/>
      <c r="H420" s="49">
        <f t="shared" si="21"/>
        <v>0</v>
      </c>
      <c r="I420" s="16"/>
      <c r="J420" s="16">
        <v>0</v>
      </c>
      <c r="K420" s="16">
        <v>0</v>
      </c>
      <c r="L420" s="11"/>
      <c r="M420" s="11"/>
      <c r="N420" s="16">
        <f t="shared" si="19"/>
        <v>0</v>
      </c>
      <c r="O420" s="18"/>
      <c r="P420" s="19">
        <v>0</v>
      </c>
      <c r="Q420" s="29">
        <f t="shared" si="20"/>
        <v>0</v>
      </c>
      <c r="R420" s="11"/>
    </row>
    <row r="421" spans="1:18" x14ac:dyDescent="0.2">
      <c r="A421" s="18">
        <f>+'SERVICIO FAENA'!E419</f>
        <v>0</v>
      </c>
      <c r="B421" s="20">
        <f>+'SERVICIO FAENA'!A419</f>
        <v>0</v>
      </c>
      <c r="C421" s="49">
        <f>+'SERVICIO FAENA'!C419</f>
        <v>0</v>
      </c>
      <c r="D421" s="110"/>
      <c r="E421" s="110"/>
      <c r="F421" s="49"/>
      <c r="G421" s="49"/>
      <c r="H421" s="49">
        <f t="shared" si="21"/>
        <v>0</v>
      </c>
      <c r="I421" s="16"/>
      <c r="J421" s="16">
        <v>0</v>
      </c>
      <c r="K421" s="16">
        <v>0</v>
      </c>
      <c r="L421" s="11"/>
      <c r="M421" s="11"/>
      <c r="N421" s="16">
        <f t="shared" si="19"/>
        <v>0</v>
      </c>
      <c r="O421" s="18"/>
      <c r="P421" s="19">
        <v>0</v>
      </c>
      <c r="Q421" s="29">
        <f t="shared" si="20"/>
        <v>0</v>
      </c>
      <c r="R421" s="11"/>
    </row>
    <row r="422" spans="1:18" ht="12.75" customHeight="1" x14ac:dyDescent="0.2">
      <c r="A422" s="18">
        <f>+'SERVICIO FAENA'!E420</f>
        <v>0</v>
      </c>
      <c r="B422" s="20">
        <f>+'SERVICIO FAENA'!A420</f>
        <v>0</v>
      </c>
      <c r="C422" s="49">
        <f>+'SERVICIO FAENA'!C420</f>
        <v>0</v>
      </c>
      <c r="D422" s="110"/>
      <c r="E422" s="110"/>
      <c r="F422" s="49"/>
      <c r="G422" s="49"/>
      <c r="H422" s="49">
        <f t="shared" si="21"/>
        <v>0</v>
      </c>
      <c r="I422" s="16"/>
      <c r="J422" s="16">
        <v>0</v>
      </c>
      <c r="K422" s="16">
        <v>0</v>
      </c>
      <c r="L422" s="11"/>
      <c r="M422" s="11"/>
      <c r="N422" s="16">
        <f t="shared" si="19"/>
        <v>0</v>
      </c>
      <c r="O422" s="18"/>
      <c r="P422" s="19">
        <v>0</v>
      </c>
      <c r="Q422" s="29">
        <f t="shared" si="20"/>
        <v>0</v>
      </c>
      <c r="R422" s="11"/>
    </row>
    <row r="423" spans="1:18" x14ac:dyDescent="0.2">
      <c r="A423" s="18">
        <f>+'SERVICIO FAENA'!E421</f>
        <v>0</v>
      </c>
      <c r="B423" s="20">
        <f>+'SERVICIO FAENA'!A421</f>
        <v>0</v>
      </c>
      <c r="C423" s="49">
        <f>+'SERVICIO FAENA'!C421</f>
        <v>0</v>
      </c>
      <c r="D423" s="110"/>
      <c r="E423" s="110"/>
      <c r="F423" s="49"/>
      <c r="G423" s="49"/>
      <c r="H423" s="49">
        <f t="shared" si="21"/>
        <v>0</v>
      </c>
      <c r="I423" s="16"/>
      <c r="J423" s="16">
        <v>0</v>
      </c>
      <c r="K423" s="16">
        <v>0</v>
      </c>
      <c r="L423" s="11"/>
      <c r="M423" s="11"/>
      <c r="N423" s="16">
        <f t="shared" si="19"/>
        <v>0</v>
      </c>
      <c r="O423" s="18"/>
      <c r="P423" s="19">
        <v>0</v>
      </c>
      <c r="Q423" s="29">
        <f t="shared" si="20"/>
        <v>0</v>
      </c>
      <c r="R423" s="11"/>
    </row>
    <row r="424" spans="1:18" ht="12.75" customHeight="1" x14ac:dyDescent="0.2">
      <c r="A424" s="18">
        <f>+'SERVICIO FAENA'!E422</f>
        <v>0</v>
      </c>
      <c r="B424" s="20">
        <f>+'SERVICIO FAENA'!A422</f>
        <v>0</v>
      </c>
      <c r="C424" s="49">
        <f>+'SERVICIO FAENA'!C422</f>
        <v>0</v>
      </c>
      <c r="D424" s="110"/>
      <c r="E424" s="110"/>
      <c r="F424" s="49"/>
      <c r="G424" s="49"/>
      <c r="H424" s="49">
        <f t="shared" si="21"/>
        <v>0</v>
      </c>
      <c r="I424" s="16"/>
      <c r="J424" s="16">
        <v>0</v>
      </c>
      <c r="K424" s="16">
        <v>0</v>
      </c>
      <c r="L424" s="11"/>
      <c r="M424" s="11"/>
      <c r="N424" s="16">
        <f t="shared" si="19"/>
        <v>0</v>
      </c>
      <c r="O424" s="18"/>
      <c r="P424" s="19">
        <v>0</v>
      </c>
      <c r="Q424" s="29">
        <f t="shared" si="20"/>
        <v>0</v>
      </c>
      <c r="R424" s="11"/>
    </row>
    <row r="425" spans="1:18" x14ac:dyDescent="0.2">
      <c r="A425" s="18">
        <f>+'SERVICIO FAENA'!E423</f>
        <v>0</v>
      </c>
      <c r="B425" s="20">
        <f>+'SERVICIO FAENA'!A423</f>
        <v>0</v>
      </c>
      <c r="C425" s="49">
        <f>+'SERVICIO FAENA'!C423</f>
        <v>0</v>
      </c>
      <c r="D425" s="110"/>
      <c r="E425" s="110"/>
      <c r="F425" s="49"/>
      <c r="G425" s="49"/>
      <c r="H425" s="49">
        <f t="shared" si="21"/>
        <v>0</v>
      </c>
      <c r="I425" s="16"/>
      <c r="J425" s="16">
        <v>0</v>
      </c>
      <c r="K425" s="16">
        <v>0</v>
      </c>
      <c r="L425" s="11"/>
      <c r="M425" s="11"/>
      <c r="N425" s="16">
        <f t="shared" si="19"/>
        <v>0</v>
      </c>
      <c r="O425" s="18"/>
      <c r="P425" s="19">
        <v>0</v>
      </c>
      <c r="Q425" s="29">
        <f t="shared" si="20"/>
        <v>0</v>
      </c>
      <c r="R425" s="11"/>
    </row>
    <row r="426" spans="1:18" ht="12.75" customHeight="1" x14ac:dyDescent="0.2">
      <c r="A426" s="18">
        <f>+'SERVICIO FAENA'!E424</f>
        <v>0</v>
      </c>
      <c r="B426" s="20">
        <f>+'SERVICIO FAENA'!A424</f>
        <v>0</v>
      </c>
      <c r="C426" s="49">
        <f>+'SERVICIO FAENA'!C424</f>
        <v>0</v>
      </c>
      <c r="D426" s="110"/>
      <c r="E426" s="110"/>
      <c r="F426" s="49"/>
      <c r="G426" s="49"/>
      <c r="H426" s="49">
        <f t="shared" si="21"/>
        <v>0</v>
      </c>
      <c r="I426" s="16"/>
      <c r="J426" s="16">
        <v>0</v>
      </c>
      <c r="K426" s="16">
        <v>0</v>
      </c>
      <c r="L426" s="11"/>
      <c r="M426" s="11"/>
      <c r="N426" s="16">
        <f t="shared" si="19"/>
        <v>0</v>
      </c>
      <c r="O426" s="18"/>
      <c r="P426" s="19">
        <v>0</v>
      </c>
      <c r="Q426" s="29">
        <f t="shared" si="20"/>
        <v>0</v>
      </c>
      <c r="R426" s="11"/>
    </row>
    <row r="427" spans="1:18" x14ac:dyDescent="0.2">
      <c r="A427" s="18">
        <f>+'SERVICIO FAENA'!E425</f>
        <v>0</v>
      </c>
      <c r="B427" s="20">
        <f>+'SERVICIO FAENA'!A425</f>
        <v>0</v>
      </c>
      <c r="C427" s="49">
        <f>+'SERVICIO FAENA'!C425</f>
        <v>0</v>
      </c>
      <c r="D427" s="110"/>
      <c r="E427" s="110"/>
      <c r="F427" s="49"/>
      <c r="G427" s="49"/>
      <c r="H427" s="49">
        <f t="shared" si="21"/>
        <v>0</v>
      </c>
      <c r="I427" s="16"/>
      <c r="J427" s="16">
        <v>0</v>
      </c>
      <c r="K427" s="16">
        <v>0</v>
      </c>
      <c r="L427" s="11"/>
      <c r="M427" s="11"/>
      <c r="N427" s="16">
        <f t="shared" si="19"/>
        <v>0</v>
      </c>
      <c r="O427" s="18"/>
      <c r="P427" s="19">
        <v>0</v>
      </c>
      <c r="Q427" s="29">
        <f t="shared" si="20"/>
        <v>0</v>
      </c>
      <c r="R427" s="11"/>
    </row>
    <row r="428" spans="1:18" ht="12.75" customHeight="1" x14ac:dyDescent="0.2">
      <c r="A428" s="18">
        <f>+'SERVICIO FAENA'!E426</f>
        <v>0</v>
      </c>
      <c r="B428" s="20">
        <f>+'SERVICIO FAENA'!A426</f>
        <v>0</v>
      </c>
      <c r="C428" s="49">
        <f>+'SERVICIO FAENA'!C426</f>
        <v>0</v>
      </c>
      <c r="D428" s="110"/>
      <c r="E428" s="110"/>
      <c r="F428" s="49"/>
      <c r="G428" s="49"/>
      <c r="H428" s="49">
        <f t="shared" si="21"/>
        <v>0</v>
      </c>
      <c r="I428" s="16"/>
      <c r="J428" s="16">
        <v>0</v>
      </c>
      <c r="K428" s="16">
        <v>0</v>
      </c>
      <c r="L428" s="11"/>
      <c r="M428" s="11"/>
      <c r="N428" s="16">
        <f t="shared" si="19"/>
        <v>0</v>
      </c>
      <c r="O428" s="18"/>
      <c r="P428" s="19">
        <v>0</v>
      </c>
      <c r="Q428" s="29">
        <f t="shared" si="20"/>
        <v>0</v>
      </c>
      <c r="R428" s="11"/>
    </row>
    <row r="429" spans="1:18" x14ac:dyDescent="0.2">
      <c r="A429" s="18">
        <f>+'SERVICIO FAENA'!E427</f>
        <v>0</v>
      </c>
      <c r="B429" s="20">
        <f>+'SERVICIO FAENA'!A427</f>
        <v>0</v>
      </c>
      <c r="C429" s="49">
        <f>+'SERVICIO FAENA'!C427</f>
        <v>0</v>
      </c>
      <c r="D429" s="110"/>
      <c r="E429" s="110"/>
      <c r="F429" s="49"/>
      <c r="G429" s="49"/>
      <c r="H429" s="49">
        <f t="shared" si="21"/>
        <v>0</v>
      </c>
      <c r="I429" s="16"/>
      <c r="J429" s="16">
        <v>0</v>
      </c>
      <c r="K429" s="16">
        <v>0</v>
      </c>
      <c r="L429" s="11"/>
      <c r="M429" s="11"/>
      <c r="N429" s="16">
        <f t="shared" si="19"/>
        <v>0</v>
      </c>
      <c r="O429" s="18"/>
      <c r="P429" s="19">
        <v>0</v>
      </c>
      <c r="Q429" s="29">
        <f t="shared" si="20"/>
        <v>0</v>
      </c>
      <c r="R429" s="11"/>
    </row>
    <row r="430" spans="1:18" ht="12.75" customHeight="1" x14ac:dyDescent="0.2">
      <c r="A430" s="18">
        <f>+'SERVICIO FAENA'!E428</f>
        <v>0</v>
      </c>
      <c r="B430" s="20">
        <f>+'SERVICIO FAENA'!A428</f>
        <v>0</v>
      </c>
      <c r="C430" s="49">
        <f>+'SERVICIO FAENA'!C428</f>
        <v>0</v>
      </c>
      <c r="D430" s="110"/>
      <c r="E430" s="110"/>
      <c r="F430" s="49"/>
      <c r="G430" s="49"/>
      <c r="H430" s="49">
        <f t="shared" si="21"/>
        <v>0</v>
      </c>
      <c r="I430" s="16"/>
      <c r="J430" s="16">
        <v>0</v>
      </c>
      <c r="K430" s="16">
        <v>0</v>
      </c>
      <c r="L430" s="11"/>
      <c r="M430" s="11"/>
      <c r="N430" s="16">
        <f t="shared" si="19"/>
        <v>0</v>
      </c>
      <c r="O430" s="18"/>
      <c r="P430" s="19">
        <v>0</v>
      </c>
      <c r="Q430" s="29">
        <f t="shared" si="20"/>
        <v>0</v>
      </c>
      <c r="R430" s="11"/>
    </row>
    <row r="431" spans="1:18" x14ac:dyDescent="0.2">
      <c r="A431" s="18">
        <f>+'SERVICIO FAENA'!E429</f>
        <v>0</v>
      </c>
      <c r="B431" s="20">
        <f>+'SERVICIO FAENA'!A429</f>
        <v>0</v>
      </c>
      <c r="C431" s="49">
        <f>+'SERVICIO FAENA'!C429</f>
        <v>0</v>
      </c>
      <c r="D431" s="110"/>
      <c r="E431" s="110"/>
      <c r="F431" s="49"/>
      <c r="G431" s="49"/>
      <c r="H431" s="49">
        <f t="shared" si="21"/>
        <v>0</v>
      </c>
      <c r="I431" s="16"/>
      <c r="J431" s="16">
        <v>0</v>
      </c>
      <c r="K431" s="16">
        <v>0</v>
      </c>
      <c r="L431" s="11"/>
      <c r="M431" s="11"/>
      <c r="N431" s="16">
        <f t="shared" si="19"/>
        <v>0</v>
      </c>
      <c r="O431" s="18"/>
      <c r="P431" s="19">
        <v>0</v>
      </c>
      <c r="Q431" s="29">
        <f t="shared" si="20"/>
        <v>0</v>
      </c>
      <c r="R431" s="11"/>
    </row>
    <row r="432" spans="1:18" ht="12.75" customHeight="1" x14ac:dyDescent="0.2">
      <c r="A432" s="18">
        <f>+'SERVICIO FAENA'!E430</f>
        <v>0</v>
      </c>
      <c r="B432" s="20">
        <f>+'SERVICIO FAENA'!A430</f>
        <v>0</v>
      </c>
      <c r="C432" s="49">
        <f>+'SERVICIO FAENA'!C430</f>
        <v>0</v>
      </c>
      <c r="D432" s="110"/>
      <c r="E432" s="110"/>
      <c r="F432" s="49"/>
      <c r="G432" s="49"/>
      <c r="H432" s="49">
        <f t="shared" si="21"/>
        <v>0</v>
      </c>
      <c r="I432" s="16"/>
      <c r="J432" s="16">
        <v>0</v>
      </c>
      <c r="K432" s="16">
        <v>0</v>
      </c>
      <c r="L432" s="11"/>
      <c r="M432" s="11"/>
      <c r="N432" s="16">
        <f t="shared" si="19"/>
        <v>0</v>
      </c>
      <c r="O432" s="18"/>
      <c r="P432" s="19">
        <v>0</v>
      </c>
      <c r="Q432" s="29">
        <f t="shared" si="20"/>
        <v>0</v>
      </c>
      <c r="R432" s="11"/>
    </row>
    <row r="433" spans="1:18" x14ac:dyDescent="0.2">
      <c r="A433" s="18">
        <f>+'SERVICIO FAENA'!E431</f>
        <v>0</v>
      </c>
      <c r="B433" s="20">
        <f>+'SERVICIO FAENA'!A431</f>
        <v>0</v>
      </c>
      <c r="C433" s="49">
        <f>+'SERVICIO FAENA'!C431</f>
        <v>0</v>
      </c>
      <c r="D433" s="110"/>
      <c r="E433" s="110"/>
      <c r="F433" s="49"/>
      <c r="G433" s="49"/>
      <c r="H433" s="49">
        <f t="shared" si="21"/>
        <v>0</v>
      </c>
      <c r="I433" s="16"/>
      <c r="J433" s="16">
        <v>0</v>
      </c>
      <c r="K433" s="16">
        <v>0</v>
      </c>
      <c r="L433" s="11"/>
      <c r="M433" s="11"/>
      <c r="N433" s="16">
        <f t="shared" si="19"/>
        <v>0</v>
      </c>
      <c r="O433" s="18"/>
      <c r="P433" s="19">
        <v>0</v>
      </c>
      <c r="Q433" s="29">
        <f t="shared" si="20"/>
        <v>0</v>
      </c>
      <c r="R433" s="11"/>
    </row>
    <row r="434" spans="1:18" ht="12.75" customHeight="1" x14ac:dyDescent="0.2">
      <c r="A434" s="18">
        <f>+'SERVICIO FAENA'!E432</f>
        <v>0</v>
      </c>
      <c r="B434" s="20">
        <f>+'SERVICIO FAENA'!A432</f>
        <v>0</v>
      </c>
      <c r="C434" s="49">
        <f>+'SERVICIO FAENA'!C432</f>
        <v>0</v>
      </c>
      <c r="D434" s="110"/>
      <c r="E434" s="110"/>
      <c r="F434" s="49"/>
      <c r="G434" s="49"/>
      <c r="H434" s="49">
        <f t="shared" si="21"/>
        <v>0</v>
      </c>
      <c r="I434" s="16"/>
      <c r="J434" s="16">
        <v>0</v>
      </c>
      <c r="K434" s="16">
        <v>0</v>
      </c>
      <c r="L434" s="11"/>
      <c r="M434" s="11"/>
      <c r="N434" s="16">
        <f t="shared" si="19"/>
        <v>0</v>
      </c>
      <c r="O434" s="18"/>
      <c r="P434" s="19">
        <v>0</v>
      </c>
      <c r="Q434" s="29">
        <f t="shared" si="20"/>
        <v>0</v>
      </c>
      <c r="R434" s="11"/>
    </row>
    <row r="435" spans="1:18" x14ac:dyDescent="0.2">
      <c r="A435" s="18">
        <f>+'SERVICIO FAENA'!E433</f>
        <v>0</v>
      </c>
      <c r="B435" s="20">
        <f>+'SERVICIO FAENA'!A433</f>
        <v>0</v>
      </c>
      <c r="C435" s="49">
        <f>+'SERVICIO FAENA'!C433</f>
        <v>0</v>
      </c>
      <c r="D435" s="110"/>
      <c r="E435" s="110"/>
      <c r="F435" s="49"/>
      <c r="G435" s="49"/>
      <c r="H435" s="49">
        <f t="shared" si="21"/>
        <v>0</v>
      </c>
      <c r="I435" s="16"/>
      <c r="J435" s="16">
        <v>0</v>
      </c>
      <c r="K435" s="16">
        <v>0</v>
      </c>
      <c r="L435" s="11"/>
      <c r="M435" s="11"/>
      <c r="N435" s="16">
        <f t="shared" si="19"/>
        <v>0</v>
      </c>
      <c r="O435" s="18"/>
      <c r="P435" s="19">
        <v>0</v>
      </c>
      <c r="Q435" s="29">
        <f t="shared" si="20"/>
        <v>0</v>
      </c>
      <c r="R435" s="11"/>
    </row>
    <row r="436" spans="1:18" ht="12.75" customHeight="1" x14ac:dyDescent="0.2">
      <c r="A436" s="18">
        <f>+'SERVICIO FAENA'!E434</f>
        <v>0</v>
      </c>
      <c r="B436" s="20">
        <f>+'SERVICIO FAENA'!A434</f>
        <v>0</v>
      </c>
      <c r="C436" s="49">
        <f>+'SERVICIO FAENA'!C434</f>
        <v>0</v>
      </c>
      <c r="D436" s="110"/>
      <c r="E436" s="110"/>
      <c r="F436" s="49"/>
      <c r="G436" s="49"/>
      <c r="H436" s="49">
        <f t="shared" si="21"/>
        <v>0</v>
      </c>
      <c r="I436" s="16"/>
      <c r="J436" s="16">
        <v>0</v>
      </c>
      <c r="K436" s="16">
        <v>0</v>
      </c>
      <c r="L436" s="11"/>
      <c r="M436" s="11"/>
      <c r="N436" s="16">
        <f t="shared" si="19"/>
        <v>0</v>
      </c>
      <c r="O436" s="18"/>
      <c r="P436" s="19">
        <v>0</v>
      </c>
      <c r="Q436" s="29">
        <f t="shared" si="20"/>
        <v>0</v>
      </c>
      <c r="R436" s="11"/>
    </row>
    <row r="437" spans="1:18" x14ac:dyDescent="0.2">
      <c r="A437" s="18">
        <f>+'SERVICIO FAENA'!E435</f>
        <v>0</v>
      </c>
      <c r="B437" s="20">
        <f>+'SERVICIO FAENA'!A435</f>
        <v>0</v>
      </c>
      <c r="C437" s="49">
        <f>+'SERVICIO FAENA'!C435</f>
        <v>0</v>
      </c>
      <c r="D437" s="110"/>
      <c r="E437" s="110"/>
      <c r="F437" s="49"/>
      <c r="G437" s="49"/>
      <c r="H437" s="49">
        <f t="shared" si="21"/>
        <v>0</v>
      </c>
      <c r="I437" s="16"/>
      <c r="J437" s="16">
        <v>0</v>
      </c>
      <c r="K437" s="16">
        <v>0</v>
      </c>
      <c r="L437" s="11"/>
      <c r="M437" s="11"/>
      <c r="N437" s="16">
        <f t="shared" si="19"/>
        <v>0</v>
      </c>
      <c r="O437" s="18"/>
      <c r="P437" s="19">
        <v>0</v>
      </c>
      <c r="Q437" s="29">
        <f t="shared" si="20"/>
        <v>0</v>
      </c>
      <c r="R437" s="11"/>
    </row>
    <row r="438" spans="1:18" ht="12.75" customHeight="1" x14ac:dyDescent="0.2">
      <c r="A438" s="18">
        <f>+'SERVICIO FAENA'!E436</f>
        <v>0</v>
      </c>
      <c r="B438" s="20">
        <f>+'SERVICIO FAENA'!A436</f>
        <v>0</v>
      </c>
      <c r="C438" s="49">
        <f>+'SERVICIO FAENA'!C436</f>
        <v>0</v>
      </c>
      <c r="D438" s="110"/>
      <c r="E438" s="110"/>
      <c r="F438" s="49"/>
      <c r="G438" s="49"/>
      <c r="H438" s="49">
        <f t="shared" si="21"/>
        <v>0</v>
      </c>
      <c r="I438" s="16"/>
      <c r="J438" s="16">
        <v>0</v>
      </c>
      <c r="K438" s="16">
        <v>0</v>
      </c>
      <c r="L438" s="11"/>
      <c r="M438" s="11"/>
      <c r="N438" s="16">
        <f t="shared" si="19"/>
        <v>0</v>
      </c>
      <c r="O438" s="18"/>
      <c r="P438" s="19">
        <v>0</v>
      </c>
      <c r="Q438" s="29">
        <f t="shared" si="20"/>
        <v>0</v>
      </c>
      <c r="R438" s="11"/>
    </row>
    <row r="439" spans="1:18" x14ac:dyDescent="0.2">
      <c r="A439" s="18">
        <f>+'SERVICIO FAENA'!E437</f>
        <v>0</v>
      </c>
      <c r="B439" s="20">
        <f>+'SERVICIO FAENA'!A437</f>
        <v>0</v>
      </c>
      <c r="C439" s="49">
        <f>+'SERVICIO FAENA'!C437</f>
        <v>0</v>
      </c>
      <c r="D439" s="110"/>
      <c r="E439" s="110"/>
      <c r="F439" s="49"/>
      <c r="G439" s="49"/>
      <c r="H439" s="49">
        <f t="shared" si="21"/>
        <v>0</v>
      </c>
      <c r="I439" s="16"/>
      <c r="J439" s="16">
        <v>0</v>
      </c>
      <c r="K439" s="16">
        <v>0</v>
      </c>
      <c r="L439" s="11"/>
      <c r="M439" s="11"/>
      <c r="N439" s="16">
        <f t="shared" si="19"/>
        <v>0</v>
      </c>
      <c r="O439" s="18"/>
      <c r="P439" s="19">
        <v>0</v>
      </c>
      <c r="Q439" s="29">
        <f t="shared" si="20"/>
        <v>0</v>
      </c>
      <c r="R439" s="11"/>
    </row>
    <row r="440" spans="1:18" ht="12.75" customHeight="1" x14ac:dyDescent="0.2">
      <c r="A440" s="18">
        <f>+'SERVICIO FAENA'!E438</f>
        <v>0</v>
      </c>
      <c r="B440" s="20">
        <f>+'SERVICIO FAENA'!A438</f>
        <v>0</v>
      </c>
      <c r="C440" s="49">
        <f>+'SERVICIO FAENA'!C438</f>
        <v>0</v>
      </c>
      <c r="D440" s="110"/>
      <c r="E440" s="110"/>
      <c r="F440" s="49"/>
      <c r="G440" s="49"/>
      <c r="H440" s="49">
        <f t="shared" si="21"/>
        <v>0</v>
      </c>
      <c r="I440" s="16"/>
      <c r="J440" s="16">
        <v>0</v>
      </c>
      <c r="K440" s="16">
        <v>0</v>
      </c>
      <c r="L440" s="11"/>
      <c r="M440" s="11"/>
      <c r="N440" s="16">
        <f t="shared" si="19"/>
        <v>0</v>
      </c>
      <c r="O440" s="18"/>
      <c r="P440" s="19">
        <v>0</v>
      </c>
      <c r="Q440" s="29">
        <f t="shared" si="20"/>
        <v>0</v>
      </c>
      <c r="R440" s="11"/>
    </row>
    <row r="441" spans="1:18" x14ac:dyDescent="0.2">
      <c r="A441" s="18">
        <f>+'SERVICIO FAENA'!E439</f>
        <v>0</v>
      </c>
      <c r="B441" s="20">
        <f>+'SERVICIO FAENA'!A439</f>
        <v>0</v>
      </c>
      <c r="C441" s="49">
        <f>+'SERVICIO FAENA'!C439</f>
        <v>0</v>
      </c>
      <c r="D441" s="110"/>
      <c r="E441" s="110"/>
      <c r="F441" s="49"/>
      <c r="G441" s="49"/>
      <c r="H441" s="49">
        <f t="shared" si="21"/>
        <v>0</v>
      </c>
      <c r="I441" s="16"/>
      <c r="J441" s="16">
        <v>0</v>
      </c>
      <c r="K441" s="16">
        <v>0</v>
      </c>
      <c r="L441" s="11"/>
      <c r="M441" s="11"/>
      <c r="N441" s="16">
        <f t="shared" si="19"/>
        <v>0</v>
      </c>
      <c r="O441" s="18"/>
      <c r="P441" s="19">
        <v>0</v>
      </c>
      <c r="Q441" s="29">
        <f t="shared" si="20"/>
        <v>0</v>
      </c>
      <c r="R441" s="11"/>
    </row>
    <row r="442" spans="1:18" ht="12.75" customHeight="1" x14ac:dyDescent="0.2">
      <c r="A442" s="18">
        <f>+'SERVICIO FAENA'!E440</f>
        <v>0</v>
      </c>
      <c r="B442" s="20">
        <f>+'SERVICIO FAENA'!A440</f>
        <v>0</v>
      </c>
      <c r="C442" s="49">
        <f>+'SERVICIO FAENA'!C440</f>
        <v>0</v>
      </c>
      <c r="D442" s="110"/>
      <c r="E442" s="110"/>
      <c r="F442" s="49"/>
      <c r="G442" s="49"/>
      <c r="H442" s="49">
        <f t="shared" si="21"/>
        <v>0</v>
      </c>
      <c r="I442" s="16"/>
      <c r="J442" s="16">
        <v>0</v>
      </c>
      <c r="K442" s="16">
        <v>0</v>
      </c>
      <c r="L442" s="11"/>
      <c r="M442" s="11"/>
      <c r="N442" s="16">
        <f t="shared" si="19"/>
        <v>0</v>
      </c>
      <c r="O442" s="18"/>
      <c r="P442" s="19">
        <v>0</v>
      </c>
      <c r="Q442" s="29">
        <f t="shared" si="20"/>
        <v>0</v>
      </c>
      <c r="R442" s="11"/>
    </row>
    <row r="443" spans="1:18" x14ac:dyDescent="0.2">
      <c r="A443" s="18">
        <f>+'SERVICIO FAENA'!E441</f>
        <v>0</v>
      </c>
      <c r="B443" s="20">
        <f>+'SERVICIO FAENA'!A441</f>
        <v>0</v>
      </c>
      <c r="C443" s="49">
        <f>+'SERVICIO FAENA'!C441</f>
        <v>0</v>
      </c>
      <c r="D443" s="110"/>
      <c r="E443" s="110"/>
      <c r="F443" s="49"/>
      <c r="G443" s="49"/>
      <c r="H443" s="49">
        <f t="shared" si="21"/>
        <v>0</v>
      </c>
      <c r="I443" s="16"/>
      <c r="J443" s="16">
        <v>0</v>
      </c>
      <c r="K443" s="16">
        <v>0</v>
      </c>
      <c r="L443" s="11"/>
      <c r="M443" s="11"/>
      <c r="N443" s="16">
        <f t="shared" si="19"/>
        <v>0</v>
      </c>
      <c r="O443" s="18"/>
      <c r="P443" s="19">
        <v>0</v>
      </c>
      <c r="Q443" s="29">
        <f t="shared" si="20"/>
        <v>0</v>
      </c>
      <c r="R443" s="11"/>
    </row>
    <row r="444" spans="1:18" ht="12.75" customHeight="1" x14ac:dyDescent="0.2">
      <c r="A444" s="18">
        <f>+'SERVICIO FAENA'!E442</f>
        <v>0</v>
      </c>
      <c r="B444" s="20">
        <f>+'SERVICIO FAENA'!A442</f>
        <v>0</v>
      </c>
      <c r="C444" s="49">
        <f>+'SERVICIO FAENA'!C442</f>
        <v>0</v>
      </c>
      <c r="D444" s="110"/>
      <c r="E444" s="110"/>
      <c r="F444" s="49"/>
      <c r="G444" s="49"/>
      <c r="H444" s="49">
        <f t="shared" si="21"/>
        <v>0</v>
      </c>
      <c r="I444" s="16"/>
      <c r="J444" s="16">
        <v>0</v>
      </c>
      <c r="K444" s="16">
        <v>0</v>
      </c>
      <c r="L444" s="11"/>
      <c r="M444" s="11"/>
      <c r="N444" s="16">
        <f t="shared" si="19"/>
        <v>0</v>
      </c>
      <c r="O444" s="18"/>
      <c r="P444" s="19">
        <v>0</v>
      </c>
      <c r="Q444" s="29">
        <f t="shared" si="20"/>
        <v>0</v>
      </c>
      <c r="R444" s="11"/>
    </row>
    <row r="445" spans="1:18" x14ac:dyDescent="0.2">
      <c r="A445" s="18">
        <f>+'SERVICIO FAENA'!E443</f>
        <v>0</v>
      </c>
      <c r="B445" s="20">
        <f>+'SERVICIO FAENA'!A443</f>
        <v>0</v>
      </c>
      <c r="C445" s="49">
        <f>+'SERVICIO FAENA'!C443</f>
        <v>0</v>
      </c>
      <c r="D445" s="110"/>
      <c r="E445" s="110"/>
      <c r="F445" s="49"/>
      <c r="G445" s="49"/>
      <c r="H445" s="49">
        <f t="shared" si="21"/>
        <v>0</v>
      </c>
      <c r="I445" s="16"/>
      <c r="J445" s="16">
        <v>0</v>
      </c>
      <c r="K445" s="16">
        <v>0</v>
      </c>
      <c r="L445" s="11"/>
      <c r="M445" s="11"/>
      <c r="N445" s="16">
        <f t="shared" si="19"/>
        <v>0</v>
      </c>
      <c r="O445" s="18"/>
      <c r="P445" s="19">
        <v>0</v>
      </c>
      <c r="Q445" s="29">
        <f t="shared" si="20"/>
        <v>0</v>
      </c>
      <c r="R445" s="11"/>
    </row>
    <row r="446" spans="1:18" ht="12.75" customHeight="1" x14ac:dyDescent="0.2">
      <c r="A446" s="18">
        <f>+'SERVICIO FAENA'!E444</f>
        <v>0</v>
      </c>
      <c r="B446" s="20">
        <f>+'SERVICIO FAENA'!A444</f>
        <v>0</v>
      </c>
      <c r="C446" s="49">
        <f>+'SERVICIO FAENA'!C444</f>
        <v>0</v>
      </c>
      <c r="D446" s="110"/>
      <c r="E446" s="110"/>
      <c r="F446" s="49"/>
      <c r="G446" s="49"/>
      <c r="H446" s="49">
        <f t="shared" si="21"/>
        <v>0</v>
      </c>
      <c r="I446" s="16"/>
      <c r="J446" s="16">
        <v>0</v>
      </c>
      <c r="K446" s="16">
        <v>0</v>
      </c>
      <c r="L446" s="11"/>
      <c r="M446" s="11"/>
      <c r="N446" s="16">
        <f t="shared" si="19"/>
        <v>0</v>
      </c>
      <c r="O446" s="18"/>
      <c r="P446" s="19">
        <v>0</v>
      </c>
      <c r="Q446" s="29">
        <f t="shared" si="20"/>
        <v>0</v>
      </c>
      <c r="R446" s="11"/>
    </row>
    <row r="447" spans="1:18" x14ac:dyDescent="0.2">
      <c r="A447" s="18">
        <f>+'SERVICIO FAENA'!E445</f>
        <v>0</v>
      </c>
      <c r="B447" s="20">
        <f>+'SERVICIO FAENA'!A445</f>
        <v>0</v>
      </c>
      <c r="C447" s="49">
        <f>+'SERVICIO FAENA'!C445</f>
        <v>0</v>
      </c>
      <c r="D447" s="110"/>
      <c r="E447" s="110"/>
      <c r="F447" s="49"/>
      <c r="G447" s="49"/>
      <c r="H447" s="49">
        <f t="shared" si="21"/>
        <v>0</v>
      </c>
      <c r="I447" s="16"/>
      <c r="J447" s="16">
        <v>0</v>
      </c>
      <c r="K447" s="16">
        <v>0</v>
      </c>
      <c r="L447" s="11"/>
      <c r="M447" s="11"/>
      <c r="N447" s="16">
        <f t="shared" si="19"/>
        <v>0</v>
      </c>
      <c r="O447" s="18"/>
      <c r="P447" s="19">
        <v>0</v>
      </c>
      <c r="Q447" s="29">
        <f t="shared" si="20"/>
        <v>0</v>
      </c>
      <c r="R447" s="11"/>
    </row>
    <row r="448" spans="1:18" ht="12.75" customHeight="1" x14ac:dyDescent="0.2">
      <c r="A448" s="18">
        <f>+'SERVICIO FAENA'!E446</f>
        <v>0</v>
      </c>
      <c r="B448" s="20">
        <f>+'SERVICIO FAENA'!A446</f>
        <v>0</v>
      </c>
      <c r="C448" s="49">
        <f>+'SERVICIO FAENA'!C446</f>
        <v>0</v>
      </c>
      <c r="D448" s="110"/>
      <c r="E448" s="110"/>
      <c r="F448" s="49"/>
      <c r="G448" s="49"/>
      <c r="H448" s="49">
        <f t="shared" si="21"/>
        <v>0</v>
      </c>
      <c r="I448" s="16"/>
      <c r="J448" s="16">
        <v>0</v>
      </c>
      <c r="K448" s="16">
        <v>0</v>
      </c>
      <c r="L448" s="11"/>
      <c r="M448" s="11"/>
      <c r="N448" s="16">
        <f t="shared" si="19"/>
        <v>0</v>
      </c>
      <c r="O448" s="18"/>
      <c r="P448" s="19">
        <v>0</v>
      </c>
      <c r="Q448" s="29">
        <f t="shared" si="20"/>
        <v>0</v>
      </c>
      <c r="R448" s="11"/>
    </row>
    <row r="449" spans="1:18" x14ac:dyDescent="0.2">
      <c r="A449" s="18">
        <f>+'SERVICIO FAENA'!E447</f>
        <v>0</v>
      </c>
      <c r="B449" s="20">
        <f>+'SERVICIO FAENA'!A447</f>
        <v>0</v>
      </c>
      <c r="C449" s="49">
        <f>+'SERVICIO FAENA'!C447</f>
        <v>0</v>
      </c>
      <c r="D449" s="110"/>
      <c r="E449" s="110"/>
      <c r="F449" s="49"/>
      <c r="G449" s="49"/>
      <c r="H449" s="49">
        <f t="shared" si="21"/>
        <v>0</v>
      </c>
      <c r="I449" s="16"/>
      <c r="J449" s="16">
        <v>0</v>
      </c>
      <c r="K449" s="16">
        <v>0</v>
      </c>
      <c r="L449" s="11"/>
      <c r="M449" s="11"/>
      <c r="N449" s="16">
        <f t="shared" si="19"/>
        <v>0</v>
      </c>
      <c r="O449" s="18"/>
      <c r="P449" s="19">
        <v>0</v>
      </c>
      <c r="Q449" s="29">
        <f t="shared" si="20"/>
        <v>0</v>
      </c>
      <c r="R449" s="11"/>
    </row>
    <row r="450" spans="1:18" ht="12.75" customHeight="1" x14ac:dyDescent="0.2">
      <c r="A450" s="18">
        <f>+'SERVICIO FAENA'!E448</f>
        <v>0</v>
      </c>
      <c r="B450" s="20">
        <f>+'SERVICIO FAENA'!A448</f>
        <v>0</v>
      </c>
      <c r="C450" s="49">
        <f>+'SERVICIO FAENA'!C448</f>
        <v>0</v>
      </c>
      <c r="D450" s="110"/>
      <c r="E450" s="110"/>
      <c r="F450" s="49"/>
      <c r="G450" s="49"/>
      <c r="H450" s="49">
        <f t="shared" si="21"/>
        <v>0</v>
      </c>
      <c r="I450" s="16"/>
      <c r="J450" s="16">
        <v>0</v>
      </c>
      <c r="K450" s="16">
        <v>0</v>
      </c>
      <c r="L450" s="11"/>
      <c r="M450" s="11"/>
      <c r="N450" s="16">
        <f t="shared" si="19"/>
        <v>0</v>
      </c>
      <c r="O450" s="18"/>
      <c r="P450" s="19">
        <v>0</v>
      </c>
      <c r="Q450" s="29">
        <f t="shared" si="20"/>
        <v>0</v>
      </c>
      <c r="R450" s="11"/>
    </row>
    <row r="451" spans="1:18" x14ac:dyDescent="0.2">
      <c r="A451" s="18">
        <f>+'SERVICIO FAENA'!E449</f>
        <v>0</v>
      </c>
      <c r="B451" s="20">
        <f>+'SERVICIO FAENA'!A449</f>
        <v>0</v>
      </c>
      <c r="C451" s="49">
        <f>+'SERVICIO FAENA'!C449</f>
        <v>0</v>
      </c>
      <c r="D451" s="110"/>
      <c r="E451" s="110"/>
      <c r="F451" s="49"/>
      <c r="G451" s="49"/>
      <c r="H451" s="49">
        <f t="shared" si="21"/>
        <v>0</v>
      </c>
      <c r="I451" s="16"/>
      <c r="J451" s="16">
        <v>0</v>
      </c>
      <c r="K451" s="16">
        <v>0</v>
      </c>
      <c r="L451" s="11"/>
      <c r="M451" s="11"/>
      <c r="N451" s="16">
        <f t="shared" si="19"/>
        <v>0</v>
      </c>
      <c r="O451" s="18"/>
      <c r="P451" s="19">
        <v>0</v>
      </c>
      <c r="Q451" s="29">
        <f t="shared" si="20"/>
        <v>0</v>
      </c>
      <c r="R451" s="11"/>
    </row>
    <row r="452" spans="1:18" ht="12.75" customHeight="1" x14ac:dyDescent="0.2">
      <c r="A452" s="18">
        <f>+'SERVICIO FAENA'!E450</f>
        <v>0</v>
      </c>
      <c r="B452" s="20">
        <f>+'SERVICIO FAENA'!A450</f>
        <v>0</v>
      </c>
      <c r="C452" s="49">
        <f>+'SERVICIO FAENA'!C450</f>
        <v>0</v>
      </c>
      <c r="D452" s="110"/>
      <c r="E452" s="110"/>
      <c r="F452" s="49"/>
      <c r="G452" s="49"/>
      <c r="H452" s="49">
        <f t="shared" si="21"/>
        <v>0</v>
      </c>
      <c r="I452" s="16"/>
      <c r="J452" s="16">
        <v>0</v>
      </c>
      <c r="K452" s="16">
        <v>0</v>
      </c>
      <c r="L452" s="11"/>
      <c r="M452" s="11"/>
      <c r="N452" s="16">
        <f t="shared" si="19"/>
        <v>0</v>
      </c>
      <c r="O452" s="18"/>
      <c r="P452" s="19">
        <v>0</v>
      </c>
      <c r="Q452" s="29">
        <f t="shared" si="20"/>
        <v>0</v>
      </c>
      <c r="R452" s="11"/>
    </row>
    <row r="453" spans="1:18" x14ac:dyDescent="0.2">
      <c r="A453" s="18">
        <f>+'SERVICIO FAENA'!E451</f>
        <v>0</v>
      </c>
      <c r="B453" s="20">
        <f>+'SERVICIO FAENA'!A451</f>
        <v>0</v>
      </c>
      <c r="C453" s="49">
        <f>+'SERVICIO FAENA'!C451</f>
        <v>0</v>
      </c>
      <c r="D453" s="110"/>
      <c r="E453" s="110"/>
      <c r="F453" s="49"/>
      <c r="G453" s="49"/>
      <c r="H453" s="49">
        <f t="shared" si="21"/>
        <v>0</v>
      </c>
      <c r="I453" s="16"/>
      <c r="J453" s="16">
        <v>0</v>
      </c>
      <c r="K453" s="16">
        <v>0</v>
      </c>
      <c r="L453" s="11"/>
      <c r="M453" s="11"/>
      <c r="N453" s="16">
        <f t="shared" si="19"/>
        <v>0</v>
      </c>
      <c r="O453" s="18"/>
      <c r="P453" s="19">
        <v>0</v>
      </c>
      <c r="Q453" s="29">
        <f t="shared" si="20"/>
        <v>0</v>
      </c>
      <c r="R453" s="11"/>
    </row>
    <row r="454" spans="1:18" ht="12.75" customHeight="1" x14ac:dyDescent="0.2">
      <c r="A454" s="18">
        <f>+'SERVICIO FAENA'!E452</f>
        <v>0</v>
      </c>
      <c r="B454" s="20">
        <f>+'SERVICIO FAENA'!A452</f>
        <v>0</v>
      </c>
      <c r="C454" s="49">
        <f>+'SERVICIO FAENA'!C452</f>
        <v>0</v>
      </c>
      <c r="D454" s="110"/>
      <c r="E454" s="110"/>
      <c r="F454" s="49"/>
      <c r="G454" s="49"/>
      <c r="H454" s="49">
        <f t="shared" si="21"/>
        <v>0</v>
      </c>
      <c r="I454" s="16"/>
      <c r="J454" s="16">
        <v>0</v>
      </c>
      <c r="K454" s="16">
        <v>0</v>
      </c>
      <c r="L454" s="11"/>
      <c r="M454" s="11"/>
      <c r="N454" s="16">
        <f t="shared" si="19"/>
        <v>0</v>
      </c>
      <c r="O454" s="18"/>
      <c r="P454" s="19">
        <v>0</v>
      </c>
      <c r="Q454" s="29">
        <f t="shared" si="20"/>
        <v>0</v>
      </c>
      <c r="R454" s="11"/>
    </row>
    <row r="455" spans="1:18" x14ac:dyDescent="0.2">
      <c r="A455" s="18">
        <f>+'SERVICIO FAENA'!E453</f>
        <v>0</v>
      </c>
      <c r="B455" s="20">
        <f>+'SERVICIO FAENA'!A453</f>
        <v>0</v>
      </c>
      <c r="C455" s="49">
        <f>+'SERVICIO FAENA'!C453</f>
        <v>0</v>
      </c>
      <c r="D455" s="110"/>
      <c r="E455" s="110"/>
      <c r="F455" s="49"/>
      <c r="G455" s="49"/>
      <c r="H455" s="49">
        <f t="shared" si="21"/>
        <v>0</v>
      </c>
      <c r="I455" s="16"/>
      <c r="J455" s="16">
        <v>0</v>
      </c>
      <c r="K455" s="16">
        <v>0</v>
      </c>
      <c r="L455" s="11"/>
      <c r="M455" s="11"/>
      <c r="N455" s="16">
        <f t="shared" si="19"/>
        <v>0</v>
      </c>
      <c r="O455" s="18"/>
      <c r="P455" s="19">
        <v>0</v>
      </c>
      <c r="Q455" s="29">
        <f t="shared" si="20"/>
        <v>0</v>
      </c>
      <c r="R455" s="11"/>
    </row>
    <row r="456" spans="1:18" ht="12.75" customHeight="1" x14ac:dyDescent="0.2">
      <c r="A456" s="18">
        <f>+'SERVICIO FAENA'!E454</f>
        <v>0</v>
      </c>
      <c r="B456" s="20">
        <f>+'SERVICIO FAENA'!A454</f>
        <v>0</v>
      </c>
      <c r="C456" s="49">
        <f>+'SERVICIO FAENA'!C454</f>
        <v>0</v>
      </c>
      <c r="D456" s="110"/>
      <c r="E456" s="110"/>
      <c r="F456" s="49"/>
      <c r="G456" s="49"/>
      <c r="H456" s="49">
        <f t="shared" si="21"/>
        <v>0</v>
      </c>
      <c r="I456" s="16"/>
      <c r="J456" s="16">
        <v>0</v>
      </c>
      <c r="K456" s="16">
        <v>0</v>
      </c>
      <c r="L456" s="11"/>
      <c r="M456" s="11"/>
      <c r="N456" s="16">
        <f t="shared" ref="N456:N519" si="22">+K456*I456</f>
        <v>0</v>
      </c>
      <c r="O456" s="18"/>
      <c r="P456" s="19">
        <v>0</v>
      </c>
      <c r="Q456" s="29">
        <f t="shared" ref="Q456:Q519" si="23">+P456-N456</f>
        <v>0</v>
      </c>
      <c r="R456" s="11"/>
    </row>
    <row r="457" spans="1:18" x14ac:dyDescent="0.2">
      <c r="A457" s="18">
        <f>+'SERVICIO FAENA'!E455</f>
        <v>0</v>
      </c>
      <c r="B457" s="20">
        <f>+'SERVICIO FAENA'!A455</f>
        <v>0</v>
      </c>
      <c r="C457" s="49">
        <f>+'SERVICIO FAENA'!C455</f>
        <v>0</v>
      </c>
      <c r="D457" s="110"/>
      <c r="E457" s="110"/>
      <c r="F457" s="49"/>
      <c r="G457" s="49"/>
      <c r="H457" s="49">
        <f t="shared" si="21"/>
        <v>0</v>
      </c>
      <c r="I457" s="16"/>
      <c r="J457" s="16">
        <v>0</v>
      </c>
      <c r="K457" s="16">
        <v>0</v>
      </c>
      <c r="L457" s="11"/>
      <c r="M457" s="11"/>
      <c r="N457" s="16">
        <f t="shared" si="22"/>
        <v>0</v>
      </c>
      <c r="O457" s="18"/>
      <c r="P457" s="19">
        <v>0</v>
      </c>
      <c r="Q457" s="29">
        <f t="shared" si="23"/>
        <v>0</v>
      </c>
      <c r="R457" s="11"/>
    </row>
    <row r="458" spans="1:18" ht="12.75" customHeight="1" x14ac:dyDescent="0.2">
      <c r="A458" s="18">
        <f>+'SERVICIO FAENA'!E456</f>
        <v>0</v>
      </c>
      <c r="B458" s="20">
        <f>+'SERVICIO FAENA'!A456</f>
        <v>0</v>
      </c>
      <c r="C458" s="49">
        <f>+'SERVICIO FAENA'!C456</f>
        <v>0</v>
      </c>
      <c r="D458" s="110"/>
      <c r="E458" s="110"/>
      <c r="F458" s="49"/>
      <c r="G458" s="49"/>
      <c r="H458" s="49">
        <f t="shared" si="21"/>
        <v>0</v>
      </c>
      <c r="I458" s="16"/>
      <c r="J458" s="16">
        <v>0</v>
      </c>
      <c r="K458" s="16">
        <v>0</v>
      </c>
      <c r="L458" s="11"/>
      <c r="M458" s="11"/>
      <c r="N458" s="16">
        <f t="shared" si="22"/>
        <v>0</v>
      </c>
      <c r="O458" s="18"/>
      <c r="P458" s="19">
        <v>0</v>
      </c>
      <c r="Q458" s="29">
        <f t="shared" si="23"/>
        <v>0</v>
      </c>
      <c r="R458" s="11"/>
    </row>
    <row r="459" spans="1:18" x14ac:dyDescent="0.2">
      <c r="A459" s="18">
        <f>+'SERVICIO FAENA'!E457</f>
        <v>0</v>
      </c>
      <c r="B459" s="20">
        <f>+'SERVICIO FAENA'!A457</f>
        <v>0</v>
      </c>
      <c r="C459" s="49">
        <f>+'SERVICIO FAENA'!C457</f>
        <v>0</v>
      </c>
      <c r="D459" s="110"/>
      <c r="E459" s="110"/>
      <c r="F459" s="49"/>
      <c r="G459" s="49"/>
      <c r="H459" s="49">
        <f t="shared" si="21"/>
        <v>0</v>
      </c>
      <c r="I459" s="16"/>
      <c r="J459" s="16">
        <v>0</v>
      </c>
      <c r="K459" s="16">
        <v>0</v>
      </c>
      <c r="L459" s="11"/>
      <c r="M459" s="11"/>
      <c r="N459" s="16">
        <f t="shared" si="22"/>
        <v>0</v>
      </c>
      <c r="O459" s="18"/>
      <c r="P459" s="19">
        <v>0</v>
      </c>
      <c r="Q459" s="29">
        <f t="shared" si="23"/>
        <v>0</v>
      </c>
      <c r="R459" s="11"/>
    </row>
    <row r="460" spans="1:18" ht="12.75" customHeight="1" x14ac:dyDescent="0.2">
      <c r="A460" s="18">
        <f>+'SERVICIO FAENA'!E458</f>
        <v>0</v>
      </c>
      <c r="B460" s="20">
        <f>+'SERVICIO FAENA'!A458</f>
        <v>0</v>
      </c>
      <c r="C460" s="49">
        <f>+'SERVICIO FAENA'!C458</f>
        <v>0</v>
      </c>
      <c r="D460" s="110"/>
      <c r="E460" s="110"/>
      <c r="F460" s="49"/>
      <c r="G460" s="49"/>
      <c r="H460" s="49">
        <f t="shared" si="21"/>
        <v>0</v>
      </c>
      <c r="I460" s="16"/>
      <c r="J460" s="16">
        <v>0</v>
      </c>
      <c r="K460" s="16">
        <v>0</v>
      </c>
      <c r="L460" s="11"/>
      <c r="M460" s="11"/>
      <c r="N460" s="16">
        <f t="shared" si="22"/>
        <v>0</v>
      </c>
      <c r="O460" s="18"/>
      <c r="P460" s="19">
        <v>0</v>
      </c>
      <c r="Q460" s="29">
        <f t="shared" si="23"/>
        <v>0</v>
      </c>
      <c r="R460" s="11"/>
    </row>
    <row r="461" spans="1:18" x14ac:dyDescent="0.2">
      <c r="A461" s="18">
        <f>+'SERVICIO FAENA'!E459</f>
        <v>0</v>
      </c>
      <c r="B461" s="20">
        <f>+'SERVICIO FAENA'!A459</f>
        <v>0</v>
      </c>
      <c r="C461" s="49">
        <f>+'SERVICIO FAENA'!C459</f>
        <v>0</v>
      </c>
      <c r="D461" s="110"/>
      <c r="E461" s="110"/>
      <c r="F461" s="49"/>
      <c r="G461" s="49"/>
      <c r="H461" s="49">
        <f t="shared" si="21"/>
        <v>0</v>
      </c>
      <c r="I461" s="16"/>
      <c r="J461" s="16">
        <v>0</v>
      </c>
      <c r="K461" s="16">
        <v>0</v>
      </c>
      <c r="L461" s="11"/>
      <c r="M461" s="11"/>
      <c r="N461" s="16">
        <f t="shared" si="22"/>
        <v>0</v>
      </c>
      <c r="O461" s="18"/>
      <c r="P461" s="19">
        <v>0</v>
      </c>
      <c r="Q461" s="29">
        <f t="shared" si="23"/>
        <v>0</v>
      </c>
      <c r="R461" s="11"/>
    </row>
    <row r="462" spans="1:18" ht="12.75" customHeight="1" x14ac:dyDescent="0.2">
      <c r="A462" s="18">
        <f>+'SERVICIO FAENA'!E460</f>
        <v>0</v>
      </c>
      <c r="B462" s="20">
        <f>+'SERVICIO FAENA'!A460</f>
        <v>0</v>
      </c>
      <c r="C462" s="49">
        <f>+'SERVICIO FAENA'!C460</f>
        <v>0</v>
      </c>
      <c r="D462" s="110"/>
      <c r="E462" s="110"/>
      <c r="F462" s="49"/>
      <c r="G462" s="49"/>
      <c r="H462" s="49">
        <f t="shared" si="21"/>
        <v>0</v>
      </c>
      <c r="I462" s="16"/>
      <c r="J462" s="16">
        <v>0</v>
      </c>
      <c r="K462" s="16">
        <v>0</v>
      </c>
      <c r="L462" s="11"/>
      <c r="M462" s="11"/>
      <c r="N462" s="16">
        <f t="shared" si="22"/>
        <v>0</v>
      </c>
      <c r="O462" s="18"/>
      <c r="P462" s="19">
        <v>0</v>
      </c>
      <c r="Q462" s="29">
        <f t="shared" si="23"/>
        <v>0</v>
      </c>
      <c r="R462" s="11"/>
    </row>
    <row r="463" spans="1:18" x14ac:dyDescent="0.2">
      <c r="A463" s="18">
        <f>+'SERVICIO FAENA'!E461</f>
        <v>0</v>
      </c>
      <c r="B463" s="20">
        <f>+'SERVICIO FAENA'!A461</f>
        <v>0</v>
      </c>
      <c r="C463" s="49">
        <f>+'SERVICIO FAENA'!C461</f>
        <v>0</v>
      </c>
      <c r="D463" s="110"/>
      <c r="E463" s="110"/>
      <c r="F463" s="49"/>
      <c r="G463" s="49"/>
      <c r="H463" s="49">
        <f t="shared" si="21"/>
        <v>0</v>
      </c>
      <c r="I463" s="16"/>
      <c r="J463" s="16">
        <v>0</v>
      </c>
      <c r="K463" s="16">
        <v>0</v>
      </c>
      <c r="L463" s="11"/>
      <c r="M463" s="11"/>
      <c r="N463" s="16">
        <f t="shared" si="22"/>
        <v>0</v>
      </c>
      <c r="O463" s="18"/>
      <c r="P463" s="19">
        <v>0</v>
      </c>
      <c r="Q463" s="29">
        <f t="shared" si="23"/>
        <v>0</v>
      </c>
      <c r="R463" s="11"/>
    </row>
    <row r="464" spans="1:18" ht="12.75" customHeight="1" x14ac:dyDescent="0.2">
      <c r="A464" s="18">
        <f>+'SERVICIO FAENA'!E462</f>
        <v>0</v>
      </c>
      <c r="B464" s="20">
        <f>+'SERVICIO FAENA'!A462</f>
        <v>0</v>
      </c>
      <c r="C464" s="49">
        <f>+'SERVICIO FAENA'!C462</f>
        <v>0</v>
      </c>
      <c r="D464" s="110"/>
      <c r="E464" s="110"/>
      <c r="F464" s="49"/>
      <c r="G464" s="49"/>
      <c r="H464" s="49">
        <f t="shared" si="21"/>
        <v>0</v>
      </c>
      <c r="I464" s="16"/>
      <c r="J464" s="16">
        <v>0</v>
      </c>
      <c r="K464" s="16">
        <v>0</v>
      </c>
      <c r="L464" s="11"/>
      <c r="M464" s="11"/>
      <c r="N464" s="16">
        <f t="shared" si="22"/>
        <v>0</v>
      </c>
      <c r="O464" s="18"/>
      <c r="P464" s="19">
        <v>0</v>
      </c>
      <c r="Q464" s="29">
        <f t="shared" si="23"/>
        <v>0</v>
      </c>
      <c r="R464" s="11"/>
    </row>
    <row r="465" spans="1:18" x14ac:dyDescent="0.2">
      <c r="A465" s="18">
        <f>+'SERVICIO FAENA'!E463</f>
        <v>0</v>
      </c>
      <c r="B465" s="20">
        <f>+'SERVICIO FAENA'!A463</f>
        <v>0</v>
      </c>
      <c r="C465" s="49">
        <f>+'SERVICIO FAENA'!C463</f>
        <v>0</v>
      </c>
      <c r="D465" s="110"/>
      <c r="E465" s="110"/>
      <c r="F465" s="49"/>
      <c r="G465" s="49"/>
      <c r="H465" s="49">
        <f t="shared" ref="H465:H528" si="24">+D465+E465</f>
        <v>0</v>
      </c>
      <c r="I465" s="16"/>
      <c r="J465" s="16">
        <v>0</v>
      </c>
      <c r="K465" s="16">
        <v>0</v>
      </c>
      <c r="L465" s="11"/>
      <c r="M465" s="11"/>
      <c r="N465" s="16">
        <f t="shared" si="22"/>
        <v>0</v>
      </c>
      <c r="O465" s="18"/>
      <c r="P465" s="19">
        <v>0</v>
      </c>
      <c r="Q465" s="29">
        <f t="shared" si="23"/>
        <v>0</v>
      </c>
      <c r="R465" s="11"/>
    </row>
    <row r="466" spans="1:18" ht="12.75" customHeight="1" x14ac:dyDescent="0.2">
      <c r="A466" s="18">
        <f>+'SERVICIO FAENA'!E464</f>
        <v>0</v>
      </c>
      <c r="B466" s="20">
        <f>+'SERVICIO FAENA'!A464</f>
        <v>0</v>
      </c>
      <c r="C466" s="49">
        <f>+'SERVICIO FAENA'!C464</f>
        <v>0</v>
      </c>
      <c r="D466" s="110"/>
      <c r="E466" s="110"/>
      <c r="F466" s="49"/>
      <c r="G466" s="49"/>
      <c r="H466" s="49">
        <f t="shared" si="24"/>
        <v>0</v>
      </c>
      <c r="I466" s="16"/>
      <c r="J466" s="16">
        <v>0</v>
      </c>
      <c r="K466" s="16">
        <v>0</v>
      </c>
      <c r="L466" s="11"/>
      <c r="M466" s="11"/>
      <c r="N466" s="16">
        <f t="shared" si="22"/>
        <v>0</v>
      </c>
      <c r="O466" s="18"/>
      <c r="P466" s="19">
        <v>0</v>
      </c>
      <c r="Q466" s="29">
        <f t="shared" si="23"/>
        <v>0</v>
      </c>
      <c r="R466" s="11"/>
    </row>
    <row r="467" spans="1:18" x14ac:dyDescent="0.2">
      <c r="A467" s="18">
        <f>+'SERVICIO FAENA'!E465</f>
        <v>0</v>
      </c>
      <c r="B467" s="20">
        <f>+'SERVICIO FAENA'!A465</f>
        <v>0</v>
      </c>
      <c r="C467" s="49">
        <f>+'SERVICIO FAENA'!C465</f>
        <v>0</v>
      </c>
      <c r="D467" s="110"/>
      <c r="E467" s="110"/>
      <c r="F467" s="49"/>
      <c r="G467" s="49"/>
      <c r="H467" s="49">
        <f t="shared" si="24"/>
        <v>0</v>
      </c>
      <c r="I467" s="16"/>
      <c r="J467" s="16">
        <v>0</v>
      </c>
      <c r="K467" s="16">
        <v>0</v>
      </c>
      <c r="L467" s="11"/>
      <c r="M467" s="11"/>
      <c r="N467" s="16">
        <f t="shared" si="22"/>
        <v>0</v>
      </c>
      <c r="O467" s="18"/>
      <c r="P467" s="19">
        <v>0</v>
      </c>
      <c r="Q467" s="29">
        <f t="shared" si="23"/>
        <v>0</v>
      </c>
      <c r="R467" s="11"/>
    </row>
    <row r="468" spans="1:18" ht="12.75" customHeight="1" x14ac:dyDescent="0.2">
      <c r="A468" s="18">
        <f>+'SERVICIO FAENA'!E466</f>
        <v>0</v>
      </c>
      <c r="B468" s="20">
        <f>+'SERVICIO FAENA'!A466</f>
        <v>0</v>
      </c>
      <c r="C468" s="49">
        <f>+'SERVICIO FAENA'!C466</f>
        <v>0</v>
      </c>
      <c r="D468" s="110"/>
      <c r="E468" s="110"/>
      <c r="F468" s="49"/>
      <c r="G468" s="49"/>
      <c r="H468" s="49">
        <f t="shared" si="24"/>
        <v>0</v>
      </c>
      <c r="I468" s="16"/>
      <c r="J468" s="16">
        <v>0</v>
      </c>
      <c r="K468" s="16">
        <v>0</v>
      </c>
      <c r="L468" s="11"/>
      <c r="M468" s="11"/>
      <c r="N468" s="16">
        <f t="shared" si="22"/>
        <v>0</v>
      </c>
      <c r="O468" s="18"/>
      <c r="P468" s="19">
        <v>0</v>
      </c>
      <c r="Q468" s="29">
        <f t="shared" si="23"/>
        <v>0</v>
      </c>
      <c r="R468" s="11"/>
    </row>
    <row r="469" spans="1:18" x14ac:dyDescent="0.2">
      <c r="A469" s="18">
        <f>+'SERVICIO FAENA'!E467</f>
        <v>0</v>
      </c>
      <c r="B469" s="20">
        <f>+'SERVICIO FAENA'!A467</f>
        <v>0</v>
      </c>
      <c r="C469" s="49">
        <f>+'SERVICIO FAENA'!C467</f>
        <v>0</v>
      </c>
      <c r="D469" s="110"/>
      <c r="E469" s="110"/>
      <c r="F469" s="49"/>
      <c r="G469" s="49"/>
      <c r="H469" s="49">
        <f t="shared" si="24"/>
        <v>0</v>
      </c>
      <c r="I469" s="16"/>
      <c r="J469" s="16">
        <v>0</v>
      </c>
      <c r="K469" s="16">
        <v>0</v>
      </c>
      <c r="L469" s="11"/>
      <c r="M469" s="11"/>
      <c r="N469" s="16">
        <f t="shared" si="22"/>
        <v>0</v>
      </c>
      <c r="O469" s="18"/>
      <c r="P469" s="19">
        <v>0</v>
      </c>
      <c r="Q469" s="29">
        <f t="shared" si="23"/>
        <v>0</v>
      </c>
      <c r="R469" s="11"/>
    </row>
    <row r="470" spans="1:18" ht="12.75" customHeight="1" x14ac:dyDescent="0.2">
      <c r="A470" s="18">
        <f>+'SERVICIO FAENA'!E468</f>
        <v>0</v>
      </c>
      <c r="B470" s="20">
        <f>+'SERVICIO FAENA'!A468</f>
        <v>0</v>
      </c>
      <c r="C470" s="49">
        <f>+'SERVICIO FAENA'!C468</f>
        <v>0</v>
      </c>
      <c r="D470" s="110"/>
      <c r="E470" s="110"/>
      <c r="F470" s="49"/>
      <c r="G470" s="49"/>
      <c r="H470" s="49">
        <f t="shared" si="24"/>
        <v>0</v>
      </c>
      <c r="I470" s="16"/>
      <c r="J470" s="16">
        <v>0</v>
      </c>
      <c r="K470" s="16">
        <v>0</v>
      </c>
      <c r="L470" s="11"/>
      <c r="M470" s="11"/>
      <c r="N470" s="16">
        <f t="shared" si="22"/>
        <v>0</v>
      </c>
      <c r="O470" s="18"/>
      <c r="P470" s="19">
        <v>0</v>
      </c>
      <c r="Q470" s="29">
        <f t="shared" si="23"/>
        <v>0</v>
      </c>
      <c r="R470" s="11"/>
    </row>
    <row r="471" spans="1:18" x14ac:dyDescent="0.2">
      <c r="A471" s="18">
        <f>+'SERVICIO FAENA'!E469</f>
        <v>0</v>
      </c>
      <c r="B471" s="20">
        <f>+'SERVICIO FAENA'!A469</f>
        <v>0</v>
      </c>
      <c r="C471" s="49">
        <f>+'SERVICIO FAENA'!C469</f>
        <v>0</v>
      </c>
      <c r="D471" s="110"/>
      <c r="E471" s="110"/>
      <c r="F471" s="49"/>
      <c r="G471" s="49"/>
      <c r="H471" s="49">
        <f t="shared" si="24"/>
        <v>0</v>
      </c>
      <c r="I471" s="16"/>
      <c r="J471" s="16">
        <v>0</v>
      </c>
      <c r="K471" s="16">
        <v>0</v>
      </c>
      <c r="L471" s="11"/>
      <c r="M471" s="11"/>
      <c r="N471" s="16">
        <f t="shared" si="22"/>
        <v>0</v>
      </c>
      <c r="O471" s="18"/>
      <c r="P471" s="19">
        <v>0</v>
      </c>
      <c r="Q471" s="29">
        <f t="shared" si="23"/>
        <v>0</v>
      </c>
      <c r="R471" s="11"/>
    </row>
    <row r="472" spans="1:18" ht="12.75" customHeight="1" x14ac:dyDescent="0.2">
      <c r="A472" s="18">
        <f>+'SERVICIO FAENA'!E470</f>
        <v>0</v>
      </c>
      <c r="B472" s="20">
        <f>+'SERVICIO FAENA'!A470</f>
        <v>0</v>
      </c>
      <c r="C472" s="49">
        <f>+'SERVICIO FAENA'!C470</f>
        <v>0</v>
      </c>
      <c r="D472" s="110"/>
      <c r="E472" s="110"/>
      <c r="F472" s="49"/>
      <c r="G472" s="49"/>
      <c r="H472" s="49">
        <f t="shared" si="24"/>
        <v>0</v>
      </c>
      <c r="I472" s="16"/>
      <c r="J472" s="16">
        <v>0</v>
      </c>
      <c r="K472" s="16">
        <v>0</v>
      </c>
      <c r="L472" s="11"/>
      <c r="M472" s="11"/>
      <c r="N472" s="16">
        <f t="shared" si="22"/>
        <v>0</v>
      </c>
      <c r="O472" s="18"/>
      <c r="P472" s="19">
        <v>0</v>
      </c>
      <c r="Q472" s="29">
        <f t="shared" si="23"/>
        <v>0</v>
      </c>
      <c r="R472" s="11"/>
    </row>
    <row r="473" spans="1:18" x14ac:dyDescent="0.2">
      <c r="A473" s="18">
        <f>+'SERVICIO FAENA'!E471</f>
        <v>0</v>
      </c>
      <c r="B473" s="20">
        <f>+'SERVICIO FAENA'!A471</f>
        <v>0</v>
      </c>
      <c r="C473" s="49">
        <f>+'SERVICIO FAENA'!C471</f>
        <v>0</v>
      </c>
      <c r="D473" s="110"/>
      <c r="E473" s="110"/>
      <c r="F473" s="49"/>
      <c r="G473" s="49"/>
      <c r="H473" s="49">
        <f t="shared" si="24"/>
        <v>0</v>
      </c>
      <c r="I473" s="16"/>
      <c r="J473" s="16">
        <v>0</v>
      </c>
      <c r="K473" s="16">
        <v>0</v>
      </c>
      <c r="L473" s="11"/>
      <c r="M473" s="11"/>
      <c r="N473" s="16">
        <f t="shared" si="22"/>
        <v>0</v>
      </c>
      <c r="O473" s="18"/>
      <c r="P473" s="19">
        <v>0</v>
      </c>
      <c r="Q473" s="29">
        <f t="shared" si="23"/>
        <v>0</v>
      </c>
      <c r="R473" s="11"/>
    </row>
    <row r="474" spans="1:18" ht="12.75" customHeight="1" x14ac:dyDescent="0.2">
      <c r="A474" s="18">
        <f>+'SERVICIO FAENA'!E472</f>
        <v>0</v>
      </c>
      <c r="B474" s="20">
        <f>+'SERVICIO FAENA'!A472</f>
        <v>0</v>
      </c>
      <c r="C474" s="49">
        <f>+'SERVICIO FAENA'!C472</f>
        <v>0</v>
      </c>
      <c r="D474" s="110"/>
      <c r="E474" s="110"/>
      <c r="F474" s="49"/>
      <c r="G474" s="49"/>
      <c r="H474" s="49">
        <f t="shared" si="24"/>
        <v>0</v>
      </c>
      <c r="I474" s="16"/>
      <c r="J474" s="16">
        <v>0</v>
      </c>
      <c r="K474" s="16">
        <v>0</v>
      </c>
      <c r="L474" s="11"/>
      <c r="M474" s="11"/>
      <c r="N474" s="16">
        <f t="shared" si="22"/>
        <v>0</v>
      </c>
      <c r="O474" s="18"/>
      <c r="P474" s="19">
        <v>0</v>
      </c>
      <c r="Q474" s="29">
        <f t="shared" si="23"/>
        <v>0</v>
      </c>
      <c r="R474" s="11"/>
    </row>
    <row r="475" spans="1:18" x14ac:dyDescent="0.2">
      <c r="A475" s="18">
        <f>+'SERVICIO FAENA'!E473</f>
        <v>0</v>
      </c>
      <c r="B475" s="20">
        <f>+'SERVICIO FAENA'!A473</f>
        <v>0</v>
      </c>
      <c r="C475" s="49">
        <f>+'SERVICIO FAENA'!C473</f>
        <v>0</v>
      </c>
      <c r="D475" s="110"/>
      <c r="E475" s="110"/>
      <c r="F475" s="49"/>
      <c r="G475" s="49"/>
      <c r="H475" s="49">
        <f t="shared" si="24"/>
        <v>0</v>
      </c>
      <c r="I475" s="16"/>
      <c r="J475" s="16">
        <v>0</v>
      </c>
      <c r="K475" s="16">
        <v>0</v>
      </c>
      <c r="L475" s="11"/>
      <c r="M475" s="11"/>
      <c r="N475" s="16">
        <f t="shared" si="22"/>
        <v>0</v>
      </c>
      <c r="O475" s="18"/>
      <c r="P475" s="19">
        <v>0</v>
      </c>
      <c r="Q475" s="29">
        <f t="shared" si="23"/>
        <v>0</v>
      </c>
      <c r="R475" s="11"/>
    </row>
    <row r="476" spans="1:18" ht="12.75" customHeight="1" x14ac:dyDescent="0.2">
      <c r="A476" s="18">
        <f>+'SERVICIO FAENA'!E474</f>
        <v>0</v>
      </c>
      <c r="B476" s="20">
        <f>+'SERVICIO FAENA'!A474</f>
        <v>0</v>
      </c>
      <c r="C476" s="49">
        <f>+'SERVICIO FAENA'!C474</f>
        <v>0</v>
      </c>
      <c r="D476" s="110"/>
      <c r="E476" s="110"/>
      <c r="F476" s="49"/>
      <c r="G476" s="49"/>
      <c r="H476" s="49">
        <f t="shared" si="24"/>
        <v>0</v>
      </c>
      <c r="I476" s="16"/>
      <c r="J476" s="16">
        <v>0</v>
      </c>
      <c r="K476" s="16">
        <v>0</v>
      </c>
      <c r="L476" s="11"/>
      <c r="M476" s="11"/>
      <c r="N476" s="16">
        <f t="shared" si="22"/>
        <v>0</v>
      </c>
      <c r="O476" s="18"/>
      <c r="P476" s="19">
        <v>0</v>
      </c>
      <c r="Q476" s="29">
        <f t="shared" si="23"/>
        <v>0</v>
      </c>
      <c r="R476" s="11"/>
    </row>
    <row r="477" spans="1:18" x14ac:dyDescent="0.2">
      <c r="A477" s="18">
        <f>+'SERVICIO FAENA'!E475</f>
        <v>0</v>
      </c>
      <c r="B477" s="20">
        <f>+'SERVICIO FAENA'!A475</f>
        <v>0</v>
      </c>
      <c r="C477" s="49">
        <f>+'SERVICIO FAENA'!C475</f>
        <v>0</v>
      </c>
      <c r="D477" s="110"/>
      <c r="E477" s="110"/>
      <c r="F477" s="49"/>
      <c r="G477" s="49"/>
      <c r="H477" s="49">
        <f t="shared" si="24"/>
        <v>0</v>
      </c>
      <c r="I477" s="16"/>
      <c r="J477" s="16">
        <v>0</v>
      </c>
      <c r="K477" s="16">
        <v>0</v>
      </c>
      <c r="L477" s="11"/>
      <c r="M477" s="11"/>
      <c r="N477" s="16">
        <f t="shared" si="22"/>
        <v>0</v>
      </c>
      <c r="O477" s="18"/>
      <c r="P477" s="19">
        <v>0</v>
      </c>
      <c r="Q477" s="29">
        <f t="shared" si="23"/>
        <v>0</v>
      </c>
      <c r="R477" s="11"/>
    </row>
    <row r="478" spans="1:18" ht="12.75" customHeight="1" x14ac:dyDescent="0.2">
      <c r="A478" s="18">
        <f>+'SERVICIO FAENA'!E476</f>
        <v>0</v>
      </c>
      <c r="B478" s="20">
        <f>+'SERVICIO FAENA'!A476</f>
        <v>0</v>
      </c>
      <c r="C478" s="49">
        <f>+'SERVICIO FAENA'!C476</f>
        <v>0</v>
      </c>
      <c r="D478" s="110"/>
      <c r="E478" s="110"/>
      <c r="F478" s="49"/>
      <c r="G478" s="49"/>
      <c r="H478" s="49">
        <f t="shared" si="24"/>
        <v>0</v>
      </c>
      <c r="I478" s="16"/>
      <c r="J478" s="16">
        <v>0</v>
      </c>
      <c r="K478" s="16">
        <v>0</v>
      </c>
      <c r="L478" s="11"/>
      <c r="M478" s="11"/>
      <c r="N478" s="16">
        <f t="shared" si="22"/>
        <v>0</v>
      </c>
      <c r="O478" s="18"/>
      <c r="P478" s="19">
        <v>0</v>
      </c>
      <c r="Q478" s="29">
        <f t="shared" si="23"/>
        <v>0</v>
      </c>
      <c r="R478" s="11"/>
    </row>
    <row r="479" spans="1:18" x14ac:dyDescent="0.2">
      <c r="A479" s="18">
        <f>+'SERVICIO FAENA'!E477</f>
        <v>0</v>
      </c>
      <c r="B479" s="20">
        <f>+'SERVICIO FAENA'!A477</f>
        <v>0</v>
      </c>
      <c r="C479" s="49">
        <f>+'SERVICIO FAENA'!C477</f>
        <v>0</v>
      </c>
      <c r="D479" s="110"/>
      <c r="E479" s="110"/>
      <c r="F479" s="49"/>
      <c r="G479" s="49"/>
      <c r="H479" s="49">
        <f t="shared" si="24"/>
        <v>0</v>
      </c>
      <c r="I479" s="16"/>
      <c r="J479" s="16">
        <v>0</v>
      </c>
      <c r="K479" s="16">
        <v>0</v>
      </c>
      <c r="L479" s="11"/>
      <c r="M479" s="11"/>
      <c r="N479" s="16">
        <f t="shared" si="22"/>
        <v>0</v>
      </c>
      <c r="O479" s="18"/>
      <c r="P479" s="19">
        <v>0</v>
      </c>
      <c r="Q479" s="29">
        <f t="shared" si="23"/>
        <v>0</v>
      </c>
      <c r="R479" s="11"/>
    </row>
    <row r="480" spans="1:18" ht="12.75" customHeight="1" x14ac:dyDescent="0.2">
      <c r="A480" s="18">
        <f>+'SERVICIO FAENA'!E478</f>
        <v>0</v>
      </c>
      <c r="B480" s="20">
        <f>+'SERVICIO FAENA'!A478</f>
        <v>0</v>
      </c>
      <c r="C480" s="49">
        <f>+'SERVICIO FAENA'!C478</f>
        <v>0</v>
      </c>
      <c r="D480" s="110"/>
      <c r="E480" s="110"/>
      <c r="F480" s="49"/>
      <c r="G480" s="49"/>
      <c r="H480" s="49">
        <f t="shared" si="24"/>
        <v>0</v>
      </c>
      <c r="I480" s="16"/>
      <c r="J480" s="16">
        <v>0</v>
      </c>
      <c r="K480" s="16">
        <v>0</v>
      </c>
      <c r="L480" s="11"/>
      <c r="M480" s="11"/>
      <c r="N480" s="16">
        <f t="shared" si="22"/>
        <v>0</v>
      </c>
      <c r="O480" s="18"/>
      <c r="P480" s="19">
        <v>0</v>
      </c>
      <c r="Q480" s="29">
        <f t="shared" si="23"/>
        <v>0</v>
      </c>
      <c r="R480" s="11"/>
    </row>
    <row r="481" spans="1:18" x14ac:dyDescent="0.2">
      <c r="A481" s="18">
        <f>+'SERVICIO FAENA'!E479</f>
        <v>0</v>
      </c>
      <c r="B481" s="20">
        <f>+'SERVICIO FAENA'!A479</f>
        <v>0</v>
      </c>
      <c r="C481" s="49">
        <f>+'SERVICIO FAENA'!C479</f>
        <v>0</v>
      </c>
      <c r="D481" s="110"/>
      <c r="E481" s="110"/>
      <c r="F481" s="49"/>
      <c r="G481" s="49"/>
      <c r="H481" s="49">
        <f t="shared" si="24"/>
        <v>0</v>
      </c>
      <c r="I481" s="16"/>
      <c r="J481" s="16">
        <v>0</v>
      </c>
      <c r="K481" s="16">
        <v>0</v>
      </c>
      <c r="L481" s="11"/>
      <c r="M481" s="11"/>
      <c r="N481" s="16">
        <f t="shared" si="22"/>
        <v>0</v>
      </c>
      <c r="O481" s="18"/>
      <c r="P481" s="19">
        <v>0</v>
      </c>
      <c r="Q481" s="29">
        <f t="shared" si="23"/>
        <v>0</v>
      </c>
      <c r="R481" s="11"/>
    </row>
    <row r="482" spans="1:18" ht="12.75" customHeight="1" x14ac:dyDescent="0.2">
      <c r="A482" s="18">
        <f>+'SERVICIO FAENA'!E480</f>
        <v>0</v>
      </c>
      <c r="B482" s="20">
        <f>+'SERVICIO FAENA'!A480</f>
        <v>0</v>
      </c>
      <c r="C482" s="49">
        <f>+'SERVICIO FAENA'!C480</f>
        <v>0</v>
      </c>
      <c r="D482" s="110"/>
      <c r="E482" s="110"/>
      <c r="F482" s="49"/>
      <c r="G482" s="49"/>
      <c r="H482" s="49">
        <f t="shared" si="24"/>
        <v>0</v>
      </c>
      <c r="I482" s="16"/>
      <c r="J482" s="16">
        <v>0</v>
      </c>
      <c r="K482" s="16">
        <v>0</v>
      </c>
      <c r="L482" s="11"/>
      <c r="M482" s="11"/>
      <c r="N482" s="16">
        <f t="shared" si="22"/>
        <v>0</v>
      </c>
      <c r="O482" s="18"/>
      <c r="P482" s="19">
        <v>0</v>
      </c>
      <c r="Q482" s="29">
        <f t="shared" si="23"/>
        <v>0</v>
      </c>
      <c r="R482" s="11"/>
    </row>
    <row r="483" spans="1:18" x14ac:dyDescent="0.2">
      <c r="A483" s="18">
        <f>+'SERVICIO FAENA'!E481</f>
        <v>0</v>
      </c>
      <c r="B483" s="20">
        <f>+'SERVICIO FAENA'!A481</f>
        <v>0</v>
      </c>
      <c r="C483" s="49">
        <f>+'SERVICIO FAENA'!C481</f>
        <v>0</v>
      </c>
      <c r="D483" s="110"/>
      <c r="E483" s="110"/>
      <c r="F483" s="49"/>
      <c r="G483" s="49"/>
      <c r="H483" s="49">
        <f t="shared" si="24"/>
        <v>0</v>
      </c>
      <c r="I483" s="16"/>
      <c r="J483" s="16">
        <v>0</v>
      </c>
      <c r="K483" s="16">
        <v>0</v>
      </c>
      <c r="L483" s="11"/>
      <c r="M483" s="11"/>
      <c r="N483" s="16">
        <f t="shared" si="22"/>
        <v>0</v>
      </c>
      <c r="O483" s="18"/>
      <c r="P483" s="19">
        <v>0</v>
      </c>
      <c r="Q483" s="29">
        <f t="shared" si="23"/>
        <v>0</v>
      </c>
      <c r="R483" s="11"/>
    </row>
    <row r="484" spans="1:18" ht="12.75" customHeight="1" x14ac:dyDescent="0.2">
      <c r="A484" s="18">
        <f>+'SERVICIO FAENA'!E482</f>
        <v>0</v>
      </c>
      <c r="B484" s="20">
        <f>+'SERVICIO FAENA'!A482</f>
        <v>0</v>
      </c>
      <c r="C484" s="49">
        <f>+'SERVICIO FAENA'!C482</f>
        <v>0</v>
      </c>
      <c r="D484" s="110"/>
      <c r="E484" s="110"/>
      <c r="F484" s="49"/>
      <c r="G484" s="49"/>
      <c r="H484" s="49">
        <f t="shared" si="24"/>
        <v>0</v>
      </c>
      <c r="I484" s="16"/>
      <c r="J484" s="16">
        <v>0</v>
      </c>
      <c r="K484" s="16">
        <v>0</v>
      </c>
      <c r="L484" s="11"/>
      <c r="M484" s="11"/>
      <c r="N484" s="16">
        <f t="shared" si="22"/>
        <v>0</v>
      </c>
      <c r="O484" s="18"/>
      <c r="P484" s="19">
        <v>0</v>
      </c>
      <c r="Q484" s="29">
        <f t="shared" si="23"/>
        <v>0</v>
      </c>
      <c r="R484" s="11"/>
    </row>
    <row r="485" spans="1:18" x14ac:dyDescent="0.2">
      <c r="A485" s="18">
        <f>+'SERVICIO FAENA'!E483</f>
        <v>0</v>
      </c>
      <c r="B485" s="20">
        <f>+'SERVICIO FAENA'!A483</f>
        <v>0</v>
      </c>
      <c r="C485" s="49">
        <f>+'SERVICIO FAENA'!C483</f>
        <v>0</v>
      </c>
      <c r="D485" s="110"/>
      <c r="E485" s="110"/>
      <c r="F485" s="49"/>
      <c r="G485" s="49"/>
      <c r="H485" s="49">
        <f t="shared" si="24"/>
        <v>0</v>
      </c>
      <c r="I485" s="16"/>
      <c r="J485" s="16">
        <v>0</v>
      </c>
      <c r="K485" s="16">
        <v>0</v>
      </c>
      <c r="L485" s="11"/>
      <c r="M485" s="11"/>
      <c r="N485" s="16">
        <f t="shared" si="22"/>
        <v>0</v>
      </c>
      <c r="O485" s="18"/>
      <c r="P485" s="19">
        <v>0</v>
      </c>
      <c r="Q485" s="29">
        <f t="shared" si="23"/>
        <v>0</v>
      </c>
      <c r="R485" s="11"/>
    </row>
    <row r="486" spans="1:18" ht="12.75" customHeight="1" x14ac:dyDescent="0.2">
      <c r="A486" s="18">
        <f>+'SERVICIO FAENA'!E484</f>
        <v>0</v>
      </c>
      <c r="B486" s="20">
        <f>+'SERVICIO FAENA'!A484</f>
        <v>0</v>
      </c>
      <c r="C486" s="49">
        <f>+'SERVICIO FAENA'!C484</f>
        <v>0</v>
      </c>
      <c r="D486" s="110"/>
      <c r="E486" s="110"/>
      <c r="F486" s="49"/>
      <c r="G486" s="49"/>
      <c r="H486" s="49">
        <f t="shared" si="24"/>
        <v>0</v>
      </c>
      <c r="I486" s="16"/>
      <c r="J486" s="16">
        <v>0</v>
      </c>
      <c r="K486" s="16">
        <v>0</v>
      </c>
      <c r="L486" s="11"/>
      <c r="M486" s="11"/>
      <c r="N486" s="16">
        <f t="shared" si="22"/>
        <v>0</v>
      </c>
      <c r="O486" s="18"/>
      <c r="P486" s="19">
        <v>0</v>
      </c>
      <c r="Q486" s="29">
        <f t="shared" si="23"/>
        <v>0</v>
      </c>
      <c r="R486" s="11"/>
    </row>
    <row r="487" spans="1:18" x14ac:dyDescent="0.2">
      <c r="A487" s="18">
        <f>+'SERVICIO FAENA'!E485</f>
        <v>0</v>
      </c>
      <c r="B487" s="20">
        <f>+'SERVICIO FAENA'!A485</f>
        <v>0</v>
      </c>
      <c r="C487" s="49">
        <f>+'SERVICIO FAENA'!C485</f>
        <v>0</v>
      </c>
      <c r="D487" s="110"/>
      <c r="E487" s="110"/>
      <c r="F487" s="49"/>
      <c r="G487" s="49"/>
      <c r="H487" s="49">
        <f t="shared" si="24"/>
        <v>0</v>
      </c>
      <c r="I487" s="16"/>
      <c r="J487" s="16">
        <v>0</v>
      </c>
      <c r="K487" s="16">
        <v>0</v>
      </c>
      <c r="L487" s="11"/>
      <c r="M487" s="11"/>
      <c r="N487" s="16">
        <f t="shared" si="22"/>
        <v>0</v>
      </c>
      <c r="O487" s="18"/>
      <c r="P487" s="19">
        <v>0</v>
      </c>
      <c r="Q487" s="29">
        <f t="shared" si="23"/>
        <v>0</v>
      </c>
      <c r="R487" s="11"/>
    </row>
    <row r="488" spans="1:18" ht="12.75" customHeight="1" x14ac:dyDescent="0.2">
      <c r="A488" s="18">
        <f>+'SERVICIO FAENA'!E486</f>
        <v>0</v>
      </c>
      <c r="B488" s="20">
        <f>+'SERVICIO FAENA'!A486</f>
        <v>0</v>
      </c>
      <c r="C488" s="49">
        <f>+'SERVICIO FAENA'!C486</f>
        <v>0</v>
      </c>
      <c r="D488" s="110"/>
      <c r="E488" s="110"/>
      <c r="F488" s="49"/>
      <c r="G488" s="49"/>
      <c r="H488" s="49">
        <f t="shared" si="24"/>
        <v>0</v>
      </c>
      <c r="I488" s="16"/>
      <c r="J488" s="16">
        <v>0</v>
      </c>
      <c r="K488" s="16">
        <v>0</v>
      </c>
      <c r="L488" s="11"/>
      <c r="M488" s="11"/>
      <c r="N488" s="16">
        <f t="shared" si="22"/>
        <v>0</v>
      </c>
      <c r="O488" s="18"/>
      <c r="P488" s="19">
        <v>0</v>
      </c>
      <c r="Q488" s="29">
        <f t="shared" si="23"/>
        <v>0</v>
      </c>
      <c r="R488" s="11"/>
    </row>
    <row r="489" spans="1:18" x14ac:dyDescent="0.2">
      <c r="A489" s="18">
        <f>+'SERVICIO FAENA'!E487</f>
        <v>0</v>
      </c>
      <c r="B489" s="20">
        <f>+'SERVICIO FAENA'!A487</f>
        <v>0</v>
      </c>
      <c r="C489" s="49">
        <f>+'SERVICIO FAENA'!C487</f>
        <v>0</v>
      </c>
      <c r="D489" s="110"/>
      <c r="E489" s="110"/>
      <c r="F489" s="49"/>
      <c r="G489" s="49"/>
      <c r="H489" s="49">
        <f t="shared" si="24"/>
        <v>0</v>
      </c>
      <c r="I489" s="16"/>
      <c r="J489" s="16">
        <v>0</v>
      </c>
      <c r="K489" s="16">
        <v>0</v>
      </c>
      <c r="L489" s="11"/>
      <c r="M489" s="11"/>
      <c r="N489" s="16">
        <f t="shared" si="22"/>
        <v>0</v>
      </c>
      <c r="O489" s="18"/>
      <c r="P489" s="19">
        <v>0</v>
      </c>
      <c r="Q489" s="29">
        <f t="shared" si="23"/>
        <v>0</v>
      </c>
      <c r="R489" s="11"/>
    </row>
    <row r="490" spans="1:18" ht="12.75" customHeight="1" x14ac:dyDescent="0.2">
      <c r="A490" s="18">
        <f>+'SERVICIO FAENA'!E488</f>
        <v>0</v>
      </c>
      <c r="B490" s="20">
        <f>+'SERVICIO FAENA'!A488</f>
        <v>0</v>
      </c>
      <c r="C490" s="49">
        <f>+'SERVICIO FAENA'!C488</f>
        <v>0</v>
      </c>
      <c r="D490" s="110"/>
      <c r="E490" s="110"/>
      <c r="F490" s="49"/>
      <c r="G490" s="49"/>
      <c r="H490" s="49">
        <f t="shared" si="24"/>
        <v>0</v>
      </c>
      <c r="I490" s="16"/>
      <c r="J490" s="16">
        <v>0</v>
      </c>
      <c r="K490" s="16">
        <v>0</v>
      </c>
      <c r="L490" s="11"/>
      <c r="M490" s="11"/>
      <c r="N490" s="16">
        <f t="shared" si="22"/>
        <v>0</v>
      </c>
      <c r="O490" s="18"/>
      <c r="P490" s="19">
        <v>0</v>
      </c>
      <c r="Q490" s="29">
        <f t="shared" si="23"/>
        <v>0</v>
      </c>
      <c r="R490" s="11"/>
    </row>
    <row r="491" spans="1:18" x14ac:dyDescent="0.2">
      <c r="A491" s="18">
        <f>+'SERVICIO FAENA'!E489</f>
        <v>0</v>
      </c>
      <c r="B491" s="20">
        <f>+'SERVICIO FAENA'!A489</f>
        <v>0</v>
      </c>
      <c r="C491" s="49">
        <f>+'SERVICIO FAENA'!C489</f>
        <v>0</v>
      </c>
      <c r="D491" s="110"/>
      <c r="E491" s="110"/>
      <c r="F491" s="49"/>
      <c r="G491" s="49"/>
      <c r="H491" s="49">
        <f t="shared" si="24"/>
        <v>0</v>
      </c>
      <c r="I491" s="16"/>
      <c r="J491" s="16">
        <v>0</v>
      </c>
      <c r="K491" s="16">
        <v>0</v>
      </c>
      <c r="L491" s="11"/>
      <c r="M491" s="11"/>
      <c r="N491" s="16">
        <f t="shared" si="22"/>
        <v>0</v>
      </c>
      <c r="O491" s="18"/>
      <c r="P491" s="19">
        <v>0</v>
      </c>
      <c r="Q491" s="29">
        <f t="shared" si="23"/>
        <v>0</v>
      </c>
      <c r="R491" s="11"/>
    </row>
    <row r="492" spans="1:18" ht="12.75" customHeight="1" x14ac:dyDescent="0.2">
      <c r="A492" s="18">
        <f>+'SERVICIO FAENA'!E490</f>
        <v>0</v>
      </c>
      <c r="B492" s="20">
        <f>+'SERVICIO FAENA'!A490</f>
        <v>0</v>
      </c>
      <c r="C492" s="49">
        <f>+'SERVICIO FAENA'!C490</f>
        <v>0</v>
      </c>
      <c r="D492" s="110"/>
      <c r="E492" s="110"/>
      <c r="F492" s="49"/>
      <c r="G492" s="49"/>
      <c r="H492" s="49">
        <f t="shared" si="24"/>
        <v>0</v>
      </c>
      <c r="I492" s="16"/>
      <c r="J492" s="16">
        <v>0</v>
      </c>
      <c r="K492" s="16">
        <v>0</v>
      </c>
      <c r="L492" s="11"/>
      <c r="M492" s="11"/>
      <c r="N492" s="16">
        <f t="shared" si="22"/>
        <v>0</v>
      </c>
      <c r="O492" s="18"/>
      <c r="P492" s="19">
        <v>0</v>
      </c>
      <c r="Q492" s="29">
        <f t="shared" si="23"/>
        <v>0</v>
      </c>
      <c r="R492" s="11"/>
    </row>
    <row r="493" spans="1:18" x14ac:dyDescent="0.2">
      <c r="A493" s="18">
        <f>+'SERVICIO FAENA'!E491</f>
        <v>0</v>
      </c>
      <c r="B493" s="20">
        <f>+'SERVICIO FAENA'!A491</f>
        <v>0</v>
      </c>
      <c r="C493" s="49">
        <f>+'SERVICIO FAENA'!C491</f>
        <v>0</v>
      </c>
      <c r="D493" s="110"/>
      <c r="E493" s="110"/>
      <c r="F493" s="49"/>
      <c r="G493" s="49"/>
      <c r="H493" s="49">
        <f t="shared" si="24"/>
        <v>0</v>
      </c>
      <c r="I493" s="16"/>
      <c r="J493" s="16">
        <v>0</v>
      </c>
      <c r="K493" s="16">
        <v>0</v>
      </c>
      <c r="L493" s="11"/>
      <c r="M493" s="11"/>
      <c r="N493" s="16">
        <f t="shared" si="22"/>
        <v>0</v>
      </c>
      <c r="O493" s="18"/>
      <c r="P493" s="19">
        <v>0</v>
      </c>
      <c r="Q493" s="29">
        <f t="shared" si="23"/>
        <v>0</v>
      </c>
      <c r="R493" s="11"/>
    </row>
    <row r="494" spans="1:18" ht="12.75" customHeight="1" x14ac:dyDescent="0.2">
      <c r="A494" s="18">
        <f>+'SERVICIO FAENA'!E492</f>
        <v>0</v>
      </c>
      <c r="B494" s="20">
        <f>+'SERVICIO FAENA'!A492</f>
        <v>0</v>
      </c>
      <c r="C494" s="49">
        <f>+'SERVICIO FAENA'!C492</f>
        <v>0</v>
      </c>
      <c r="D494" s="110"/>
      <c r="E494" s="110"/>
      <c r="F494" s="49"/>
      <c r="G494" s="49"/>
      <c r="H494" s="49">
        <f t="shared" si="24"/>
        <v>0</v>
      </c>
      <c r="I494" s="16"/>
      <c r="J494" s="16">
        <v>0</v>
      </c>
      <c r="K494" s="16">
        <v>0</v>
      </c>
      <c r="L494" s="11"/>
      <c r="M494" s="11"/>
      <c r="N494" s="16">
        <f t="shared" si="22"/>
        <v>0</v>
      </c>
      <c r="O494" s="18"/>
      <c r="P494" s="19">
        <v>0</v>
      </c>
      <c r="Q494" s="29">
        <f t="shared" si="23"/>
        <v>0</v>
      </c>
      <c r="R494" s="11"/>
    </row>
    <row r="495" spans="1:18" x14ac:dyDescent="0.2">
      <c r="A495" s="18">
        <f>+'SERVICIO FAENA'!E493</f>
        <v>0</v>
      </c>
      <c r="B495" s="20">
        <f>+'SERVICIO FAENA'!A493</f>
        <v>0</v>
      </c>
      <c r="C495" s="49">
        <f>+'SERVICIO FAENA'!C493</f>
        <v>0</v>
      </c>
      <c r="D495" s="110"/>
      <c r="E495" s="110"/>
      <c r="F495" s="49"/>
      <c r="G495" s="49"/>
      <c r="H495" s="49">
        <f t="shared" si="24"/>
        <v>0</v>
      </c>
      <c r="I495" s="16"/>
      <c r="J495" s="16">
        <v>0</v>
      </c>
      <c r="K495" s="16">
        <v>0</v>
      </c>
      <c r="L495" s="11"/>
      <c r="M495" s="11"/>
      <c r="N495" s="16">
        <f t="shared" si="22"/>
        <v>0</v>
      </c>
      <c r="O495" s="18"/>
      <c r="P495" s="19">
        <v>0</v>
      </c>
      <c r="Q495" s="29">
        <f t="shared" si="23"/>
        <v>0</v>
      </c>
      <c r="R495" s="11"/>
    </row>
    <row r="496" spans="1:18" ht="12.75" customHeight="1" x14ac:dyDescent="0.2">
      <c r="A496" s="18">
        <f>+'SERVICIO FAENA'!E494</f>
        <v>0</v>
      </c>
      <c r="B496" s="20">
        <f>+'SERVICIO FAENA'!A494</f>
        <v>0</v>
      </c>
      <c r="C496" s="49">
        <f>+'SERVICIO FAENA'!C494</f>
        <v>0</v>
      </c>
      <c r="D496" s="110"/>
      <c r="E496" s="110"/>
      <c r="F496" s="49"/>
      <c r="G496" s="49"/>
      <c r="H496" s="49">
        <f t="shared" si="24"/>
        <v>0</v>
      </c>
      <c r="I496" s="16"/>
      <c r="J496" s="16">
        <v>0</v>
      </c>
      <c r="K496" s="16">
        <v>0</v>
      </c>
      <c r="L496" s="11"/>
      <c r="M496" s="11"/>
      <c r="N496" s="16">
        <f t="shared" si="22"/>
        <v>0</v>
      </c>
      <c r="O496" s="18"/>
      <c r="P496" s="19">
        <v>0</v>
      </c>
      <c r="Q496" s="29">
        <f t="shared" si="23"/>
        <v>0</v>
      </c>
      <c r="R496" s="11"/>
    </row>
    <row r="497" spans="1:18" x14ac:dyDescent="0.2">
      <c r="A497" s="18">
        <f>+'SERVICIO FAENA'!E495</f>
        <v>0</v>
      </c>
      <c r="B497" s="20">
        <f>+'SERVICIO FAENA'!A495</f>
        <v>0</v>
      </c>
      <c r="C497" s="49">
        <f>+'SERVICIO FAENA'!C495</f>
        <v>0</v>
      </c>
      <c r="D497" s="110"/>
      <c r="E497" s="110"/>
      <c r="F497" s="49"/>
      <c r="G497" s="49"/>
      <c r="H497" s="49">
        <f t="shared" si="24"/>
        <v>0</v>
      </c>
      <c r="I497" s="16"/>
      <c r="J497" s="16">
        <v>0</v>
      </c>
      <c r="K497" s="16">
        <v>0</v>
      </c>
      <c r="L497" s="11"/>
      <c r="M497" s="11"/>
      <c r="N497" s="16">
        <f t="shared" si="22"/>
        <v>0</v>
      </c>
      <c r="O497" s="18"/>
      <c r="P497" s="19">
        <v>0</v>
      </c>
      <c r="Q497" s="29">
        <f t="shared" si="23"/>
        <v>0</v>
      </c>
      <c r="R497" s="11"/>
    </row>
    <row r="498" spans="1:18" ht="12.75" customHeight="1" x14ac:dyDescent="0.2">
      <c r="A498" s="18">
        <f>+'SERVICIO FAENA'!E496</f>
        <v>0</v>
      </c>
      <c r="B498" s="20">
        <f>+'SERVICIO FAENA'!A496</f>
        <v>0</v>
      </c>
      <c r="C498" s="49">
        <f>+'SERVICIO FAENA'!C496</f>
        <v>0</v>
      </c>
      <c r="D498" s="110"/>
      <c r="E498" s="110"/>
      <c r="F498" s="49"/>
      <c r="G498" s="49"/>
      <c r="H498" s="49">
        <f t="shared" si="24"/>
        <v>0</v>
      </c>
      <c r="I498" s="16"/>
      <c r="J498" s="16">
        <v>0</v>
      </c>
      <c r="K498" s="16">
        <v>0</v>
      </c>
      <c r="L498" s="11"/>
      <c r="M498" s="11"/>
      <c r="N498" s="16">
        <f t="shared" si="22"/>
        <v>0</v>
      </c>
      <c r="O498" s="18"/>
      <c r="P498" s="19">
        <v>0</v>
      </c>
      <c r="Q498" s="29">
        <f t="shared" si="23"/>
        <v>0</v>
      </c>
      <c r="R498" s="11"/>
    </row>
    <row r="499" spans="1:18" x14ac:dyDescent="0.2">
      <c r="A499" s="18">
        <f>+'SERVICIO FAENA'!E497</f>
        <v>0</v>
      </c>
      <c r="B499" s="20">
        <f>+'SERVICIO FAENA'!A497</f>
        <v>0</v>
      </c>
      <c r="C499" s="49">
        <f>+'SERVICIO FAENA'!C497</f>
        <v>0</v>
      </c>
      <c r="D499" s="110"/>
      <c r="E499" s="110"/>
      <c r="F499" s="49"/>
      <c r="G499" s="49"/>
      <c r="H499" s="49">
        <f t="shared" si="24"/>
        <v>0</v>
      </c>
      <c r="I499" s="16"/>
      <c r="J499" s="16">
        <v>0</v>
      </c>
      <c r="K499" s="16">
        <v>0</v>
      </c>
      <c r="L499" s="11"/>
      <c r="M499" s="11"/>
      <c r="N499" s="16">
        <f t="shared" si="22"/>
        <v>0</v>
      </c>
      <c r="O499" s="18"/>
      <c r="P499" s="19">
        <v>0</v>
      </c>
      <c r="Q499" s="29">
        <f t="shared" si="23"/>
        <v>0</v>
      </c>
      <c r="R499" s="11"/>
    </row>
    <row r="500" spans="1:18" ht="12.75" customHeight="1" x14ac:dyDescent="0.2">
      <c r="A500" s="18">
        <f>+'SERVICIO FAENA'!E498</f>
        <v>0</v>
      </c>
      <c r="B500" s="20">
        <f>+'SERVICIO FAENA'!A498</f>
        <v>0</v>
      </c>
      <c r="C500" s="49">
        <f>+'SERVICIO FAENA'!C498</f>
        <v>0</v>
      </c>
      <c r="D500" s="110"/>
      <c r="E500" s="110"/>
      <c r="F500" s="49"/>
      <c r="G500" s="49"/>
      <c r="H500" s="49">
        <f t="shared" si="24"/>
        <v>0</v>
      </c>
      <c r="I500" s="16"/>
      <c r="J500" s="16">
        <v>0</v>
      </c>
      <c r="K500" s="16">
        <v>0</v>
      </c>
      <c r="L500" s="11"/>
      <c r="M500" s="11"/>
      <c r="N500" s="16">
        <f t="shared" si="22"/>
        <v>0</v>
      </c>
      <c r="O500" s="18"/>
      <c r="P500" s="19">
        <v>0</v>
      </c>
      <c r="Q500" s="29">
        <f t="shared" si="23"/>
        <v>0</v>
      </c>
      <c r="R500" s="11"/>
    </row>
    <row r="501" spans="1:18" x14ac:dyDescent="0.2">
      <c r="A501" s="18">
        <f>+'SERVICIO FAENA'!E499</f>
        <v>0</v>
      </c>
      <c r="B501" s="20">
        <f>+'SERVICIO FAENA'!A499</f>
        <v>0</v>
      </c>
      <c r="C501" s="49">
        <f>+'SERVICIO FAENA'!C499</f>
        <v>0</v>
      </c>
      <c r="D501" s="110"/>
      <c r="E501" s="110"/>
      <c r="F501" s="49"/>
      <c r="G501" s="49"/>
      <c r="H501" s="49">
        <f t="shared" si="24"/>
        <v>0</v>
      </c>
      <c r="I501" s="16"/>
      <c r="J501" s="16">
        <v>0</v>
      </c>
      <c r="K501" s="16">
        <v>0</v>
      </c>
      <c r="L501" s="11"/>
      <c r="M501" s="11"/>
      <c r="N501" s="16">
        <f t="shared" si="22"/>
        <v>0</v>
      </c>
      <c r="O501" s="18"/>
      <c r="P501" s="19">
        <v>0</v>
      </c>
      <c r="Q501" s="29">
        <f t="shared" si="23"/>
        <v>0</v>
      </c>
      <c r="R501" s="11"/>
    </row>
    <row r="502" spans="1:18" ht="12.75" customHeight="1" x14ac:dyDescent="0.2">
      <c r="A502" s="18">
        <f>+'SERVICIO FAENA'!E500</f>
        <v>0</v>
      </c>
      <c r="B502" s="20">
        <f>+'SERVICIO FAENA'!A500</f>
        <v>0</v>
      </c>
      <c r="C502" s="49">
        <f>+'SERVICIO FAENA'!C500</f>
        <v>0</v>
      </c>
      <c r="D502" s="110"/>
      <c r="E502" s="110"/>
      <c r="F502" s="49"/>
      <c r="G502" s="49"/>
      <c r="H502" s="49">
        <f t="shared" si="24"/>
        <v>0</v>
      </c>
      <c r="I502" s="16"/>
      <c r="J502" s="16">
        <v>0</v>
      </c>
      <c r="K502" s="16">
        <v>0</v>
      </c>
      <c r="L502" s="11"/>
      <c r="M502" s="11"/>
      <c r="N502" s="16">
        <f t="shared" si="22"/>
        <v>0</v>
      </c>
      <c r="O502" s="18"/>
      <c r="P502" s="19">
        <v>0</v>
      </c>
      <c r="Q502" s="29">
        <f t="shared" si="23"/>
        <v>0</v>
      </c>
      <c r="R502" s="11"/>
    </row>
    <row r="503" spans="1:18" x14ac:dyDescent="0.2">
      <c r="A503" s="18">
        <f>+'SERVICIO FAENA'!E501</f>
        <v>0</v>
      </c>
      <c r="B503" s="20">
        <f>+'SERVICIO FAENA'!A501</f>
        <v>0</v>
      </c>
      <c r="C503" s="49">
        <f>+'SERVICIO FAENA'!C501</f>
        <v>0</v>
      </c>
      <c r="D503" s="110"/>
      <c r="E503" s="110"/>
      <c r="F503" s="49"/>
      <c r="G503" s="49"/>
      <c r="H503" s="49">
        <f t="shared" si="24"/>
        <v>0</v>
      </c>
      <c r="I503" s="16"/>
      <c r="J503" s="16">
        <v>0</v>
      </c>
      <c r="K503" s="16">
        <v>0</v>
      </c>
      <c r="L503" s="11"/>
      <c r="M503" s="11"/>
      <c r="N503" s="16">
        <f t="shared" si="22"/>
        <v>0</v>
      </c>
      <c r="O503" s="18"/>
      <c r="P503" s="19">
        <v>0</v>
      </c>
      <c r="Q503" s="29">
        <f t="shared" si="23"/>
        <v>0</v>
      </c>
      <c r="R503" s="11"/>
    </row>
    <row r="504" spans="1:18" ht="12.75" customHeight="1" x14ac:dyDescent="0.2">
      <c r="A504" s="18">
        <f>+'SERVICIO FAENA'!E502</f>
        <v>0</v>
      </c>
      <c r="B504" s="20">
        <f>+'SERVICIO FAENA'!A502</f>
        <v>0</v>
      </c>
      <c r="C504" s="49">
        <f>+'SERVICIO FAENA'!C502</f>
        <v>0</v>
      </c>
      <c r="D504" s="110"/>
      <c r="E504" s="110"/>
      <c r="F504" s="49"/>
      <c r="G504" s="49"/>
      <c r="H504" s="49">
        <f t="shared" si="24"/>
        <v>0</v>
      </c>
      <c r="I504" s="16"/>
      <c r="J504" s="16">
        <v>0</v>
      </c>
      <c r="K504" s="16">
        <v>0</v>
      </c>
      <c r="L504" s="11"/>
      <c r="M504" s="11"/>
      <c r="N504" s="16">
        <f t="shared" si="22"/>
        <v>0</v>
      </c>
      <c r="O504" s="18"/>
      <c r="P504" s="19">
        <v>0</v>
      </c>
      <c r="Q504" s="29">
        <f t="shared" si="23"/>
        <v>0</v>
      </c>
      <c r="R504" s="11"/>
    </row>
    <row r="505" spans="1:18" x14ac:dyDescent="0.2">
      <c r="A505" s="18">
        <f>+'SERVICIO FAENA'!E503</f>
        <v>0</v>
      </c>
      <c r="B505" s="20">
        <f>+'SERVICIO FAENA'!A503</f>
        <v>0</v>
      </c>
      <c r="C505" s="49">
        <f>+'SERVICIO FAENA'!C503</f>
        <v>0</v>
      </c>
      <c r="D505" s="110"/>
      <c r="E505" s="110"/>
      <c r="F505" s="49"/>
      <c r="G505" s="49"/>
      <c r="H505" s="49">
        <f t="shared" si="24"/>
        <v>0</v>
      </c>
      <c r="I505" s="16"/>
      <c r="J505" s="16">
        <v>0</v>
      </c>
      <c r="K505" s="16">
        <v>0</v>
      </c>
      <c r="L505" s="11"/>
      <c r="M505" s="11"/>
      <c r="N505" s="16">
        <f t="shared" si="22"/>
        <v>0</v>
      </c>
      <c r="O505" s="18"/>
      <c r="P505" s="19">
        <v>0</v>
      </c>
      <c r="Q505" s="29">
        <f t="shared" si="23"/>
        <v>0</v>
      </c>
      <c r="R505" s="11"/>
    </row>
    <row r="506" spans="1:18" ht="12.75" customHeight="1" x14ac:dyDescent="0.2">
      <c r="A506" s="18">
        <f>+'SERVICIO FAENA'!E504</f>
        <v>0</v>
      </c>
      <c r="B506" s="20">
        <f>+'SERVICIO FAENA'!A504</f>
        <v>0</v>
      </c>
      <c r="C506" s="49">
        <f>+'SERVICIO FAENA'!C504</f>
        <v>0</v>
      </c>
      <c r="D506" s="110"/>
      <c r="E506" s="110"/>
      <c r="F506" s="49"/>
      <c r="G506" s="49"/>
      <c r="H506" s="49">
        <f t="shared" si="24"/>
        <v>0</v>
      </c>
      <c r="I506" s="16"/>
      <c r="J506" s="16">
        <v>0</v>
      </c>
      <c r="K506" s="16">
        <v>0</v>
      </c>
      <c r="L506" s="11"/>
      <c r="M506" s="11"/>
      <c r="N506" s="16">
        <f t="shared" si="22"/>
        <v>0</v>
      </c>
      <c r="O506" s="18"/>
      <c r="P506" s="19">
        <v>0</v>
      </c>
      <c r="Q506" s="29">
        <f t="shared" si="23"/>
        <v>0</v>
      </c>
      <c r="R506" s="11"/>
    </row>
    <row r="507" spans="1:18" x14ac:dyDescent="0.2">
      <c r="A507" s="18">
        <f>+'SERVICIO FAENA'!E505</f>
        <v>0</v>
      </c>
      <c r="B507" s="20">
        <f>+'SERVICIO FAENA'!A505</f>
        <v>0</v>
      </c>
      <c r="C507" s="49">
        <f>+'SERVICIO FAENA'!C505</f>
        <v>0</v>
      </c>
      <c r="D507" s="110"/>
      <c r="E507" s="110"/>
      <c r="F507" s="49"/>
      <c r="G507" s="49"/>
      <c r="H507" s="49">
        <f t="shared" si="24"/>
        <v>0</v>
      </c>
      <c r="I507" s="16"/>
      <c r="J507" s="16">
        <v>0</v>
      </c>
      <c r="K507" s="16">
        <v>0</v>
      </c>
      <c r="L507" s="11"/>
      <c r="M507" s="11"/>
      <c r="N507" s="16">
        <f t="shared" si="22"/>
        <v>0</v>
      </c>
      <c r="O507" s="18"/>
      <c r="P507" s="19">
        <v>0</v>
      </c>
      <c r="Q507" s="29">
        <f t="shared" si="23"/>
        <v>0</v>
      </c>
      <c r="R507" s="11"/>
    </row>
    <row r="508" spans="1:18" ht="12.75" customHeight="1" x14ac:dyDescent="0.2">
      <c r="A508" s="18">
        <f>+'SERVICIO FAENA'!E506</f>
        <v>0</v>
      </c>
      <c r="B508" s="20">
        <f>+'SERVICIO FAENA'!A506</f>
        <v>0</v>
      </c>
      <c r="C508" s="49">
        <f>+'SERVICIO FAENA'!C506</f>
        <v>0</v>
      </c>
      <c r="D508" s="110"/>
      <c r="E508" s="110"/>
      <c r="F508" s="49"/>
      <c r="G508" s="49"/>
      <c r="H508" s="49">
        <f t="shared" si="24"/>
        <v>0</v>
      </c>
      <c r="I508" s="16"/>
      <c r="J508" s="16">
        <v>0</v>
      </c>
      <c r="K508" s="16">
        <v>0</v>
      </c>
      <c r="L508" s="11"/>
      <c r="M508" s="11"/>
      <c r="N508" s="16">
        <f t="shared" si="22"/>
        <v>0</v>
      </c>
      <c r="O508" s="18"/>
      <c r="P508" s="19">
        <v>0</v>
      </c>
      <c r="Q508" s="29">
        <f t="shared" si="23"/>
        <v>0</v>
      </c>
      <c r="R508" s="11"/>
    </row>
    <row r="509" spans="1:18" x14ac:dyDescent="0.2">
      <c r="A509" s="18">
        <f>+'SERVICIO FAENA'!E507</f>
        <v>0</v>
      </c>
      <c r="B509" s="20">
        <f>+'SERVICIO FAENA'!A507</f>
        <v>0</v>
      </c>
      <c r="C509" s="49">
        <f>+'SERVICIO FAENA'!C507</f>
        <v>0</v>
      </c>
      <c r="D509" s="110"/>
      <c r="E509" s="110"/>
      <c r="F509" s="49"/>
      <c r="G509" s="49"/>
      <c r="H509" s="49">
        <f t="shared" si="24"/>
        <v>0</v>
      </c>
      <c r="I509" s="16"/>
      <c r="J509" s="16">
        <v>0</v>
      </c>
      <c r="K509" s="16">
        <v>0</v>
      </c>
      <c r="L509" s="11"/>
      <c r="M509" s="11"/>
      <c r="N509" s="16">
        <f t="shared" si="22"/>
        <v>0</v>
      </c>
      <c r="O509" s="18"/>
      <c r="P509" s="19">
        <v>0</v>
      </c>
      <c r="Q509" s="29">
        <f t="shared" si="23"/>
        <v>0</v>
      </c>
      <c r="R509" s="11"/>
    </row>
    <row r="510" spans="1:18" ht="12.75" customHeight="1" x14ac:dyDescent="0.2">
      <c r="A510" s="18">
        <f>+'SERVICIO FAENA'!E508</f>
        <v>0</v>
      </c>
      <c r="B510" s="20">
        <f>+'SERVICIO FAENA'!A508</f>
        <v>0</v>
      </c>
      <c r="C510" s="49">
        <f>+'SERVICIO FAENA'!C508</f>
        <v>0</v>
      </c>
      <c r="D510" s="110"/>
      <c r="E510" s="110"/>
      <c r="F510" s="49"/>
      <c r="G510" s="49"/>
      <c r="H510" s="49">
        <f t="shared" si="24"/>
        <v>0</v>
      </c>
      <c r="I510" s="16"/>
      <c r="J510" s="16">
        <v>0</v>
      </c>
      <c r="K510" s="16">
        <v>0</v>
      </c>
      <c r="L510" s="11"/>
      <c r="M510" s="11"/>
      <c r="N510" s="16">
        <f t="shared" si="22"/>
        <v>0</v>
      </c>
      <c r="O510" s="18"/>
      <c r="P510" s="19">
        <v>0</v>
      </c>
      <c r="Q510" s="29">
        <f t="shared" si="23"/>
        <v>0</v>
      </c>
      <c r="R510" s="11"/>
    </row>
    <row r="511" spans="1:18" x14ac:dyDescent="0.2">
      <c r="A511" s="18">
        <f>+'SERVICIO FAENA'!E509</f>
        <v>0</v>
      </c>
      <c r="B511" s="20">
        <f>+'SERVICIO FAENA'!A509</f>
        <v>0</v>
      </c>
      <c r="C511" s="49">
        <f>+'SERVICIO FAENA'!C509</f>
        <v>0</v>
      </c>
      <c r="D511" s="110"/>
      <c r="E511" s="110"/>
      <c r="F511" s="49"/>
      <c r="G511" s="49"/>
      <c r="H511" s="49">
        <f t="shared" si="24"/>
        <v>0</v>
      </c>
      <c r="I511" s="16"/>
      <c r="J511" s="16">
        <v>0</v>
      </c>
      <c r="K511" s="16">
        <v>0</v>
      </c>
      <c r="L511" s="11"/>
      <c r="M511" s="11"/>
      <c r="N511" s="16">
        <f t="shared" si="22"/>
        <v>0</v>
      </c>
      <c r="O511" s="18"/>
      <c r="P511" s="19">
        <v>0</v>
      </c>
      <c r="Q511" s="29">
        <f t="shared" si="23"/>
        <v>0</v>
      </c>
      <c r="R511" s="11"/>
    </row>
    <row r="512" spans="1:18" ht="12.75" customHeight="1" x14ac:dyDescent="0.2">
      <c r="A512" s="18">
        <f>+'SERVICIO FAENA'!E510</f>
        <v>0</v>
      </c>
      <c r="B512" s="20">
        <f>+'SERVICIO FAENA'!A510</f>
        <v>0</v>
      </c>
      <c r="C512" s="49">
        <f>+'SERVICIO FAENA'!C510</f>
        <v>0</v>
      </c>
      <c r="D512" s="110"/>
      <c r="E512" s="110"/>
      <c r="F512" s="49"/>
      <c r="G512" s="49"/>
      <c r="H512" s="49">
        <f t="shared" si="24"/>
        <v>0</v>
      </c>
      <c r="I512" s="16"/>
      <c r="J512" s="16">
        <v>0</v>
      </c>
      <c r="K512" s="16">
        <v>0</v>
      </c>
      <c r="L512" s="11"/>
      <c r="M512" s="11"/>
      <c r="N512" s="16">
        <f t="shared" si="22"/>
        <v>0</v>
      </c>
      <c r="O512" s="18"/>
      <c r="P512" s="19">
        <v>0</v>
      </c>
      <c r="Q512" s="29">
        <f t="shared" si="23"/>
        <v>0</v>
      </c>
      <c r="R512" s="11"/>
    </row>
    <row r="513" spans="1:18" x14ac:dyDescent="0.2">
      <c r="A513" s="18">
        <f>+'SERVICIO FAENA'!E511</f>
        <v>0</v>
      </c>
      <c r="B513" s="20">
        <f>+'SERVICIO FAENA'!A511</f>
        <v>0</v>
      </c>
      <c r="C513" s="49">
        <f>+'SERVICIO FAENA'!C511</f>
        <v>0</v>
      </c>
      <c r="D513" s="110"/>
      <c r="E513" s="110"/>
      <c r="F513" s="49"/>
      <c r="G513" s="49"/>
      <c r="H513" s="49">
        <f t="shared" si="24"/>
        <v>0</v>
      </c>
      <c r="I513" s="16"/>
      <c r="J513" s="16">
        <v>0</v>
      </c>
      <c r="K513" s="16">
        <v>0</v>
      </c>
      <c r="L513" s="11"/>
      <c r="M513" s="11"/>
      <c r="N513" s="16">
        <f t="shared" si="22"/>
        <v>0</v>
      </c>
      <c r="O513" s="18"/>
      <c r="P513" s="19">
        <v>0</v>
      </c>
      <c r="Q513" s="29">
        <f t="shared" si="23"/>
        <v>0</v>
      </c>
      <c r="R513" s="11"/>
    </row>
    <row r="514" spans="1:18" ht="12.75" customHeight="1" x14ac:dyDescent="0.2">
      <c r="A514" s="18">
        <f>+'SERVICIO FAENA'!E512</f>
        <v>0</v>
      </c>
      <c r="B514" s="20">
        <f>+'SERVICIO FAENA'!A512</f>
        <v>0</v>
      </c>
      <c r="C514" s="49">
        <f>+'SERVICIO FAENA'!C512</f>
        <v>0</v>
      </c>
      <c r="D514" s="110"/>
      <c r="E514" s="110"/>
      <c r="F514" s="49"/>
      <c r="G514" s="49"/>
      <c r="H514" s="49">
        <f t="shared" si="24"/>
        <v>0</v>
      </c>
      <c r="I514" s="16"/>
      <c r="J514" s="16">
        <v>0</v>
      </c>
      <c r="K514" s="16">
        <v>0</v>
      </c>
      <c r="L514" s="11"/>
      <c r="M514" s="11"/>
      <c r="N514" s="16">
        <f t="shared" si="22"/>
        <v>0</v>
      </c>
      <c r="O514" s="18"/>
      <c r="P514" s="19">
        <v>0</v>
      </c>
      <c r="Q514" s="29">
        <f t="shared" si="23"/>
        <v>0</v>
      </c>
      <c r="R514" s="11"/>
    </row>
    <row r="515" spans="1:18" x14ac:dyDescent="0.2">
      <c r="A515" s="18">
        <f>+'SERVICIO FAENA'!E513</f>
        <v>0</v>
      </c>
      <c r="B515" s="20">
        <f>+'SERVICIO FAENA'!A513</f>
        <v>0</v>
      </c>
      <c r="C515" s="49">
        <f>+'SERVICIO FAENA'!C513</f>
        <v>0</v>
      </c>
      <c r="D515" s="110"/>
      <c r="E515" s="110"/>
      <c r="F515" s="49"/>
      <c r="G515" s="49"/>
      <c r="H515" s="49">
        <f t="shared" si="24"/>
        <v>0</v>
      </c>
      <c r="I515" s="16"/>
      <c r="J515" s="16">
        <v>0</v>
      </c>
      <c r="K515" s="16">
        <v>0</v>
      </c>
      <c r="L515" s="11"/>
      <c r="M515" s="11"/>
      <c r="N515" s="16">
        <f t="shared" si="22"/>
        <v>0</v>
      </c>
      <c r="O515" s="18"/>
      <c r="P515" s="19">
        <v>0</v>
      </c>
      <c r="Q515" s="29">
        <f t="shared" si="23"/>
        <v>0</v>
      </c>
      <c r="R515" s="11"/>
    </row>
    <row r="516" spans="1:18" ht="12.75" customHeight="1" x14ac:dyDescent="0.2">
      <c r="A516" s="18">
        <f>+'SERVICIO FAENA'!E514</f>
        <v>0</v>
      </c>
      <c r="B516" s="20">
        <f>+'SERVICIO FAENA'!A514</f>
        <v>0</v>
      </c>
      <c r="C516" s="49">
        <f>+'SERVICIO FAENA'!C514</f>
        <v>0</v>
      </c>
      <c r="D516" s="110"/>
      <c r="E516" s="110"/>
      <c r="F516" s="49"/>
      <c r="G516" s="49"/>
      <c r="H516" s="49">
        <f t="shared" si="24"/>
        <v>0</v>
      </c>
      <c r="I516" s="16"/>
      <c r="J516" s="16">
        <v>0</v>
      </c>
      <c r="K516" s="16">
        <v>0</v>
      </c>
      <c r="L516" s="11"/>
      <c r="M516" s="11"/>
      <c r="N516" s="16">
        <f t="shared" si="22"/>
        <v>0</v>
      </c>
      <c r="O516" s="18"/>
      <c r="P516" s="19">
        <v>0</v>
      </c>
      <c r="Q516" s="29">
        <f t="shared" si="23"/>
        <v>0</v>
      </c>
      <c r="R516" s="11"/>
    </row>
    <row r="517" spans="1:18" x14ac:dyDescent="0.2">
      <c r="A517" s="18">
        <f>+'SERVICIO FAENA'!E515</f>
        <v>0</v>
      </c>
      <c r="B517" s="20">
        <f>+'SERVICIO FAENA'!A515</f>
        <v>0</v>
      </c>
      <c r="C517" s="49">
        <f>+'SERVICIO FAENA'!C515</f>
        <v>0</v>
      </c>
      <c r="D517" s="110"/>
      <c r="E517" s="110"/>
      <c r="F517" s="49"/>
      <c r="G517" s="49"/>
      <c r="H517" s="49">
        <f t="shared" si="24"/>
        <v>0</v>
      </c>
      <c r="I517" s="16"/>
      <c r="J517" s="16">
        <v>0</v>
      </c>
      <c r="K517" s="16">
        <v>0</v>
      </c>
      <c r="L517" s="11"/>
      <c r="M517" s="11"/>
      <c r="N517" s="16">
        <f t="shared" si="22"/>
        <v>0</v>
      </c>
      <c r="O517" s="18"/>
      <c r="P517" s="19">
        <v>0</v>
      </c>
      <c r="Q517" s="29">
        <f t="shared" si="23"/>
        <v>0</v>
      </c>
      <c r="R517" s="11"/>
    </row>
    <row r="518" spans="1:18" ht="12.75" customHeight="1" x14ac:dyDescent="0.2">
      <c r="A518" s="18">
        <f>+'SERVICIO FAENA'!E516</f>
        <v>0</v>
      </c>
      <c r="B518" s="20">
        <f>+'SERVICIO FAENA'!A516</f>
        <v>0</v>
      </c>
      <c r="C518" s="49">
        <f>+'SERVICIO FAENA'!C516</f>
        <v>0</v>
      </c>
      <c r="D518" s="110"/>
      <c r="E518" s="110"/>
      <c r="F518" s="49"/>
      <c r="G518" s="49"/>
      <c r="H518" s="49">
        <f t="shared" si="24"/>
        <v>0</v>
      </c>
      <c r="I518" s="16"/>
      <c r="J518" s="16">
        <v>0</v>
      </c>
      <c r="K518" s="16">
        <v>0</v>
      </c>
      <c r="L518" s="11"/>
      <c r="M518" s="11"/>
      <c r="N518" s="16">
        <f t="shared" si="22"/>
        <v>0</v>
      </c>
      <c r="O518" s="18"/>
      <c r="P518" s="19">
        <v>0</v>
      </c>
      <c r="Q518" s="29">
        <f t="shared" si="23"/>
        <v>0</v>
      </c>
      <c r="R518" s="11"/>
    </row>
    <row r="519" spans="1:18" x14ac:dyDescent="0.2">
      <c r="A519" s="18">
        <f>+'SERVICIO FAENA'!E517</f>
        <v>0</v>
      </c>
      <c r="B519" s="20">
        <f>+'SERVICIO FAENA'!A517</f>
        <v>0</v>
      </c>
      <c r="C519" s="49">
        <f>+'SERVICIO FAENA'!C517</f>
        <v>0</v>
      </c>
      <c r="D519" s="110"/>
      <c r="E519" s="110"/>
      <c r="F519" s="49"/>
      <c r="G519" s="49"/>
      <c r="H519" s="49">
        <f t="shared" si="24"/>
        <v>0</v>
      </c>
      <c r="I519" s="16"/>
      <c r="J519" s="16">
        <v>0</v>
      </c>
      <c r="K519" s="16">
        <v>0</v>
      </c>
      <c r="L519" s="11"/>
      <c r="M519" s="11"/>
      <c r="N519" s="16">
        <f t="shared" si="22"/>
        <v>0</v>
      </c>
      <c r="O519" s="18"/>
      <c r="P519" s="19">
        <v>0</v>
      </c>
      <c r="Q519" s="29">
        <f t="shared" si="23"/>
        <v>0</v>
      </c>
      <c r="R519" s="11"/>
    </row>
    <row r="520" spans="1:18" ht="12.75" customHeight="1" x14ac:dyDescent="0.2">
      <c r="A520" s="18">
        <f>+'SERVICIO FAENA'!E518</f>
        <v>0</v>
      </c>
      <c r="B520" s="20">
        <f>+'SERVICIO FAENA'!A518</f>
        <v>0</v>
      </c>
      <c r="C520" s="49">
        <f>+'SERVICIO FAENA'!C518</f>
        <v>0</v>
      </c>
      <c r="D520" s="110"/>
      <c r="E520" s="110"/>
      <c r="F520" s="49"/>
      <c r="G520" s="49"/>
      <c r="H520" s="49">
        <f t="shared" si="24"/>
        <v>0</v>
      </c>
      <c r="I520" s="16"/>
      <c r="J520" s="16">
        <v>0</v>
      </c>
      <c r="K520" s="16">
        <v>0</v>
      </c>
      <c r="L520" s="11"/>
      <c r="M520" s="11"/>
      <c r="N520" s="16">
        <f t="shared" ref="N520:N583" si="25">+K520*I520</f>
        <v>0</v>
      </c>
      <c r="O520" s="18"/>
      <c r="P520" s="19">
        <v>0</v>
      </c>
      <c r="Q520" s="29">
        <f t="shared" ref="Q520:Q583" si="26">+P520-N520</f>
        <v>0</v>
      </c>
      <c r="R520" s="11"/>
    </row>
    <row r="521" spans="1:18" x14ac:dyDescent="0.2">
      <c r="A521" s="18">
        <f>+'SERVICIO FAENA'!E519</f>
        <v>0</v>
      </c>
      <c r="B521" s="20">
        <f>+'SERVICIO FAENA'!A519</f>
        <v>0</v>
      </c>
      <c r="C521" s="49">
        <f>+'SERVICIO FAENA'!C519</f>
        <v>0</v>
      </c>
      <c r="D521" s="110"/>
      <c r="E521" s="110"/>
      <c r="F521" s="49"/>
      <c r="G521" s="49"/>
      <c r="H521" s="49">
        <f t="shared" si="24"/>
        <v>0</v>
      </c>
      <c r="I521" s="16"/>
      <c r="J521" s="16">
        <v>0</v>
      </c>
      <c r="K521" s="16">
        <v>0</v>
      </c>
      <c r="L521" s="11"/>
      <c r="M521" s="11"/>
      <c r="N521" s="16">
        <f t="shared" si="25"/>
        <v>0</v>
      </c>
      <c r="O521" s="18"/>
      <c r="P521" s="19">
        <v>0</v>
      </c>
      <c r="Q521" s="29">
        <f t="shared" si="26"/>
        <v>0</v>
      </c>
      <c r="R521" s="11"/>
    </row>
    <row r="522" spans="1:18" ht="12.75" customHeight="1" x14ac:dyDescent="0.2">
      <c r="A522" s="18">
        <f>+'SERVICIO FAENA'!E520</f>
        <v>0</v>
      </c>
      <c r="B522" s="20">
        <f>+'SERVICIO FAENA'!A520</f>
        <v>0</v>
      </c>
      <c r="C522" s="49">
        <f>+'SERVICIO FAENA'!C520</f>
        <v>0</v>
      </c>
      <c r="D522" s="110"/>
      <c r="E522" s="110"/>
      <c r="F522" s="49"/>
      <c r="G522" s="49"/>
      <c r="H522" s="49">
        <f t="shared" si="24"/>
        <v>0</v>
      </c>
      <c r="I522" s="16"/>
      <c r="J522" s="16">
        <v>0</v>
      </c>
      <c r="K522" s="16">
        <v>0</v>
      </c>
      <c r="L522" s="11"/>
      <c r="M522" s="11"/>
      <c r="N522" s="16">
        <f t="shared" si="25"/>
        <v>0</v>
      </c>
      <c r="O522" s="18"/>
      <c r="P522" s="19">
        <v>0</v>
      </c>
      <c r="Q522" s="29">
        <f t="shared" si="26"/>
        <v>0</v>
      </c>
      <c r="R522" s="11"/>
    </row>
    <row r="523" spans="1:18" x14ac:dyDescent="0.2">
      <c r="A523" s="18">
        <f>+'SERVICIO FAENA'!E521</f>
        <v>0</v>
      </c>
      <c r="B523" s="20">
        <f>+'SERVICIO FAENA'!A521</f>
        <v>0</v>
      </c>
      <c r="C523" s="49">
        <f>+'SERVICIO FAENA'!C521</f>
        <v>0</v>
      </c>
      <c r="D523" s="110"/>
      <c r="E523" s="110"/>
      <c r="F523" s="49"/>
      <c r="G523" s="49"/>
      <c r="H523" s="49">
        <f t="shared" si="24"/>
        <v>0</v>
      </c>
      <c r="I523" s="16"/>
      <c r="J523" s="16">
        <v>0</v>
      </c>
      <c r="K523" s="16">
        <v>0</v>
      </c>
      <c r="L523" s="11"/>
      <c r="M523" s="11"/>
      <c r="N523" s="16">
        <f t="shared" si="25"/>
        <v>0</v>
      </c>
      <c r="O523" s="18"/>
      <c r="P523" s="19">
        <v>0</v>
      </c>
      <c r="Q523" s="29">
        <f t="shared" si="26"/>
        <v>0</v>
      </c>
      <c r="R523" s="11"/>
    </row>
    <row r="524" spans="1:18" ht="12.75" customHeight="1" x14ac:dyDescent="0.2">
      <c r="A524" s="18">
        <f>+'SERVICIO FAENA'!E522</f>
        <v>0</v>
      </c>
      <c r="B524" s="20">
        <f>+'SERVICIO FAENA'!A522</f>
        <v>0</v>
      </c>
      <c r="C524" s="49">
        <f>+'SERVICIO FAENA'!C522</f>
        <v>0</v>
      </c>
      <c r="D524" s="110"/>
      <c r="E524" s="110"/>
      <c r="F524" s="49"/>
      <c r="G524" s="49"/>
      <c r="H524" s="49">
        <f t="shared" si="24"/>
        <v>0</v>
      </c>
      <c r="I524" s="16"/>
      <c r="J524" s="16">
        <v>0</v>
      </c>
      <c r="K524" s="16">
        <v>0</v>
      </c>
      <c r="L524" s="11"/>
      <c r="M524" s="11"/>
      <c r="N524" s="16">
        <f t="shared" si="25"/>
        <v>0</v>
      </c>
      <c r="O524" s="18"/>
      <c r="P524" s="19">
        <v>0</v>
      </c>
      <c r="Q524" s="29">
        <f t="shared" si="26"/>
        <v>0</v>
      </c>
      <c r="R524" s="11"/>
    </row>
    <row r="525" spans="1:18" x14ac:dyDescent="0.2">
      <c r="A525" s="18">
        <f>+'SERVICIO FAENA'!E523</f>
        <v>0</v>
      </c>
      <c r="B525" s="20">
        <f>+'SERVICIO FAENA'!A523</f>
        <v>0</v>
      </c>
      <c r="C525" s="49">
        <f>+'SERVICIO FAENA'!C523</f>
        <v>0</v>
      </c>
      <c r="D525" s="110"/>
      <c r="E525" s="110"/>
      <c r="F525" s="49"/>
      <c r="G525" s="49"/>
      <c r="H525" s="49">
        <f t="shared" si="24"/>
        <v>0</v>
      </c>
      <c r="I525" s="16"/>
      <c r="J525" s="16">
        <v>0</v>
      </c>
      <c r="K525" s="16">
        <v>0</v>
      </c>
      <c r="L525" s="11"/>
      <c r="M525" s="11"/>
      <c r="N525" s="16">
        <f t="shared" si="25"/>
        <v>0</v>
      </c>
      <c r="O525" s="18"/>
      <c r="P525" s="19">
        <v>0</v>
      </c>
      <c r="Q525" s="29">
        <f t="shared" si="26"/>
        <v>0</v>
      </c>
      <c r="R525" s="11"/>
    </row>
    <row r="526" spans="1:18" ht="12.75" customHeight="1" x14ac:dyDescent="0.2">
      <c r="A526" s="18">
        <f>+'SERVICIO FAENA'!E524</f>
        <v>0</v>
      </c>
      <c r="B526" s="20">
        <f>+'SERVICIO FAENA'!A524</f>
        <v>0</v>
      </c>
      <c r="C526" s="49">
        <f>+'SERVICIO FAENA'!C524</f>
        <v>0</v>
      </c>
      <c r="D526" s="110"/>
      <c r="E526" s="110"/>
      <c r="F526" s="49"/>
      <c r="G526" s="49"/>
      <c r="H526" s="49">
        <f t="shared" si="24"/>
        <v>0</v>
      </c>
      <c r="I526" s="16"/>
      <c r="J526" s="16">
        <v>0</v>
      </c>
      <c r="K526" s="16">
        <v>0</v>
      </c>
      <c r="L526" s="11"/>
      <c r="M526" s="11"/>
      <c r="N526" s="16">
        <f t="shared" si="25"/>
        <v>0</v>
      </c>
      <c r="O526" s="18"/>
      <c r="P526" s="19">
        <v>0</v>
      </c>
      <c r="Q526" s="29">
        <f t="shared" si="26"/>
        <v>0</v>
      </c>
      <c r="R526" s="11"/>
    </row>
    <row r="527" spans="1:18" x14ac:dyDescent="0.2">
      <c r="A527" s="18">
        <f>+'SERVICIO FAENA'!E525</f>
        <v>0</v>
      </c>
      <c r="B527" s="20">
        <f>+'SERVICIO FAENA'!A525</f>
        <v>0</v>
      </c>
      <c r="C527" s="49">
        <f>+'SERVICIO FAENA'!C525</f>
        <v>0</v>
      </c>
      <c r="D527" s="110"/>
      <c r="E527" s="110"/>
      <c r="F527" s="49"/>
      <c r="G527" s="49"/>
      <c r="H527" s="49">
        <f t="shared" si="24"/>
        <v>0</v>
      </c>
      <c r="I527" s="16"/>
      <c r="J527" s="16">
        <v>0</v>
      </c>
      <c r="K527" s="16">
        <v>0</v>
      </c>
      <c r="L527" s="11"/>
      <c r="M527" s="11"/>
      <c r="N527" s="16">
        <f t="shared" si="25"/>
        <v>0</v>
      </c>
      <c r="O527" s="18"/>
      <c r="P527" s="19">
        <v>0</v>
      </c>
      <c r="Q527" s="29">
        <f t="shared" si="26"/>
        <v>0</v>
      </c>
      <c r="R527" s="11"/>
    </row>
    <row r="528" spans="1:18" ht="12.75" customHeight="1" x14ac:dyDescent="0.2">
      <c r="A528" s="18">
        <f>+'SERVICIO FAENA'!E526</f>
        <v>0</v>
      </c>
      <c r="B528" s="20">
        <f>+'SERVICIO FAENA'!A526</f>
        <v>0</v>
      </c>
      <c r="C528" s="49">
        <f>+'SERVICIO FAENA'!C526</f>
        <v>0</v>
      </c>
      <c r="D528" s="110"/>
      <c r="E528" s="110"/>
      <c r="F528" s="49"/>
      <c r="G528" s="49"/>
      <c r="H528" s="49">
        <f t="shared" si="24"/>
        <v>0</v>
      </c>
      <c r="I528" s="16"/>
      <c r="J528" s="16">
        <v>0</v>
      </c>
      <c r="K528" s="16">
        <v>0</v>
      </c>
      <c r="L528" s="11"/>
      <c r="M528" s="11"/>
      <c r="N528" s="16">
        <f t="shared" si="25"/>
        <v>0</v>
      </c>
      <c r="O528" s="18"/>
      <c r="P528" s="19">
        <v>0</v>
      </c>
      <c r="Q528" s="29">
        <f t="shared" si="26"/>
        <v>0</v>
      </c>
      <c r="R528" s="11"/>
    </row>
    <row r="529" spans="1:18" x14ac:dyDescent="0.2">
      <c r="A529" s="18">
        <f>+'SERVICIO FAENA'!E527</f>
        <v>0</v>
      </c>
      <c r="B529" s="20">
        <f>+'SERVICIO FAENA'!A527</f>
        <v>0</v>
      </c>
      <c r="C529" s="49">
        <f>+'SERVICIO FAENA'!C527</f>
        <v>0</v>
      </c>
      <c r="D529" s="110"/>
      <c r="E529" s="110"/>
      <c r="F529" s="49"/>
      <c r="G529" s="49"/>
      <c r="H529" s="49">
        <f t="shared" ref="H529:H592" si="27">+D529+E529</f>
        <v>0</v>
      </c>
      <c r="I529" s="16"/>
      <c r="J529" s="16">
        <v>0</v>
      </c>
      <c r="K529" s="16">
        <v>0</v>
      </c>
      <c r="L529" s="11"/>
      <c r="M529" s="11"/>
      <c r="N529" s="16">
        <f t="shared" si="25"/>
        <v>0</v>
      </c>
      <c r="O529" s="18"/>
      <c r="P529" s="19">
        <v>0</v>
      </c>
      <c r="Q529" s="29">
        <f t="shared" si="26"/>
        <v>0</v>
      </c>
      <c r="R529" s="11"/>
    </row>
    <row r="530" spans="1:18" ht="12.75" customHeight="1" x14ac:dyDescent="0.2">
      <c r="A530" s="18">
        <f>+'SERVICIO FAENA'!E528</f>
        <v>0</v>
      </c>
      <c r="B530" s="20">
        <f>+'SERVICIO FAENA'!A528</f>
        <v>0</v>
      </c>
      <c r="C530" s="49">
        <f>+'SERVICIO FAENA'!C528</f>
        <v>0</v>
      </c>
      <c r="D530" s="110"/>
      <c r="E530" s="110"/>
      <c r="F530" s="49"/>
      <c r="G530" s="49"/>
      <c r="H530" s="49">
        <f t="shared" si="27"/>
        <v>0</v>
      </c>
      <c r="I530" s="16"/>
      <c r="J530" s="16">
        <v>0</v>
      </c>
      <c r="K530" s="16">
        <v>0</v>
      </c>
      <c r="L530" s="11"/>
      <c r="M530" s="11"/>
      <c r="N530" s="16">
        <f t="shared" si="25"/>
        <v>0</v>
      </c>
      <c r="O530" s="18"/>
      <c r="P530" s="19">
        <v>0</v>
      </c>
      <c r="Q530" s="29">
        <f t="shared" si="26"/>
        <v>0</v>
      </c>
      <c r="R530" s="11"/>
    </row>
    <row r="531" spans="1:18" x14ac:dyDescent="0.2">
      <c r="A531" s="18">
        <f>+'SERVICIO FAENA'!E529</f>
        <v>0</v>
      </c>
      <c r="B531" s="20">
        <f>+'SERVICIO FAENA'!A529</f>
        <v>0</v>
      </c>
      <c r="C531" s="49">
        <f>+'SERVICIO FAENA'!C529</f>
        <v>0</v>
      </c>
      <c r="D531" s="110"/>
      <c r="E531" s="110"/>
      <c r="F531" s="49"/>
      <c r="G531" s="49"/>
      <c r="H531" s="49">
        <f t="shared" si="27"/>
        <v>0</v>
      </c>
      <c r="I531" s="16"/>
      <c r="J531" s="16">
        <v>0</v>
      </c>
      <c r="K531" s="16">
        <v>0</v>
      </c>
      <c r="L531" s="11"/>
      <c r="M531" s="11"/>
      <c r="N531" s="16">
        <f t="shared" si="25"/>
        <v>0</v>
      </c>
      <c r="O531" s="18"/>
      <c r="P531" s="19">
        <v>0</v>
      </c>
      <c r="Q531" s="29">
        <f t="shared" si="26"/>
        <v>0</v>
      </c>
      <c r="R531" s="11"/>
    </row>
    <row r="532" spans="1:18" ht="12.75" customHeight="1" x14ac:dyDescent="0.2">
      <c r="A532" s="18">
        <f>+'SERVICIO FAENA'!E530</f>
        <v>0</v>
      </c>
      <c r="B532" s="20">
        <f>+'SERVICIO FAENA'!A530</f>
        <v>0</v>
      </c>
      <c r="C532" s="49">
        <f>+'SERVICIO FAENA'!C530</f>
        <v>0</v>
      </c>
      <c r="D532" s="110"/>
      <c r="E532" s="110"/>
      <c r="F532" s="49"/>
      <c r="G532" s="49"/>
      <c r="H532" s="49">
        <f t="shared" si="27"/>
        <v>0</v>
      </c>
      <c r="I532" s="16"/>
      <c r="J532" s="16">
        <v>0</v>
      </c>
      <c r="K532" s="16">
        <v>0</v>
      </c>
      <c r="L532" s="11"/>
      <c r="M532" s="11"/>
      <c r="N532" s="16">
        <f t="shared" si="25"/>
        <v>0</v>
      </c>
      <c r="O532" s="18"/>
      <c r="P532" s="19">
        <v>0</v>
      </c>
      <c r="Q532" s="29">
        <f t="shared" si="26"/>
        <v>0</v>
      </c>
      <c r="R532" s="11"/>
    </row>
    <row r="533" spans="1:18" x14ac:dyDescent="0.2">
      <c r="A533" s="18">
        <f>+'SERVICIO FAENA'!E531</f>
        <v>0</v>
      </c>
      <c r="B533" s="20">
        <f>+'SERVICIO FAENA'!A531</f>
        <v>0</v>
      </c>
      <c r="C533" s="49">
        <f>+'SERVICIO FAENA'!C531</f>
        <v>0</v>
      </c>
      <c r="D533" s="110"/>
      <c r="E533" s="110"/>
      <c r="F533" s="49"/>
      <c r="G533" s="49"/>
      <c r="H533" s="49">
        <f t="shared" si="27"/>
        <v>0</v>
      </c>
      <c r="I533" s="16"/>
      <c r="J533" s="16">
        <v>0</v>
      </c>
      <c r="K533" s="16">
        <v>0</v>
      </c>
      <c r="L533" s="11"/>
      <c r="M533" s="11"/>
      <c r="N533" s="16">
        <f t="shared" si="25"/>
        <v>0</v>
      </c>
      <c r="O533" s="18"/>
      <c r="P533" s="19">
        <v>0</v>
      </c>
      <c r="Q533" s="29">
        <f t="shared" si="26"/>
        <v>0</v>
      </c>
      <c r="R533" s="11"/>
    </row>
    <row r="534" spans="1:18" ht="12.75" customHeight="1" x14ac:dyDescent="0.2">
      <c r="A534" s="18">
        <f>+'SERVICIO FAENA'!E532</f>
        <v>0</v>
      </c>
      <c r="B534" s="20">
        <f>+'SERVICIO FAENA'!A532</f>
        <v>0</v>
      </c>
      <c r="C534" s="49">
        <f>+'SERVICIO FAENA'!C532</f>
        <v>0</v>
      </c>
      <c r="D534" s="110"/>
      <c r="E534" s="110"/>
      <c r="F534" s="49"/>
      <c r="G534" s="49"/>
      <c r="H534" s="49">
        <f t="shared" si="27"/>
        <v>0</v>
      </c>
      <c r="I534" s="16"/>
      <c r="J534" s="16">
        <v>0</v>
      </c>
      <c r="K534" s="16">
        <v>0</v>
      </c>
      <c r="L534" s="11"/>
      <c r="M534" s="11"/>
      <c r="N534" s="16">
        <f t="shared" si="25"/>
        <v>0</v>
      </c>
      <c r="O534" s="18"/>
      <c r="P534" s="19">
        <v>0</v>
      </c>
      <c r="Q534" s="29">
        <f t="shared" si="26"/>
        <v>0</v>
      </c>
      <c r="R534" s="11"/>
    </row>
    <row r="535" spans="1:18" x14ac:dyDescent="0.2">
      <c r="A535" s="18">
        <f>+'SERVICIO FAENA'!E533</f>
        <v>0</v>
      </c>
      <c r="B535" s="20">
        <f>+'SERVICIO FAENA'!A533</f>
        <v>0</v>
      </c>
      <c r="C535" s="49">
        <f>+'SERVICIO FAENA'!C533</f>
        <v>0</v>
      </c>
      <c r="D535" s="110"/>
      <c r="E535" s="110"/>
      <c r="F535" s="49"/>
      <c r="G535" s="49"/>
      <c r="H535" s="49">
        <f t="shared" si="27"/>
        <v>0</v>
      </c>
      <c r="I535" s="16"/>
      <c r="J535" s="16">
        <v>0</v>
      </c>
      <c r="K535" s="16">
        <v>0</v>
      </c>
      <c r="L535" s="11"/>
      <c r="M535" s="11"/>
      <c r="N535" s="16">
        <f t="shared" si="25"/>
        <v>0</v>
      </c>
      <c r="O535" s="18"/>
      <c r="P535" s="19">
        <v>0</v>
      </c>
      <c r="Q535" s="29">
        <f t="shared" si="26"/>
        <v>0</v>
      </c>
      <c r="R535" s="11"/>
    </row>
    <row r="536" spans="1:18" ht="12.75" customHeight="1" x14ac:dyDescent="0.2">
      <c r="A536" s="18">
        <f>+'SERVICIO FAENA'!E534</f>
        <v>0</v>
      </c>
      <c r="B536" s="20">
        <f>+'SERVICIO FAENA'!A534</f>
        <v>0</v>
      </c>
      <c r="C536" s="49">
        <f>+'SERVICIO FAENA'!C534</f>
        <v>0</v>
      </c>
      <c r="D536" s="110"/>
      <c r="E536" s="110"/>
      <c r="F536" s="49"/>
      <c r="G536" s="49"/>
      <c r="H536" s="49">
        <f t="shared" si="27"/>
        <v>0</v>
      </c>
      <c r="I536" s="16"/>
      <c r="J536" s="16">
        <v>0</v>
      </c>
      <c r="K536" s="16">
        <v>0</v>
      </c>
      <c r="L536" s="11"/>
      <c r="M536" s="11"/>
      <c r="N536" s="16">
        <f t="shared" si="25"/>
        <v>0</v>
      </c>
      <c r="O536" s="18"/>
      <c r="P536" s="19">
        <v>0</v>
      </c>
      <c r="Q536" s="29">
        <f t="shared" si="26"/>
        <v>0</v>
      </c>
      <c r="R536" s="11"/>
    </row>
    <row r="537" spans="1:18" x14ac:dyDescent="0.2">
      <c r="A537" s="18">
        <f>+'SERVICIO FAENA'!E535</f>
        <v>0</v>
      </c>
      <c r="B537" s="20">
        <f>+'SERVICIO FAENA'!A535</f>
        <v>0</v>
      </c>
      <c r="C537" s="49">
        <f>+'SERVICIO FAENA'!C535</f>
        <v>0</v>
      </c>
      <c r="D537" s="110"/>
      <c r="E537" s="110"/>
      <c r="F537" s="49"/>
      <c r="G537" s="49"/>
      <c r="H537" s="49">
        <f t="shared" si="27"/>
        <v>0</v>
      </c>
      <c r="I537" s="16"/>
      <c r="J537" s="16">
        <v>0</v>
      </c>
      <c r="K537" s="16">
        <v>0</v>
      </c>
      <c r="L537" s="11"/>
      <c r="M537" s="11"/>
      <c r="N537" s="16">
        <f t="shared" si="25"/>
        <v>0</v>
      </c>
      <c r="O537" s="18"/>
      <c r="P537" s="19">
        <v>0</v>
      </c>
      <c r="Q537" s="29">
        <f t="shared" si="26"/>
        <v>0</v>
      </c>
      <c r="R537" s="11"/>
    </row>
    <row r="538" spans="1:18" ht="12.75" customHeight="1" x14ac:dyDescent="0.2">
      <c r="A538" s="18">
        <f>+'SERVICIO FAENA'!E536</f>
        <v>0</v>
      </c>
      <c r="B538" s="20">
        <f>+'SERVICIO FAENA'!A536</f>
        <v>0</v>
      </c>
      <c r="C538" s="49">
        <f>+'SERVICIO FAENA'!C536</f>
        <v>0</v>
      </c>
      <c r="D538" s="110"/>
      <c r="E538" s="110"/>
      <c r="F538" s="49"/>
      <c r="G538" s="49"/>
      <c r="H538" s="49">
        <f t="shared" si="27"/>
        <v>0</v>
      </c>
      <c r="I538" s="16"/>
      <c r="J538" s="16">
        <v>0</v>
      </c>
      <c r="K538" s="16">
        <v>0</v>
      </c>
      <c r="L538" s="11"/>
      <c r="M538" s="11"/>
      <c r="N538" s="16">
        <f t="shared" si="25"/>
        <v>0</v>
      </c>
      <c r="O538" s="18"/>
      <c r="P538" s="19">
        <v>0</v>
      </c>
      <c r="Q538" s="29">
        <f t="shared" si="26"/>
        <v>0</v>
      </c>
      <c r="R538" s="11"/>
    </row>
    <row r="539" spans="1:18" x14ac:dyDescent="0.2">
      <c r="A539" s="18">
        <f>+'SERVICIO FAENA'!E537</f>
        <v>0</v>
      </c>
      <c r="B539" s="20">
        <f>+'SERVICIO FAENA'!A537</f>
        <v>0</v>
      </c>
      <c r="C539" s="49">
        <f>+'SERVICIO FAENA'!C537</f>
        <v>0</v>
      </c>
      <c r="D539" s="110"/>
      <c r="E539" s="110"/>
      <c r="F539" s="49"/>
      <c r="G539" s="49"/>
      <c r="H539" s="49">
        <f t="shared" si="27"/>
        <v>0</v>
      </c>
      <c r="I539" s="16"/>
      <c r="J539" s="16">
        <v>0</v>
      </c>
      <c r="K539" s="16">
        <v>0</v>
      </c>
      <c r="L539" s="11"/>
      <c r="M539" s="11"/>
      <c r="N539" s="16">
        <f t="shared" si="25"/>
        <v>0</v>
      </c>
      <c r="O539" s="18"/>
      <c r="P539" s="19">
        <v>0</v>
      </c>
      <c r="Q539" s="29">
        <f t="shared" si="26"/>
        <v>0</v>
      </c>
      <c r="R539" s="11"/>
    </row>
    <row r="540" spans="1:18" ht="12.75" customHeight="1" x14ac:dyDescent="0.2">
      <c r="A540" s="18">
        <f>+'SERVICIO FAENA'!E538</f>
        <v>0</v>
      </c>
      <c r="B540" s="20">
        <f>+'SERVICIO FAENA'!A538</f>
        <v>0</v>
      </c>
      <c r="C540" s="49">
        <f>+'SERVICIO FAENA'!C538</f>
        <v>0</v>
      </c>
      <c r="D540" s="110"/>
      <c r="E540" s="110"/>
      <c r="F540" s="49"/>
      <c r="G540" s="49"/>
      <c r="H540" s="49">
        <f t="shared" si="27"/>
        <v>0</v>
      </c>
      <c r="I540" s="16"/>
      <c r="J540" s="16">
        <v>0</v>
      </c>
      <c r="K540" s="16">
        <v>0</v>
      </c>
      <c r="L540" s="11"/>
      <c r="M540" s="11"/>
      <c r="N540" s="16">
        <f t="shared" si="25"/>
        <v>0</v>
      </c>
      <c r="O540" s="18"/>
      <c r="P540" s="19">
        <v>0</v>
      </c>
      <c r="Q540" s="29">
        <f t="shared" si="26"/>
        <v>0</v>
      </c>
      <c r="R540" s="11"/>
    </row>
    <row r="541" spans="1:18" x14ac:dyDescent="0.2">
      <c r="A541" s="18">
        <f>+'SERVICIO FAENA'!E539</f>
        <v>0</v>
      </c>
      <c r="B541" s="20">
        <f>+'SERVICIO FAENA'!A539</f>
        <v>0</v>
      </c>
      <c r="C541" s="49">
        <f>+'SERVICIO FAENA'!C539</f>
        <v>0</v>
      </c>
      <c r="D541" s="110"/>
      <c r="E541" s="110"/>
      <c r="F541" s="49"/>
      <c r="G541" s="49"/>
      <c r="H541" s="49">
        <f t="shared" si="27"/>
        <v>0</v>
      </c>
      <c r="I541" s="16"/>
      <c r="J541" s="16">
        <v>0</v>
      </c>
      <c r="K541" s="16">
        <v>0</v>
      </c>
      <c r="L541" s="11"/>
      <c r="M541" s="11"/>
      <c r="N541" s="16">
        <f t="shared" si="25"/>
        <v>0</v>
      </c>
      <c r="O541" s="18"/>
      <c r="P541" s="19">
        <v>0</v>
      </c>
      <c r="Q541" s="29">
        <f t="shared" si="26"/>
        <v>0</v>
      </c>
      <c r="R541" s="11"/>
    </row>
    <row r="542" spans="1:18" ht="12.75" customHeight="1" x14ac:dyDescent="0.2">
      <c r="A542" s="18">
        <f>+'SERVICIO FAENA'!E540</f>
        <v>0</v>
      </c>
      <c r="B542" s="20">
        <f>+'SERVICIO FAENA'!A540</f>
        <v>0</v>
      </c>
      <c r="C542" s="49">
        <f>+'SERVICIO FAENA'!C540</f>
        <v>0</v>
      </c>
      <c r="D542" s="110"/>
      <c r="E542" s="110"/>
      <c r="F542" s="49"/>
      <c r="G542" s="49"/>
      <c r="H542" s="49">
        <f t="shared" si="27"/>
        <v>0</v>
      </c>
      <c r="I542" s="16"/>
      <c r="J542" s="16">
        <v>0</v>
      </c>
      <c r="K542" s="16">
        <v>0</v>
      </c>
      <c r="L542" s="11"/>
      <c r="M542" s="11"/>
      <c r="N542" s="16">
        <f t="shared" si="25"/>
        <v>0</v>
      </c>
      <c r="O542" s="18"/>
      <c r="P542" s="19">
        <v>0</v>
      </c>
      <c r="Q542" s="29">
        <f t="shared" si="26"/>
        <v>0</v>
      </c>
      <c r="R542" s="11"/>
    </row>
    <row r="543" spans="1:18" x14ac:dyDescent="0.2">
      <c r="A543" s="18">
        <f>+'SERVICIO FAENA'!E541</f>
        <v>0</v>
      </c>
      <c r="B543" s="20">
        <f>+'SERVICIO FAENA'!A541</f>
        <v>0</v>
      </c>
      <c r="C543" s="49">
        <f>+'SERVICIO FAENA'!C541</f>
        <v>0</v>
      </c>
      <c r="D543" s="110"/>
      <c r="E543" s="110"/>
      <c r="F543" s="49"/>
      <c r="G543" s="49"/>
      <c r="H543" s="49">
        <f t="shared" si="27"/>
        <v>0</v>
      </c>
      <c r="I543" s="16"/>
      <c r="J543" s="16">
        <v>0</v>
      </c>
      <c r="K543" s="16">
        <v>0</v>
      </c>
      <c r="L543" s="11"/>
      <c r="M543" s="11"/>
      <c r="N543" s="16">
        <f t="shared" si="25"/>
        <v>0</v>
      </c>
      <c r="O543" s="18"/>
      <c r="P543" s="19">
        <v>0</v>
      </c>
      <c r="Q543" s="29">
        <f t="shared" si="26"/>
        <v>0</v>
      </c>
      <c r="R543" s="11"/>
    </row>
    <row r="544" spans="1:18" ht="12.75" customHeight="1" x14ac:dyDescent="0.2">
      <c r="A544" s="18">
        <f>+'SERVICIO FAENA'!E542</f>
        <v>0</v>
      </c>
      <c r="B544" s="20">
        <f>+'SERVICIO FAENA'!A542</f>
        <v>0</v>
      </c>
      <c r="C544" s="49">
        <f>+'SERVICIO FAENA'!C542</f>
        <v>0</v>
      </c>
      <c r="D544" s="110"/>
      <c r="E544" s="110"/>
      <c r="F544" s="49"/>
      <c r="G544" s="49"/>
      <c r="H544" s="49">
        <f t="shared" si="27"/>
        <v>0</v>
      </c>
      <c r="I544" s="16"/>
      <c r="J544" s="16">
        <v>0</v>
      </c>
      <c r="K544" s="16">
        <v>0</v>
      </c>
      <c r="L544" s="11"/>
      <c r="M544" s="11"/>
      <c r="N544" s="16">
        <f t="shared" si="25"/>
        <v>0</v>
      </c>
      <c r="O544" s="18"/>
      <c r="P544" s="19">
        <v>0</v>
      </c>
      <c r="Q544" s="29">
        <f t="shared" si="26"/>
        <v>0</v>
      </c>
      <c r="R544" s="11"/>
    </row>
    <row r="545" spans="1:18" x14ac:dyDescent="0.2">
      <c r="A545" s="18">
        <f>+'SERVICIO FAENA'!E543</f>
        <v>0</v>
      </c>
      <c r="B545" s="20">
        <f>+'SERVICIO FAENA'!A543</f>
        <v>0</v>
      </c>
      <c r="C545" s="49">
        <f>+'SERVICIO FAENA'!C543</f>
        <v>0</v>
      </c>
      <c r="D545" s="110"/>
      <c r="E545" s="110"/>
      <c r="F545" s="49"/>
      <c r="G545" s="49"/>
      <c r="H545" s="49">
        <f t="shared" si="27"/>
        <v>0</v>
      </c>
      <c r="I545" s="16"/>
      <c r="J545" s="16">
        <v>0</v>
      </c>
      <c r="K545" s="16">
        <v>0</v>
      </c>
      <c r="L545" s="11"/>
      <c r="M545" s="11"/>
      <c r="N545" s="16">
        <f t="shared" si="25"/>
        <v>0</v>
      </c>
      <c r="O545" s="18"/>
      <c r="P545" s="19">
        <v>0</v>
      </c>
      <c r="Q545" s="29">
        <f t="shared" si="26"/>
        <v>0</v>
      </c>
      <c r="R545" s="11"/>
    </row>
    <row r="546" spans="1:18" ht="12.75" customHeight="1" x14ac:dyDescent="0.2">
      <c r="A546" s="18">
        <f>+'SERVICIO FAENA'!E544</f>
        <v>0</v>
      </c>
      <c r="B546" s="20">
        <f>+'SERVICIO FAENA'!A544</f>
        <v>0</v>
      </c>
      <c r="C546" s="49">
        <f>+'SERVICIO FAENA'!C544</f>
        <v>0</v>
      </c>
      <c r="D546" s="110"/>
      <c r="E546" s="110"/>
      <c r="F546" s="49"/>
      <c r="G546" s="49"/>
      <c r="H546" s="49">
        <f t="shared" si="27"/>
        <v>0</v>
      </c>
      <c r="I546" s="16"/>
      <c r="J546" s="16">
        <v>0</v>
      </c>
      <c r="K546" s="16">
        <v>0</v>
      </c>
      <c r="L546" s="11"/>
      <c r="M546" s="11"/>
      <c r="N546" s="16">
        <f t="shared" si="25"/>
        <v>0</v>
      </c>
      <c r="O546" s="18"/>
      <c r="P546" s="19">
        <v>0</v>
      </c>
      <c r="Q546" s="29">
        <f t="shared" si="26"/>
        <v>0</v>
      </c>
      <c r="R546" s="11"/>
    </row>
    <row r="547" spans="1:18" x14ac:dyDescent="0.2">
      <c r="A547" s="18">
        <f>+'SERVICIO FAENA'!E545</f>
        <v>0</v>
      </c>
      <c r="B547" s="20">
        <f>+'SERVICIO FAENA'!A545</f>
        <v>0</v>
      </c>
      <c r="C547" s="49">
        <f>+'SERVICIO FAENA'!C545</f>
        <v>0</v>
      </c>
      <c r="D547" s="110"/>
      <c r="E547" s="110"/>
      <c r="F547" s="49"/>
      <c r="G547" s="49"/>
      <c r="H547" s="49">
        <f t="shared" si="27"/>
        <v>0</v>
      </c>
      <c r="I547" s="16"/>
      <c r="J547" s="16">
        <v>0</v>
      </c>
      <c r="K547" s="16">
        <v>0</v>
      </c>
      <c r="L547" s="11"/>
      <c r="M547" s="11"/>
      <c r="N547" s="16">
        <f t="shared" si="25"/>
        <v>0</v>
      </c>
      <c r="O547" s="18"/>
      <c r="P547" s="19">
        <v>0</v>
      </c>
      <c r="Q547" s="29">
        <f t="shared" si="26"/>
        <v>0</v>
      </c>
      <c r="R547" s="11"/>
    </row>
    <row r="548" spans="1:18" ht="12.75" customHeight="1" x14ac:dyDescent="0.2">
      <c r="A548" s="18">
        <f>+'SERVICIO FAENA'!E546</f>
        <v>0</v>
      </c>
      <c r="B548" s="20">
        <f>+'SERVICIO FAENA'!A546</f>
        <v>0</v>
      </c>
      <c r="C548" s="49">
        <f>+'SERVICIO FAENA'!C546</f>
        <v>0</v>
      </c>
      <c r="D548" s="110"/>
      <c r="E548" s="110"/>
      <c r="F548" s="49"/>
      <c r="G548" s="49"/>
      <c r="H548" s="49">
        <f t="shared" si="27"/>
        <v>0</v>
      </c>
      <c r="I548" s="16"/>
      <c r="J548" s="16">
        <v>0</v>
      </c>
      <c r="K548" s="16">
        <v>0</v>
      </c>
      <c r="L548" s="11"/>
      <c r="M548" s="11"/>
      <c r="N548" s="16">
        <f t="shared" si="25"/>
        <v>0</v>
      </c>
      <c r="O548" s="18"/>
      <c r="P548" s="19">
        <v>0</v>
      </c>
      <c r="Q548" s="29">
        <f t="shared" si="26"/>
        <v>0</v>
      </c>
      <c r="R548" s="11"/>
    </row>
    <row r="549" spans="1:18" x14ac:dyDescent="0.2">
      <c r="A549" s="18">
        <f>+'SERVICIO FAENA'!E547</f>
        <v>0</v>
      </c>
      <c r="B549" s="20">
        <f>+'SERVICIO FAENA'!A547</f>
        <v>0</v>
      </c>
      <c r="C549" s="49">
        <f>+'SERVICIO FAENA'!C547</f>
        <v>0</v>
      </c>
      <c r="D549" s="110"/>
      <c r="E549" s="110"/>
      <c r="F549" s="49"/>
      <c r="G549" s="49"/>
      <c r="H549" s="49">
        <f t="shared" si="27"/>
        <v>0</v>
      </c>
      <c r="I549" s="16"/>
      <c r="J549" s="16">
        <v>0</v>
      </c>
      <c r="K549" s="16">
        <v>0</v>
      </c>
      <c r="L549" s="11"/>
      <c r="M549" s="11"/>
      <c r="N549" s="16">
        <f t="shared" si="25"/>
        <v>0</v>
      </c>
      <c r="O549" s="18"/>
      <c r="P549" s="19">
        <v>0</v>
      </c>
      <c r="Q549" s="29">
        <f t="shared" si="26"/>
        <v>0</v>
      </c>
      <c r="R549" s="11"/>
    </row>
    <row r="550" spans="1:18" ht="12.75" customHeight="1" x14ac:dyDescent="0.2">
      <c r="A550" s="18">
        <f>+'SERVICIO FAENA'!E548</f>
        <v>0</v>
      </c>
      <c r="B550" s="20">
        <f>+'SERVICIO FAENA'!A548</f>
        <v>0</v>
      </c>
      <c r="C550" s="49">
        <f>+'SERVICIO FAENA'!C548</f>
        <v>0</v>
      </c>
      <c r="D550" s="110"/>
      <c r="E550" s="110"/>
      <c r="F550" s="49"/>
      <c r="G550" s="49"/>
      <c r="H550" s="49">
        <f t="shared" si="27"/>
        <v>0</v>
      </c>
      <c r="I550" s="16"/>
      <c r="J550" s="16">
        <v>0</v>
      </c>
      <c r="K550" s="16">
        <v>0</v>
      </c>
      <c r="L550" s="11"/>
      <c r="M550" s="11"/>
      <c r="N550" s="16">
        <f t="shared" si="25"/>
        <v>0</v>
      </c>
      <c r="O550" s="18"/>
      <c r="P550" s="19">
        <v>0</v>
      </c>
      <c r="Q550" s="29">
        <f t="shared" si="26"/>
        <v>0</v>
      </c>
      <c r="R550" s="11"/>
    </row>
    <row r="551" spans="1:18" x14ac:dyDescent="0.2">
      <c r="A551" s="18">
        <f>+'SERVICIO FAENA'!E549</f>
        <v>0</v>
      </c>
      <c r="B551" s="20">
        <f>+'SERVICIO FAENA'!A549</f>
        <v>0</v>
      </c>
      <c r="C551" s="49">
        <f>+'SERVICIO FAENA'!C549</f>
        <v>0</v>
      </c>
      <c r="D551" s="110"/>
      <c r="E551" s="110"/>
      <c r="F551" s="49"/>
      <c r="G551" s="49"/>
      <c r="H551" s="49">
        <f t="shared" si="27"/>
        <v>0</v>
      </c>
      <c r="I551" s="16"/>
      <c r="J551" s="16">
        <v>0</v>
      </c>
      <c r="K551" s="16">
        <v>0</v>
      </c>
      <c r="L551" s="11"/>
      <c r="M551" s="11"/>
      <c r="N551" s="16">
        <f t="shared" si="25"/>
        <v>0</v>
      </c>
      <c r="O551" s="18"/>
      <c r="P551" s="19">
        <v>0</v>
      </c>
      <c r="Q551" s="29">
        <f t="shared" si="26"/>
        <v>0</v>
      </c>
      <c r="R551" s="11"/>
    </row>
    <row r="552" spans="1:18" ht="12.75" customHeight="1" x14ac:dyDescent="0.2">
      <c r="A552" s="18">
        <f>+'SERVICIO FAENA'!E550</f>
        <v>0</v>
      </c>
      <c r="B552" s="20">
        <f>+'SERVICIO FAENA'!A550</f>
        <v>0</v>
      </c>
      <c r="C552" s="49">
        <f>+'SERVICIO FAENA'!C550</f>
        <v>0</v>
      </c>
      <c r="D552" s="110"/>
      <c r="E552" s="110"/>
      <c r="F552" s="49"/>
      <c r="G552" s="49"/>
      <c r="H552" s="49">
        <f t="shared" si="27"/>
        <v>0</v>
      </c>
      <c r="I552" s="16"/>
      <c r="J552" s="16">
        <v>0</v>
      </c>
      <c r="K552" s="16">
        <v>0</v>
      </c>
      <c r="L552" s="11"/>
      <c r="M552" s="11"/>
      <c r="N552" s="16">
        <f t="shared" si="25"/>
        <v>0</v>
      </c>
      <c r="O552" s="18"/>
      <c r="P552" s="19">
        <v>0</v>
      </c>
      <c r="Q552" s="29">
        <f t="shared" si="26"/>
        <v>0</v>
      </c>
      <c r="R552" s="11"/>
    </row>
    <row r="553" spans="1:18" x14ac:dyDescent="0.2">
      <c r="A553" s="18">
        <f>+'SERVICIO FAENA'!E551</f>
        <v>0</v>
      </c>
      <c r="B553" s="20">
        <f>+'SERVICIO FAENA'!A551</f>
        <v>0</v>
      </c>
      <c r="C553" s="49">
        <f>+'SERVICIO FAENA'!C551</f>
        <v>0</v>
      </c>
      <c r="D553" s="110"/>
      <c r="E553" s="110"/>
      <c r="F553" s="49"/>
      <c r="G553" s="49"/>
      <c r="H553" s="49">
        <f t="shared" si="27"/>
        <v>0</v>
      </c>
      <c r="I553" s="16"/>
      <c r="J553" s="16">
        <v>0</v>
      </c>
      <c r="K553" s="16">
        <v>0</v>
      </c>
      <c r="L553" s="11"/>
      <c r="M553" s="11"/>
      <c r="N553" s="16">
        <f t="shared" si="25"/>
        <v>0</v>
      </c>
      <c r="O553" s="18"/>
      <c r="P553" s="19">
        <v>0</v>
      </c>
      <c r="Q553" s="29">
        <f t="shared" si="26"/>
        <v>0</v>
      </c>
      <c r="R553" s="11"/>
    </row>
    <row r="554" spans="1:18" ht="12.75" customHeight="1" x14ac:dyDescent="0.2">
      <c r="A554" s="18">
        <f>+'SERVICIO FAENA'!E552</f>
        <v>0</v>
      </c>
      <c r="B554" s="20">
        <f>+'SERVICIO FAENA'!A552</f>
        <v>0</v>
      </c>
      <c r="C554" s="49">
        <f>+'SERVICIO FAENA'!C552</f>
        <v>0</v>
      </c>
      <c r="D554" s="110"/>
      <c r="E554" s="110"/>
      <c r="F554" s="49"/>
      <c r="G554" s="49"/>
      <c r="H554" s="49">
        <f t="shared" si="27"/>
        <v>0</v>
      </c>
      <c r="I554" s="16"/>
      <c r="J554" s="16">
        <v>0</v>
      </c>
      <c r="K554" s="16">
        <v>0</v>
      </c>
      <c r="L554" s="11"/>
      <c r="M554" s="11"/>
      <c r="N554" s="16">
        <f t="shared" si="25"/>
        <v>0</v>
      </c>
      <c r="O554" s="18"/>
      <c r="P554" s="19">
        <v>0</v>
      </c>
      <c r="Q554" s="29">
        <f t="shared" si="26"/>
        <v>0</v>
      </c>
      <c r="R554" s="11"/>
    </row>
    <row r="555" spans="1:18" x14ac:dyDescent="0.2">
      <c r="A555" s="18">
        <f>+'SERVICIO FAENA'!E553</f>
        <v>0</v>
      </c>
      <c r="B555" s="20">
        <f>+'SERVICIO FAENA'!A553</f>
        <v>0</v>
      </c>
      <c r="C555" s="49">
        <f>+'SERVICIO FAENA'!C553</f>
        <v>0</v>
      </c>
      <c r="D555" s="110"/>
      <c r="E555" s="110"/>
      <c r="F555" s="49"/>
      <c r="G555" s="49"/>
      <c r="H555" s="49">
        <f t="shared" si="27"/>
        <v>0</v>
      </c>
      <c r="I555" s="16"/>
      <c r="J555" s="16">
        <v>0</v>
      </c>
      <c r="K555" s="16">
        <v>0</v>
      </c>
      <c r="L555" s="11"/>
      <c r="M555" s="11"/>
      <c r="N555" s="16">
        <f t="shared" si="25"/>
        <v>0</v>
      </c>
      <c r="O555" s="18"/>
      <c r="P555" s="19">
        <v>0</v>
      </c>
      <c r="Q555" s="29">
        <f t="shared" si="26"/>
        <v>0</v>
      </c>
      <c r="R555" s="11"/>
    </row>
    <row r="556" spans="1:18" ht="12.75" customHeight="1" x14ac:dyDescent="0.2">
      <c r="A556" s="18">
        <f>+'SERVICIO FAENA'!E554</f>
        <v>0</v>
      </c>
      <c r="B556" s="20">
        <f>+'SERVICIO FAENA'!A554</f>
        <v>0</v>
      </c>
      <c r="C556" s="49">
        <f>+'SERVICIO FAENA'!C554</f>
        <v>0</v>
      </c>
      <c r="D556" s="110"/>
      <c r="E556" s="110"/>
      <c r="F556" s="49"/>
      <c r="G556" s="49"/>
      <c r="H556" s="49">
        <f t="shared" si="27"/>
        <v>0</v>
      </c>
      <c r="I556" s="16"/>
      <c r="J556" s="16">
        <v>0</v>
      </c>
      <c r="K556" s="16">
        <v>0</v>
      </c>
      <c r="L556" s="11"/>
      <c r="M556" s="11"/>
      <c r="N556" s="16">
        <f t="shared" si="25"/>
        <v>0</v>
      </c>
      <c r="O556" s="18"/>
      <c r="P556" s="19">
        <v>0</v>
      </c>
      <c r="Q556" s="29">
        <f t="shared" si="26"/>
        <v>0</v>
      </c>
      <c r="R556" s="11"/>
    </row>
    <row r="557" spans="1:18" x14ac:dyDescent="0.2">
      <c r="A557" s="18">
        <f>+'SERVICIO FAENA'!E555</f>
        <v>0</v>
      </c>
      <c r="B557" s="20">
        <f>+'SERVICIO FAENA'!A555</f>
        <v>0</v>
      </c>
      <c r="C557" s="49">
        <f>+'SERVICIO FAENA'!C555</f>
        <v>0</v>
      </c>
      <c r="D557" s="110"/>
      <c r="E557" s="110"/>
      <c r="F557" s="49"/>
      <c r="G557" s="49"/>
      <c r="H557" s="49">
        <f t="shared" si="27"/>
        <v>0</v>
      </c>
      <c r="I557" s="16"/>
      <c r="J557" s="16">
        <v>0</v>
      </c>
      <c r="K557" s="16">
        <v>0</v>
      </c>
      <c r="L557" s="11"/>
      <c r="M557" s="11"/>
      <c r="N557" s="16">
        <f t="shared" si="25"/>
        <v>0</v>
      </c>
      <c r="O557" s="18"/>
      <c r="P557" s="19">
        <v>0</v>
      </c>
      <c r="Q557" s="29">
        <f t="shared" si="26"/>
        <v>0</v>
      </c>
      <c r="R557" s="11"/>
    </row>
    <row r="558" spans="1:18" ht="12.75" customHeight="1" x14ac:dyDescent="0.2">
      <c r="A558" s="18">
        <f>+'SERVICIO FAENA'!E556</f>
        <v>0</v>
      </c>
      <c r="B558" s="20">
        <f>+'SERVICIO FAENA'!A556</f>
        <v>0</v>
      </c>
      <c r="C558" s="49">
        <f>+'SERVICIO FAENA'!C556</f>
        <v>0</v>
      </c>
      <c r="D558" s="110"/>
      <c r="E558" s="110"/>
      <c r="F558" s="49"/>
      <c r="G558" s="49"/>
      <c r="H558" s="49">
        <f t="shared" si="27"/>
        <v>0</v>
      </c>
      <c r="I558" s="16"/>
      <c r="J558" s="16">
        <v>0</v>
      </c>
      <c r="K558" s="16">
        <v>0</v>
      </c>
      <c r="L558" s="11"/>
      <c r="M558" s="11"/>
      <c r="N558" s="16">
        <f t="shared" si="25"/>
        <v>0</v>
      </c>
      <c r="O558" s="18"/>
      <c r="P558" s="19">
        <v>0</v>
      </c>
      <c r="Q558" s="29">
        <f t="shared" si="26"/>
        <v>0</v>
      </c>
      <c r="R558" s="11"/>
    </row>
    <row r="559" spans="1:18" x14ac:dyDescent="0.2">
      <c r="A559" s="18">
        <f>+'SERVICIO FAENA'!E557</f>
        <v>0</v>
      </c>
      <c r="B559" s="20">
        <f>+'SERVICIO FAENA'!A557</f>
        <v>0</v>
      </c>
      <c r="C559" s="49">
        <f>+'SERVICIO FAENA'!C557</f>
        <v>0</v>
      </c>
      <c r="D559" s="110"/>
      <c r="E559" s="110"/>
      <c r="F559" s="49"/>
      <c r="G559" s="49"/>
      <c r="H559" s="49">
        <f t="shared" si="27"/>
        <v>0</v>
      </c>
      <c r="I559" s="16"/>
      <c r="J559" s="16">
        <v>0</v>
      </c>
      <c r="K559" s="16">
        <v>0</v>
      </c>
      <c r="L559" s="11"/>
      <c r="M559" s="11"/>
      <c r="N559" s="16">
        <f t="shared" si="25"/>
        <v>0</v>
      </c>
      <c r="O559" s="18"/>
      <c r="P559" s="19">
        <v>0</v>
      </c>
      <c r="Q559" s="29">
        <f t="shared" si="26"/>
        <v>0</v>
      </c>
      <c r="R559" s="11"/>
    </row>
    <row r="560" spans="1:18" ht="12.75" customHeight="1" x14ac:dyDescent="0.2">
      <c r="A560" s="18">
        <f>+'SERVICIO FAENA'!E558</f>
        <v>0</v>
      </c>
      <c r="B560" s="20">
        <f>+'SERVICIO FAENA'!A558</f>
        <v>0</v>
      </c>
      <c r="C560" s="49">
        <f>+'SERVICIO FAENA'!C558</f>
        <v>0</v>
      </c>
      <c r="D560" s="110"/>
      <c r="E560" s="110"/>
      <c r="F560" s="49"/>
      <c r="G560" s="49"/>
      <c r="H560" s="49">
        <f t="shared" si="27"/>
        <v>0</v>
      </c>
      <c r="I560" s="16"/>
      <c r="J560" s="16">
        <v>0</v>
      </c>
      <c r="K560" s="16">
        <v>0</v>
      </c>
      <c r="L560" s="11"/>
      <c r="M560" s="11"/>
      <c r="N560" s="16">
        <f t="shared" si="25"/>
        <v>0</v>
      </c>
      <c r="O560" s="18"/>
      <c r="P560" s="19">
        <v>0</v>
      </c>
      <c r="Q560" s="29">
        <f t="shared" si="26"/>
        <v>0</v>
      </c>
      <c r="R560" s="11"/>
    </row>
    <row r="561" spans="1:18" x14ac:dyDescent="0.2">
      <c r="A561" s="18">
        <f>+'SERVICIO FAENA'!E559</f>
        <v>0</v>
      </c>
      <c r="B561" s="20">
        <f>+'SERVICIO FAENA'!A559</f>
        <v>0</v>
      </c>
      <c r="C561" s="49">
        <f>+'SERVICIO FAENA'!C559</f>
        <v>0</v>
      </c>
      <c r="D561" s="110"/>
      <c r="E561" s="110"/>
      <c r="F561" s="49"/>
      <c r="G561" s="49"/>
      <c r="H561" s="49">
        <f t="shared" si="27"/>
        <v>0</v>
      </c>
      <c r="I561" s="16"/>
      <c r="J561" s="16">
        <v>0</v>
      </c>
      <c r="K561" s="16">
        <v>0</v>
      </c>
      <c r="L561" s="11"/>
      <c r="M561" s="11"/>
      <c r="N561" s="16">
        <f t="shared" si="25"/>
        <v>0</v>
      </c>
      <c r="O561" s="18"/>
      <c r="P561" s="19">
        <v>0</v>
      </c>
      <c r="Q561" s="29">
        <f t="shared" si="26"/>
        <v>0</v>
      </c>
      <c r="R561" s="11"/>
    </row>
    <row r="562" spans="1:18" ht="12.75" customHeight="1" x14ac:dyDescent="0.2">
      <c r="A562" s="18">
        <f>+'SERVICIO FAENA'!E560</f>
        <v>0</v>
      </c>
      <c r="B562" s="20">
        <f>+'SERVICIO FAENA'!A560</f>
        <v>0</v>
      </c>
      <c r="C562" s="49">
        <f>+'SERVICIO FAENA'!C560</f>
        <v>0</v>
      </c>
      <c r="D562" s="110"/>
      <c r="E562" s="110"/>
      <c r="F562" s="49"/>
      <c r="G562" s="49"/>
      <c r="H562" s="49">
        <f t="shared" si="27"/>
        <v>0</v>
      </c>
      <c r="I562" s="16"/>
      <c r="J562" s="16">
        <v>0</v>
      </c>
      <c r="K562" s="16">
        <v>0</v>
      </c>
      <c r="L562" s="11"/>
      <c r="M562" s="11"/>
      <c r="N562" s="16">
        <f t="shared" si="25"/>
        <v>0</v>
      </c>
      <c r="O562" s="18"/>
      <c r="P562" s="19">
        <v>0</v>
      </c>
      <c r="Q562" s="29">
        <f t="shared" si="26"/>
        <v>0</v>
      </c>
      <c r="R562" s="11"/>
    </row>
    <row r="563" spans="1:18" x14ac:dyDescent="0.2">
      <c r="A563" s="18">
        <f>+'SERVICIO FAENA'!E561</f>
        <v>0</v>
      </c>
      <c r="B563" s="20">
        <f>+'SERVICIO FAENA'!A561</f>
        <v>0</v>
      </c>
      <c r="C563" s="49">
        <f>+'SERVICIO FAENA'!C561</f>
        <v>0</v>
      </c>
      <c r="D563" s="110"/>
      <c r="E563" s="110"/>
      <c r="F563" s="49"/>
      <c r="G563" s="49"/>
      <c r="H563" s="49">
        <f t="shared" si="27"/>
        <v>0</v>
      </c>
      <c r="I563" s="16"/>
      <c r="J563" s="16">
        <v>0</v>
      </c>
      <c r="K563" s="16">
        <v>0</v>
      </c>
      <c r="L563" s="11"/>
      <c r="M563" s="11"/>
      <c r="N563" s="16">
        <f t="shared" si="25"/>
        <v>0</v>
      </c>
      <c r="O563" s="18"/>
      <c r="P563" s="19">
        <v>0</v>
      </c>
      <c r="Q563" s="29">
        <f t="shared" si="26"/>
        <v>0</v>
      </c>
      <c r="R563" s="11"/>
    </row>
    <row r="564" spans="1:18" ht="12.75" customHeight="1" x14ac:dyDescent="0.2">
      <c r="A564" s="18">
        <f>+'SERVICIO FAENA'!E562</f>
        <v>0</v>
      </c>
      <c r="B564" s="20">
        <f>+'SERVICIO FAENA'!A562</f>
        <v>0</v>
      </c>
      <c r="C564" s="49">
        <f>+'SERVICIO FAENA'!C562</f>
        <v>0</v>
      </c>
      <c r="D564" s="110"/>
      <c r="E564" s="110"/>
      <c r="F564" s="49"/>
      <c r="G564" s="49"/>
      <c r="H564" s="49">
        <f t="shared" si="27"/>
        <v>0</v>
      </c>
      <c r="I564" s="16"/>
      <c r="J564" s="16">
        <v>0</v>
      </c>
      <c r="K564" s="16">
        <v>0</v>
      </c>
      <c r="L564" s="11"/>
      <c r="M564" s="11"/>
      <c r="N564" s="16">
        <f t="shared" si="25"/>
        <v>0</v>
      </c>
      <c r="O564" s="18"/>
      <c r="P564" s="19">
        <v>0</v>
      </c>
      <c r="Q564" s="29">
        <f t="shared" si="26"/>
        <v>0</v>
      </c>
      <c r="R564" s="11"/>
    </row>
    <row r="565" spans="1:18" x14ac:dyDescent="0.2">
      <c r="A565" s="18">
        <f>+'SERVICIO FAENA'!E563</f>
        <v>0</v>
      </c>
      <c r="B565" s="20">
        <f>+'SERVICIO FAENA'!A563</f>
        <v>0</v>
      </c>
      <c r="C565" s="49">
        <f>+'SERVICIO FAENA'!C563</f>
        <v>0</v>
      </c>
      <c r="D565" s="110"/>
      <c r="E565" s="110"/>
      <c r="F565" s="49"/>
      <c r="G565" s="49"/>
      <c r="H565" s="49">
        <f t="shared" si="27"/>
        <v>0</v>
      </c>
      <c r="I565" s="16"/>
      <c r="J565" s="16">
        <v>0</v>
      </c>
      <c r="K565" s="16">
        <v>0</v>
      </c>
      <c r="L565" s="11"/>
      <c r="M565" s="11"/>
      <c r="N565" s="16">
        <f t="shared" si="25"/>
        <v>0</v>
      </c>
      <c r="O565" s="18"/>
      <c r="P565" s="19">
        <v>0</v>
      </c>
      <c r="Q565" s="29">
        <f t="shared" si="26"/>
        <v>0</v>
      </c>
      <c r="R565" s="11"/>
    </row>
    <row r="566" spans="1:18" ht="12.75" customHeight="1" x14ac:dyDescent="0.2">
      <c r="A566" s="18">
        <f>+'SERVICIO FAENA'!E564</f>
        <v>0</v>
      </c>
      <c r="B566" s="20">
        <f>+'SERVICIO FAENA'!A564</f>
        <v>0</v>
      </c>
      <c r="C566" s="49">
        <f>+'SERVICIO FAENA'!C564</f>
        <v>0</v>
      </c>
      <c r="D566" s="110"/>
      <c r="E566" s="110"/>
      <c r="F566" s="49"/>
      <c r="G566" s="49"/>
      <c r="H566" s="49">
        <f t="shared" si="27"/>
        <v>0</v>
      </c>
      <c r="I566" s="16"/>
      <c r="J566" s="16">
        <v>0</v>
      </c>
      <c r="K566" s="16">
        <v>0</v>
      </c>
      <c r="L566" s="11"/>
      <c r="M566" s="11"/>
      <c r="N566" s="16">
        <f t="shared" si="25"/>
        <v>0</v>
      </c>
      <c r="O566" s="18"/>
      <c r="P566" s="19">
        <v>0</v>
      </c>
      <c r="Q566" s="29">
        <f t="shared" si="26"/>
        <v>0</v>
      </c>
      <c r="R566" s="11"/>
    </row>
    <row r="567" spans="1:18" x14ac:dyDescent="0.2">
      <c r="A567" s="18">
        <f>+'SERVICIO FAENA'!E565</f>
        <v>0</v>
      </c>
      <c r="B567" s="20">
        <f>+'SERVICIO FAENA'!A565</f>
        <v>0</v>
      </c>
      <c r="C567" s="49">
        <f>+'SERVICIO FAENA'!C565</f>
        <v>0</v>
      </c>
      <c r="D567" s="110"/>
      <c r="E567" s="110"/>
      <c r="F567" s="49"/>
      <c r="G567" s="49"/>
      <c r="H567" s="49">
        <f t="shared" si="27"/>
        <v>0</v>
      </c>
      <c r="I567" s="16"/>
      <c r="J567" s="16">
        <v>0</v>
      </c>
      <c r="K567" s="16">
        <v>0</v>
      </c>
      <c r="L567" s="11"/>
      <c r="M567" s="11"/>
      <c r="N567" s="16">
        <f t="shared" si="25"/>
        <v>0</v>
      </c>
      <c r="O567" s="18"/>
      <c r="P567" s="19">
        <v>0</v>
      </c>
      <c r="Q567" s="29">
        <f t="shared" si="26"/>
        <v>0</v>
      </c>
      <c r="R567" s="11"/>
    </row>
    <row r="568" spans="1:18" ht="12.75" customHeight="1" x14ac:dyDescent="0.2">
      <c r="A568" s="18">
        <f>+'SERVICIO FAENA'!E566</f>
        <v>0</v>
      </c>
      <c r="B568" s="20">
        <f>+'SERVICIO FAENA'!A566</f>
        <v>0</v>
      </c>
      <c r="C568" s="49">
        <f>+'SERVICIO FAENA'!C566</f>
        <v>0</v>
      </c>
      <c r="D568" s="110"/>
      <c r="E568" s="110"/>
      <c r="F568" s="49"/>
      <c r="G568" s="49"/>
      <c r="H568" s="49">
        <f t="shared" si="27"/>
        <v>0</v>
      </c>
      <c r="I568" s="16"/>
      <c r="J568" s="16">
        <v>0</v>
      </c>
      <c r="K568" s="16">
        <v>0</v>
      </c>
      <c r="L568" s="11"/>
      <c r="M568" s="11"/>
      <c r="N568" s="16">
        <f t="shared" si="25"/>
        <v>0</v>
      </c>
      <c r="O568" s="18"/>
      <c r="P568" s="19">
        <v>0</v>
      </c>
      <c r="Q568" s="29">
        <f t="shared" si="26"/>
        <v>0</v>
      </c>
      <c r="R568" s="11"/>
    </row>
    <row r="569" spans="1:18" x14ac:dyDescent="0.2">
      <c r="A569" s="18">
        <f>+'SERVICIO FAENA'!E567</f>
        <v>0</v>
      </c>
      <c r="B569" s="20">
        <f>+'SERVICIO FAENA'!A567</f>
        <v>0</v>
      </c>
      <c r="C569" s="49">
        <f>+'SERVICIO FAENA'!C567</f>
        <v>0</v>
      </c>
      <c r="D569" s="110"/>
      <c r="E569" s="110"/>
      <c r="F569" s="49"/>
      <c r="G569" s="49"/>
      <c r="H569" s="49">
        <f t="shared" si="27"/>
        <v>0</v>
      </c>
      <c r="I569" s="16"/>
      <c r="J569" s="16">
        <v>0</v>
      </c>
      <c r="K569" s="16">
        <v>0</v>
      </c>
      <c r="L569" s="11"/>
      <c r="M569" s="11"/>
      <c r="N569" s="16">
        <f t="shared" si="25"/>
        <v>0</v>
      </c>
      <c r="O569" s="18"/>
      <c r="P569" s="19">
        <v>0</v>
      </c>
      <c r="Q569" s="29">
        <f t="shared" si="26"/>
        <v>0</v>
      </c>
      <c r="R569" s="11"/>
    </row>
    <row r="570" spans="1:18" ht="12.75" customHeight="1" x14ac:dyDescent="0.2">
      <c r="A570" s="18">
        <f>+'SERVICIO FAENA'!E568</f>
        <v>0</v>
      </c>
      <c r="B570" s="20">
        <f>+'SERVICIO FAENA'!A568</f>
        <v>0</v>
      </c>
      <c r="C570" s="49">
        <f>+'SERVICIO FAENA'!C568</f>
        <v>0</v>
      </c>
      <c r="D570" s="110"/>
      <c r="E570" s="110"/>
      <c r="F570" s="49"/>
      <c r="G570" s="49"/>
      <c r="H570" s="49">
        <f t="shared" si="27"/>
        <v>0</v>
      </c>
      <c r="I570" s="16"/>
      <c r="J570" s="16">
        <v>0</v>
      </c>
      <c r="K570" s="16">
        <v>0</v>
      </c>
      <c r="L570" s="11"/>
      <c r="M570" s="11"/>
      <c r="N570" s="16">
        <f t="shared" si="25"/>
        <v>0</v>
      </c>
      <c r="O570" s="18"/>
      <c r="P570" s="19">
        <v>0</v>
      </c>
      <c r="Q570" s="29">
        <f t="shared" si="26"/>
        <v>0</v>
      </c>
      <c r="R570" s="11"/>
    </row>
    <row r="571" spans="1:18" x14ac:dyDescent="0.2">
      <c r="A571" s="18">
        <f>+'SERVICIO FAENA'!E569</f>
        <v>0</v>
      </c>
      <c r="B571" s="20">
        <f>+'SERVICIO FAENA'!A569</f>
        <v>0</v>
      </c>
      <c r="C571" s="49">
        <f>+'SERVICIO FAENA'!C569</f>
        <v>0</v>
      </c>
      <c r="D571" s="110"/>
      <c r="E571" s="110"/>
      <c r="F571" s="49"/>
      <c r="G571" s="49"/>
      <c r="H571" s="49">
        <f t="shared" si="27"/>
        <v>0</v>
      </c>
      <c r="I571" s="16"/>
      <c r="J571" s="16">
        <v>0</v>
      </c>
      <c r="K571" s="16">
        <v>0</v>
      </c>
      <c r="L571" s="11"/>
      <c r="M571" s="11"/>
      <c r="N571" s="16">
        <f t="shared" si="25"/>
        <v>0</v>
      </c>
      <c r="O571" s="18"/>
      <c r="P571" s="19">
        <v>0</v>
      </c>
      <c r="Q571" s="29">
        <f t="shared" si="26"/>
        <v>0</v>
      </c>
      <c r="R571" s="11"/>
    </row>
    <row r="572" spans="1:18" ht="12.75" customHeight="1" x14ac:dyDescent="0.2">
      <c r="A572" s="18">
        <f>+'SERVICIO FAENA'!E570</f>
        <v>0</v>
      </c>
      <c r="B572" s="20">
        <f>+'SERVICIO FAENA'!A570</f>
        <v>0</v>
      </c>
      <c r="C572" s="49">
        <f>+'SERVICIO FAENA'!C570</f>
        <v>0</v>
      </c>
      <c r="D572" s="110"/>
      <c r="E572" s="110"/>
      <c r="F572" s="49"/>
      <c r="G572" s="49"/>
      <c r="H572" s="49">
        <f t="shared" si="27"/>
        <v>0</v>
      </c>
      <c r="I572" s="16"/>
      <c r="J572" s="16">
        <v>0</v>
      </c>
      <c r="K572" s="16">
        <v>0</v>
      </c>
      <c r="L572" s="11"/>
      <c r="M572" s="11"/>
      <c r="N572" s="16">
        <f t="shared" si="25"/>
        <v>0</v>
      </c>
      <c r="O572" s="18"/>
      <c r="P572" s="19">
        <v>0</v>
      </c>
      <c r="Q572" s="29">
        <f t="shared" si="26"/>
        <v>0</v>
      </c>
      <c r="R572" s="11"/>
    </row>
    <row r="573" spans="1:18" x14ac:dyDescent="0.2">
      <c r="A573" s="18">
        <f>+'SERVICIO FAENA'!E571</f>
        <v>0</v>
      </c>
      <c r="B573" s="20">
        <f>+'SERVICIO FAENA'!A571</f>
        <v>0</v>
      </c>
      <c r="C573" s="49">
        <f>+'SERVICIO FAENA'!C571</f>
        <v>0</v>
      </c>
      <c r="D573" s="110"/>
      <c r="E573" s="110"/>
      <c r="F573" s="49"/>
      <c r="G573" s="49"/>
      <c r="H573" s="49">
        <f t="shared" si="27"/>
        <v>0</v>
      </c>
      <c r="I573" s="16"/>
      <c r="J573" s="16">
        <v>0</v>
      </c>
      <c r="K573" s="16">
        <v>0</v>
      </c>
      <c r="L573" s="11"/>
      <c r="M573" s="11"/>
      <c r="N573" s="16">
        <f t="shared" si="25"/>
        <v>0</v>
      </c>
      <c r="O573" s="18"/>
      <c r="P573" s="19">
        <v>0</v>
      </c>
      <c r="Q573" s="29">
        <f t="shared" si="26"/>
        <v>0</v>
      </c>
      <c r="R573" s="11"/>
    </row>
    <row r="574" spans="1:18" ht="12.75" customHeight="1" x14ac:dyDescent="0.2">
      <c r="A574" s="18">
        <f>+'SERVICIO FAENA'!E572</f>
        <v>0</v>
      </c>
      <c r="B574" s="20">
        <f>+'SERVICIO FAENA'!A572</f>
        <v>0</v>
      </c>
      <c r="C574" s="49">
        <f>+'SERVICIO FAENA'!C572</f>
        <v>0</v>
      </c>
      <c r="D574" s="110"/>
      <c r="E574" s="110"/>
      <c r="F574" s="49"/>
      <c r="G574" s="49"/>
      <c r="H574" s="49">
        <f t="shared" si="27"/>
        <v>0</v>
      </c>
      <c r="I574" s="16"/>
      <c r="J574" s="16">
        <v>0</v>
      </c>
      <c r="K574" s="16">
        <v>0</v>
      </c>
      <c r="L574" s="11"/>
      <c r="M574" s="11"/>
      <c r="N574" s="16">
        <f t="shared" si="25"/>
        <v>0</v>
      </c>
      <c r="O574" s="18"/>
      <c r="P574" s="19">
        <v>0</v>
      </c>
      <c r="Q574" s="29">
        <f t="shared" si="26"/>
        <v>0</v>
      </c>
      <c r="R574" s="11"/>
    </row>
    <row r="575" spans="1:18" x14ac:dyDescent="0.2">
      <c r="A575" s="18">
        <f>+'SERVICIO FAENA'!E573</f>
        <v>0</v>
      </c>
      <c r="B575" s="20">
        <f>+'SERVICIO FAENA'!A573</f>
        <v>0</v>
      </c>
      <c r="C575" s="49">
        <f>+'SERVICIO FAENA'!C573</f>
        <v>0</v>
      </c>
      <c r="D575" s="110"/>
      <c r="E575" s="110"/>
      <c r="F575" s="49"/>
      <c r="G575" s="49"/>
      <c r="H575" s="49">
        <f t="shared" si="27"/>
        <v>0</v>
      </c>
      <c r="I575" s="16"/>
      <c r="J575" s="16">
        <v>0</v>
      </c>
      <c r="K575" s="16">
        <v>0</v>
      </c>
      <c r="L575" s="11"/>
      <c r="M575" s="11"/>
      <c r="N575" s="16">
        <f t="shared" si="25"/>
        <v>0</v>
      </c>
      <c r="O575" s="18"/>
      <c r="P575" s="19">
        <v>0</v>
      </c>
      <c r="Q575" s="29">
        <f t="shared" si="26"/>
        <v>0</v>
      </c>
      <c r="R575" s="11"/>
    </row>
    <row r="576" spans="1:18" ht="12.75" customHeight="1" x14ac:dyDescent="0.2">
      <c r="A576" s="18">
        <f>+'SERVICIO FAENA'!E574</f>
        <v>0</v>
      </c>
      <c r="B576" s="20">
        <f>+'SERVICIO FAENA'!A574</f>
        <v>0</v>
      </c>
      <c r="C576" s="49">
        <f>+'SERVICIO FAENA'!C574</f>
        <v>0</v>
      </c>
      <c r="D576" s="110"/>
      <c r="E576" s="110"/>
      <c r="F576" s="49"/>
      <c r="G576" s="49"/>
      <c r="H576" s="49">
        <f t="shared" si="27"/>
        <v>0</v>
      </c>
      <c r="I576" s="16"/>
      <c r="J576" s="16">
        <v>0</v>
      </c>
      <c r="K576" s="16">
        <v>0</v>
      </c>
      <c r="L576" s="11"/>
      <c r="M576" s="11"/>
      <c r="N576" s="16">
        <f t="shared" si="25"/>
        <v>0</v>
      </c>
      <c r="O576" s="18"/>
      <c r="P576" s="19">
        <v>0</v>
      </c>
      <c r="Q576" s="29">
        <f t="shared" si="26"/>
        <v>0</v>
      </c>
      <c r="R576" s="11"/>
    </row>
    <row r="577" spans="1:18" x14ac:dyDescent="0.2">
      <c r="A577" s="18">
        <f>+'SERVICIO FAENA'!E575</f>
        <v>0</v>
      </c>
      <c r="B577" s="20">
        <f>+'SERVICIO FAENA'!A575</f>
        <v>0</v>
      </c>
      <c r="C577" s="49">
        <f>+'SERVICIO FAENA'!C575</f>
        <v>0</v>
      </c>
      <c r="D577" s="110"/>
      <c r="E577" s="110"/>
      <c r="F577" s="49"/>
      <c r="G577" s="49"/>
      <c r="H577" s="49">
        <f t="shared" si="27"/>
        <v>0</v>
      </c>
      <c r="I577" s="16"/>
      <c r="J577" s="16">
        <v>0</v>
      </c>
      <c r="K577" s="16">
        <v>0</v>
      </c>
      <c r="L577" s="11"/>
      <c r="M577" s="11"/>
      <c r="N577" s="16">
        <f t="shared" si="25"/>
        <v>0</v>
      </c>
      <c r="O577" s="18"/>
      <c r="P577" s="19">
        <v>0</v>
      </c>
      <c r="Q577" s="29">
        <f t="shared" si="26"/>
        <v>0</v>
      </c>
      <c r="R577" s="11"/>
    </row>
    <row r="578" spans="1:18" ht="12.75" customHeight="1" x14ac:dyDescent="0.2">
      <c r="A578" s="18">
        <f>+'SERVICIO FAENA'!E576</f>
        <v>0</v>
      </c>
      <c r="B578" s="20">
        <f>+'SERVICIO FAENA'!A576</f>
        <v>0</v>
      </c>
      <c r="C578" s="49">
        <f>+'SERVICIO FAENA'!C576</f>
        <v>0</v>
      </c>
      <c r="D578" s="110"/>
      <c r="E578" s="110"/>
      <c r="F578" s="49"/>
      <c r="G578" s="49"/>
      <c r="H578" s="49">
        <f t="shared" si="27"/>
        <v>0</v>
      </c>
      <c r="I578" s="16"/>
      <c r="J578" s="16">
        <v>0</v>
      </c>
      <c r="K578" s="16">
        <v>0</v>
      </c>
      <c r="L578" s="11"/>
      <c r="M578" s="11"/>
      <c r="N578" s="16">
        <f t="shared" si="25"/>
        <v>0</v>
      </c>
      <c r="O578" s="18"/>
      <c r="P578" s="19">
        <v>0</v>
      </c>
      <c r="Q578" s="29">
        <f t="shared" si="26"/>
        <v>0</v>
      </c>
      <c r="R578" s="11"/>
    </row>
    <row r="579" spans="1:18" x14ac:dyDescent="0.2">
      <c r="A579" s="18">
        <f>+'SERVICIO FAENA'!E577</f>
        <v>0</v>
      </c>
      <c r="B579" s="20">
        <f>+'SERVICIO FAENA'!A577</f>
        <v>0</v>
      </c>
      <c r="C579" s="49">
        <f>+'SERVICIO FAENA'!C577</f>
        <v>0</v>
      </c>
      <c r="D579" s="110"/>
      <c r="E579" s="110"/>
      <c r="F579" s="49"/>
      <c r="G579" s="49"/>
      <c r="H579" s="49">
        <f t="shared" si="27"/>
        <v>0</v>
      </c>
      <c r="I579" s="16"/>
      <c r="J579" s="16">
        <v>0</v>
      </c>
      <c r="K579" s="16">
        <v>0</v>
      </c>
      <c r="L579" s="11"/>
      <c r="M579" s="11"/>
      <c r="N579" s="16">
        <f t="shared" si="25"/>
        <v>0</v>
      </c>
      <c r="O579" s="18"/>
      <c r="P579" s="19">
        <v>0</v>
      </c>
      <c r="Q579" s="29">
        <f t="shared" si="26"/>
        <v>0</v>
      </c>
      <c r="R579" s="11"/>
    </row>
    <row r="580" spans="1:18" ht="12.75" customHeight="1" x14ac:dyDescent="0.2">
      <c r="A580" s="18">
        <f>+'SERVICIO FAENA'!E578</f>
        <v>0</v>
      </c>
      <c r="B580" s="20">
        <f>+'SERVICIO FAENA'!A578</f>
        <v>0</v>
      </c>
      <c r="C580" s="49">
        <f>+'SERVICIO FAENA'!C578</f>
        <v>0</v>
      </c>
      <c r="D580" s="110"/>
      <c r="E580" s="110"/>
      <c r="F580" s="49"/>
      <c r="G580" s="49"/>
      <c r="H580" s="49">
        <f t="shared" si="27"/>
        <v>0</v>
      </c>
      <c r="I580" s="16"/>
      <c r="J580" s="16">
        <v>0</v>
      </c>
      <c r="K580" s="16">
        <v>0</v>
      </c>
      <c r="L580" s="11"/>
      <c r="M580" s="11"/>
      <c r="N580" s="16">
        <f t="shared" si="25"/>
        <v>0</v>
      </c>
      <c r="O580" s="18"/>
      <c r="P580" s="19">
        <v>0</v>
      </c>
      <c r="Q580" s="29">
        <f t="shared" si="26"/>
        <v>0</v>
      </c>
      <c r="R580" s="11"/>
    </row>
    <row r="581" spans="1:18" x14ac:dyDescent="0.2">
      <c r="A581" s="18">
        <f>+'SERVICIO FAENA'!E579</f>
        <v>0</v>
      </c>
      <c r="B581" s="20">
        <f>+'SERVICIO FAENA'!A579</f>
        <v>0</v>
      </c>
      <c r="C581" s="49">
        <f>+'SERVICIO FAENA'!C579</f>
        <v>0</v>
      </c>
      <c r="D581" s="110"/>
      <c r="E581" s="110"/>
      <c r="F581" s="49"/>
      <c r="G581" s="49"/>
      <c r="H581" s="49">
        <f t="shared" si="27"/>
        <v>0</v>
      </c>
      <c r="I581" s="16"/>
      <c r="J581" s="16">
        <v>0</v>
      </c>
      <c r="K581" s="16">
        <v>0</v>
      </c>
      <c r="L581" s="11"/>
      <c r="M581" s="11"/>
      <c r="N581" s="16">
        <f t="shared" si="25"/>
        <v>0</v>
      </c>
      <c r="O581" s="18"/>
      <c r="P581" s="19">
        <v>0</v>
      </c>
      <c r="Q581" s="29">
        <f t="shared" si="26"/>
        <v>0</v>
      </c>
      <c r="R581" s="11"/>
    </row>
    <row r="582" spans="1:18" ht="12.75" customHeight="1" x14ac:dyDescent="0.2">
      <c r="A582" s="18">
        <f>+'SERVICIO FAENA'!E580</f>
        <v>0</v>
      </c>
      <c r="B582" s="20">
        <f>+'SERVICIO FAENA'!A580</f>
        <v>0</v>
      </c>
      <c r="C582" s="49">
        <f>+'SERVICIO FAENA'!C580</f>
        <v>0</v>
      </c>
      <c r="D582" s="110"/>
      <c r="E582" s="110"/>
      <c r="F582" s="49"/>
      <c r="G582" s="49"/>
      <c r="H582" s="49">
        <f t="shared" si="27"/>
        <v>0</v>
      </c>
      <c r="I582" s="16"/>
      <c r="J582" s="16">
        <v>0</v>
      </c>
      <c r="K582" s="16">
        <v>0</v>
      </c>
      <c r="L582" s="11"/>
      <c r="M582" s="11"/>
      <c r="N582" s="16">
        <f t="shared" si="25"/>
        <v>0</v>
      </c>
      <c r="O582" s="18"/>
      <c r="P582" s="19">
        <v>0</v>
      </c>
      <c r="Q582" s="29">
        <f t="shared" si="26"/>
        <v>0</v>
      </c>
      <c r="R582" s="11"/>
    </row>
    <row r="583" spans="1:18" x14ac:dyDescent="0.2">
      <c r="A583" s="18">
        <f>+'SERVICIO FAENA'!E581</f>
        <v>0</v>
      </c>
      <c r="B583" s="20">
        <f>+'SERVICIO FAENA'!A581</f>
        <v>0</v>
      </c>
      <c r="C583" s="49">
        <f>+'SERVICIO FAENA'!C581</f>
        <v>0</v>
      </c>
      <c r="D583" s="110"/>
      <c r="E583" s="110"/>
      <c r="F583" s="49"/>
      <c r="G583" s="49"/>
      <c r="H583" s="49">
        <f t="shared" si="27"/>
        <v>0</v>
      </c>
      <c r="I583" s="16"/>
      <c r="J583" s="16">
        <v>0</v>
      </c>
      <c r="K583" s="16">
        <v>0</v>
      </c>
      <c r="L583" s="11"/>
      <c r="M583" s="11"/>
      <c r="N583" s="16">
        <f t="shared" si="25"/>
        <v>0</v>
      </c>
      <c r="O583" s="18"/>
      <c r="P583" s="19">
        <v>0</v>
      </c>
      <c r="Q583" s="29">
        <f t="shared" si="26"/>
        <v>0</v>
      </c>
      <c r="R583" s="11"/>
    </row>
    <row r="584" spans="1:18" ht="12.75" customHeight="1" x14ac:dyDescent="0.2">
      <c r="A584" s="18">
        <f>+'SERVICIO FAENA'!E582</f>
        <v>0</v>
      </c>
      <c r="B584" s="20">
        <f>+'SERVICIO FAENA'!A582</f>
        <v>0</v>
      </c>
      <c r="C584" s="49">
        <f>+'SERVICIO FAENA'!C582</f>
        <v>0</v>
      </c>
      <c r="D584" s="110"/>
      <c r="E584" s="110"/>
      <c r="F584" s="49"/>
      <c r="G584" s="49"/>
      <c r="H584" s="49">
        <f t="shared" si="27"/>
        <v>0</v>
      </c>
      <c r="I584" s="16"/>
      <c r="J584" s="16">
        <v>0</v>
      </c>
      <c r="K584" s="16">
        <v>0</v>
      </c>
      <c r="L584" s="11"/>
      <c r="M584" s="11"/>
      <c r="N584" s="16">
        <f t="shared" ref="N584:N647" si="28">+K584*I584</f>
        <v>0</v>
      </c>
      <c r="O584" s="18"/>
      <c r="P584" s="19">
        <v>0</v>
      </c>
      <c r="Q584" s="29">
        <f t="shared" ref="Q584:Q647" si="29">+P584-N584</f>
        <v>0</v>
      </c>
      <c r="R584" s="11"/>
    </row>
    <row r="585" spans="1:18" x14ac:dyDescent="0.2">
      <c r="A585" s="18">
        <f>+'SERVICIO FAENA'!E583</f>
        <v>0</v>
      </c>
      <c r="B585" s="20">
        <f>+'SERVICIO FAENA'!A583</f>
        <v>0</v>
      </c>
      <c r="C585" s="49">
        <f>+'SERVICIO FAENA'!C583</f>
        <v>0</v>
      </c>
      <c r="D585" s="110"/>
      <c r="E585" s="110"/>
      <c r="F585" s="49"/>
      <c r="G585" s="49"/>
      <c r="H585" s="49">
        <f t="shared" si="27"/>
        <v>0</v>
      </c>
      <c r="I585" s="16"/>
      <c r="J585" s="16">
        <v>0</v>
      </c>
      <c r="K585" s="16">
        <v>0</v>
      </c>
      <c r="L585" s="11"/>
      <c r="M585" s="11"/>
      <c r="N585" s="16">
        <f t="shared" si="28"/>
        <v>0</v>
      </c>
      <c r="O585" s="18"/>
      <c r="P585" s="19">
        <v>0</v>
      </c>
      <c r="Q585" s="29">
        <f t="shared" si="29"/>
        <v>0</v>
      </c>
      <c r="R585" s="11"/>
    </row>
    <row r="586" spans="1:18" ht="12.75" customHeight="1" x14ac:dyDescent="0.2">
      <c r="A586" s="18">
        <f>+'SERVICIO FAENA'!E584</f>
        <v>0</v>
      </c>
      <c r="B586" s="20">
        <f>+'SERVICIO FAENA'!A584</f>
        <v>0</v>
      </c>
      <c r="C586" s="49">
        <f>+'SERVICIO FAENA'!C584</f>
        <v>0</v>
      </c>
      <c r="D586" s="110"/>
      <c r="E586" s="110"/>
      <c r="F586" s="49"/>
      <c r="G586" s="49"/>
      <c r="H586" s="49">
        <f t="shared" si="27"/>
        <v>0</v>
      </c>
      <c r="I586" s="16"/>
      <c r="J586" s="16">
        <v>0</v>
      </c>
      <c r="K586" s="16">
        <v>0</v>
      </c>
      <c r="L586" s="11"/>
      <c r="M586" s="11"/>
      <c r="N586" s="16">
        <f t="shared" si="28"/>
        <v>0</v>
      </c>
      <c r="O586" s="18"/>
      <c r="P586" s="19">
        <v>0</v>
      </c>
      <c r="Q586" s="29">
        <f t="shared" si="29"/>
        <v>0</v>
      </c>
      <c r="R586" s="11"/>
    </row>
    <row r="587" spans="1:18" x14ac:dyDescent="0.2">
      <c r="A587" s="18">
        <f>+'SERVICIO FAENA'!E585</f>
        <v>0</v>
      </c>
      <c r="B587" s="20">
        <f>+'SERVICIO FAENA'!A585</f>
        <v>0</v>
      </c>
      <c r="C587" s="49">
        <f>+'SERVICIO FAENA'!C585</f>
        <v>0</v>
      </c>
      <c r="D587" s="110"/>
      <c r="E587" s="110"/>
      <c r="F587" s="49"/>
      <c r="G587" s="49"/>
      <c r="H587" s="49">
        <f t="shared" si="27"/>
        <v>0</v>
      </c>
      <c r="I587" s="16"/>
      <c r="J587" s="16">
        <v>0</v>
      </c>
      <c r="K587" s="16">
        <v>0</v>
      </c>
      <c r="L587" s="11"/>
      <c r="M587" s="11"/>
      <c r="N587" s="16">
        <f t="shared" si="28"/>
        <v>0</v>
      </c>
      <c r="O587" s="18"/>
      <c r="P587" s="19">
        <v>0</v>
      </c>
      <c r="Q587" s="29">
        <f t="shared" si="29"/>
        <v>0</v>
      </c>
      <c r="R587" s="11"/>
    </row>
    <row r="588" spans="1:18" ht="12.75" customHeight="1" x14ac:dyDescent="0.2">
      <c r="A588" s="18">
        <f>+'SERVICIO FAENA'!E586</f>
        <v>0</v>
      </c>
      <c r="B588" s="20">
        <f>+'SERVICIO FAENA'!A586</f>
        <v>0</v>
      </c>
      <c r="C588" s="49">
        <f>+'SERVICIO FAENA'!C586</f>
        <v>0</v>
      </c>
      <c r="D588" s="110"/>
      <c r="E588" s="110"/>
      <c r="F588" s="49"/>
      <c r="G588" s="49"/>
      <c r="H588" s="49">
        <f t="shared" si="27"/>
        <v>0</v>
      </c>
      <c r="I588" s="16"/>
      <c r="J588" s="16">
        <v>0</v>
      </c>
      <c r="K588" s="16">
        <v>0</v>
      </c>
      <c r="L588" s="11"/>
      <c r="M588" s="11"/>
      <c r="N588" s="16">
        <f t="shared" si="28"/>
        <v>0</v>
      </c>
      <c r="O588" s="18"/>
      <c r="P588" s="19">
        <v>0</v>
      </c>
      <c r="Q588" s="29">
        <f t="shared" si="29"/>
        <v>0</v>
      </c>
      <c r="R588" s="11"/>
    </row>
    <row r="589" spans="1:18" x14ac:dyDescent="0.2">
      <c r="A589" s="18">
        <f>+'SERVICIO FAENA'!E587</f>
        <v>0</v>
      </c>
      <c r="B589" s="20">
        <f>+'SERVICIO FAENA'!A587</f>
        <v>0</v>
      </c>
      <c r="C589" s="49">
        <f>+'SERVICIO FAENA'!C587</f>
        <v>0</v>
      </c>
      <c r="D589" s="110"/>
      <c r="E589" s="110"/>
      <c r="F589" s="49"/>
      <c r="G589" s="49"/>
      <c r="H589" s="49">
        <f t="shared" si="27"/>
        <v>0</v>
      </c>
      <c r="I589" s="16"/>
      <c r="J589" s="16">
        <v>0</v>
      </c>
      <c r="K589" s="16">
        <v>0</v>
      </c>
      <c r="L589" s="11"/>
      <c r="M589" s="11"/>
      <c r="N589" s="16">
        <f t="shared" si="28"/>
        <v>0</v>
      </c>
      <c r="O589" s="18"/>
      <c r="P589" s="19">
        <v>0</v>
      </c>
      <c r="Q589" s="29">
        <f t="shared" si="29"/>
        <v>0</v>
      </c>
      <c r="R589" s="11"/>
    </row>
    <row r="590" spans="1:18" ht="12.75" customHeight="1" x14ac:dyDescent="0.2">
      <c r="A590" s="18">
        <f>+'SERVICIO FAENA'!E588</f>
        <v>0</v>
      </c>
      <c r="B590" s="20">
        <f>+'SERVICIO FAENA'!A588</f>
        <v>0</v>
      </c>
      <c r="C590" s="49">
        <f>+'SERVICIO FAENA'!C588</f>
        <v>0</v>
      </c>
      <c r="D590" s="110"/>
      <c r="E590" s="110"/>
      <c r="F590" s="49"/>
      <c r="G590" s="49"/>
      <c r="H590" s="49">
        <f t="shared" si="27"/>
        <v>0</v>
      </c>
      <c r="I590" s="16"/>
      <c r="J590" s="16">
        <v>0</v>
      </c>
      <c r="K590" s="16">
        <v>0</v>
      </c>
      <c r="L590" s="11"/>
      <c r="M590" s="11"/>
      <c r="N590" s="16">
        <f t="shared" si="28"/>
        <v>0</v>
      </c>
      <c r="O590" s="18"/>
      <c r="P590" s="19">
        <v>0</v>
      </c>
      <c r="Q590" s="29">
        <f t="shared" si="29"/>
        <v>0</v>
      </c>
      <c r="R590" s="11"/>
    </row>
    <row r="591" spans="1:18" x14ac:dyDescent="0.2">
      <c r="A591" s="18">
        <f>+'SERVICIO FAENA'!E589</f>
        <v>0</v>
      </c>
      <c r="B591" s="20">
        <f>+'SERVICIO FAENA'!A589</f>
        <v>0</v>
      </c>
      <c r="C591" s="49">
        <f>+'SERVICIO FAENA'!C589</f>
        <v>0</v>
      </c>
      <c r="D591" s="110"/>
      <c r="E591" s="110"/>
      <c r="F591" s="49"/>
      <c r="G591" s="49"/>
      <c r="H591" s="49">
        <f t="shared" si="27"/>
        <v>0</v>
      </c>
      <c r="I591" s="16"/>
      <c r="J591" s="16">
        <v>0</v>
      </c>
      <c r="K591" s="16">
        <v>0</v>
      </c>
      <c r="L591" s="11"/>
      <c r="M591" s="11"/>
      <c r="N591" s="16">
        <f t="shared" si="28"/>
        <v>0</v>
      </c>
      <c r="O591" s="18"/>
      <c r="P591" s="19">
        <v>0</v>
      </c>
      <c r="Q591" s="29">
        <f t="shared" si="29"/>
        <v>0</v>
      </c>
      <c r="R591" s="11"/>
    </row>
    <row r="592" spans="1:18" ht="12.75" customHeight="1" x14ac:dyDescent="0.2">
      <c r="A592" s="18">
        <f>+'SERVICIO FAENA'!E590</f>
        <v>0</v>
      </c>
      <c r="B592" s="20">
        <f>+'SERVICIO FAENA'!A590</f>
        <v>0</v>
      </c>
      <c r="C592" s="49">
        <f>+'SERVICIO FAENA'!C590</f>
        <v>0</v>
      </c>
      <c r="D592" s="110"/>
      <c r="E592" s="110"/>
      <c r="F592" s="49"/>
      <c r="G592" s="49"/>
      <c r="H592" s="49">
        <f t="shared" si="27"/>
        <v>0</v>
      </c>
      <c r="I592" s="16"/>
      <c r="J592" s="16">
        <v>0</v>
      </c>
      <c r="K592" s="16">
        <v>0</v>
      </c>
      <c r="L592" s="11"/>
      <c r="M592" s="11"/>
      <c r="N592" s="16">
        <f t="shared" si="28"/>
        <v>0</v>
      </c>
      <c r="O592" s="18"/>
      <c r="P592" s="19">
        <v>0</v>
      </c>
      <c r="Q592" s="29">
        <f t="shared" si="29"/>
        <v>0</v>
      </c>
      <c r="R592" s="11"/>
    </row>
    <row r="593" spans="1:18" x14ac:dyDescent="0.2">
      <c r="A593" s="18">
        <f>+'SERVICIO FAENA'!E591</f>
        <v>0</v>
      </c>
      <c r="B593" s="20">
        <f>+'SERVICIO FAENA'!A591</f>
        <v>0</v>
      </c>
      <c r="C593" s="49">
        <f>+'SERVICIO FAENA'!C591</f>
        <v>0</v>
      </c>
      <c r="D593" s="110"/>
      <c r="E593" s="110"/>
      <c r="F593" s="49"/>
      <c r="G593" s="49"/>
      <c r="H593" s="49">
        <f t="shared" ref="H593:H656" si="30">+D593+E593</f>
        <v>0</v>
      </c>
      <c r="I593" s="16"/>
      <c r="J593" s="16">
        <v>0</v>
      </c>
      <c r="K593" s="16">
        <v>0</v>
      </c>
      <c r="L593" s="11"/>
      <c r="M593" s="11"/>
      <c r="N593" s="16">
        <f t="shared" si="28"/>
        <v>0</v>
      </c>
      <c r="O593" s="18"/>
      <c r="P593" s="19">
        <v>0</v>
      </c>
      <c r="Q593" s="29">
        <f t="shared" si="29"/>
        <v>0</v>
      </c>
      <c r="R593" s="11"/>
    </row>
    <row r="594" spans="1:18" ht="12.75" customHeight="1" x14ac:dyDescent="0.2">
      <c r="A594" s="18">
        <f>+'SERVICIO FAENA'!E592</f>
        <v>0</v>
      </c>
      <c r="B594" s="20">
        <f>+'SERVICIO FAENA'!A592</f>
        <v>0</v>
      </c>
      <c r="C594" s="49">
        <f>+'SERVICIO FAENA'!C592</f>
        <v>0</v>
      </c>
      <c r="D594" s="110"/>
      <c r="E594" s="110"/>
      <c r="F594" s="49"/>
      <c r="G594" s="49"/>
      <c r="H594" s="49">
        <f t="shared" si="30"/>
        <v>0</v>
      </c>
      <c r="I594" s="16"/>
      <c r="J594" s="16">
        <v>0</v>
      </c>
      <c r="K594" s="16">
        <v>0</v>
      </c>
      <c r="L594" s="11"/>
      <c r="M594" s="11"/>
      <c r="N594" s="16">
        <f t="shared" si="28"/>
        <v>0</v>
      </c>
      <c r="O594" s="18"/>
      <c r="P594" s="19">
        <v>0</v>
      </c>
      <c r="Q594" s="29">
        <f t="shared" si="29"/>
        <v>0</v>
      </c>
      <c r="R594" s="11"/>
    </row>
    <row r="595" spans="1:18" x14ac:dyDescent="0.2">
      <c r="A595" s="18">
        <f>+'SERVICIO FAENA'!E593</f>
        <v>0</v>
      </c>
      <c r="B595" s="20">
        <f>+'SERVICIO FAENA'!A593</f>
        <v>0</v>
      </c>
      <c r="C595" s="49">
        <f>+'SERVICIO FAENA'!C593</f>
        <v>0</v>
      </c>
      <c r="D595" s="110"/>
      <c r="E595" s="110"/>
      <c r="F595" s="49"/>
      <c r="G595" s="49"/>
      <c r="H595" s="49">
        <f t="shared" si="30"/>
        <v>0</v>
      </c>
      <c r="I595" s="16"/>
      <c r="J595" s="16">
        <v>0</v>
      </c>
      <c r="K595" s="16">
        <v>0</v>
      </c>
      <c r="L595" s="11"/>
      <c r="M595" s="11"/>
      <c r="N595" s="16">
        <f t="shared" si="28"/>
        <v>0</v>
      </c>
      <c r="O595" s="18"/>
      <c r="P595" s="19">
        <v>0</v>
      </c>
      <c r="Q595" s="29">
        <f t="shared" si="29"/>
        <v>0</v>
      </c>
      <c r="R595" s="11"/>
    </row>
    <row r="596" spans="1:18" ht="12.75" customHeight="1" x14ac:dyDescent="0.2">
      <c r="A596" s="18">
        <f>+'SERVICIO FAENA'!E594</f>
        <v>0</v>
      </c>
      <c r="B596" s="20">
        <f>+'SERVICIO FAENA'!A594</f>
        <v>0</v>
      </c>
      <c r="C596" s="49">
        <f>+'SERVICIO FAENA'!C594</f>
        <v>0</v>
      </c>
      <c r="D596" s="110"/>
      <c r="E596" s="110"/>
      <c r="F596" s="49"/>
      <c r="G596" s="49"/>
      <c r="H596" s="49">
        <f t="shared" si="30"/>
        <v>0</v>
      </c>
      <c r="I596" s="16"/>
      <c r="J596" s="16">
        <v>0</v>
      </c>
      <c r="K596" s="16">
        <v>0</v>
      </c>
      <c r="L596" s="11"/>
      <c r="M596" s="11"/>
      <c r="N596" s="16">
        <f t="shared" si="28"/>
        <v>0</v>
      </c>
      <c r="O596" s="18"/>
      <c r="P596" s="19">
        <v>0</v>
      </c>
      <c r="Q596" s="29">
        <f t="shared" si="29"/>
        <v>0</v>
      </c>
      <c r="R596" s="11"/>
    </row>
    <row r="597" spans="1:18" x14ac:dyDescent="0.2">
      <c r="A597" s="18">
        <f>+'SERVICIO FAENA'!E595</f>
        <v>0</v>
      </c>
      <c r="B597" s="20">
        <f>+'SERVICIO FAENA'!A595</f>
        <v>0</v>
      </c>
      <c r="C597" s="49">
        <f>+'SERVICIO FAENA'!C595</f>
        <v>0</v>
      </c>
      <c r="D597" s="110"/>
      <c r="E597" s="110"/>
      <c r="F597" s="49"/>
      <c r="G597" s="49"/>
      <c r="H597" s="49">
        <f t="shared" si="30"/>
        <v>0</v>
      </c>
      <c r="I597" s="16"/>
      <c r="J597" s="16">
        <v>0</v>
      </c>
      <c r="K597" s="16">
        <v>0</v>
      </c>
      <c r="L597" s="11"/>
      <c r="M597" s="11"/>
      <c r="N597" s="16">
        <f t="shared" si="28"/>
        <v>0</v>
      </c>
      <c r="O597" s="18"/>
      <c r="P597" s="19">
        <v>0</v>
      </c>
      <c r="Q597" s="29">
        <f t="shared" si="29"/>
        <v>0</v>
      </c>
      <c r="R597" s="11"/>
    </row>
    <row r="598" spans="1:18" ht="12.75" customHeight="1" x14ac:dyDescent="0.2">
      <c r="A598" s="18">
        <f>+'SERVICIO FAENA'!E596</f>
        <v>0</v>
      </c>
      <c r="B598" s="20">
        <f>+'SERVICIO FAENA'!A596</f>
        <v>0</v>
      </c>
      <c r="C598" s="49">
        <f>+'SERVICIO FAENA'!C596</f>
        <v>0</v>
      </c>
      <c r="D598" s="110"/>
      <c r="E598" s="110"/>
      <c r="F598" s="49"/>
      <c r="G598" s="49"/>
      <c r="H598" s="49">
        <f t="shared" si="30"/>
        <v>0</v>
      </c>
      <c r="I598" s="16"/>
      <c r="J598" s="16">
        <v>0</v>
      </c>
      <c r="K598" s="16">
        <v>0</v>
      </c>
      <c r="L598" s="11"/>
      <c r="M598" s="11"/>
      <c r="N598" s="16">
        <f t="shared" si="28"/>
        <v>0</v>
      </c>
      <c r="O598" s="18"/>
      <c r="P598" s="19">
        <v>0</v>
      </c>
      <c r="Q598" s="29">
        <f t="shared" si="29"/>
        <v>0</v>
      </c>
      <c r="R598" s="11"/>
    </row>
    <row r="599" spans="1:18" x14ac:dyDescent="0.2">
      <c r="A599" s="18">
        <f>+'SERVICIO FAENA'!E597</f>
        <v>0</v>
      </c>
      <c r="B599" s="20">
        <f>+'SERVICIO FAENA'!A597</f>
        <v>0</v>
      </c>
      <c r="C599" s="49">
        <f>+'SERVICIO FAENA'!C597</f>
        <v>0</v>
      </c>
      <c r="D599" s="110"/>
      <c r="E599" s="110"/>
      <c r="F599" s="49"/>
      <c r="G599" s="49"/>
      <c r="H599" s="49">
        <f t="shared" si="30"/>
        <v>0</v>
      </c>
      <c r="I599" s="16"/>
      <c r="J599" s="16">
        <v>0</v>
      </c>
      <c r="K599" s="16">
        <v>0</v>
      </c>
      <c r="L599" s="11"/>
      <c r="M599" s="11"/>
      <c r="N599" s="16">
        <f t="shared" si="28"/>
        <v>0</v>
      </c>
      <c r="O599" s="18"/>
      <c r="P599" s="19">
        <v>0</v>
      </c>
      <c r="Q599" s="29">
        <f t="shared" si="29"/>
        <v>0</v>
      </c>
      <c r="R599" s="11"/>
    </row>
    <row r="600" spans="1:18" ht="12.75" customHeight="1" x14ac:dyDescent="0.2">
      <c r="A600" s="18">
        <f>+'SERVICIO FAENA'!E598</f>
        <v>0</v>
      </c>
      <c r="B600" s="20">
        <f>+'SERVICIO FAENA'!A598</f>
        <v>0</v>
      </c>
      <c r="C600" s="49">
        <f>+'SERVICIO FAENA'!C598</f>
        <v>0</v>
      </c>
      <c r="D600" s="110"/>
      <c r="E600" s="110"/>
      <c r="F600" s="49"/>
      <c r="G600" s="49"/>
      <c r="H600" s="49">
        <f t="shared" si="30"/>
        <v>0</v>
      </c>
      <c r="I600" s="16"/>
      <c r="J600" s="16">
        <v>0</v>
      </c>
      <c r="K600" s="16">
        <v>0</v>
      </c>
      <c r="L600" s="11"/>
      <c r="M600" s="11"/>
      <c r="N600" s="16">
        <f t="shared" si="28"/>
        <v>0</v>
      </c>
      <c r="O600" s="18"/>
      <c r="P600" s="19">
        <v>0</v>
      </c>
      <c r="Q600" s="29">
        <f t="shared" si="29"/>
        <v>0</v>
      </c>
      <c r="R600" s="11"/>
    </row>
    <row r="601" spans="1:18" x14ac:dyDescent="0.2">
      <c r="A601" s="18">
        <f>+'SERVICIO FAENA'!E599</f>
        <v>0</v>
      </c>
      <c r="B601" s="20">
        <f>+'SERVICIO FAENA'!A599</f>
        <v>0</v>
      </c>
      <c r="C601" s="49">
        <f>+'SERVICIO FAENA'!C599</f>
        <v>0</v>
      </c>
      <c r="D601" s="110"/>
      <c r="E601" s="110"/>
      <c r="F601" s="49"/>
      <c r="G601" s="49"/>
      <c r="H601" s="49">
        <f t="shared" si="30"/>
        <v>0</v>
      </c>
      <c r="I601" s="16"/>
      <c r="J601" s="16">
        <v>0</v>
      </c>
      <c r="K601" s="16">
        <v>0</v>
      </c>
      <c r="L601" s="11"/>
      <c r="M601" s="11"/>
      <c r="N601" s="16">
        <f t="shared" si="28"/>
        <v>0</v>
      </c>
      <c r="O601" s="18"/>
      <c r="P601" s="19">
        <v>0</v>
      </c>
      <c r="Q601" s="29">
        <f t="shared" si="29"/>
        <v>0</v>
      </c>
      <c r="R601" s="11"/>
    </row>
    <row r="602" spans="1:18" ht="12.75" customHeight="1" x14ac:dyDescent="0.2">
      <c r="A602" s="18">
        <f>+'SERVICIO FAENA'!E600</f>
        <v>0</v>
      </c>
      <c r="B602" s="20">
        <f>+'SERVICIO FAENA'!A600</f>
        <v>0</v>
      </c>
      <c r="C602" s="49">
        <f>+'SERVICIO FAENA'!C600</f>
        <v>0</v>
      </c>
      <c r="D602" s="110"/>
      <c r="E602" s="110"/>
      <c r="F602" s="49"/>
      <c r="G602" s="49"/>
      <c r="H602" s="49">
        <f t="shared" si="30"/>
        <v>0</v>
      </c>
      <c r="I602" s="16"/>
      <c r="J602" s="16">
        <v>0</v>
      </c>
      <c r="K602" s="16">
        <v>0</v>
      </c>
      <c r="L602" s="11"/>
      <c r="M602" s="11"/>
      <c r="N602" s="16">
        <f t="shared" si="28"/>
        <v>0</v>
      </c>
      <c r="O602" s="18"/>
      <c r="P602" s="19">
        <v>0</v>
      </c>
      <c r="Q602" s="29">
        <f t="shared" si="29"/>
        <v>0</v>
      </c>
      <c r="R602" s="11"/>
    </row>
    <row r="603" spans="1:18" x14ac:dyDescent="0.2">
      <c r="A603" s="18">
        <f>+'SERVICIO FAENA'!E601</f>
        <v>0</v>
      </c>
      <c r="B603" s="20">
        <f>+'SERVICIO FAENA'!A601</f>
        <v>0</v>
      </c>
      <c r="C603" s="49">
        <f>+'SERVICIO FAENA'!C601</f>
        <v>0</v>
      </c>
      <c r="D603" s="110"/>
      <c r="E603" s="110"/>
      <c r="F603" s="49"/>
      <c r="G603" s="49"/>
      <c r="H603" s="49">
        <f t="shared" si="30"/>
        <v>0</v>
      </c>
      <c r="I603" s="16"/>
      <c r="J603" s="16">
        <v>0</v>
      </c>
      <c r="K603" s="16">
        <v>0</v>
      </c>
      <c r="L603" s="11"/>
      <c r="M603" s="11"/>
      <c r="N603" s="16">
        <f t="shared" si="28"/>
        <v>0</v>
      </c>
      <c r="O603" s="18"/>
      <c r="P603" s="19">
        <v>0</v>
      </c>
      <c r="Q603" s="29">
        <f t="shared" si="29"/>
        <v>0</v>
      </c>
      <c r="R603" s="11"/>
    </row>
    <row r="604" spans="1:18" ht="12.75" customHeight="1" x14ac:dyDescent="0.2">
      <c r="A604" s="18">
        <f>+'SERVICIO FAENA'!E602</f>
        <v>0</v>
      </c>
      <c r="B604" s="20">
        <f>+'SERVICIO FAENA'!A602</f>
        <v>0</v>
      </c>
      <c r="C604" s="49">
        <f>+'SERVICIO FAENA'!C602</f>
        <v>0</v>
      </c>
      <c r="D604" s="110"/>
      <c r="E604" s="110"/>
      <c r="F604" s="49"/>
      <c r="G604" s="49"/>
      <c r="H604" s="49">
        <f t="shared" si="30"/>
        <v>0</v>
      </c>
      <c r="I604" s="16"/>
      <c r="J604" s="16">
        <v>0</v>
      </c>
      <c r="K604" s="16">
        <v>0</v>
      </c>
      <c r="L604" s="11"/>
      <c r="M604" s="11"/>
      <c r="N604" s="16">
        <f t="shared" si="28"/>
        <v>0</v>
      </c>
      <c r="O604" s="18"/>
      <c r="P604" s="19">
        <v>0</v>
      </c>
      <c r="Q604" s="29">
        <f t="shared" si="29"/>
        <v>0</v>
      </c>
      <c r="R604" s="11"/>
    </row>
    <row r="605" spans="1:18" x14ac:dyDescent="0.2">
      <c r="A605" s="18">
        <f>+'SERVICIO FAENA'!E603</f>
        <v>0</v>
      </c>
      <c r="B605" s="20">
        <f>+'SERVICIO FAENA'!A603</f>
        <v>0</v>
      </c>
      <c r="C605" s="49">
        <f>+'SERVICIO FAENA'!C603</f>
        <v>0</v>
      </c>
      <c r="D605" s="110"/>
      <c r="E605" s="110"/>
      <c r="F605" s="49"/>
      <c r="G605" s="49"/>
      <c r="H605" s="49">
        <f t="shared" si="30"/>
        <v>0</v>
      </c>
      <c r="I605" s="16"/>
      <c r="J605" s="16">
        <v>0</v>
      </c>
      <c r="K605" s="16">
        <v>0</v>
      </c>
      <c r="L605" s="11"/>
      <c r="M605" s="11"/>
      <c r="N605" s="16">
        <f t="shared" si="28"/>
        <v>0</v>
      </c>
      <c r="O605" s="18"/>
      <c r="P605" s="19">
        <v>0</v>
      </c>
      <c r="Q605" s="29">
        <f t="shared" si="29"/>
        <v>0</v>
      </c>
      <c r="R605" s="11"/>
    </row>
    <row r="606" spans="1:18" ht="12.75" customHeight="1" x14ac:dyDescent="0.2">
      <c r="A606" s="18">
        <f>+'SERVICIO FAENA'!E604</f>
        <v>0</v>
      </c>
      <c r="B606" s="20">
        <f>+'SERVICIO FAENA'!A604</f>
        <v>0</v>
      </c>
      <c r="C606" s="49">
        <f>+'SERVICIO FAENA'!C604</f>
        <v>0</v>
      </c>
      <c r="D606" s="110"/>
      <c r="E606" s="110"/>
      <c r="F606" s="49"/>
      <c r="G606" s="49"/>
      <c r="H606" s="49">
        <f t="shared" si="30"/>
        <v>0</v>
      </c>
      <c r="I606" s="16"/>
      <c r="J606" s="16">
        <v>0</v>
      </c>
      <c r="K606" s="16">
        <v>0</v>
      </c>
      <c r="L606" s="11"/>
      <c r="M606" s="11"/>
      <c r="N606" s="16">
        <f t="shared" si="28"/>
        <v>0</v>
      </c>
      <c r="O606" s="18"/>
      <c r="P606" s="19">
        <v>0</v>
      </c>
      <c r="Q606" s="29">
        <f t="shared" si="29"/>
        <v>0</v>
      </c>
      <c r="R606" s="11"/>
    </row>
    <row r="607" spans="1:18" x14ac:dyDescent="0.2">
      <c r="A607" s="18">
        <f>+'SERVICIO FAENA'!E605</f>
        <v>0</v>
      </c>
      <c r="B607" s="20">
        <f>+'SERVICIO FAENA'!A605</f>
        <v>0</v>
      </c>
      <c r="C607" s="49">
        <f>+'SERVICIO FAENA'!C605</f>
        <v>0</v>
      </c>
      <c r="D607" s="110"/>
      <c r="E607" s="110"/>
      <c r="F607" s="49"/>
      <c r="G607" s="49"/>
      <c r="H607" s="49">
        <f t="shared" si="30"/>
        <v>0</v>
      </c>
      <c r="I607" s="16"/>
      <c r="J607" s="16">
        <v>0</v>
      </c>
      <c r="K607" s="16">
        <v>0</v>
      </c>
      <c r="L607" s="11"/>
      <c r="M607" s="11"/>
      <c r="N607" s="16">
        <f t="shared" si="28"/>
        <v>0</v>
      </c>
      <c r="O607" s="18"/>
      <c r="P607" s="19">
        <v>0</v>
      </c>
      <c r="Q607" s="29">
        <f t="shared" si="29"/>
        <v>0</v>
      </c>
      <c r="R607" s="11"/>
    </row>
    <row r="608" spans="1:18" ht="12.75" customHeight="1" x14ac:dyDescent="0.2">
      <c r="A608" s="18">
        <f>+'SERVICIO FAENA'!E606</f>
        <v>0</v>
      </c>
      <c r="B608" s="20">
        <f>+'SERVICIO FAENA'!A606</f>
        <v>0</v>
      </c>
      <c r="C608" s="49">
        <f>+'SERVICIO FAENA'!C606</f>
        <v>0</v>
      </c>
      <c r="D608" s="110"/>
      <c r="E608" s="110"/>
      <c r="F608" s="49"/>
      <c r="G608" s="49"/>
      <c r="H608" s="49">
        <f t="shared" si="30"/>
        <v>0</v>
      </c>
      <c r="I608" s="16"/>
      <c r="J608" s="16">
        <v>0</v>
      </c>
      <c r="K608" s="16">
        <v>0</v>
      </c>
      <c r="L608" s="11"/>
      <c r="M608" s="11"/>
      <c r="N608" s="16">
        <f t="shared" si="28"/>
        <v>0</v>
      </c>
      <c r="O608" s="18"/>
      <c r="P608" s="19">
        <v>0</v>
      </c>
      <c r="Q608" s="29">
        <f t="shared" si="29"/>
        <v>0</v>
      </c>
      <c r="R608" s="11"/>
    </row>
    <row r="609" spans="1:18" x14ac:dyDescent="0.2">
      <c r="A609" s="18">
        <f>+'SERVICIO FAENA'!E607</f>
        <v>0</v>
      </c>
      <c r="B609" s="20">
        <f>+'SERVICIO FAENA'!A607</f>
        <v>0</v>
      </c>
      <c r="C609" s="49">
        <f>+'SERVICIO FAENA'!C607</f>
        <v>0</v>
      </c>
      <c r="D609" s="110"/>
      <c r="E609" s="110"/>
      <c r="F609" s="49"/>
      <c r="G609" s="49"/>
      <c r="H609" s="49">
        <f t="shared" si="30"/>
        <v>0</v>
      </c>
      <c r="I609" s="16"/>
      <c r="J609" s="16">
        <v>0</v>
      </c>
      <c r="K609" s="16">
        <v>0</v>
      </c>
      <c r="L609" s="11"/>
      <c r="M609" s="11"/>
      <c r="N609" s="16">
        <f t="shared" si="28"/>
        <v>0</v>
      </c>
      <c r="O609" s="18"/>
      <c r="P609" s="19">
        <v>0</v>
      </c>
      <c r="Q609" s="29">
        <f t="shared" si="29"/>
        <v>0</v>
      </c>
      <c r="R609" s="11"/>
    </row>
    <row r="610" spans="1:18" ht="12.75" customHeight="1" x14ac:dyDescent="0.2">
      <c r="A610" s="18">
        <f>+'SERVICIO FAENA'!E608</f>
        <v>0</v>
      </c>
      <c r="B610" s="20">
        <f>+'SERVICIO FAENA'!A608</f>
        <v>0</v>
      </c>
      <c r="C610" s="49">
        <f>+'SERVICIO FAENA'!C608</f>
        <v>0</v>
      </c>
      <c r="D610" s="110"/>
      <c r="E610" s="110"/>
      <c r="F610" s="49"/>
      <c r="G610" s="49"/>
      <c r="H610" s="49">
        <f t="shared" si="30"/>
        <v>0</v>
      </c>
      <c r="I610" s="16"/>
      <c r="J610" s="16">
        <v>0</v>
      </c>
      <c r="K610" s="16">
        <v>0</v>
      </c>
      <c r="L610" s="11"/>
      <c r="M610" s="11"/>
      <c r="N610" s="16">
        <f t="shared" si="28"/>
        <v>0</v>
      </c>
      <c r="O610" s="18"/>
      <c r="P610" s="19">
        <v>0</v>
      </c>
      <c r="Q610" s="29">
        <f t="shared" si="29"/>
        <v>0</v>
      </c>
      <c r="R610" s="11"/>
    </row>
    <row r="611" spans="1:18" x14ac:dyDescent="0.2">
      <c r="A611" s="18">
        <f>+'SERVICIO FAENA'!E609</f>
        <v>0</v>
      </c>
      <c r="B611" s="20">
        <f>+'SERVICIO FAENA'!A609</f>
        <v>0</v>
      </c>
      <c r="C611" s="49">
        <f>+'SERVICIO FAENA'!C609</f>
        <v>0</v>
      </c>
      <c r="D611" s="110"/>
      <c r="E611" s="110"/>
      <c r="F611" s="49"/>
      <c r="G611" s="49"/>
      <c r="H611" s="49">
        <f t="shared" si="30"/>
        <v>0</v>
      </c>
      <c r="I611" s="16"/>
      <c r="J611" s="16">
        <v>0</v>
      </c>
      <c r="K611" s="16">
        <v>0</v>
      </c>
      <c r="L611" s="11"/>
      <c r="M611" s="11"/>
      <c r="N611" s="16">
        <f t="shared" si="28"/>
        <v>0</v>
      </c>
      <c r="O611" s="18"/>
      <c r="P611" s="19">
        <v>0</v>
      </c>
      <c r="Q611" s="29">
        <f t="shared" si="29"/>
        <v>0</v>
      </c>
      <c r="R611" s="11"/>
    </row>
    <row r="612" spans="1:18" ht="12.75" customHeight="1" x14ac:dyDescent="0.2">
      <c r="A612" s="18">
        <f>+'SERVICIO FAENA'!E610</f>
        <v>0</v>
      </c>
      <c r="B612" s="20">
        <f>+'SERVICIO FAENA'!A610</f>
        <v>0</v>
      </c>
      <c r="C612" s="49">
        <f>+'SERVICIO FAENA'!C610</f>
        <v>0</v>
      </c>
      <c r="D612" s="110"/>
      <c r="E612" s="110"/>
      <c r="F612" s="49"/>
      <c r="G612" s="49"/>
      <c r="H612" s="49">
        <f t="shared" si="30"/>
        <v>0</v>
      </c>
      <c r="I612" s="16"/>
      <c r="J612" s="16">
        <v>0</v>
      </c>
      <c r="K612" s="16">
        <v>0</v>
      </c>
      <c r="L612" s="11"/>
      <c r="M612" s="11"/>
      <c r="N612" s="16">
        <f t="shared" si="28"/>
        <v>0</v>
      </c>
      <c r="O612" s="18"/>
      <c r="P612" s="19">
        <v>0</v>
      </c>
      <c r="Q612" s="29">
        <f t="shared" si="29"/>
        <v>0</v>
      </c>
      <c r="R612" s="11"/>
    </row>
    <row r="613" spans="1:18" x14ac:dyDescent="0.2">
      <c r="A613" s="18">
        <f>+'SERVICIO FAENA'!E611</f>
        <v>0</v>
      </c>
      <c r="B613" s="20">
        <f>+'SERVICIO FAENA'!A611</f>
        <v>0</v>
      </c>
      <c r="C613" s="49">
        <f>+'SERVICIO FAENA'!C611</f>
        <v>0</v>
      </c>
      <c r="D613" s="110"/>
      <c r="E613" s="110"/>
      <c r="F613" s="49"/>
      <c r="G613" s="49"/>
      <c r="H613" s="49">
        <f t="shared" si="30"/>
        <v>0</v>
      </c>
      <c r="I613" s="16"/>
      <c r="J613" s="16">
        <v>0</v>
      </c>
      <c r="K613" s="16">
        <v>0</v>
      </c>
      <c r="L613" s="11"/>
      <c r="M613" s="11"/>
      <c r="N613" s="16">
        <f t="shared" si="28"/>
        <v>0</v>
      </c>
      <c r="O613" s="18"/>
      <c r="P613" s="19">
        <v>0</v>
      </c>
      <c r="Q613" s="29">
        <f t="shared" si="29"/>
        <v>0</v>
      </c>
      <c r="R613" s="11"/>
    </row>
    <row r="614" spans="1:18" ht="12.75" customHeight="1" x14ac:dyDescent="0.2">
      <c r="A614" s="18">
        <f>+'SERVICIO FAENA'!E612</f>
        <v>0</v>
      </c>
      <c r="B614" s="20">
        <f>+'SERVICIO FAENA'!A612</f>
        <v>0</v>
      </c>
      <c r="C614" s="49">
        <f>+'SERVICIO FAENA'!C612</f>
        <v>0</v>
      </c>
      <c r="D614" s="110"/>
      <c r="E614" s="110"/>
      <c r="F614" s="49"/>
      <c r="G614" s="49"/>
      <c r="H614" s="49">
        <f t="shared" si="30"/>
        <v>0</v>
      </c>
      <c r="I614" s="16"/>
      <c r="J614" s="16">
        <v>0</v>
      </c>
      <c r="K614" s="16">
        <v>0</v>
      </c>
      <c r="L614" s="11"/>
      <c r="M614" s="11"/>
      <c r="N614" s="16">
        <f t="shared" si="28"/>
        <v>0</v>
      </c>
      <c r="O614" s="18"/>
      <c r="P614" s="19">
        <v>0</v>
      </c>
      <c r="Q614" s="29">
        <f t="shared" si="29"/>
        <v>0</v>
      </c>
      <c r="R614" s="11"/>
    </row>
    <row r="615" spans="1:18" x14ac:dyDescent="0.2">
      <c r="A615" s="18">
        <f>+'SERVICIO FAENA'!E613</f>
        <v>0</v>
      </c>
      <c r="B615" s="20">
        <f>+'SERVICIO FAENA'!A613</f>
        <v>0</v>
      </c>
      <c r="C615" s="49">
        <f>+'SERVICIO FAENA'!C613</f>
        <v>0</v>
      </c>
      <c r="D615" s="110"/>
      <c r="E615" s="110"/>
      <c r="F615" s="49"/>
      <c r="G615" s="49"/>
      <c r="H615" s="49">
        <f t="shared" si="30"/>
        <v>0</v>
      </c>
      <c r="I615" s="16"/>
      <c r="J615" s="16">
        <v>0</v>
      </c>
      <c r="K615" s="16">
        <v>0</v>
      </c>
      <c r="L615" s="11"/>
      <c r="M615" s="11"/>
      <c r="N615" s="16">
        <f t="shared" si="28"/>
        <v>0</v>
      </c>
      <c r="O615" s="18"/>
      <c r="P615" s="19">
        <v>0</v>
      </c>
      <c r="Q615" s="29">
        <f t="shared" si="29"/>
        <v>0</v>
      </c>
      <c r="R615" s="11"/>
    </row>
    <row r="616" spans="1:18" ht="12.75" customHeight="1" x14ac:dyDescent="0.2">
      <c r="A616" s="18">
        <f>+'SERVICIO FAENA'!E614</f>
        <v>0</v>
      </c>
      <c r="B616" s="20">
        <f>+'SERVICIO FAENA'!A614</f>
        <v>0</v>
      </c>
      <c r="C616" s="49">
        <f>+'SERVICIO FAENA'!C614</f>
        <v>0</v>
      </c>
      <c r="D616" s="110"/>
      <c r="E616" s="110"/>
      <c r="F616" s="49"/>
      <c r="G616" s="49"/>
      <c r="H616" s="49">
        <f t="shared" si="30"/>
        <v>0</v>
      </c>
      <c r="I616" s="16"/>
      <c r="J616" s="16">
        <v>0</v>
      </c>
      <c r="K616" s="16">
        <v>0</v>
      </c>
      <c r="L616" s="11"/>
      <c r="M616" s="11"/>
      <c r="N616" s="16">
        <f t="shared" si="28"/>
        <v>0</v>
      </c>
      <c r="O616" s="18"/>
      <c r="P616" s="19">
        <v>0</v>
      </c>
      <c r="Q616" s="29">
        <f t="shared" si="29"/>
        <v>0</v>
      </c>
      <c r="R616" s="11"/>
    </row>
    <row r="617" spans="1:18" x14ac:dyDescent="0.2">
      <c r="A617" s="18">
        <f>+'SERVICIO FAENA'!E615</f>
        <v>0</v>
      </c>
      <c r="B617" s="20">
        <f>+'SERVICIO FAENA'!A615</f>
        <v>0</v>
      </c>
      <c r="C617" s="49">
        <f>+'SERVICIO FAENA'!C615</f>
        <v>0</v>
      </c>
      <c r="D617" s="110"/>
      <c r="E617" s="110"/>
      <c r="F617" s="49"/>
      <c r="G617" s="49"/>
      <c r="H617" s="49">
        <f t="shared" si="30"/>
        <v>0</v>
      </c>
      <c r="I617" s="16"/>
      <c r="J617" s="16">
        <v>0</v>
      </c>
      <c r="K617" s="16">
        <v>0</v>
      </c>
      <c r="L617" s="11"/>
      <c r="M617" s="11"/>
      <c r="N617" s="16">
        <f t="shared" si="28"/>
        <v>0</v>
      </c>
      <c r="O617" s="18"/>
      <c r="P617" s="19">
        <v>0</v>
      </c>
      <c r="Q617" s="29">
        <f t="shared" si="29"/>
        <v>0</v>
      </c>
      <c r="R617" s="11"/>
    </row>
    <row r="618" spans="1:18" ht="12.75" customHeight="1" x14ac:dyDescent="0.2">
      <c r="A618" s="18">
        <f>+'SERVICIO FAENA'!E616</f>
        <v>0</v>
      </c>
      <c r="B618" s="20">
        <f>+'SERVICIO FAENA'!A616</f>
        <v>0</v>
      </c>
      <c r="C618" s="49">
        <f>+'SERVICIO FAENA'!C616</f>
        <v>0</v>
      </c>
      <c r="D618" s="110"/>
      <c r="E618" s="110"/>
      <c r="F618" s="49"/>
      <c r="G618" s="49"/>
      <c r="H618" s="49">
        <f t="shared" si="30"/>
        <v>0</v>
      </c>
      <c r="I618" s="16"/>
      <c r="J618" s="16">
        <v>0</v>
      </c>
      <c r="K618" s="16">
        <v>0</v>
      </c>
      <c r="L618" s="11"/>
      <c r="M618" s="11"/>
      <c r="N618" s="16">
        <f t="shared" si="28"/>
        <v>0</v>
      </c>
      <c r="O618" s="18"/>
      <c r="P618" s="19">
        <v>0</v>
      </c>
      <c r="Q618" s="29">
        <f t="shared" si="29"/>
        <v>0</v>
      </c>
      <c r="R618" s="11"/>
    </row>
    <row r="619" spans="1:18" x14ac:dyDescent="0.2">
      <c r="A619" s="18">
        <f>+'SERVICIO FAENA'!E617</f>
        <v>0</v>
      </c>
      <c r="B619" s="20">
        <f>+'SERVICIO FAENA'!A617</f>
        <v>0</v>
      </c>
      <c r="C619" s="49">
        <f>+'SERVICIO FAENA'!C617</f>
        <v>0</v>
      </c>
      <c r="D619" s="110"/>
      <c r="E619" s="110"/>
      <c r="F619" s="49"/>
      <c r="G619" s="49"/>
      <c r="H619" s="49">
        <f t="shared" si="30"/>
        <v>0</v>
      </c>
      <c r="I619" s="16"/>
      <c r="J619" s="16">
        <v>0</v>
      </c>
      <c r="K619" s="16">
        <v>0</v>
      </c>
      <c r="L619" s="11"/>
      <c r="M619" s="11"/>
      <c r="N619" s="16">
        <f t="shared" si="28"/>
        <v>0</v>
      </c>
      <c r="O619" s="18"/>
      <c r="P619" s="19">
        <v>0</v>
      </c>
      <c r="Q619" s="29">
        <f t="shared" si="29"/>
        <v>0</v>
      </c>
      <c r="R619" s="11"/>
    </row>
    <row r="620" spans="1:18" ht="12.75" customHeight="1" x14ac:dyDescent="0.2">
      <c r="A620" s="18">
        <f>+'SERVICIO FAENA'!E618</f>
        <v>0</v>
      </c>
      <c r="B620" s="20">
        <f>+'SERVICIO FAENA'!A618</f>
        <v>0</v>
      </c>
      <c r="C620" s="49">
        <f>+'SERVICIO FAENA'!C618</f>
        <v>0</v>
      </c>
      <c r="D620" s="110"/>
      <c r="E620" s="110"/>
      <c r="F620" s="49"/>
      <c r="G620" s="49"/>
      <c r="H620" s="49">
        <f t="shared" si="30"/>
        <v>0</v>
      </c>
      <c r="I620" s="16"/>
      <c r="J620" s="16">
        <v>0</v>
      </c>
      <c r="K620" s="16">
        <v>0</v>
      </c>
      <c r="L620" s="11"/>
      <c r="M620" s="11"/>
      <c r="N620" s="16">
        <f t="shared" si="28"/>
        <v>0</v>
      </c>
      <c r="O620" s="18"/>
      <c r="P620" s="19">
        <v>0</v>
      </c>
      <c r="Q620" s="29">
        <f t="shared" si="29"/>
        <v>0</v>
      </c>
      <c r="R620" s="11"/>
    </row>
    <row r="621" spans="1:18" x14ac:dyDescent="0.2">
      <c r="A621" s="18">
        <f>+'SERVICIO FAENA'!E619</f>
        <v>0</v>
      </c>
      <c r="B621" s="20">
        <f>+'SERVICIO FAENA'!A619</f>
        <v>0</v>
      </c>
      <c r="C621" s="49">
        <f>+'SERVICIO FAENA'!C619</f>
        <v>0</v>
      </c>
      <c r="D621" s="110"/>
      <c r="E621" s="110"/>
      <c r="F621" s="49"/>
      <c r="G621" s="49"/>
      <c r="H621" s="49">
        <f t="shared" si="30"/>
        <v>0</v>
      </c>
      <c r="I621" s="16"/>
      <c r="J621" s="16">
        <v>0</v>
      </c>
      <c r="K621" s="16">
        <v>0</v>
      </c>
      <c r="L621" s="11"/>
      <c r="M621" s="11"/>
      <c r="N621" s="16">
        <f t="shared" si="28"/>
        <v>0</v>
      </c>
      <c r="O621" s="18"/>
      <c r="P621" s="19">
        <v>0</v>
      </c>
      <c r="Q621" s="29">
        <f t="shared" si="29"/>
        <v>0</v>
      </c>
      <c r="R621" s="11"/>
    </row>
    <row r="622" spans="1:18" ht="12.75" customHeight="1" x14ac:dyDescent="0.2">
      <c r="A622" s="18">
        <f>+'SERVICIO FAENA'!E620</f>
        <v>0</v>
      </c>
      <c r="B622" s="20">
        <f>+'SERVICIO FAENA'!A620</f>
        <v>0</v>
      </c>
      <c r="C622" s="49">
        <f>+'SERVICIO FAENA'!C620</f>
        <v>0</v>
      </c>
      <c r="D622" s="110"/>
      <c r="E622" s="110"/>
      <c r="F622" s="49"/>
      <c r="G622" s="49"/>
      <c r="H622" s="49">
        <f t="shared" si="30"/>
        <v>0</v>
      </c>
      <c r="I622" s="16"/>
      <c r="J622" s="16">
        <v>0</v>
      </c>
      <c r="K622" s="16">
        <v>0</v>
      </c>
      <c r="L622" s="11"/>
      <c r="M622" s="11"/>
      <c r="N622" s="16">
        <f t="shared" si="28"/>
        <v>0</v>
      </c>
      <c r="O622" s="18"/>
      <c r="P622" s="19">
        <v>0</v>
      </c>
      <c r="Q622" s="29">
        <f t="shared" si="29"/>
        <v>0</v>
      </c>
      <c r="R622" s="11"/>
    </row>
    <row r="623" spans="1:18" x14ac:dyDescent="0.2">
      <c r="A623" s="18">
        <f>+'SERVICIO FAENA'!E621</f>
        <v>0</v>
      </c>
      <c r="B623" s="20">
        <f>+'SERVICIO FAENA'!A621</f>
        <v>0</v>
      </c>
      <c r="C623" s="49">
        <f>+'SERVICIO FAENA'!C621</f>
        <v>0</v>
      </c>
      <c r="D623" s="110"/>
      <c r="E623" s="110"/>
      <c r="F623" s="49"/>
      <c r="G623" s="49"/>
      <c r="H623" s="49">
        <f t="shared" si="30"/>
        <v>0</v>
      </c>
      <c r="I623" s="16"/>
      <c r="J623" s="16">
        <v>0</v>
      </c>
      <c r="K623" s="16">
        <v>0</v>
      </c>
      <c r="L623" s="11"/>
      <c r="M623" s="11"/>
      <c r="N623" s="16">
        <f t="shared" si="28"/>
        <v>0</v>
      </c>
      <c r="O623" s="18"/>
      <c r="P623" s="19">
        <v>0</v>
      </c>
      <c r="Q623" s="29">
        <f t="shared" si="29"/>
        <v>0</v>
      </c>
      <c r="R623" s="11"/>
    </row>
    <row r="624" spans="1:18" ht="12.75" customHeight="1" x14ac:dyDescent="0.2">
      <c r="A624" s="18">
        <f>+'SERVICIO FAENA'!E622</f>
        <v>0</v>
      </c>
      <c r="B624" s="20">
        <f>+'SERVICIO FAENA'!A622</f>
        <v>0</v>
      </c>
      <c r="C624" s="49">
        <f>+'SERVICIO FAENA'!C622</f>
        <v>0</v>
      </c>
      <c r="D624" s="110"/>
      <c r="E624" s="110"/>
      <c r="F624" s="49"/>
      <c r="G624" s="49"/>
      <c r="H624" s="49">
        <f t="shared" si="30"/>
        <v>0</v>
      </c>
      <c r="I624" s="16"/>
      <c r="J624" s="16">
        <v>0</v>
      </c>
      <c r="K624" s="16">
        <v>0</v>
      </c>
      <c r="L624" s="11"/>
      <c r="M624" s="11"/>
      <c r="N624" s="16">
        <f t="shared" si="28"/>
        <v>0</v>
      </c>
      <c r="O624" s="18"/>
      <c r="P624" s="19">
        <v>0</v>
      </c>
      <c r="Q624" s="29">
        <f t="shared" si="29"/>
        <v>0</v>
      </c>
      <c r="R624" s="11"/>
    </row>
    <row r="625" spans="1:18" x14ac:dyDescent="0.2">
      <c r="A625" s="18">
        <f>+'SERVICIO FAENA'!E623</f>
        <v>0</v>
      </c>
      <c r="B625" s="20">
        <f>+'SERVICIO FAENA'!A623</f>
        <v>0</v>
      </c>
      <c r="C625" s="49">
        <f>+'SERVICIO FAENA'!C623</f>
        <v>0</v>
      </c>
      <c r="D625" s="110"/>
      <c r="E625" s="110"/>
      <c r="F625" s="49"/>
      <c r="G625" s="49"/>
      <c r="H625" s="49">
        <f t="shared" si="30"/>
        <v>0</v>
      </c>
      <c r="I625" s="16"/>
      <c r="J625" s="16">
        <v>0</v>
      </c>
      <c r="K625" s="16">
        <v>0</v>
      </c>
      <c r="L625" s="11"/>
      <c r="M625" s="11"/>
      <c r="N625" s="16">
        <f t="shared" si="28"/>
        <v>0</v>
      </c>
      <c r="O625" s="18"/>
      <c r="P625" s="19">
        <v>0</v>
      </c>
      <c r="Q625" s="29">
        <f t="shared" si="29"/>
        <v>0</v>
      </c>
      <c r="R625" s="11"/>
    </row>
    <row r="626" spans="1:18" ht="12.75" customHeight="1" x14ac:dyDescent="0.2">
      <c r="A626" s="18">
        <f>+'SERVICIO FAENA'!E624</f>
        <v>0</v>
      </c>
      <c r="B626" s="20">
        <f>+'SERVICIO FAENA'!A624</f>
        <v>0</v>
      </c>
      <c r="C626" s="49">
        <f>+'SERVICIO FAENA'!C624</f>
        <v>0</v>
      </c>
      <c r="D626" s="110"/>
      <c r="E626" s="110"/>
      <c r="F626" s="49"/>
      <c r="G626" s="49"/>
      <c r="H626" s="49">
        <f t="shared" si="30"/>
        <v>0</v>
      </c>
      <c r="I626" s="16"/>
      <c r="J626" s="16">
        <v>0</v>
      </c>
      <c r="K626" s="16">
        <v>0</v>
      </c>
      <c r="L626" s="11"/>
      <c r="M626" s="11"/>
      <c r="N626" s="16">
        <f t="shared" si="28"/>
        <v>0</v>
      </c>
      <c r="O626" s="18"/>
      <c r="P626" s="19">
        <v>0</v>
      </c>
      <c r="Q626" s="29">
        <f t="shared" si="29"/>
        <v>0</v>
      </c>
      <c r="R626" s="11"/>
    </row>
    <row r="627" spans="1:18" x14ac:dyDescent="0.2">
      <c r="A627" s="18">
        <f>+'SERVICIO FAENA'!E625</f>
        <v>0</v>
      </c>
      <c r="B627" s="20">
        <f>+'SERVICIO FAENA'!A625</f>
        <v>0</v>
      </c>
      <c r="C627" s="49">
        <f>+'SERVICIO FAENA'!C625</f>
        <v>0</v>
      </c>
      <c r="D627" s="110"/>
      <c r="E627" s="110"/>
      <c r="F627" s="49"/>
      <c r="G627" s="49"/>
      <c r="H627" s="49">
        <f t="shared" si="30"/>
        <v>0</v>
      </c>
      <c r="I627" s="16"/>
      <c r="J627" s="16">
        <v>0</v>
      </c>
      <c r="K627" s="16">
        <v>0</v>
      </c>
      <c r="L627" s="11"/>
      <c r="M627" s="11"/>
      <c r="N627" s="16">
        <f t="shared" si="28"/>
        <v>0</v>
      </c>
      <c r="O627" s="18"/>
      <c r="P627" s="19">
        <v>0</v>
      </c>
      <c r="Q627" s="29">
        <f t="shared" si="29"/>
        <v>0</v>
      </c>
      <c r="R627" s="11"/>
    </row>
    <row r="628" spans="1:18" ht="12.75" customHeight="1" x14ac:dyDescent="0.2">
      <c r="A628" s="18">
        <f>+'SERVICIO FAENA'!E626</f>
        <v>0</v>
      </c>
      <c r="B628" s="20">
        <f>+'SERVICIO FAENA'!A626</f>
        <v>0</v>
      </c>
      <c r="C628" s="49">
        <f>+'SERVICIO FAENA'!C626</f>
        <v>0</v>
      </c>
      <c r="D628" s="110"/>
      <c r="E628" s="110"/>
      <c r="F628" s="49"/>
      <c r="G628" s="49"/>
      <c r="H628" s="49">
        <f t="shared" si="30"/>
        <v>0</v>
      </c>
      <c r="I628" s="16"/>
      <c r="J628" s="16">
        <v>0</v>
      </c>
      <c r="K628" s="16">
        <v>0</v>
      </c>
      <c r="L628" s="11"/>
      <c r="M628" s="11"/>
      <c r="N628" s="16">
        <f t="shared" si="28"/>
        <v>0</v>
      </c>
      <c r="O628" s="18"/>
      <c r="P628" s="19">
        <v>0</v>
      </c>
      <c r="Q628" s="29">
        <f t="shared" si="29"/>
        <v>0</v>
      </c>
      <c r="R628" s="11"/>
    </row>
    <row r="629" spans="1:18" x14ac:dyDescent="0.2">
      <c r="A629" s="18">
        <f>+'SERVICIO FAENA'!E627</f>
        <v>0</v>
      </c>
      <c r="B629" s="20">
        <f>+'SERVICIO FAENA'!A627</f>
        <v>0</v>
      </c>
      <c r="C629" s="49">
        <f>+'SERVICIO FAENA'!C627</f>
        <v>0</v>
      </c>
      <c r="D629" s="110"/>
      <c r="E629" s="110"/>
      <c r="F629" s="49"/>
      <c r="G629" s="49"/>
      <c r="H629" s="49">
        <f t="shared" si="30"/>
        <v>0</v>
      </c>
      <c r="I629" s="16"/>
      <c r="J629" s="16">
        <v>0</v>
      </c>
      <c r="K629" s="16">
        <v>0</v>
      </c>
      <c r="L629" s="11"/>
      <c r="M629" s="11"/>
      <c r="N629" s="16">
        <f t="shared" si="28"/>
        <v>0</v>
      </c>
      <c r="O629" s="18"/>
      <c r="P629" s="19">
        <v>0</v>
      </c>
      <c r="Q629" s="29">
        <f t="shared" si="29"/>
        <v>0</v>
      </c>
      <c r="R629" s="11"/>
    </row>
    <row r="630" spans="1:18" ht="12.75" customHeight="1" x14ac:dyDescent="0.2">
      <c r="A630" s="18">
        <f>+'SERVICIO FAENA'!E628</f>
        <v>0</v>
      </c>
      <c r="B630" s="20">
        <f>+'SERVICIO FAENA'!A628</f>
        <v>0</v>
      </c>
      <c r="C630" s="49">
        <f>+'SERVICIO FAENA'!C628</f>
        <v>0</v>
      </c>
      <c r="D630" s="110"/>
      <c r="E630" s="110"/>
      <c r="F630" s="49"/>
      <c r="G630" s="49"/>
      <c r="H630" s="49">
        <f t="shared" si="30"/>
        <v>0</v>
      </c>
      <c r="I630" s="16"/>
      <c r="J630" s="16">
        <v>0</v>
      </c>
      <c r="K630" s="16">
        <v>0</v>
      </c>
      <c r="L630" s="11"/>
      <c r="M630" s="11"/>
      <c r="N630" s="16">
        <f t="shared" si="28"/>
        <v>0</v>
      </c>
      <c r="O630" s="18"/>
      <c r="P630" s="19">
        <v>0</v>
      </c>
      <c r="Q630" s="29">
        <f t="shared" si="29"/>
        <v>0</v>
      </c>
      <c r="R630" s="11"/>
    </row>
    <row r="631" spans="1:18" x14ac:dyDescent="0.2">
      <c r="A631" s="18">
        <f>+'SERVICIO FAENA'!E629</f>
        <v>0</v>
      </c>
      <c r="B631" s="20">
        <f>+'SERVICIO FAENA'!A629</f>
        <v>0</v>
      </c>
      <c r="C631" s="49">
        <f>+'SERVICIO FAENA'!C629</f>
        <v>0</v>
      </c>
      <c r="D631" s="110"/>
      <c r="E631" s="110"/>
      <c r="F631" s="49"/>
      <c r="G631" s="49"/>
      <c r="H631" s="49">
        <f t="shared" si="30"/>
        <v>0</v>
      </c>
      <c r="I631" s="16"/>
      <c r="J631" s="16">
        <v>0</v>
      </c>
      <c r="K631" s="16">
        <v>0</v>
      </c>
      <c r="L631" s="11"/>
      <c r="M631" s="11"/>
      <c r="N631" s="16">
        <f t="shared" si="28"/>
        <v>0</v>
      </c>
      <c r="O631" s="18"/>
      <c r="P631" s="19">
        <v>0</v>
      </c>
      <c r="Q631" s="29">
        <f t="shared" si="29"/>
        <v>0</v>
      </c>
      <c r="R631" s="11"/>
    </row>
    <row r="632" spans="1:18" ht="12.75" customHeight="1" x14ac:dyDescent="0.2">
      <c r="A632" s="18">
        <f>+'SERVICIO FAENA'!E630</f>
        <v>0</v>
      </c>
      <c r="B632" s="20">
        <f>+'SERVICIO FAENA'!A630</f>
        <v>0</v>
      </c>
      <c r="C632" s="49">
        <f>+'SERVICIO FAENA'!C630</f>
        <v>0</v>
      </c>
      <c r="D632" s="110"/>
      <c r="E632" s="110"/>
      <c r="F632" s="49"/>
      <c r="G632" s="49"/>
      <c r="H632" s="49">
        <f t="shared" si="30"/>
        <v>0</v>
      </c>
      <c r="I632" s="16"/>
      <c r="J632" s="16">
        <v>0</v>
      </c>
      <c r="K632" s="16">
        <v>0</v>
      </c>
      <c r="L632" s="11"/>
      <c r="M632" s="11"/>
      <c r="N632" s="16">
        <f t="shared" si="28"/>
        <v>0</v>
      </c>
      <c r="O632" s="18"/>
      <c r="P632" s="19">
        <v>0</v>
      </c>
      <c r="Q632" s="29">
        <f t="shared" si="29"/>
        <v>0</v>
      </c>
      <c r="R632" s="11"/>
    </row>
    <row r="633" spans="1:18" x14ac:dyDescent="0.2">
      <c r="A633" s="18">
        <f>+'SERVICIO FAENA'!E631</f>
        <v>0</v>
      </c>
      <c r="B633" s="20">
        <f>+'SERVICIO FAENA'!A631</f>
        <v>0</v>
      </c>
      <c r="C633" s="49">
        <f>+'SERVICIO FAENA'!C631</f>
        <v>0</v>
      </c>
      <c r="D633" s="110"/>
      <c r="E633" s="110"/>
      <c r="F633" s="49"/>
      <c r="G633" s="49"/>
      <c r="H633" s="49">
        <f t="shared" si="30"/>
        <v>0</v>
      </c>
      <c r="I633" s="16"/>
      <c r="J633" s="16">
        <v>0</v>
      </c>
      <c r="K633" s="16">
        <v>0</v>
      </c>
      <c r="L633" s="11"/>
      <c r="M633" s="11"/>
      <c r="N633" s="16">
        <f t="shared" si="28"/>
        <v>0</v>
      </c>
      <c r="O633" s="18"/>
      <c r="P633" s="19">
        <v>0</v>
      </c>
      <c r="Q633" s="29">
        <f t="shared" si="29"/>
        <v>0</v>
      </c>
      <c r="R633" s="11"/>
    </row>
    <row r="634" spans="1:18" ht="12.75" customHeight="1" x14ac:dyDescent="0.2">
      <c r="A634" s="18">
        <f>+'SERVICIO FAENA'!E632</f>
        <v>0</v>
      </c>
      <c r="B634" s="20">
        <f>+'SERVICIO FAENA'!A632</f>
        <v>0</v>
      </c>
      <c r="C634" s="49">
        <f>+'SERVICIO FAENA'!C632</f>
        <v>0</v>
      </c>
      <c r="D634" s="110"/>
      <c r="E634" s="110"/>
      <c r="F634" s="49"/>
      <c r="G634" s="49"/>
      <c r="H634" s="49">
        <f t="shared" si="30"/>
        <v>0</v>
      </c>
      <c r="I634" s="16"/>
      <c r="J634" s="16">
        <v>0</v>
      </c>
      <c r="K634" s="16">
        <v>0</v>
      </c>
      <c r="L634" s="11"/>
      <c r="M634" s="11"/>
      <c r="N634" s="16">
        <f t="shared" si="28"/>
        <v>0</v>
      </c>
      <c r="O634" s="18"/>
      <c r="P634" s="19">
        <v>0</v>
      </c>
      <c r="Q634" s="29">
        <f t="shared" si="29"/>
        <v>0</v>
      </c>
      <c r="R634" s="11"/>
    </row>
    <row r="635" spans="1:18" x14ac:dyDescent="0.2">
      <c r="A635" s="18">
        <f>+'SERVICIO FAENA'!E633</f>
        <v>0</v>
      </c>
      <c r="B635" s="20">
        <f>+'SERVICIO FAENA'!A633</f>
        <v>0</v>
      </c>
      <c r="C635" s="49">
        <f>+'SERVICIO FAENA'!C633</f>
        <v>0</v>
      </c>
      <c r="D635" s="110"/>
      <c r="E635" s="110"/>
      <c r="F635" s="49"/>
      <c r="G635" s="49"/>
      <c r="H635" s="49">
        <f t="shared" si="30"/>
        <v>0</v>
      </c>
      <c r="I635" s="16"/>
      <c r="J635" s="16">
        <v>0</v>
      </c>
      <c r="K635" s="16">
        <v>0</v>
      </c>
      <c r="L635" s="11"/>
      <c r="M635" s="11"/>
      <c r="N635" s="16">
        <f t="shared" si="28"/>
        <v>0</v>
      </c>
      <c r="O635" s="18"/>
      <c r="P635" s="19">
        <v>0</v>
      </c>
      <c r="Q635" s="29">
        <f t="shared" si="29"/>
        <v>0</v>
      </c>
      <c r="R635" s="11"/>
    </row>
    <row r="636" spans="1:18" ht="12.75" customHeight="1" x14ac:dyDescent="0.2">
      <c r="A636" s="18">
        <f>+'SERVICIO FAENA'!E634</f>
        <v>0</v>
      </c>
      <c r="B636" s="20">
        <f>+'SERVICIO FAENA'!A634</f>
        <v>0</v>
      </c>
      <c r="C636" s="49">
        <f>+'SERVICIO FAENA'!C634</f>
        <v>0</v>
      </c>
      <c r="D636" s="110"/>
      <c r="E636" s="110"/>
      <c r="F636" s="49"/>
      <c r="G636" s="49"/>
      <c r="H636" s="49">
        <f t="shared" si="30"/>
        <v>0</v>
      </c>
      <c r="I636" s="16"/>
      <c r="J636" s="16">
        <v>0</v>
      </c>
      <c r="K636" s="16">
        <v>0</v>
      </c>
      <c r="L636" s="11"/>
      <c r="M636" s="11"/>
      <c r="N636" s="16">
        <f t="shared" si="28"/>
        <v>0</v>
      </c>
      <c r="O636" s="18"/>
      <c r="P636" s="19">
        <v>0</v>
      </c>
      <c r="Q636" s="29">
        <f t="shared" si="29"/>
        <v>0</v>
      </c>
      <c r="R636" s="11"/>
    </row>
    <row r="637" spans="1:18" x14ac:dyDescent="0.2">
      <c r="A637" s="18">
        <f>+'SERVICIO FAENA'!E635</f>
        <v>0</v>
      </c>
      <c r="B637" s="20">
        <f>+'SERVICIO FAENA'!A635</f>
        <v>0</v>
      </c>
      <c r="C637" s="49">
        <f>+'SERVICIO FAENA'!C635</f>
        <v>0</v>
      </c>
      <c r="D637" s="110"/>
      <c r="E637" s="110"/>
      <c r="F637" s="49"/>
      <c r="G637" s="49"/>
      <c r="H637" s="49">
        <f t="shared" si="30"/>
        <v>0</v>
      </c>
      <c r="I637" s="16"/>
      <c r="J637" s="16">
        <v>0</v>
      </c>
      <c r="K637" s="16">
        <v>0</v>
      </c>
      <c r="L637" s="11"/>
      <c r="M637" s="11"/>
      <c r="N637" s="16">
        <f t="shared" si="28"/>
        <v>0</v>
      </c>
      <c r="O637" s="18"/>
      <c r="P637" s="19">
        <v>0</v>
      </c>
      <c r="Q637" s="29">
        <f t="shared" si="29"/>
        <v>0</v>
      </c>
      <c r="R637" s="11"/>
    </row>
    <row r="638" spans="1:18" ht="12.75" customHeight="1" x14ac:dyDescent="0.2">
      <c r="A638" s="18">
        <f>+'SERVICIO FAENA'!E636</f>
        <v>0</v>
      </c>
      <c r="B638" s="20">
        <f>+'SERVICIO FAENA'!A636</f>
        <v>0</v>
      </c>
      <c r="C638" s="49">
        <f>+'SERVICIO FAENA'!C636</f>
        <v>0</v>
      </c>
      <c r="D638" s="110"/>
      <c r="E638" s="110"/>
      <c r="F638" s="49"/>
      <c r="G638" s="49"/>
      <c r="H638" s="49">
        <f t="shared" si="30"/>
        <v>0</v>
      </c>
      <c r="I638" s="16"/>
      <c r="J638" s="16">
        <v>0</v>
      </c>
      <c r="K638" s="16">
        <v>0</v>
      </c>
      <c r="L638" s="11"/>
      <c r="M638" s="11"/>
      <c r="N638" s="16">
        <f t="shared" si="28"/>
        <v>0</v>
      </c>
      <c r="O638" s="18"/>
      <c r="P638" s="19">
        <v>0</v>
      </c>
      <c r="Q638" s="29">
        <f t="shared" si="29"/>
        <v>0</v>
      </c>
      <c r="R638" s="11"/>
    </row>
    <row r="639" spans="1:18" x14ac:dyDescent="0.2">
      <c r="A639" s="18">
        <f>+'SERVICIO FAENA'!E637</f>
        <v>0</v>
      </c>
      <c r="B639" s="20">
        <f>+'SERVICIO FAENA'!A637</f>
        <v>0</v>
      </c>
      <c r="C639" s="49">
        <f>+'SERVICIO FAENA'!C637</f>
        <v>0</v>
      </c>
      <c r="D639" s="110"/>
      <c r="E639" s="110"/>
      <c r="F639" s="49"/>
      <c r="G639" s="49"/>
      <c r="H639" s="49">
        <f t="shared" si="30"/>
        <v>0</v>
      </c>
      <c r="I639" s="16"/>
      <c r="J639" s="16">
        <v>0</v>
      </c>
      <c r="K639" s="16">
        <v>0</v>
      </c>
      <c r="L639" s="11"/>
      <c r="M639" s="11"/>
      <c r="N639" s="16">
        <f t="shared" si="28"/>
        <v>0</v>
      </c>
      <c r="O639" s="18"/>
      <c r="P639" s="19">
        <v>0</v>
      </c>
      <c r="Q639" s="29">
        <f t="shared" si="29"/>
        <v>0</v>
      </c>
      <c r="R639" s="11"/>
    </row>
    <row r="640" spans="1:18" ht="12.75" customHeight="1" x14ac:dyDescent="0.2">
      <c r="A640" s="18">
        <f>+'SERVICIO FAENA'!E638</f>
        <v>0</v>
      </c>
      <c r="B640" s="20">
        <f>+'SERVICIO FAENA'!A638</f>
        <v>0</v>
      </c>
      <c r="C640" s="49">
        <f>+'SERVICIO FAENA'!C638</f>
        <v>0</v>
      </c>
      <c r="D640" s="110"/>
      <c r="E640" s="110"/>
      <c r="F640" s="49"/>
      <c r="G640" s="49"/>
      <c r="H640" s="49">
        <f t="shared" si="30"/>
        <v>0</v>
      </c>
      <c r="I640" s="16"/>
      <c r="J640" s="16">
        <v>0</v>
      </c>
      <c r="K640" s="16">
        <v>0</v>
      </c>
      <c r="L640" s="11"/>
      <c r="M640" s="11"/>
      <c r="N640" s="16">
        <f t="shared" si="28"/>
        <v>0</v>
      </c>
      <c r="O640" s="18"/>
      <c r="P640" s="19">
        <v>0</v>
      </c>
      <c r="Q640" s="29">
        <f t="shared" si="29"/>
        <v>0</v>
      </c>
      <c r="R640" s="11"/>
    </row>
    <row r="641" spans="1:18" x14ac:dyDescent="0.2">
      <c r="A641" s="18">
        <f>+'SERVICIO FAENA'!E639</f>
        <v>0</v>
      </c>
      <c r="B641" s="20">
        <f>+'SERVICIO FAENA'!A639</f>
        <v>0</v>
      </c>
      <c r="C641" s="49">
        <f>+'SERVICIO FAENA'!C639</f>
        <v>0</v>
      </c>
      <c r="D641" s="110"/>
      <c r="E641" s="110"/>
      <c r="F641" s="49"/>
      <c r="G641" s="49"/>
      <c r="H641" s="49">
        <f t="shared" si="30"/>
        <v>0</v>
      </c>
      <c r="I641" s="16"/>
      <c r="J641" s="16">
        <v>0</v>
      </c>
      <c r="K641" s="16">
        <v>0</v>
      </c>
      <c r="L641" s="11"/>
      <c r="M641" s="11"/>
      <c r="N641" s="16">
        <f t="shared" si="28"/>
        <v>0</v>
      </c>
      <c r="O641" s="18"/>
      <c r="P641" s="19">
        <v>0</v>
      </c>
      <c r="Q641" s="29">
        <f t="shared" si="29"/>
        <v>0</v>
      </c>
      <c r="R641" s="11"/>
    </row>
    <row r="642" spans="1:18" ht="12.75" customHeight="1" x14ac:dyDescent="0.2">
      <c r="A642" s="18">
        <f>+'SERVICIO FAENA'!E640</f>
        <v>0</v>
      </c>
      <c r="B642" s="20">
        <f>+'SERVICIO FAENA'!A640</f>
        <v>0</v>
      </c>
      <c r="C642" s="49">
        <f>+'SERVICIO FAENA'!C640</f>
        <v>0</v>
      </c>
      <c r="D642" s="110"/>
      <c r="E642" s="110"/>
      <c r="F642" s="49"/>
      <c r="G642" s="49"/>
      <c r="H642" s="49">
        <f t="shared" si="30"/>
        <v>0</v>
      </c>
      <c r="I642" s="16"/>
      <c r="J642" s="16">
        <v>0</v>
      </c>
      <c r="K642" s="16">
        <v>0</v>
      </c>
      <c r="L642" s="11"/>
      <c r="M642" s="11"/>
      <c r="N642" s="16">
        <f t="shared" si="28"/>
        <v>0</v>
      </c>
      <c r="O642" s="18"/>
      <c r="P642" s="19">
        <v>0</v>
      </c>
      <c r="Q642" s="29">
        <f t="shared" si="29"/>
        <v>0</v>
      </c>
      <c r="R642" s="11"/>
    </row>
    <row r="643" spans="1:18" x14ac:dyDescent="0.2">
      <c r="A643" s="18">
        <f>+'SERVICIO FAENA'!E641</f>
        <v>0</v>
      </c>
      <c r="B643" s="20">
        <f>+'SERVICIO FAENA'!A641</f>
        <v>0</v>
      </c>
      <c r="C643" s="49">
        <f>+'SERVICIO FAENA'!C641</f>
        <v>0</v>
      </c>
      <c r="D643" s="110"/>
      <c r="E643" s="110"/>
      <c r="F643" s="49"/>
      <c r="G643" s="49"/>
      <c r="H643" s="49">
        <f t="shared" si="30"/>
        <v>0</v>
      </c>
      <c r="I643" s="16"/>
      <c r="J643" s="16">
        <v>0</v>
      </c>
      <c r="K643" s="16">
        <v>0</v>
      </c>
      <c r="L643" s="11"/>
      <c r="M643" s="11"/>
      <c r="N643" s="16">
        <f t="shared" si="28"/>
        <v>0</v>
      </c>
      <c r="O643" s="18"/>
      <c r="P643" s="19">
        <v>0</v>
      </c>
      <c r="Q643" s="29">
        <f t="shared" si="29"/>
        <v>0</v>
      </c>
      <c r="R643" s="11"/>
    </row>
    <row r="644" spans="1:18" ht="12.75" customHeight="1" x14ac:dyDescent="0.2">
      <c r="A644" s="18">
        <f>+'SERVICIO FAENA'!E642</f>
        <v>0</v>
      </c>
      <c r="B644" s="20">
        <f>+'SERVICIO FAENA'!A642</f>
        <v>0</v>
      </c>
      <c r="C644" s="49">
        <f>+'SERVICIO FAENA'!C642</f>
        <v>0</v>
      </c>
      <c r="D644" s="110"/>
      <c r="E644" s="110"/>
      <c r="F644" s="49"/>
      <c r="G644" s="49"/>
      <c r="H644" s="49">
        <f t="shared" si="30"/>
        <v>0</v>
      </c>
      <c r="I644" s="16"/>
      <c r="J644" s="16">
        <v>0</v>
      </c>
      <c r="K644" s="16">
        <v>0</v>
      </c>
      <c r="L644" s="11"/>
      <c r="M644" s="11"/>
      <c r="N644" s="16">
        <f t="shared" si="28"/>
        <v>0</v>
      </c>
      <c r="O644" s="18"/>
      <c r="P644" s="19">
        <v>0</v>
      </c>
      <c r="Q644" s="29">
        <f t="shared" si="29"/>
        <v>0</v>
      </c>
      <c r="R644" s="11"/>
    </row>
    <row r="645" spans="1:18" x14ac:dyDescent="0.2">
      <c r="A645" s="18">
        <f>+'SERVICIO FAENA'!E643</f>
        <v>0</v>
      </c>
      <c r="B645" s="20">
        <f>+'SERVICIO FAENA'!A643</f>
        <v>0</v>
      </c>
      <c r="C645" s="49">
        <f>+'SERVICIO FAENA'!C643</f>
        <v>0</v>
      </c>
      <c r="D645" s="110"/>
      <c r="E645" s="110"/>
      <c r="F645" s="49"/>
      <c r="G645" s="49"/>
      <c r="H645" s="49">
        <f t="shared" si="30"/>
        <v>0</v>
      </c>
      <c r="I645" s="16"/>
      <c r="J645" s="16">
        <v>0</v>
      </c>
      <c r="K645" s="16">
        <v>0</v>
      </c>
      <c r="L645" s="11"/>
      <c r="M645" s="11"/>
      <c r="N645" s="16">
        <f t="shared" si="28"/>
        <v>0</v>
      </c>
      <c r="O645" s="18"/>
      <c r="P645" s="19">
        <v>0</v>
      </c>
      <c r="Q645" s="29">
        <f t="shared" si="29"/>
        <v>0</v>
      </c>
      <c r="R645" s="11"/>
    </row>
    <row r="646" spans="1:18" ht="12.75" customHeight="1" x14ac:dyDescent="0.2">
      <c r="A646" s="18">
        <f>+'SERVICIO FAENA'!E644</f>
        <v>0</v>
      </c>
      <c r="B646" s="20">
        <f>+'SERVICIO FAENA'!A644</f>
        <v>0</v>
      </c>
      <c r="C646" s="49">
        <f>+'SERVICIO FAENA'!C644</f>
        <v>0</v>
      </c>
      <c r="D646" s="110"/>
      <c r="E646" s="110"/>
      <c r="F646" s="49"/>
      <c r="G646" s="49"/>
      <c r="H646" s="49">
        <f t="shared" si="30"/>
        <v>0</v>
      </c>
      <c r="I646" s="16"/>
      <c r="J646" s="16">
        <v>0</v>
      </c>
      <c r="K646" s="16">
        <v>0</v>
      </c>
      <c r="L646" s="11"/>
      <c r="M646" s="11"/>
      <c r="N646" s="16">
        <f t="shared" si="28"/>
        <v>0</v>
      </c>
      <c r="O646" s="18"/>
      <c r="P646" s="19">
        <v>0</v>
      </c>
      <c r="Q646" s="29">
        <f t="shared" si="29"/>
        <v>0</v>
      </c>
      <c r="R646" s="11"/>
    </row>
    <row r="647" spans="1:18" x14ac:dyDescent="0.2">
      <c r="A647" s="18">
        <f>+'SERVICIO FAENA'!E645</f>
        <v>0</v>
      </c>
      <c r="B647" s="20">
        <f>+'SERVICIO FAENA'!A645</f>
        <v>0</v>
      </c>
      <c r="C647" s="49">
        <f>+'SERVICIO FAENA'!C645</f>
        <v>0</v>
      </c>
      <c r="D647" s="110"/>
      <c r="E647" s="110"/>
      <c r="F647" s="49"/>
      <c r="G647" s="49"/>
      <c r="H647" s="49">
        <f t="shared" si="30"/>
        <v>0</v>
      </c>
      <c r="I647" s="16"/>
      <c r="J647" s="16">
        <v>0</v>
      </c>
      <c r="K647" s="16">
        <v>0</v>
      </c>
      <c r="L647" s="11"/>
      <c r="M647" s="11"/>
      <c r="N647" s="16">
        <f t="shared" si="28"/>
        <v>0</v>
      </c>
      <c r="O647" s="18"/>
      <c r="P647" s="19">
        <v>0</v>
      </c>
      <c r="Q647" s="29">
        <f t="shared" si="29"/>
        <v>0</v>
      </c>
      <c r="R647" s="11"/>
    </row>
    <row r="648" spans="1:18" ht="12.75" customHeight="1" x14ac:dyDescent="0.2">
      <c r="A648" s="18">
        <f>+'SERVICIO FAENA'!E646</f>
        <v>0</v>
      </c>
      <c r="B648" s="20">
        <f>+'SERVICIO FAENA'!A646</f>
        <v>0</v>
      </c>
      <c r="C648" s="49">
        <f>+'SERVICIO FAENA'!C646</f>
        <v>0</v>
      </c>
      <c r="D648" s="110"/>
      <c r="E648" s="110"/>
      <c r="F648" s="49"/>
      <c r="G648" s="49"/>
      <c r="H648" s="49">
        <f t="shared" si="30"/>
        <v>0</v>
      </c>
      <c r="I648" s="16"/>
      <c r="J648" s="16">
        <v>0</v>
      </c>
      <c r="K648" s="16">
        <v>0</v>
      </c>
      <c r="L648" s="11"/>
      <c r="M648" s="11"/>
      <c r="N648" s="16">
        <f t="shared" ref="N648:N711" si="31">+K648*I648</f>
        <v>0</v>
      </c>
      <c r="O648" s="18"/>
      <c r="P648" s="19">
        <v>0</v>
      </c>
      <c r="Q648" s="29">
        <f t="shared" ref="Q648:Q711" si="32">+P648-N648</f>
        <v>0</v>
      </c>
      <c r="R648" s="11"/>
    </row>
    <row r="649" spans="1:18" x14ac:dyDescent="0.2">
      <c r="A649" s="18">
        <f>+'SERVICIO FAENA'!E647</f>
        <v>0</v>
      </c>
      <c r="B649" s="20">
        <f>+'SERVICIO FAENA'!A647</f>
        <v>0</v>
      </c>
      <c r="C649" s="49">
        <f>+'SERVICIO FAENA'!C647</f>
        <v>0</v>
      </c>
      <c r="D649" s="110"/>
      <c r="E649" s="110"/>
      <c r="F649" s="49"/>
      <c r="G649" s="49"/>
      <c r="H649" s="49">
        <f t="shared" si="30"/>
        <v>0</v>
      </c>
      <c r="I649" s="16"/>
      <c r="J649" s="16">
        <v>0</v>
      </c>
      <c r="K649" s="16">
        <v>0</v>
      </c>
      <c r="L649" s="11"/>
      <c r="M649" s="11"/>
      <c r="N649" s="16">
        <f t="shared" si="31"/>
        <v>0</v>
      </c>
      <c r="O649" s="18"/>
      <c r="P649" s="19">
        <v>0</v>
      </c>
      <c r="Q649" s="29">
        <f t="shared" si="32"/>
        <v>0</v>
      </c>
      <c r="R649" s="11"/>
    </row>
    <row r="650" spans="1:18" ht="12.75" customHeight="1" x14ac:dyDescent="0.2">
      <c r="A650" s="18">
        <f>+'SERVICIO FAENA'!E648</f>
        <v>0</v>
      </c>
      <c r="B650" s="20">
        <f>+'SERVICIO FAENA'!A648</f>
        <v>0</v>
      </c>
      <c r="C650" s="49">
        <f>+'SERVICIO FAENA'!C648</f>
        <v>0</v>
      </c>
      <c r="D650" s="110"/>
      <c r="E650" s="110"/>
      <c r="F650" s="49"/>
      <c r="G650" s="49"/>
      <c r="H650" s="49">
        <f t="shared" si="30"/>
        <v>0</v>
      </c>
      <c r="I650" s="16"/>
      <c r="J650" s="16">
        <v>0</v>
      </c>
      <c r="K650" s="16">
        <v>0</v>
      </c>
      <c r="L650" s="11"/>
      <c r="M650" s="11"/>
      <c r="N650" s="16">
        <f t="shared" si="31"/>
        <v>0</v>
      </c>
      <c r="O650" s="18"/>
      <c r="P650" s="19">
        <v>0</v>
      </c>
      <c r="Q650" s="29">
        <f t="shared" si="32"/>
        <v>0</v>
      </c>
      <c r="R650" s="11"/>
    </row>
    <row r="651" spans="1:18" x14ac:dyDescent="0.2">
      <c r="A651" s="18">
        <f>+'SERVICIO FAENA'!E649</f>
        <v>0</v>
      </c>
      <c r="B651" s="20">
        <f>+'SERVICIO FAENA'!A649</f>
        <v>0</v>
      </c>
      <c r="C651" s="49">
        <f>+'SERVICIO FAENA'!C649</f>
        <v>0</v>
      </c>
      <c r="D651" s="110"/>
      <c r="E651" s="110"/>
      <c r="F651" s="49"/>
      <c r="G651" s="49"/>
      <c r="H651" s="49">
        <f t="shared" si="30"/>
        <v>0</v>
      </c>
      <c r="I651" s="16"/>
      <c r="J651" s="16">
        <v>0</v>
      </c>
      <c r="K651" s="16">
        <v>0</v>
      </c>
      <c r="L651" s="11"/>
      <c r="M651" s="11"/>
      <c r="N651" s="16">
        <f t="shared" si="31"/>
        <v>0</v>
      </c>
      <c r="O651" s="18"/>
      <c r="P651" s="19">
        <v>0</v>
      </c>
      <c r="Q651" s="29">
        <f t="shared" si="32"/>
        <v>0</v>
      </c>
      <c r="R651" s="11"/>
    </row>
    <row r="652" spans="1:18" ht="12.75" customHeight="1" x14ac:dyDescent="0.2">
      <c r="A652" s="18">
        <f>+'SERVICIO FAENA'!E650</f>
        <v>0</v>
      </c>
      <c r="B652" s="20">
        <f>+'SERVICIO FAENA'!A650</f>
        <v>0</v>
      </c>
      <c r="C652" s="49">
        <f>+'SERVICIO FAENA'!C650</f>
        <v>0</v>
      </c>
      <c r="D652" s="110"/>
      <c r="E652" s="110"/>
      <c r="F652" s="49"/>
      <c r="G652" s="49"/>
      <c r="H652" s="49">
        <f t="shared" si="30"/>
        <v>0</v>
      </c>
      <c r="I652" s="16"/>
      <c r="J652" s="16">
        <v>0</v>
      </c>
      <c r="K652" s="16">
        <v>0</v>
      </c>
      <c r="L652" s="11"/>
      <c r="M652" s="11"/>
      <c r="N652" s="16">
        <f t="shared" si="31"/>
        <v>0</v>
      </c>
      <c r="O652" s="18"/>
      <c r="P652" s="19">
        <v>0</v>
      </c>
      <c r="Q652" s="29">
        <f t="shared" si="32"/>
        <v>0</v>
      </c>
      <c r="R652" s="11"/>
    </row>
    <row r="653" spans="1:18" x14ac:dyDescent="0.2">
      <c r="A653" s="18">
        <f>+'SERVICIO FAENA'!E651</f>
        <v>0</v>
      </c>
      <c r="B653" s="20">
        <f>+'SERVICIO FAENA'!A651</f>
        <v>0</v>
      </c>
      <c r="C653" s="49">
        <f>+'SERVICIO FAENA'!C651</f>
        <v>0</v>
      </c>
      <c r="D653" s="110"/>
      <c r="E653" s="110"/>
      <c r="F653" s="49"/>
      <c r="G653" s="49"/>
      <c r="H653" s="49">
        <f t="shared" si="30"/>
        <v>0</v>
      </c>
      <c r="I653" s="16"/>
      <c r="J653" s="16">
        <v>0</v>
      </c>
      <c r="K653" s="16">
        <v>0</v>
      </c>
      <c r="L653" s="11"/>
      <c r="M653" s="11"/>
      <c r="N653" s="16">
        <f t="shared" si="31"/>
        <v>0</v>
      </c>
      <c r="O653" s="18"/>
      <c r="P653" s="19">
        <v>0</v>
      </c>
      <c r="Q653" s="29">
        <f t="shared" si="32"/>
        <v>0</v>
      </c>
      <c r="R653" s="11"/>
    </row>
    <row r="654" spans="1:18" ht="12.75" customHeight="1" x14ac:dyDescent="0.2">
      <c r="A654" s="18">
        <f>+'SERVICIO FAENA'!E652</f>
        <v>0</v>
      </c>
      <c r="B654" s="20">
        <f>+'SERVICIO FAENA'!A652</f>
        <v>0</v>
      </c>
      <c r="C654" s="49">
        <f>+'SERVICIO FAENA'!C652</f>
        <v>0</v>
      </c>
      <c r="D654" s="110"/>
      <c r="E654" s="110"/>
      <c r="F654" s="49"/>
      <c r="G654" s="49"/>
      <c r="H654" s="49">
        <f t="shared" si="30"/>
        <v>0</v>
      </c>
      <c r="I654" s="16"/>
      <c r="J654" s="16">
        <v>0</v>
      </c>
      <c r="K654" s="16">
        <v>0</v>
      </c>
      <c r="L654" s="11"/>
      <c r="M654" s="11"/>
      <c r="N654" s="16">
        <f t="shared" si="31"/>
        <v>0</v>
      </c>
      <c r="O654" s="18"/>
      <c r="P654" s="19">
        <v>0</v>
      </c>
      <c r="Q654" s="29">
        <f t="shared" si="32"/>
        <v>0</v>
      </c>
      <c r="R654" s="11"/>
    </row>
    <row r="655" spans="1:18" x14ac:dyDescent="0.2">
      <c r="A655" s="18">
        <f>+'SERVICIO FAENA'!E653</f>
        <v>0</v>
      </c>
      <c r="B655" s="20">
        <f>+'SERVICIO FAENA'!A653</f>
        <v>0</v>
      </c>
      <c r="C655" s="49">
        <f>+'SERVICIO FAENA'!C653</f>
        <v>0</v>
      </c>
      <c r="D655" s="110"/>
      <c r="E655" s="110"/>
      <c r="F655" s="49"/>
      <c r="G655" s="49"/>
      <c r="H655" s="49">
        <f t="shared" si="30"/>
        <v>0</v>
      </c>
      <c r="I655" s="16"/>
      <c r="J655" s="16">
        <v>0</v>
      </c>
      <c r="K655" s="16">
        <v>0</v>
      </c>
      <c r="L655" s="11"/>
      <c r="M655" s="11"/>
      <c r="N655" s="16">
        <f t="shared" si="31"/>
        <v>0</v>
      </c>
      <c r="O655" s="18"/>
      <c r="P655" s="19">
        <v>0</v>
      </c>
      <c r="Q655" s="29">
        <f t="shared" si="32"/>
        <v>0</v>
      </c>
      <c r="R655" s="11"/>
    </row>
    <row r="656" spans="1:18" ht="12.75" customHeight="1" x14ac:dyDescent="0.2">
      <c r="A656" s="18">
        <f>+'SERVICIO FAENA'!E654</f>
        <v>0</v>
      </c>
      <c r="B656" s="20">
        <f>+'SERVICIO FAENA'!A654</f>
        <v>0</v>
      </c>
      <c r="C656" s="49">
        <f>+'SERVICIO FAENA'!C654</f>
        <v>0</v>
      </c>
      <c r="D656" s="110"/>
      <c r="E656" s="110"/>
      <c r="F656" s="49"/>
      <c r="G656" s="49"/>
      <c r="H656" s="49">
        <f t="shared" si="30"/>
        <v>0</v>
      </c>
      <c r="I656" s="16"/>
      <c r="J656" s="16">
        <v>0</v>
      </c>
      <c r="K656" s="16">
        <v>0</v>
      </c>
      <c r="L656" s="11"/>
      <c r="M656" s="11"/>
      <c r="N656" s="16">
        <f t="shared" si="31"/>
        <v>0</v>
      </c>
      <c r="O656" s="18"/>
      <c r="P656" s="19">
        <v>0</v>
      </c>
      <c r="Q656" s="29">
        <f t="shared" si="32"/>
        <v>0</v>
      </c>
      <c r="R656" s="11"/>
    </row>
    <row r="657" spans="1:18" x14ac:dyDescent="0.2">
      <c r="A657" s="18">
        <f>+'SERVICIO FAENA'!E655</f>
        <v>0</v>
      </c>
      <c r="B657" s="20">
        <f>+'SERVICIO FAENA'!A655</f>
        <v>0</v>
      </c>
      <c r="C657" s="49">
        <f>+'SERVICIO FAENA'!C655</f>
        <v>0</v>
      </c>
      <c r="D657" s="110"/>
      <c r="E657" s="110"/>
      <c r="F657" s="49"/>
      <c r="G657" s="49"/>
      <c r="H657" s="49">
        <f t="shared" ref="H657:H720" si="33">+D657+E657</f>
        <v>0</v>
      </c>
      <c r="I657" s="16"/>
      <c r="J657" s="16">
        <v>0</v>
      </c>
      <c r="K657" s="16">
        <v>0</v>
      </c>
      <c r="L657" s="11"/>
      <c r="M657" s="11"/>
      <c r="N657" s="16">
        <f t="shared" si="31"/>
        <v>0</v>
      </c>
      <c r="O657" s="18"/>
      <c r="P657" s="19">
        <v>0</v>
      </c>
      <c r="Q657" s="29">
        <f t="shared" si="32"/>
        <v>0</v>
      </c>
      <c r="R657" s="11"/>
    </row>
    <row r="658" spans="1:18" ht="12.75" customHeight="1" x14ac:dyDescent="0.2">
      <c r="A658" s="18">
        <f>+'SERVICIO FAENA'!E656</f>
        <v>0</v>
      </c>
      <c r="B658" s="20">
        <f>+'SERVICIO FAENA'!A656</f>
        <v>0</v>
      </c>
      <c r="C658" s="49">
        <f>+'SERVICIO FAENA'!C656</f>
        <v>0</v>
      </c>
      <c r="D658" s="110"/>
      <c r="E658" s="110"/>
      <c r="F658" s="49"/>
      <c r="G658" s="49"/>
      <c r="H658" s="49">
        <f t="shared" si="33"/>
        <v>0</v>
      </c>
      <c r="I658" s="16"/>
      <c r="J658" s="16">
        <v>0</v>
      </c>
      <c r="K658" s="16">
        <v>0</v>
      </c>
      <c r="L658" s="11"/>
      <c r="M658" s="11"/>
      <c r="N658" s="16">
        <f t="shared" si="31"/>
        <v>0</v>
      </c>
      <c r="O658" s="18"/>
      <c r="P658" s="19">
        <v>0</v>
      </c>
      <c r="Q658" s="29">
        <f t="shared" si="32"/>
        <v>0</v>
      </c>
      <c r="R658" s="11"/>
    </row>
    <row r="659" spans="1:18" x14ac:dyDescent="0.2">
      <c r="A659" s="18">
        <f>+'SERVICIO FAENA'!E657</f>
        <v>0</v>
      </c>
      <c r="B659" s="20">
        <f>+'SERVICIO FAENA'!A657</f>
        <v>0</v>
      </c>
      <c r="C659" s="49">
        <f>+'SERVICIO FAENA'!C657</f>
        <v>0</v>
      </c>
      <c r="D659" s="110"/>
      <c r="E659" s="110"/>
      <c r="F659" s="49"/>
      <c r="G659" s="49"/>
      <c r="H659" s="49">
        <f t="shared" si="33"/>
        <v>0</v>
      </c>
      <c r="I659" s="16"/>
      <c r="J659" s="16">
        <v>0</v>
      </c>
      <c r="K659" s="16">
        <v>0</v>
      </c>
      <c r="L659" s="11"/>
      <c r="M659" s="11"/>
      <c r="N659" s="16">
        <f t="shared" si="31"/>
        <v>0</v>
      </c>
      <c r="O659" s="18"/>
      <c r="P659" s="19">
        <v>0</v>
      </c>
      <c r="Q659" s="29">
        <f t="shared" si="32"/>
        <v>0</v>
      </c>
      <c r="R659" s="11"/>
    </row>
    <row r="660" spans="1:18" ht="12.75" customHeight="1" x14ac:dyDescent="0.2">
      <c r="A660" s="18">
        <f>+'SERVICIO FAENA'!E658</f>
        <v>0</v>
      </c>
      <c r="B660" s="20">
        <f>+'SERVICIO FAENA'!A658</f>
        <v>0</v>
      </c>
      <c r="C660" s="49">
        <f>+'SERVICIO FAENA'!C658</f>
        <v>0</v>
      </c>
      <c r="D660" s="110"/>
      <c r="E660" s="110"/>
      <c r="F660" s="49"/>
      <c r="G660" s="49"/>
      <c r="H660" s="49">
        <f t="shared" si="33"/>
        <v>0</v>
      </c>
      <c r="I660" s="16"/>
      <c r="J660" s="16">
        <v>0</v>
      </c>
      <c r="K660" s="16">
        <v>0</v>
      </c>
      <c r="L660" s="11"/>
      <c r="M660" s="11"/>
      <c r="N660" s="16">
        <f t="shared" si="31"/>
        <v>0</v>
      </c>
      <c r="O660" s="18"/>
      <c r="P660" s="19">
        <v>0</v>
      </c>
      <c r="Q660" s="29">
        <f t="shared" si="32"/>
        <v>0</v>
      </c>
      <c r="R660" s="11"/>
    </row>
    <row r="661" spans="1:18" x14ac:dyDescent="0.2">
      <c r="A661" s="18">
        <f>+'SERVICIO FAENA'!E659</f>
        <v>0</v>
      </c>
      <c r="B661" s="20">
        <f>+'SERVICIO FAENA'!A659</f>
        <v>0</v>
      </c>
      <c r="C661" s="49">
        <f>+'SERVICIO FAENA'!C659</f>
        <v>0</v>
      </c>
      <c r="D661" s="110"/>
      <c r="E661" s="110"/>
      <c r="F661" s="49"/>
      <c r="G661" s="49"/>
      <c r="H661" s="49">
        <f t="shared" si="33"/>
        <v>0</v>
      </c>
      <c r="I661" s="16"/>
      <c r="J661" s="16">
        <v>0</v>
      </c>
      <c r="K661" s="16">
        <v>0</v>
      </c>
      <c r="L661" s="11"/>
      <c r="M661" s="11"/>
      <c r="N661" s="16">
        <f t="shared" si="31"/>
        <v>0</v>
      </c>
      <c r="O661" s="18"/>
      <c r="P661" s="19">
        <v>0</v>
      </c>
      <c r="Q661" s="29">
        <f t="shared" si="32"/>
        <v>0</v>
      </c>
      <c r="R661" s="11"/>
    </row>
    <row r="662" spans="1:18" ht="12.75" customHeight="1" x14ac:dyDescent="0.2">
      <c r="A662" s="18">
        <f>+'SERVICIO FAENA'!E660</f>
        <v>0</v>
      </c>
      <c r="B662" s="20">
        <f>+'SERVICIO FAENA'!A660</f>
        <v>0</v>
      </c>
      <c r="C662" s="49">
        <f>+'SERVICIO FAENA'!C660</f>
        <v>0</v>
      </c>
      <c r="D662" s="110"/>
      <c r="E662" s="110"/>
      <c r="F662" s="49"/>
      <c r="G662" s="49"/>
      <c r="H662" s="49">
        <f t="shared" si="33"/>
        <v>0</v>
      </c>
      <c r="I662" s="16"/>
      <c r="J662" s="16">
        <v>0</v>
      </c>
      <c r="K662" s="16">
        <v>0</v>
      </c>
      <c r="L662" s="11"/>
      <c r="M662" s="11"/>
      <c r="N662" s="16">
        <f t="shared" si="31"/>
        <v>0</v>
      </c>
      <c r="O662" s="18"/>
      <c r="P662" s="19">
        <v>0</v>
      </c>
      <c r="Q662" s="29">
        <f t="shared" si="32"/>
        <v>0</v>
      </c>
      <c r="R662" s="11"/>
    </row>
    <row r="663" spans="1:18" x14ac:dyDescent="0.2">
      <c r="A663" s="18">
        <f>+'SERVICIO FAENA'!E661</f>
        <v>0</v>
      </c>
      <c r="B663" s="20">
        <f>+'SERVICIO FAENA'!A661</f>
        <v>0</v>
      </c>
      <c r="C663" s="49">
        <f>+'SERVICIO FAENA'!C661</f>
        <v>0</v>
      </c>
      <c r="D663" s="110"/>
      <c r="E663" s="110"/>
      <c r="F663" s="49"/>
      <c r="G663" s="49"/>
      <c r="H663" s="49">
        <f t="shared" si="33"/>
        <v>0</v>
      </c>
      <c r="I663" s="16"/>
      <c r="J663" s="16">
        <v>0</v>
      </c>
      <c r="K663" s="16">
        <v>0</v>
      </c>
      <c r="L663" s="11"/>
      <c r="M663" s="11"/>
      <c r="N663" s="16">
        <f t="shared" si="31"/>
        <v>0</v>
      </c>
      <c r="O663" s="18"/>
      <c r="P663" s="19">
        <v>0</v>
      </c>
      <c r="Q663" s="29">
        <f t="shared" si="32"/>
        <v>0</v>
      </c>
      <c r="R663" s="11"/>
    </row>
    <row r="664" spans="1:18" ht="12.75" customHeight="1" x14ac:dyDescent="0.2">
      <c r="A664" s="18">
        <f>+'SERVICIO FAENA'!E662</f>
        <v>0</v>
      </c>
      <c r="B664" s="20">
        <f>+'SERVICIO FAENA'!A662</f>
        <v>0</v>
      </c>
      <c r="C664" s="49">
        <f>+'SERVICIO FAENA'!C662</f>
        <v>0</v>
      </c>
      <c r="D664" s="110"/>
      <c r="E664" s="110"/>
      <c r="F664" s="49"/>
      <c r="G664" s="49"/>
      <c r="H664" s="49">
        <f t="shared" si="33"/>
        <v>0</v>
      </c>
      <c r="I664" s="16"/>
      <c r="J664" s="16">
        <v>0</v>
      </c>
      <c r="K664" s="16">
        <v>0</v>
      </c>
      <c r="L664" s="11"/>
      <c r="M664" s="11"/>
      <c r="N664" s="16">
        <f t="shared" si="31"/>
        <v>0</v>
      </c>
      <c r="O664" s="18"/>
      <c r="P664" s="19">
        <v>0</v>
      </c>
      <c r="Q664" s="29">
        <f t="shared" si="32"/>
        <v>0</v>
      </c>
      <c r="R664" s="11"/>
    </row>
    <row r="665" spans="1:18" x14ac:dyDescent="0.2">
      <c r="A665" s="18">
        <f>+'SERVICIO FAENA'!E663</f>
        <v>0</v>
      </c>
      <c r="B665" s="20">
        <f>+'SERVICIO FAENA'!A663</f>
        <v>0</v>
      </c>
      <c r="C665" s="49">
        <f>+'SERVICIO FAENA'!C663</f>
        <v>0</v>
      </c>
      <c r="D665" s="110"/>
      <c r="E665" s="110"/>
      <c r="F665" s="49"/>
      <c r="G665" s="49"/>
      <c r="H665" s="49">
        <f t="shared" si="33"/>
        <v>0</v>
      </c>
      <c r="I665" s="16"/>
      <c r="J665" s="16">
        <v>0</v>
      </c>
      <c r="K665" s="16">
        <v>0</v>
      </c>
      <c r="L665" s="11"/>
      <c r="M665" s="11"/>
      <c r="N665" s="16">
        <f t="shared" si="31"/>
        <v>0</v>
      </c>
      <c r="O665" s="18"/>
      <c r="P665" s="19">
        <v>0</v>
      </c>
      <c r="Q665" s="29">
        <f t="shared" si="32"/>
        <v>0</v>
      </c>
      <c r="R665" s="11"/>
    </row>
    <row r="666" spans="1:18" ht="12.75" customHeight="1" x14ac:dyDescent="0.2">
      <c r="A666" s="18">
        <f>+'SERVICIO FAENA'!E664</f>
        <v>0</v>
      </c>
      <c r="B666" s="20">
        <f>+'SERVICIO FAENA'!A664</f>
        <v>0</v>
      </c>
      <c r="C666" s="49">
        <f>+'SERVICIO FAENA'!C664</f>
        <v>0</v>
      </c>
      <c r="D666" s="110"/>
      <c r="E666" s="110"/>
      <c r="F666" s="49"/>
      <c r="G666" s="49"/>
      <c r="H666" s="49">
        <f t="shared" si="33"/>
        <v>0</v>
      </c>
      <c r="I666" s="16"/>
      <c r="J666" s="16">
        <v>0</v>
      </c>
      <c r="K666" s="16">
        <v>0</v>
      </c>
      <c r="L666" s="11"/>
      <c r="M666" s="11"/>
      <c r="N666" s="16">
        <f t="shared" si="31"/>
        <v>0</v>
      </c>
      <c r="O666" s="18"/>
      <c r="P666" s="19">
        <v>0</v>
      </c>
      <c r="Q666" s="29">
        <f t="shared" si="32"/>
        <v>0</v>
      </c>
      <c r="R666" s="11"/>
    </row>
    <row r="667" spans="1:18" x14ac:dyDescent="0.2">
      <c r="A667" s="18">
        <f>+'SERVICIO FAENA'!E665</f>
        <v>0</v>
      </c>
      <c r="B667" s="20">
        <f>+'SERVICIO FAENA'!A665</f>
        <v>0</v>
      </c>
      <c r="C667" s="49">
        <f>+'SERVICIO FAENA'!C665</f>
        <v>0</v>
      </c>
      <c r="D667" s="110"/>
      <c r="E667" s="110"/>
      <c r="F667" s="49"/>
      <c r="G667" s="49"/>
      <c r="H667" s="49">
        <f t="shared" si="33"/>
        <v>0</v>
      </c>
      <c r="I667" s="16"/>
      <c r="J667" s="16">
        <v>0</v>
      </c>
      <c r="K667" s="16">
        <v>0</v>
      </c>
      <c r="L667" s="11"/>
      <c r="M667" s="11"/>
      <c r="N667" s="16">
        <f t="shared" si="31"/>
        <v>0</v>
      </c>
      <c r="O667" s="18"/>
      <c r="P667" s="19">
        <v>0</v>
      </c>
      <c r="Q667" s="29">
        <f t="shared" si="32"/>
        <v>0</v>
      </c>
      <c r="R667" s="11"/>
    </row>
    <row r="668" spans="1:18" ht="12.75" customHeight="1" x14ac:dyDescent="0.2">
      <c r="A668" s="18">
        <f>+'SERVICIO FAENA'!E666</f>
        <v>0</v>
      </c>
      <c r="B668" s="20">
        <f>+'SERVICIO FAENA'!A666</f>
        <v>0</v>
      </c>
      <c r="C668" s="49">
        <f>+'SERVICIO FAENA'!C666</f>
        <v>0</v>
      </c>
      <c r="D668" s="110"/>
      <c r="E668" s="110"/>
      <c r="F668" s="49"/>
      <c r="G668" s="49"/>
      <c r="H668" s="49">
        <f t="shared" si="33"/>
        <v>0</v>
      </c>
      <c r="I668" s="16"/>
      <c r="J668" s="16">
        <v>0</v>
      </c>
      <c r="K668" s="16">
        <v>0</v>
      </c>
      <c r="L668" s="11"/>
      <c r="M668" s="11"/>
      <c r="N668" s="16">
        <f t="shared" si="31"/>
        <v>0</v>
      </c>
      <c r="O668" s="18"/>
      <c r="P668" s="19">
        <v>0</v>
      </c>
      <c r="Q668" s="29">
        <f t="shared" si="32"/>
        <v>0</v>
      </c>
      <c r="R668" s="11"/>
    </row>
    <row r="669" spans="1:18" x14ac:dyDescent="0.2">
      <c r="A669" s="18">
        <f>+'SERVICIO FAENA'!E667</f>
        <v>0</v>
      </c>
      <c r="B669" s="20">
        <f>+'SERVICIO FAENA'!A667</f>
        <v>0</v>
      </c>
      <c r="C669" s="49">
        <f>+'SERVICIO FAENA'!C667</f>
        <v>0</v>
      </c>
      <c r="D669" s="110"/>
      <c r="E669" s="110"/>
      <c r="F669" s="49"/>
      <c r="G669" s="49"/>
      <c r="H669" s="49">
        <f t="shared" si="33"/>
        <v>0</v>
      </c>
      <c r="I669" s="16"/>
      <c r="J669" s="16">
        <v>0</v>
      </c>
      <c r="K669" s="16">
        <v>0</v>
      </c>
      <c r="L669" s="11"/>
      <c r="M669" s="11"/>
      <c r="N669" s="16">
        <f t="shared" si="31"/>
        <v>0</v>
      </c>
      <c r="O669" s="18"/>
      <c r="P669" s="19">
        <v>0</v>
      </c>
      <c r="Q669" s="29">
        <f t="shared" si="32"/>
        <v>0</v>
      </c>
      <c r="R669" s="11"/>
    </row>
    <row r="670" spans="1:18" ht="12.75" customHeight="1" x14ac:dyDescent="0.2">
      <c r="A670" s="18">
        <f>+'SERVICIO FAENA'!E668</f>
        <v>0</v>
      </c>
      <c r="B670" s="20">
        <f>+'SERVICIO FAENA'!A668</f>
        <v>0</v>
      </c>
      <c r="C670" s="49">
        <f>+'SERVICIO FAENA'!C668</f>
        <v>0</v>
      </c>
      <c r="D670" s="110"/>
      <c r="E670" s="110"/>
      <c r="F670" s="49"/>
      <c r="G670" s="49"/>
      <c r="H670" s="49">
        <f t="shared" si="33"/>
        <v>0</v>
      </c>
      <c r="I670" s="16"/>
      <c r="J670" s="16">
        <v>0</v>
      </c>
      <c r="K670" s="16">
        <v>0</v>
      </c>
      <c r="L670" s="11"/>
      <c r="M670" s="11"/>
      <c r="N670" s="16">
        <f t="shared" si="31"/>
        <v>0</v>
      </c>
      <c r="O670" s="18"/>
      <c r="P670" s="19">
        <v>0</v>
      </c>
      <c r="Q670" s="29">
        <f t="shared" si="32"/>
        <v>0</v>
      </c>
      <c r="R670" s="11"/>
    </row>
    <row r="671" spans="1:18" x14ac:dyDescent="0.2">
      <c r="A671" s="18">
        <f>+'SERVICIO FAENA'!E669</f>
        <v>0</v>
      </c>
      <c r="B671" s="20">
        <f>+'SERVICIO FAENA'!A669</f>
        <v>0</v>
      </c>
      <c r="C671" s="49">
        <f>+'SERVICIO FAENA'!C669</f>
        <v>0</v>
      </c>
      <c r="D671" s="110"/>
      <c r="E671" s="110"/>
      <c r="F671" s="49"/>
      <c r="G671" s="49"/>
      <c r="H671" s="49">
        <f t="shared" si="33"/>
        <v>0</v>
      </c>
      <c r="I671" s="16"/>
      <c r="J671" s="16">
        <v>0</v>
      </c>
      <c r="K671" s="16">
        <v>0</v>
      </c>
      <c r="L671" s="11"/>
      <c r="M671" s="11"/>
      <c r="N671" s="16">
        <f t="shared" si="31"/>
        <v>0</v>
      </c>
      <c r="O671" s="18"/>
      <c r="P671" s="19">
        <v>0</v>
      </c>
      <c r="Q671" s="29">
        <f t="shared" si="32"/>
        <v>0</v>
      </c>
      <c r="R671" s="11"/>
    </row>
    <row r="672" spans="1:18" ht="12.75" customHeight="1" x14ac:dyDescent="0.2">
      <c r="A672" s="18">
        <f>+'SERVICIO FAENA'!E670</f>
        <v>0</v>
      </c>
      <c r="B672" s="20">
        <f>+'SERVICIO FAENA'!A670</f>
        <v>0</v>
      </c>
      <c r="C672" s="49">
        <f>+'SERVICIO FAENA'!C670</f>
        <v>0</v>
      </c>
      <c r="D672" s="110"/>
      <c r="E672" s="110"/>
      <c r="F672" s="49"/>
      <c r="G672" s="49"/>
      <c r="H672" s="49">
        <f t="shared" si="33"/>
        <v>0</v>
      </c>
      <c r="I672" s="16"/>
      <c r="J672" s="16">
        <v>0</v>
      </c>
      <c r="K672" s="16">
        <v>0</v>
      </c>
      <c r="L672" s="11"/>
      <c r="M672" s="11"/>
      <c r="N672" s="16">
        <f t="shared" si="31"/>
        <v>0</v>
      </c>
      <c r="O672" s="18"/>
      <c r="P672" s="19">
        <v>0</v>
      </c>
      <c r="Q672" s="29">
        <f t="shared" si="32"/>
        <v>0</v>
      </c>
      <c r="R672" s="11"/>
    </row>
    <row r="673" spans="1:18" x14ac:dyDescent="0.2">
      <c r="A673" s="18">
        <f>+'SERVICIO FAENA'!E671</f>
        <v>0</v>
      </c>
      <c r="B673" s="20">
        <f>+'SERVICIO FAENA'!A671</f>
        <v>0</v>
      </c>
      <c r="C673" s="49">
        <f>+'SERVICIO FAENA'!C671</f>
        <v>0</v>
      </c>
      <c r="D673" s="110"/>
      <c r="E673" s="110"/>
      <c r="F673" s="49"/>
      <c r="G673" s="49"/>
      <c r="H673" s="49">
        <f t="shared" si="33"/>
        <v>0</v>
      </c>
      <c r="I673" s="16"/>
      <c r="J673" s="16">
        <v>0</v>
      </c>
      <c r="K673" s="16">
        <v>0</v>
      </c>
      <c r="L673" s="11"/>
      <c r="M673" s="11"/>
      <c r="N673" s="16">
        <f t="shared" si="31"/>
        <v>0</v>
      </c>
      <c r="O673" s="18"/>
      <c r="P673" s="19">
        <v>0</v>
      </c>
      <c r="Q673" s="29">
        <f t="shared" si="32"/>
        <v>0</v>
      </c>
      <c r="R673" s="11"/>
    </row>
    <row r="674" spans="1:18" ht="12.75" customHeight="1" x14ac:dyDescent="0.2">
      <c r="A674" s="18">
        <f>+'SERVICIO FAENA'!E672</f>
        <v>0</v>
      </c>
      <c r="B674" s="20">
        <f>+'SERVICIO FAENA'!A672</f>
        <v>0</v>
      </c>
      <c r="C674" s="49">
        <f>+'SERVICIO FAENA'!C672</f>
        <v>0</v>
      </c>
      <c r="D674" s="110"/>
      <c r="E674" s="110"/>
      <c r="F674" s="49"/>
      <c r="G674" s="49"/>
      <c r="H674" s="49">
        <f t="shared" si="33"/>
        <v>0</v>
      </c>
      <c r="I674" s="16"/>
      <c r="J674" s="16">
        <v>0</v>
      </c>
      <c r="K674" s="16">
        <v>0</v>
      </c>
      <c r="L674" s="11"/>
      <c r="M674" s="11"/>
      <c r="N674" s="16">
        <f t="shared" si="31"/>
        <v>0</v>
      </c>
      <c r="O674" s="18"/>
      <c r="P674" s="19">
        <v>0</v>
      </c>
      <c r="Q674" s="29">
        <f t="shared" si="32"/>
        <v>0</v>
      </c>
      <c r="R674" s="11"/>
    </row>
    <row r="675" spans="1:18" x14ac:dyDescent="0.2">
      <c r="A675" s="18">
        <f>+'SERVICIO FAENA'!E673</f>
        <v>0</v>
      </c>
      <c r="B675" s="20">
        <f>+'SERVICIO FAENA'!A673</f>
        <v>0</v>
      </c>
      <c r="C675" s="49">
        <f>+'SERVICIO FAENA'!C673</f>
        <v>0</v>
      </c>
      <c r="D675" s="110"/>
      <c r="E675" s="110"/>
      <c r="F675" s="49"/>
      <c r="G675" s="49"/>
      <c r="H675" s="49">
        <f t="shared" si="33"/>
        <v>0</v>
      </c>
      <c r="I675" s="16"/>
      <c r="J675" s="16">
        <v>0</v>
      </c>
      <c r="K675" s="16">
        <v>0</v>
      </c>
      <c r="L675" s="11"/>
      <c r="M675" s="11"/>
      <c r="N675" s="16">
        <f t="shared" si="31"/>
        <v>0</v>
      </c>
      <c r="O675" s="18"/>
      <c r="P675" s="19">
        <v>0</v>
      </c>
      <c r="Q675" s="29">
        <f t="shared" si="32"/>
        <v>0</v>
      </c>
      <c r="R675" s="11"/>
    </row>
    <row r="676" spans="1:18" ht="12.75" customHeight="1" x14ac:dyDescent="0.2">
      <c r="A676" s="18">
        <f>+'SERVICIO FAENA'!E674</f>
        <v>0</v>
      </c>
      <c r="B676" s="20">
        <f>+'SERVICIO FAENA'!A674</f>
        <v>0</v>
      </c>
      <c r="C676" s="49">
        <f>+'SERVICIO FAENA'!C674</f>
        <v>0</v>
      </c>
      <c r="D676" s="110"/>
      <c r="E676" s="110"/>
      <c r="F676" s="49"/>
      <c r="G676" s="49"/>
      <c r="H676" s="49">
        <f t="shared" si="33"/>
        <v>0</v>
      </c>
      <c r="I676" s="16"/>
      <c r="J676" s="16">
        <v>0</v>
      </c>
      <c r="K676" s="16">
        <v>0</v>
      </c>
      <c r="L676" s="11"/>
      <c r="M676" s="11"/>
      <c r="N676" s="16">
        <f t="shared" si="31"/>
        <v>0</v>
      </c>
      <c r="O676" s="18"/>
      <c r="P676" s="19">
        <v>0</v>
      </c>
      <c r="Q676" s="29">
        <f t="shared" si="32"/>
        <v>0</v>
      </c>
      <c r="R676" s="11"/>
    </row>
    <row r="677" spans="1:18" x14ac:dyDescent="0.2">
      <c r="A677" s="18">
        <f>+'SERVICIO FAENA'!E675</f>
        <v>0</v>
      </c>
      <c r="B677" s="20">
        <f>+'SERVICIO FAENA'!A675</f>
        <v>0</v>
      </c>
      <c r="C677" s="49">
        <f>+'SERVICIO FAENA'!C675</f>
        <v>0</v>
      </c>
      <c r="D677" s="110"/>
      <c r="E677" s="110"/>
      <c r="F677" s="49"/>
      <c r="G677" s="49"/>
      <c r="H677" s="49">
        <f t="shared" si="33"/>
        <v>0</v>
      </c>
      <c r="I677" s="16"/>
      <c r="J677" s="16">
        <v>0</v>
      </c>
      <c r="K677" s="16">
        <v>0</v>
      </c>
      <c r="L677" s="11"/>
      <c r="M677" s="11"/>
      <c r="N677" s="16">
        <f t="shared" si="31"/>
        <v>0</v>
      </c>
      <c r="O677" s="18"/>
      <c r="P677" s="19">
        <v>0</v>
      </c>
      <c r="Q677" s="29">
        <f t="shared" si="32"/>
        <v>0</v>
      </c>
      <c r="R677" s="11"/>
    </row>
    <row r="678" spans="1:18" ht="12.75" customHeight="1" x14ac:dyDescent="0.2">
      <c r="A678" s="18">
        <f>+'SERVICIO FAENA'!E676</f>
        <v>0</v>
      </c>
      <c r="B678" s="20">
        <f>+'SERVICIO FAENA'!A676</f>
        <v>0</v>
      </c>
      <c r="C678" s="49">
        <f>+'SERVICIO FAENA'!C676</f>
        <v>0</v>
      </c>
      <c r="D678" s="110"/>
      <c r="E678" s="110"/>
      <c r="F678" s="49"/>
      <c r="G678" s="49"/>
      <c r="H678" s="49">
        <f t="shared" si="33"/>
        <v>0</v>
      </c>
      <c r="I678" s="16"/>
      <c r="J678" s="16">
        <v>0</v>
      </c>
      <c r="K678" s="16">
        <v>0</v>
      </c>
      <c r="L678" s="11"/>
      <c r="M678" s="11"/>
      <c r="N678" s="16">
        <f t="shared" si="31"/>
        <v>0</v>
      </c>
      <c r="O678" s="18"/>
      <c r="P678" s="19">
        <v>0</v>
      </c>
      <c r="Q678" s="29">
        <f t="shared" si="32"/>
        <v>0</v>
      </c>
      <c r="R678" s="11"/>
    </row>
    <row r="679" spans="1:18" x14ac:dyDescent="0.2">
      <c r="A679" s="18">
        <f>+'SERVICIO FAENA'!E677</f>
        <v>0</v>
      </c>
      <c r="B679" s="20">
        <f>+'SERVICIO FAENA'!A677</f>
        <v>0</v>
      </c>
      <c r="C679" s="49">
        <f>+'SERVICIO FAENA'!C677</f>
        <v>0</v>
      </c>
      <c r="D679" s="110"/>
      <c r="E679" s="110"/>
      <c r="F679" s="49"/>
      <c r="G679" s="49"/>
      <c r="H679" s="49">
        <f t="shared" si="33"/>
        <v>0</v>
      </c>
      <c r="I679" s="16"/>
      <c r="J679" s="16">
        <v>0</v>
      </c>
      <c r="K679" s="16">
        <v>0</v>
      </c>
      <c r="L679" s="11"/>
      <c r="M679" s="11"/>
      <c r="N679" s="16">
        <f t="shared" si="31"/>
        <v>0</v>
      </c>
      <c r="O679" s="18"/>
      <c r="P679" s="19">
        <v>0</v>
      </c>
      <c r="Q679" s="29">
        <f t="shared" si="32"/>
        <v>0</v>
      </c>
      <c r="R679" s="11"/>
    </row>
    <row r="680" spans="1:18" ht="12.75" customHeight="1" x14ac:dyDescent="0.2">
      <c r="A680" s="18">
        <f>+'SERVICIO FAENA'!E678</f>
        <v>0</v>
      </c>
      <c r="B680" s="20">
        <f>+'SERVICIO FAENA'!A678</f>
        <v>0</v>
      </c>
      <c r="C680" s="49">
        <f>+'SERVICIO FAENA'!C678</f>
        <v>0</v>
      </c>
      <c r="D680" s="110"/>
      <c r="E680" s="110"/>
      <c r="F680" s="49"/>
      <c r="G680" s="49"/>
      <c r="H680" s="49">
        <f t="shared" si="33"/>
        <v>0</v>
      </c>
      <c r="I680" s="16"/>
      <c r="J680" s="16">
        <v>0</v>
      </c>
      <c r="K680" s="16">
        <v>0</v>
      </c>
      <c r="L680" s="11"/>
      <c r="M680" s="11"/>
      <c r="N680" s="16">
        <f t="shared" si="31"/>
        <v>0</v>
      </c>
      <c r="O680" s="18"/>
      <c r="P680" s="19">
        <v>0</v>
      </c>
      <c r="Q680" s="29">
        <f t="shared" si="32"/>
        <v>0</v>
      </c>
      <c r="R680" s="11"/>
    </row>
    <row r="681" spans="1:18" x14ac:dyDescent="0.2">
      <c r="A681" s="18">
        <f>+'SERVICIO FAENA'!E679</f>
        <v>0</v>
      </c>
      <c r="B681" s="20">
        <f>+'SERVICIO FAENA'!A679</f>
        <v>0</v>
      </c>
      <c r="C681" s="49">
        <f>+'SERVICIO FAENA'!C679</f>
        <v>0</v>
      </c>
      <c r="D681" s="110"/>
      <c r="E681" s="110"/>
      <c r="F681" s="49"/>
      <c r="G681" s="49"/>
      <c r="H681" s="49">
        <f t="shared" si="33"/>
        <v>0</v>
      </c>
      <c r="I681" s="16"/>
      <c r="J681" s="16">
        <v>0</v>
      </c>
      <c r="K681" s="16">
        <v>0</v>
      </c>
      <c r="L681" s="11"/>
      <c r="M681" s="11"/>
      <c r="N681" s="16">
        <f t="shared" si="31"/>
        <v>0</v>
      </c>
      <c r="O681" s="18"/>
      <c r="P681" s="19">
        <v>0</v>
      </c>
      <c r="Q681" s="29">
        <f t="shared" si="32"/>
        <v>0</v>
      </c>
      <c r="R681" s="11"/>
    </row>
    <row r="682" spans="1:18" ht="12.75" customHeight="1" x14ac:dyDescent="0.2">
      <c r="A682" s="18">
        <f>+'SERVICIO FAENA'!E680</f>
        <v>0</v>
      </c>
      <c r="B682" s="20">
        <f>+'SERVICIO FAENA'!A680</f>
        <v>0</v>
      </c>
      <c r="C682" s="49">
        <f>+'SERVICIO FAENA'!C680</f>
        <v>0</v>
      </c>
      <c r="D682" s="110"/>
      <c r="E682" s="110"/>
      <c r="F682" s="49"/>
      <c r="G682" s="49"/>
      <c r="H682" s="49">
        <f t="shared" si="33"/>
        <v>0</v>
      </c>
      <c r="I682" s="16"/>
      <c r="J682" s="16">
        <v>0</v>
      </c>
      <c r="K682" s="16">
        <v>0</v>
      </c>
      <c r="L682" s="11"/>
      <c r="M682" s="11"/>
      <c r="N682" s="16">
        <f t="shared" si="31"/>
        <v>0</v>
      </c>
      <c r="O682" s="18"/>
      <c r="P682" s="19">
        <v>0</v>
      </c>
      <c r="Q682" s="29">
        <f t="shared" si="32"/>
        <v>0</v>
      </c>
      <c r="R682" s="11"/>
    </row>
    <row r="683" spans="1:18" x14ac:dyDescent="0.2">
      <c r="A683" s="18">
        <f>+'SERVICIO FAENA'!E681</f>
        <v>0</v>
      </c>
      <c r="B683" s="20">
        <f>+'SERVICIO FAENA'!A681</f>
        <v>0</v>
      </c>
      <c r="C683" s="49">
        <f>+'SERVICIO FAENA'!C681</f>
        <v>0</v>
      </c>
      <c r="D683" s="110"/>
      <c r="E683" s="110"/>
      <c r="F683" s="49"/>
      <c r="G683" s="49"/>
      <c r="H683" s="49">
        <f t="shared" si="33"/>
        <v>0</v>
      </c>
      <c r="I683" s="16"/>
      <c r="J683" s="16">
        <v>0</v>
      </c>
      <c r="K683" s="16">
        <v>0</v>
      </c>
      <c r="L683" s="11"/>
      <c r="M683" s="11"/>
      <c r="N683" s="16">
        <f t="shared" si="31"/>
        <v>0</v>
      </c>
      <c r="O683" s="18"/>
      <c r="P683" s="19">
        <v>0</v>
      </c>
      <c r="Q683" s="29">
        <f t="shared" si="32"/>
        <v>0</v>
      </c>
      <c r="R683" s="11"/>
    </row>
    <row r="684" spans="1:18" ht="12.75" customHeight="1" x14ac:dyDescent="0.2">
      <c r="A684" s="18">
        <f>+'SERVICIO FAENA'!E682</f>
        <v>0</v>
      </c>
      <c r="B684" s="20">
        <f>+'SERVICIO FAENA'!A682</f>
        <v>0</v>
      </c>
      <c r="C684" s="49">
        <f>+'SERVICIO FAENA'!C682</f>
        <v>0</v>
      </c>
      <c r="D684" s="110"/>
      <c r="E684" s="110"/>
      <c r="F684" s="49"/>
      <c r="G684" s="49"/>
      <c r="H684" s="49">
        <f t="shared" si="33"/>
        <v>0</v>
      </c>
      <c r="I684" s="16"/>
      <c r="J684" s="16">
        <v>0</v>
      </c>
      <c r="K684" s="16">
        <v>0</v>
      </c>
      <c r="L684" s="11"/>
      <c r="M684" s="11"/>
      <c r="N684" s="16">
        <f t="shared" si="31"/>
        <v>0</v>
      </c>
      <c r="O684" s="18"/>
      <c r="P684" s="19">
        <v>0</v>
      </c>
      <c r="Q684" s="29">
        <f t="shared" si="32"/>
        <v>0</v>
      </c>
      <c r="R684" s="11"/>
    </row>
    <row r="685" spans="1:18" x14ac:dyDescent="0.2">
      <c r="A685" s="18">
        <f>+'SERVICIO FAENA'!E683</f>
        <v>0</v>
      </c>
      <c r="B685" s="20">
        <f>+'SERVICIO FAENA'!A683</f>
        <v>0</v>
      </c>
      <c r="C685" s="49">
        <f>+'SERVICIO FAENA'!C683</f>
        <v>0</v>
      </c>
      <c r="D685" s="110"/>
      <c r="E685" s="110"/>
      <c r="F685" s="49"/>
      <c r="G685" s="49"/>
      <c r="H685" s="49">
        <f t="shared" si="33"/>
        <v>0</v>
      </c>
      <c r="I685" s="16"/>
      <c r="J685" s="16">
        <v>0</v>
      </c>
      <c r="K685" s="16">
        <v>0</v>
      </c>
      <c r="L685" s="11"/>
      <c r="M685" s="11"/>
      <c r="N685" s="16">
        <f t="shared" si="31"/>
        <v>0</v>
      </c>
      <c r="O685" s="18"/>
      <c r="P685" s="19">
        <v>0</v>
      </c>
      <c r="Q685" s="29">
        <f t="shared" si="32"/>
        <v>0</v>
      </c>
      <c r="R685" s="11"/>
    </row>
    <row r="686" spans="1:18" ht="12.75" customHeight="1" x14ac:dyDescent="0.2">
      <c r="A686" s="18">
        <f>+'SERVICIO FAENA'!E684</f>
        <v>0</v>
      </c>
      <c r="B686" s="20">
        <f>+'SERVICIO FAENA'!A684</f>
        <v>0</v>
      </c>
      <c r="C686" s="49">
        <f>+'SERVICIO FAENA'!C684</f>
        <v>0</v>
      </c>
      <c r="D686" s="110"/>
      <c r="E686" s="110"/>
      <c r="F686" s="49"/>
      <c r="G686" s="49"/>
      <c r="H686" s="49">
        <f t="shared" si="33"/>
        <v>0</v>
      </c>
      <c r="I686" s="16"/>
      <c r="J686" s="16">
        <v>0</v>
      </c>
      <c r="K686" s="16">
        <v>0</v>
      </c>
      <c r="L686" s="11"/>
      <c r="M686" s="11"/>
      <c r="N686" s="16">
        <f t="shared" si="31"/>
        <v>0</v>
      </c>
      <c r="O686" s="18"/>
      <c r="P686" s="19">
        <v>0</v>
      </c>
      <c r="Q686" s="29">
        <f t="shared" si="32"/>
        <v>0</v>
      </c>
      <c r="R686" s="11"/>
    </row>
    <row r="687" spans="1:18" x14ac:dyDescent="0.2">
      <c r="A687" s="18">
        <f>+'SERVICIO FAENA'!E685</f>
        <v>0</v>
      </c>
      <c r="B687" s="20">
        <f>+'SERVICIO FAENA'!A685</f>
        <v>0</v>
      </c>
      <c r="C687" s="49">
        <f>+'SERVICIO FAENA'!C685</f>
        <v>0</v>
      </c>
      <c r="D687" s="110"/>
      <c r="E687" s="110"/>
      <c r="F687" s="49"/>
      <c r="G687" s="49"/>
      <c r="H687" s="49">
        <f t="shared" si="33"/>
        <v>0</v>
      </c>
      <c r="I687" s="16"/>
      <c r="J687" s="16">
        <v>0</v>
      </c>
      <c r="K687" s="16">
        <v>0</v>
      </c>
      <c r="L687" s="11"/>
      <c r="M687" s="11"/>
      <c r="N687" s="16">
        <f t="shared" si="31"/>
        <v>0</v>
      </c>
      <c r="O687" s="18"/>
      <c r="P687" s="19">
        <v>0</v>
      </c>
      <c r="Q687" s="29">
        <f t="shared" si="32"/>
        <v>0</v>
      </c>
      <c r="R687" s="11"/>
    </row>
    <row r="688" spans="1:18" ht="12.75" customHeight="1" x14ac:dyDescent="0.2">
      <c r="A688" s="18">
        <f>+'SERVICIO FAENA'!E686</f>
        <v>0</v>
      </c>
      <c r="B688" s="20">
        <f>+'SERVICIO FAENA'!A686</f>
        <v>0</v>
      </c>
      <c r="C688" s="49">
        <f>+'SERVICIO FAENA'!C686</f>
        <v>0</v>
      </c>
      <c r="D688" s="110"/>
      <c r="E688" s="110"/>
      <c r="F688" s="49"/>
      <c r="G688" s="49"/>
      <c r="H688" s="49">
        <f t="shared" si="33"/>
        <v>0</v>
      </c>
      <c r="I688" s="16"/>
      <c r="J688" s="16">
        <v>0</v>
      </c>
      <c r="K688" s="16">
        <v>0</v>
      </c>
      <c r="L688" s="11"/>
      <c r="M688" s="11"/>
      <c r="N688" s="16">
        <f t="shared" si="31"/>
        <v>0</v>
      </c>
      <c r="O688" s="18"/>
      <c r="P688" s="19">
        <v>0</v>
      </c>
      <c r="Q688" s="29">
        <f t="shared" si="32"/>
        <v>0</v>
      </c>
      <c r="R688" s="11"/>
    </row>
    <row r="689" spans="1:18" x14ac:dyDescent="0.2">
      <c r="A689" s="18">
        <f>+'SERVICIO FAENA'!E687</f>
        <v>0</v>
      </c>
      <c r="B689" s="20">
        <f>+'SERVICIO FAENA'!A687</f>
        <v>0</v>
      </c>
      <c r="C689" s="49">
        <f>+'SERVICIO FAENA'!C687</f>
        <v>0</v>
      </c>
      <c r="D689" s="110"/>
      <c r="E689" s="110"/>
      <c r="F689" s="49"/>
      <c r="G689" s="49"/>
      <c r="H689" s="49">
        <f t="shared" si="33"/>
        <v>0</v>
      </c>
      <c r="I689" s="16"/>
      <c r="J689" s="16">
        <v>0</v>
      </c>
      <c r="K689" s="16">
        <v>0</v>
      </c>
      <c r="L689" s="11"/>
      <c r="M689" s="11"/>
      <c r="N689" s="16">
        <f t="shared" si="31"/>
        <v>0</v>
      </c>
      <c r="O689" s="18"/>
      <c r="P689" s="19">
        <v>0</v>
      </c>
      <c r="Q689" s="29">
        <f t="shared" si="32"/>
        <v>0</v>
      </c>
      <c r="R689" s="11"/>
    </row>
    <row r="690" spans="1:18" ht="12.75" customHeight="1" x14ac:dyDescent="0.2">
      <c r="A690" s="18">
        <f>+'SERVICIO FAENA'!E688</f>
        <v>0</v>
      </c>
      <c r="B690" s="20">
        <f>+'SERVICIO FAENA'!A688</f>
        <v>0</v>
      </c>
      <c r="C690" s="49">
        <f>+'SERVICIO FAENA'!C688</f>
        <v>0</v>
      </c>
      <c r="D690" s="110"/>
      <c r="E690" s="110"/>
      <c r="F690" s="49"/>
      <c r="G690" s="49"/>
      <c r="H690" s="49">
        <f t="shared" si="33"/>
        <v>0</v>
      </c>
      <c r="I690" s="16"/>
      <c r="J690" s="16">
        <v>0</v>
      </c>
      <c r="K690" s="16">
        <v>0</v>
      </c>
      <c r="L690" s="11"/>
      <c r="M690" s="11"/>
      <c r="N690" s="16">
        <f t="shared" si="31"/>
        <v>0</v>
      </c>
      <c r="O690" s="18"/>
      <c r="P690" s="19">
        <v>0</v>
      </c>
      <c r="Q690" s="29">
        <f t="shared" si="32"/>
        <v>0</v>
      </c>
      <c r="R690" s="11"/>
    </row>
    <row r="691" spans="1:18" x14ac:dyDescent="0.2">
      <c r="A691" s="18">
        <f>+'SERVICIO FAENA'!E689</f>
        <v>0</v>
      </c>
      <c r="B691" s="20">
        <f>+'SERVICIO FAENA'!A689</f>
        <v>0</v>
      </c>
      <c r="C691" s="49">
        <f>+'SERVICIO FAENA'!C689</f>
        <v>0</v>
      </c>
      <c r="D691" s="110"/>
      <c r="E691" s="110"/>
      <c r="F691" s="49"/>
      <c r="G691" s="49"/>
      <c r="H691" s="49">
        <f t="shared" si="33"/>
        <v>0</v>
      </c>
      <c r="I691" s="16"/>
      <c r="J691" s="16">
        <v>0</v>
      </c>
      <c r="K691" s="16">
        <v>0</v>
      </c>
      <c r="L691" s="11"/>
      <c r="M691" s="11"/>
      <c r="N691" s="16">
        <f t="shared" si="31"/>
        <v>0</v>
      </c>
      <c r="O691" s="18"/>
      <c r="P691" s="19">
        <v>0</v>
      </c>
      <c r="Q691" s="29">
        <f t="shared" si="32"/>
        <v>0</v>
      </c>
      <c r="R691" s="11"/>
    </row>
    <row r="692" spans="1:18" ht="12.75" customHeight="1" x14ac:dyDescent="0.2">
      <c r="A692" s="18">
        <f>+'SERVICIO FAENA'!E690</f>
        <v>0</v>
      </c>
      <c r="B692" s="20">
        <f>+'SERVICIO FAENA'!A690</f>
        <v>0</v>
      </c>
      <c r="C692" s="49">
        <f>+'SERVICIO FAENA'!C690</f>
        <v>0</v>
      </c>
      <c r="D692" s="110"/>
      <c r="E692" s="110"/>
      <c r="F692" s="49"/>
      <c r="G692" s="49"/>
      <c r="H692" s="49">
        <f t="shared" si="33"/>
        <v>0</v>
      </c>
      <c r="I692" s="16"/>
      <c r="J692" s="16">
        <v>0</v>
      </c>
      <c r="K692" s="16">
        <v>0</v>
      </c>
      <c r="L692" s="11"/>
      <c r="M692" s="11"/>
      <c r="N692" s="16">
        <f t="shared" si="31"/>
        <v>0</v>
      </c>
      <c r="O692" s="18"/>
      <c r="P692" s="19">
        <v>0</v>
      </c>
      <c r="Q692" s="29">
        <f t="shared" si="32"/>
        <v>0</v>
      </c>
      <c r="R692" s="11"/>
    </row>
    <row r="693" spans="1:18" x14ac:dyDescent="0.2">
      <c r="A693" s="18">
        <f>+'SERVICIO FAENA'!E691</f>
        <v>0</v>
      </c>
      <c r="B693" s="20">
        <f>+'SERVICIO FAENA'!A691</f>
        <v>0</v>
      </c>
      <c r="C693" s="49">
        <f>+'SERVICIO FAENA'!C691</f>
        <v>0</v>
      </c>
      <c r="D693" s="110"/>
      <c r="E693" s="110"/>
      <c r="F693" s="49"/>
      <c r="G693" s="49"/>
      <c r="H693" s="49">
        <f t="shared" si="33"/>
        <v>0</v>
      </c>
      <c r="I693" s="16"/>
      <c r="J693" s="16">
        <v>0</v>
      </c>
      <c r="K693" s="16">
        <v>0</v>
      </c>
      <c r="L693" s="11"/>
      <c r="M693" s="11"/>
      <c r="N693" s="16">
        <f t="shared" si="31"/>
        <v>0</v>
      </c>
      <c r="O693" s="18"/>
      <c r="P693" s="19">
        <v>0</v>
      </c>
      <c r="Q693" s="29">
        <f t="shared" si="32"/>
        <v>0</v>
      </c>
      <c r="R693" s="11"/>
    </row>
    <row r="694" spans="1:18" ht="12.75" customHeight="1" x14ac:dyDescent="0.2">
      <c r="A694" s="18">
        <f>+'SERVICIO FAENA'!E692</f>
        <v>0</v>
      </c>
      <c r="B694" s="20">
        <f>+'SERVICIO FAENA'!A692</f>
        <v>0</v>
      </c>
      <c r="C694" s="49">
        <f>+'SERVICIO FAENA'!C692</f>
        <v>0</v>
      </c>
      <c r="D694" s="110"/>
      <c r="E694" s="110"/>
      <c r="F694" s="49"/>
      <c r="G694" s="49"/>
      <c r="H694" s="49">
        <f t="shared" si="33"/>
        <v>0</v>
      </c>
      <c r="I694" s="16"/>
      <c r="J694" s="16">
        <v>0</v>
      </c>
      <c r="K694" s="16">
        <v>0</v>
      </c>
      <c r="L694" s="11"/>
      <c r="M694" s="11"/>
      <c r="N694" s="16">
        <f t="shared" si="31"/>
        <v>0</v>
      </c>
      <c r="O694" s="18"/>
      <c r="P694" s="19">
        <v>0</v>
      </c>
      <c r="Q694" s="29">
        <f t="shared" si="32"/>
        <v>0</v>
      </c>
      <c r="R694" s="11"/>
    </row>
    <row r="695" spans="1:18" x14ac:dyDescent="0.2">
      <c r="A695" s="18">
        <f>+'SERVICIO FAENA'!E693</f>
        <v>0</v>
      </c>
      <c r="B695" s="20">
        <f>+'SERVICIO FAENA'!A693</f>
        <v>0</v>
      </c>
      <c r="C695" s="49">
        <f>+'SERVICIO FAENA'!C693</f>
        <v>0</v>
      </c>
      <c r="D695" s="110"/>
      <c r="E695" s="110"/>
      <c r="F695" s="49"/>
      <c r="G695" s="49"/>
      <c r="H695" s="49">
        <f t="shared" si="33"/>
        <v>0</v>
      </c>
      <c r="I695" s="16"/>
      <c r="J695" s="16">
        <v>0</v>
      </c>
      <c r="K695" s="16">
        <v>0</v>
      </c>
      <c r="L695" s="11"/>
      <c r="M695" s="11"/>
      <c r="N695" s="16">
        <f t="shared" si="31"/>
        <v>0</v>
      </c>
      <c r="O695" s="18"/>
      <c r="P695" s="19">
        <v>0</v>
      </c>
      <c r="Q695" s="29">
        <f t="shared" si="32"/>
        <v>0</v>
      </c>
      <c r="R695" s="11"/>
    </row>
    <row r="696" spans="1:18" ht="12.75" customHeight="1" x14ac:dyDescent="0.2">
      <c r="A696" s="18">
        <f>+'SERVICIO FAENA'!E694</f>
        <v>0</v>
      </c>
      <c r="B696" s="20">
        <f>+'SERVICIO FAENA'!A694</f>
        <v>0</v>
      </c>
      <c r="C696" s="49">
        <f>+'SERVICIO FAENA'!C694</f>
        <v>0</v>
      </c>
      <c r="D696" s="110"/>
      <c r="E696" s="110"/>
      <c r="F696" s="49"/>
      <c r="G696" s="49"/>
      <c r="H696" s="49">
        <f t="shared" si="33"/>
        <v>0</v>
      </c>
      <c r="I696" s="16"/>
      <c r="J696" s="16">
        <v>0</v>
      </c>
      <c r="K696" s="16">
        <v>0</v>
      </c>
      <c r="L696" s="11"/>
      <c r="M696" s="11"/>
      <c r="N696" s="16">
        <f t="shared" si="31"/>
        <v>0</v>
      </c>
      <c r="O696" s="18"/>
      <c r="P696" s="19">
        <v>0</v>
      </c>
      <c r="Q696" s="29">
        <f t="shared" si="32"/>
        <v>0</v>
      </c>
      <c r="R696" s="11"/>
    </row>
    <row r="697" spans="1:18" x14ac:dyDescent="0.2">
      <c r="A697" s="18">
        <f>+'SERVICIO FAENA'!E695</f>
        <v>0</v>
      </c>
      <c r="B697" s="20">
        <f>+'SERVICIO FAENA'!A695</f>
        <v>0</v>
      </c>
      <c r="C697" s="49">
        <f>+'SERVICIO FAENA'!C695</f>
        <v>0</v>
      </c>
      <c r="D697" s="110"/>
      <c r="E697" s="110"/>
      <c r="F697" s="49"/>
      <c r="G697" s="49"/>
      <c r="H697" s="49">
        <f t="shared" si="33"/>
        <v>0</v>
      </c>
      <c r="I697" s="16"/>
      <c r="J697" s="16">
        <v>0</v>
      </c>
      <c r="K697" s="16">
        <v>0</v>
      </c>
      <c r="L697" s="11"/>
      <c r="M697" s="11"/>
      <c r="N697" s="16">
        <f t="shared" si="31"/>
        <v>0</v>
      </c>
      <c r="O697" s="18"/>
      <c r="P697" s="19">
        <v>0</v>
      </c>
      <c r="Q697" s="29">
        <f t="shared" si="32"/>
        <v>0</v>
      </c>
      <c r="R697" s="11"/>
    </row>
    <row r="698" spans="1:18" ht="12.75" customHeight="1" x14ac:dyDescent="0.2">
      <c r="A698" s="18">
        <f>+'SERVICIO FAENA'!E696</f>
        <v>0</v>
      </c>
      <c r="B698" s="20">
        <f>+'SERVICIO FAENA'!A696</f>
        <v>0</v>
      </c>
      <c r="C698" s="49">
        <f>+'SERVICIO FAENA'!C696</f>
        <v>0</v>
      </c>
      <c r="D698" s="110"/>
      <c r="E698" s="110"/>
      <c r="F698" s="49"/>
      <c r="G698" s="49"/>
      <c r="H698" s="49">
        <f t="shared" si="33"/>
        <v>0</v>
      </c>
      <c r="I698" s="16"/>
      <c r="J698" s="16">
        <v>0</v>
      </c>
      <c r="K698" s="16">
        <v>0</v>
      </c>
      <c r="L698" s="11"/>
      <c r="M698" s="11"/>
      <c r="N698" s="16">
        <f t="shared" si="31"/>
        <v>0</v>
      </c>
      <c r="O698" s="18"/>
      <c r="P698" s="19">
        <v>0</v>
      </c>
      <c r="Q698" s="29">
        <f t="shared" si="32"/>
        <v>0</v>
      </c>
      <c r="R698" s="11"/>
    </row>
    <row r="699" spans="1:18" x14ac:dyDescent="0.2">
      <c r="A699" s="18">
        <f>+'SERVICIO FAENA'!E697</f>
        <v>0</v>
      </c>
      <c r="B699" s="20">
        <f>+'SERVICIO FAENA'!A697</f>
        <v>0</v>
      </c>
      <c r="C699" s="49">
        <f>+'SERVICIO FAENA'!C697</f>
        <v>0</v>
      </c>
      <c r="D699" s="110"/>
      <c r="E699" s="110"/>
      <c r="F699" s="49"/>
      <c r="G699" s="49"/>
      <c r="H699" s="49">
        <f t="shared" si="33"/>
        <v>0</v>
      </c>
      <c r="I699" s="16"/>
      <c r="J699" s="16">
        <v>0</v>
      </c>
      <c r="K699" s="16">
        <v>0</v>
      </c>
      <c r="L699" s="11"/>
      <c r="M699" s="11"/>
      <c r="N699" s="16">
        <f t="shared" si="31"/>
        <v>0</v>
      </c>
      <c r="O699" s="18"/>
      <c r="P699" s="19">
        <v>0</v>
      </c>
      <c r="Q699" s="29">
        <f t="shared" si="32"/>
        <v>0</v>
      </c>
      <c r="R699" s="11"/>
    </row>
    <row r="700" spans="1:18" ht="12.75" customHeight="1" x14ac:dyDescent="0.2">
      <c r="A700" s="18">
        <f>+'SERVICIO FAENA'!E698</f>
        <v>0</v>
      </c>
      <c r="B700" s="20">
        <f>+'SERVICIO FAENA'!A698</f>
        <v>0</v>
      </c>
      <c r="C700" s="49">
        <f>+'SERVICIO FAENA'!C698</f>
        <v>0</v>
      </c>
      <c r="D700" s="110"/>
      <c r="E700" s="110"/>
      <c r="F700" s="49"/>
      <c r="G700" s="49"/>
      <c r="H700" s="49">
        <f t="shared" si="33"/>
        <v>0</v>
      </c>
      <c r="I700" s="16"/>
      <c r="J700" s="16">
        <v>0</v>
      </c>
      <c r="K700" s="16">
        <v>0</v>
      </c>
      <c r="L700" s="11"/>
      <c r="M700" s="11"/>
      <c r="N700" s="16">
        <f t="shared" si="31"/>
        <v>0</v>
      </c>
      <c r="O700" s="18"/>
      <c r="P700" s="19">
        <v>0</v>
      </c>
      <c r="Q700" s="29">
        <f t="shared" si="32"/>
        <v>0</v>
      </c>
      <c r="R700" s="11"/>
    </row>
    <row r="701" spans="1:18" x14ac:dyDescent="0.2">
      <c r="A701" s="18">
        <f>+'SERVICIO FAENA'!E699</f>
        <v>0</v>
      </c>
      <c r="B701" s="20">
        <f>+'SERVICIO FAENA'!A699</f>
        <v>0</v>
      </c>
      <c r="C701" s="49">
        <f>+'SERVICIO FAENA'!C699</f>
        <v>0</v>
      </c>
      <c r="D701" s="110"/>
      <c r="E701" s="110"/>
      <c r="F701" s="49"/>
      <c r="G701" s="49"/>
      <c r="H701" s="49">
        <f t="shared" si="33"/>
        <v>0</v>
      </c>
      <c r="I701" s="16"/>
      <c r="J701" s="16">
        <v>0</v>
      </c>
      <c r="K701" s="16">
        <v>0</v>
      </c>
      <c r="L701" s="11"/>
      <c r="M701" s="11"/>
      <c r="N701" s="16">
        <f t="shared" si="31"/>
        <v>0</v>
      </c>
      <c r="O701" s="18"/>
      <c r="P701" s="19">
        <v>0</v>
      </c>
      <c r="Q701" s="29">
        <f t="shared" si="32"/>
        <v>0</v>
      </c>
      <c r="R701" s="11"/>
    </row>
    <row r="702" spans="1:18" ht="12.75" customHeight="1" x14ac:dyDescent="0.2">
      <c r="A702" s="18">
        <f>+'SERVICIO FAENA'!E700</f>
        <v>0</v>
      </c>
      <c r="B702" s="20">
        <f>+'SERVICIO FAENA'!A700</f>
        <v>0</v>
      </c>
      <c r="C702" s="49">
        <f>+'SERVICIO FAENA'!C700</f>
        <v>0</v>
      </c>
      <c r="D702" s="110"/>
      <c r="E702" s="110"/>
      <c r="F702" s="49"/>
      <c r="G702" s="49"/>
      <c r="H702" s="49">
        <f t="shared" si="33"/>
        <v>0</v>
      </c>
      <c r="I702" s="16"/>
      <c r="J702" s="16">
        <v>0</v>
      </c>
      <c r="K702" s="16">
        <v>0</v>
      </c>
      <c r="L702" s="11"/>
      <c r="M702" s="11"/>
      <c r="N702" s="16">
        <f t="shared" si="31"/>
        <v>0</v>
      </c>
      <c r="O702" s="18"/>
      <c r="P702" s="19">
        <v>0</v>
      </c>
      <c r="Q702" s="29">
        <f t="shared" si="32"/>
        <v>0</v>
      </c>
      <c r="R702" s="11"/>
    </row>
    <row r="703" spans="1:18" x14ac:dyDescent="0.2">
      <c r="A703" s="18">
        <f>+'SERVICIO FAENA'!E701</f>
        <v>0</v>
      </c>
      <c r="B703" s="20">
        <f>+'SERVICIO FAENA'!A701</f>
        <v>0</v>
      </c>
      <c r="C703" s="49">
        <f>+'SERVICIO FAENA'!C701</f>
        <v>0</v>
      </c>
      <c r="D703" s="110"/>
      <c r="E703" s="110"/>
      <c r="F703" s="49"/>
      <c r="G703" s="49"/>
      <c r="H703" s="49">
        <f t="shared" si="33"/>
        <v>0</v>
      </c>
      <c r="I703" s="16"/>
      <c r="J703" s="16">
        <v>0</v>
      </c>
      <c r="K703" s="16">
        <v>0</v>
      </c>
      <c r="L703" s="11"/>
      <c r="M703" s="11"/>
      <c r="N703" s="16">
        <f t="shared" si="31"/>
        <v>0</v>
      </c>
      <c r="O703" s="18"/>
      <c r="P703" s="19">
        <v>0</v>
      </c>
      <c r="Q703" s="29">
        <f t="shared" si="32"/>
        <v>0</v>
      </c>
      <c r="R703" s="11"/>
    </row>
    <row r="704" spans="1:18" ht="12.75" customHeight="1" x14ac:dyDescent="0.2">
      <c r="A704" s="18">
        <f>+'SERVICIO FAENA'!E702</f>
        <v>0</v>
      </c>
      <c r="B704" s="20">
        <f>+'SERVICIO FAENA'!A702</f>
        <v>0</v>
      </c>
      <c r="C704" s="49">
        <f>+'SERVICIO FAENA'!C702</f>
        <v>0</v>
      </c>
      <c r="D704" s="110"/>
      <c r="E704" s="110"/>
      <c r="F704" s="49"/>
      <c r="G704" s="49"/>
      <c r="H704" s="49">
        <f t="shared" si="33"/>
        <v>0</v>
      </c>
      <c r="I704" s="16"/>
      <c r="J704" s="16">
        <v>0</v>
      </c>
      <c r="K704" s="16">
        <v>0</v>
      </c>
      <c r="L704" s="11"/>
      <c r="M704" s="11"/>
      <c r="N704" s="16">
        <f t="shared" si="31"/>
        <v>0</v>
      </c>
      <c r="O704" s="18"/>
      <c r="P704" s="19">
        <v>0</v>
      </c>
      <c r="Q704" s="29">
        <f t="shared" si="32"/>
        <v>0</v>
      </c>
      <c r="R704" s="11"/>
    </row>
    <row r="705" spans="1:18" x14ac:dyDescent="0.2">
      <c r="A705" s="18">
        <f>+'SERVICIO FAENA'!E703</f>
        <v>0</v>
      </c>
      <c r="B705" s="20">
        <f>+'SERVICIO FAENA'!A703</f>
        <v>0</v>
      </c>
      <c r="C705" s="49">
        <f>+'SERVICIO FAENA'!C703</f>
        <v>0</v>
      </c>
      <c r="D705" s="110"/>
      <c r="E705" s="110"/>
      <c r="F705" s="49"/>
      <c r="G705" s="49"/>
      <c r="H705" s="49">
        <f t="shared" si="33"/>
        <v>0</v>
      </c>
      <c r="I705" s="16"/>
      <c r="J705" s="16">
        <v>0</v>
      </c>
      <c r="K705" s="16">
        <v>0</v>
      </c>
      <c r="L705" s="11"/>
      <c r="M705" s="11"/>
      <c r="N705" s="16">
        <f t="shared" si="31"/>
        <v>0</v>
      </c>
      <c r="O705" s="18"/>
      <c r="P705" s="19">
        <v>0</v>
      </c>
      <c r="Q705" s="29">
        <f t="shared" si="32"/>
        <v>0</v>
      </c>
      <c r="R705" s="11"/>
    </row>
    <row r="706" spans="1:18" ht="12.75" customHeight="1" x14ac:dyDescent="0.2">
      <c r="A706" s="18">
        <f>+'SERVICIO FAENA'!E704</f>
        <v>0</v>
      </c>
      <c r="B706" s="20">
        <f>+'SERVICIO FAENA'!A704</f>
        <v>0</v>
      </c>
      <c r="C706" s="49">
        <f>+'SERVICIO FAENA'!C704</f>
        <v>0</v>
      </c>
      <c r="D706" s="110"/>
      <c r="E706" s="110"/>
      <c r="F706" s="49"/>
      <c r="G706" s="49"/>
      <c r="H706" s="49">
        <f t="shared" si="33"/>
        <v>0</v>
      </c>
      <c r="I706" s="16"/>
      <c r="J706" s="16">
        <v>0</v>
      </c>
      <c r="K706" s="16">
        <v>0</v>
      </c>
      <c r="L706" s="11"/>
      <c r="M706" s="11"/>
      <c r="N706" s="16">
        <f t="shared" si="31"/>
        <v>0</v>
      </c>
      <c r="O706" s="18"/>
      <c r="P706" s="19">
        <v>0</v>
      </c>
      <c r="Q706" s="29">
        <f t="shared" si="32"/>
        <v>0</v>
      </c>
      <c r="R706" s="11"/>
    </row>
    <row r="707" spans="1:18" x14ac:dyDescent="0.2">
      <c r="A707" s="18">
        <f>+'SERVICIO FAENA'!E705</f>
        <v>0</v>
      </c>
      <c r="B707" s="20">
        <f>+'SERVICIO FAENA'!A705</f>
        <v>0</v>
      </c>
      <c r="C707" s="49">
        <f>+'SERVICIO FAENA'!C705</f>
        <v>0</v>
      </c>
      <c r="D707" s="110"/>
      <c r="E707" s="110"/>
      <c r="F707" s="49"/>
      <c r="G707" s="49"/>
      <c r="H707" s="49">
        <f t="shared" si="33"/>
        <v>0</v>
      </c>
      <c r="I707" s="16"/>
      <c r="J707" s="16">
        <v>0</v>
      </c>
      <c r="K707" s="16">
        <v>0</v>
      </c>
      <c r="L707" s="11"/>
      <c r="M707" s="11"/>
      <c r="N707" s="16">
        <f t="shared" si="31"/>
        <v>0</v>
      </c>
      <c r="O707" s="18"/>
      <c r="P707" s="19">
        <v>0</v>
      </c>
      <c r="Q707" s="29">
        <f t="shared" si="32"/>
        <v>0</v>
      </c>
      <c r="R707" s="11"/>
    </row>
    <row r="708" spans="1:18" ht="12.75" customHeight="1" x14ac:dyDescent="0.2">
      <c r="A708" s="18">
        <f>+'SERVICIO FAENA'!E706</f>
        <v>0</v>
      </c>
      <c r="B708" s="20">
        <f>+'SERVICIO FAENA'!A706</f>
        <v>0</v>
      </c>
      <c r="C708" s="49">
        <f>+'SERVICIO FAENA'!C706</f>
        <v>0</v>
      </c>
      <c r="D708" s="110"/>
      <c r="E708" s="110"/>
      <c r="F708" s="49"/>
      <c r="G708" s="49"/>
      <c r="H708" s="49">
        <f t="shared" si="33"/>
        <v>0</v>
      </c>
      <c r="I708" s="16"/>
      <c r="J708" s="16">
        <v>0</v>
      </c>
      <c r="K708" s="16">
        <v>0</v>
      </c>
      <c r="L708" s="11"/>
      <c r="M708" s="11"/>
      <c r="N708" s="16">
        <f t="shared" si="31"/>
        <v>0</v>
      </c>
      <c r="O708" s="18"/>
      <c r="P708" s="19">
        <v>0</v>
      </c>
      <c r="Q708" s="29">
        <f t="shared" si="32"/>
        <v>0</v>
      </c>
      <c r="R708" s="11"/>
    </row>
    <row r="709" spans="1:18" x14ac:dyDescent="0.2">
      <c r="A709" s="18">
        <f>+'SERVICIO FAENA'!E707</f>
        <v>0</v>
      </c>
      <c r="B709" s="20">
        <f>+'SERVICIO FAENA'!A707</f>
        <v>0</v>
      </c>
      <c r="C709" s="49">
        <f>+'SERVICIO FAENA'!C707</f>
        <v>0</v>
      </c>
      <c r="D709" s="110"/>
      <c r="E709" s="110"/>
      <c r="F709" s="49"/>
      <c r="G709" s="49"/>
      <c r="H709" s="49">
        <f t="shared" si="33"/>
        <v>0</v>
      </c>
      <c r="I709" s="16"/>
      <c r="J709" s="16">
        <v>0</v>
      </c>
      <c r="K709" s="16">
        <v>0</v>
      </c>
      <c r="L709" s="11"/>
      <c r="M709" s="11"/>
      <c r="N709" s="16">
        <f t="shared" si="31"/>
        <v>0</v>
      </c>
      <c r="O709" s="18"/>
      <c r="P709" s="19">
        <v>0</v>
      </c>
      <c r="Q709" s="29">
        <f t="shared" si="32"/>
        <v>0</v>
      </c>
      <c r="R709" s="11"/>
    </row>
    <row r="710" spans="1:18" ht="12.75" customHeight="1" x14ac:dyDescent="0.2">
      <c r="A710" s="18">
        <f>+'SERVICIO FAENA'!E708</f>
        <v>0</v>
      </c>
      <c r="B710" s="20">
        <f>+'SERVICIO FAENA'!A708</f>
        <v>0</v>
      </c>
      <c r="C710" s="49">
        <f>+'SERVICIO FAENA'!C708</f>
        <v>0</v>
      </c>
      <c r="D710" s="110"/>
      <c r="E710" s="110"/>
      <c r="F710" s="49"/>
      <c r="G710" s="49"/>
      <c r="H710" s="49">
        <f t="shared" si="33"/>
        <v>0</v>
      </c>
      <c r="I710" s="16"/>
      <c r="J710" s="16">
        <v>0</v>
      </c>
      <c r="K710" s="16">
        <v>0</v>
      </c>
      <c r="L710" s="11"/>
      <c r="M710" s="11"/>
      <c r="N710" s="16">
        <f t="shared" si="31"/>
        <v>0</v>
      </c>
      <c r="O710" s="18"/>
      <c r="P710" s="19">
        <v>0</v>
      </c>
      <c r="Q710" s="29">
        <f t="shared" si="32"/>
        <v>0</v>
      </c>
      <c r="R710" s="11"/>
    </row>
    <row r="711" spans="1:18" x14ac:dyDescent="0.2">
      <c r="A711" s="18">
        <f>+'SERVICIO FAENA'!E709</f>
        <v>0</v>
      </c>
      <c r="B711" s="20">
        <f>+'SERVICIO FAENA'!A709</f>
        <v>0</v>
      </c>
      <c r="C711" s="49">
        <f>+'SERVICIO FAENA'!C709</f>
        <v>0</v>
      </c>
      <c r="D711" s="110"/>
      <c r="E711" s="110"/>
      <c r="F711" s="49"/>
      <c r="G711" s="49"/>
      <c r="H711" s="49">
        <f t="shared" si="33"/>
        <v>0</v>
      </c>
      <c r="I711" s="16"/>
      <c r="J711" s="16">
        <v>0</v>
      </c>
      <c r="K711" s="16">
        <v>0</v>
      </c>
      <c r="L711" s="11"/>
      <c r="M711" s="11"/>
      <c r="N711" s="16">
        <f t="shared" si="31"/>
        <v>0</v>
      </c>
      <c r="O711" s="18"/>
      <c r="P711" s="19">
        <v>0</v>
      </c>
      <c r="Q711" s="29">
        <f t="shared" si="32"/>
        <v>0</v>
      </c>
      <c r="R711" s="11"/>
    </row>
    <row r="712" spans="1:18" ht="12.75" customHeight="1" x14ac:dyDescent="0.2">
      <c r="A712" s="18">
        <f>+'SERVICIO FAENA'!E710</f>
        <v>0</v>
      </c>
      <c r="B712" s="20">
        <f>+'SERVICIO FAENA'!A710</f>
        <v>0</v>
      </c>
      <c r="C712" s="49">
        <f>+'SERVICIO FAENA'!C710</f>
        <v>0</v>
      </c>
      <c r="D712" s="110"/>
      <c r="E712" s="110"/>
      <c r="F712" s="49"/>
      <c r="G712" s="49"/>
      <c r="H712" s="49">
        <f t="shared" si="33"/>
        <v>0</v>
      </c>
      <c r="I712" s="16"/>
      <c r="J712" s="16">
        <v>0</v>
      </c>
      <c r="K712" s="16">
        <v>0</v>
      </c>
      <c r="L712" s="11"/>
      <c r="M712" s="11"/>
      <c r="N712" s="16">
        <f t="shared" ref="N712:N775" si="34">+K712*I712</f>
        <v>0</v>
      </c>
      <c r="O712" s="18"/>
      <c r="P712" s="19">
        <v>0</v>
      </c>
      <c r="Q712" s="29">
        <f t="shared" ref="Q712:Q775" si="35">+P712-N712</f>
        <v>0</v>
      </c>
      <c r="R712" s="11"/>
    </row>
    <row r="713" spans="1:18" x14ac:dyDescent="0.2">
      <c r="A713" s="18">
        <f>+'SERVICIO FAENA'!E711</f>
        <v>0</v>
      </c>
      <c r="B713" s="20">
        <f>+'SERVICIO FAENA'!A711</f>
        <v>0</v>
      </c>
      <c r="C713" s="49">
        <f>+'SERVICIO FAENA'!C711</f>
        <v>0</v>
      </c>
      <c r="D713" s="110"/>
      <c r="E713" s="110"/>
      <c r="F713" s="49"/>
      <c r="G713" s="49"/>
      <c r="H713" s="49">
        <f t="shared" si="33"/>
        <v>0</v>
      </c>
      <c r="I713" s="16"/>
      <c r="J713" s="16">
        <v>0</v>
      </c>
      <c r="K713" s="16">
        <v>0</v>
      </c>
      <c r="L713" s="11"/>
      <c r="M713" s="11"/>
      <c r="N713" s="16">
        <f t="shared" si="34"/>
        <v>0</v>
      </c>
      <c r="O713" s="18"/>
      <c r="P713" s="19">
        <v>0</v>
      </c>
      <c r="Q713" s="29">
        <f t="shared" si="35"/>
        <v>0</v>
      </c>
      <c r="R713" s="11"/>
    </row>
    <row r="714" spans="1:18" ht="12.75" customHeight="1" x14ac:dyDescent="0.2">
      <c r="A714" s="18">
        <f>+'SERVICIO FAENA'!E712</f>
        <v>0</v>
      </c>
      <c r="B714" s="20">
        <f>+'SERVICIO FAENA'!A712</f>
        <v>0</v>
      </c>
      <c r="C714" s="49">
        <f>+'SERVICIO FAENA'!C712</f>
        <v>0</v>
      </c>
      <c r="D714" s="110"/>
      <c r="E714" s="110"/>
      <c r="F714" s="49"/>
      <c r="G714" s="49"/>
      <c r="H714" s="49">
        <f t="shared" si="33"/>
        <v>0</v>
      </c>
      <c r="I714" s="16"/>
      <c r="J714" s="16">
        <v>0</v>
      </c>
      <c r="K714" s="16">
        <v>0</v>
      </c>
      <c r="L714" s="11"/>
      <c r="M714" s="11"/>
      <c r="N714" s="16">
        <f t="shared" si="34"/>
        <v>0</v>
      </c>
      <c r="O714" s="18"/>
      <c r="P714" s="19">
        <v>0</v>
      </c>
      <c r="Q714" s="29">
        <f t="shared" si="35"/>
        <v>0</v>
      </c>
      <c r="R714" s="11"/>
    </row>
    <row r="715" spans="1:18" x14ac:dyDescent="0.2">
      <c r="A715" s="18">
        <f>+'SERVICIO FAENA'!E713</f>
        <v>0</v>
      </c>
      <c r="B715" s="20">
        <f>+'SERVICIO FAENA'!A713</f>
        <v>0</v>
      </c>
      <c r="C715" s="49">
        <f>+'SERVICIO FAENA'!C713</f>
        <v>0</v>
      </c>
      <c r="D715" s="110"/>
      <c r="E715" s="110"/>
      <c r="F715" s="49"/>
      <c r="G715" s="49"/>
      <c r="H715" s="49">
        <f t="shared" si="33"/>
        <v>0</v>
      </c>
      <c r="I715" s="16"/>
      <c r="J715" s="16">
        <v>0</v>
      </c>
      <c r="K715" s="16">
        <v>0</v>
      </c>
      <c r="L715" s="11"/>
      <c r="M715" s="11"/>
      <c r="N715" s="16">
        <f t="shared" si="34"/>
        <v>0</v>
      </c>
      <c r="O715" s="18"/>
      <c r="P715" s="19">
        <v>0</v>
      </c>
      <c r="Q715" s="29">
        <f t="shared" si="35"/>
        <v>0</v>
      </c>
      <c r="R715" s="11"/>
    </row>
    <row r="716" spans="1:18" ht="12.75" customHeight="1" x14ac:dyDescent="0.2">
      <c r="A716" s="18">
        <f>+'SERVICIO FAENA'!E714</f>
        <v>0</v>
      </c>
      <c r="B716" s="20">
        <f>+'SERVICIO FAENA'!A714</f>
        <v>0</v>
      </c>
      <c r="C716" s="49">
        <f>+'SERVICIO FAENA'!C714</f>
        <v>0</v>
      </c>
      <c r="D716" s="110"/>
      <c r="E716" s="110"/>
      <c r="F716" s="49"/>
      <c r="G716" s="49"/>
      <c r="H716" s="49">
        <f t="shared" si="33"/>
        <v>0</v>
      </c>
      <c r="I716" s="16"/>
      <c r="J716" s="16">
        <v>0</v>
      </c>
      <c r="K716" s="16">
        <v>0</v>
      </c>
      <c r="L716" s="11"/>
      <c r="M716" s="11"/>
      <c r="N716" s="16">
        <f t="shared" si="34"/>
        <v>0</v>
      </c>
      <c r="O716" s="18"/>
      <c r="P716" s="19">
        <v>0</v>
      </c>
      <c r="Q716" s="29">
        <f t="shared" si="35"/>
        <v>0</v>
      </c>
      <c r="R716" s="11"/>
    </row>
    <row r="717" spans="1:18" x14ac:dyDescent="0.2">
      <c r="A717" s="18">
        <f>+'SERVICIO FAENA'!E715</f>
        <v>0</v>
      </c>
      <c r="B717" s="20">
        <f>+'SERVICIO FAENA'!A715</f>
        <v>0</v>
      </c>
      <c r="C717" s="49">
        <f>+'SERVICIO FAENA'!C715</f>
        <v>0</v>
      </c>
      <c r="D717" s="110"/>
      <c r="E717" s="110"/>
      <c r="F717" s="49"/>
      <c r="G717" s="49"/>
      <c r="H717" s="49">
        <f t="shared" si="33"/>
        <v>0</v>
      </c>
      <c r="I717" s="16"/>
      <c r="J717" s="16">
        <v>0</v>
      </c>
      <c r="K717" s="16">
        <v>0</v>
      </c>
      <c r="L717" s="11"/>
      <c r="M717" s="11"/>
      <c r="N717" s="16">
        <f t="shared" si="34"/>
        <v>0</v>
      </c>
      <c r="O717" s="18"/>
      <c r="P717" s="19">
        <v>0</v>
      </c>
      <c r="Q717" s="29">
        <f t="shared" si="35"/>
        <v>0</v>
      </c>
      <c r="R717" s="11"/>
    </row>
    <row r="718" spans="1:18" ht="12.75" customHeight="1" x14ac:dyDescent="0.2">
      <c r="A718" s="18">
        <f>+'SERVICIO FAENA'!E716</f>
        <v>0</v>
      </c>
      <c r="B718" s="20">
        <f>+'SERVICIO FAENA'!A716</f>
        <v>0</v>
      </c>
      <c r="C718" s="49">
        <f>+'SERVICIO FAENA'!C716</f>
        <v>0</v>
      </c>
      <c r="D718" s="110"/>
      <c r="E718" s="110"/>
      <c r="F718" s="49"/>
      <c r="G718" s="49"/>
      <c r="H718" s="49">
        <f t="shared" si="33"/>
        <v>0</v>
      </c>
      <c r="I718" s="16"/>
      <c r="J718" s="16">
        <v>0</v>
      </c>
      <c r="K718" s="16">
        <v>0</v>
      </c>
      <c r="L718" s="11"/>
      <c r="M718" s="11"/>
      <c r="N718" s="16">
        <f t="shared" si="34"/>
        <v>0</v>
      </c>
      <c r="O718" s="18"/>
      <c r="P718" s="19">
        <v>0</v>
      </c>
      <c r="Q718" s="29">
        <f t="shared" si="35"/>
        <v>0</v>
      </c>
      <c r="R718" s="11"/>
    </row>
    <row r="719" spans="1:18" x14ac:dyDescent="0.2">
      <c r="A719" s="18">
        <f>+'SERVICIO FAENA'!E717</f>
        <v>0</v>
      </c>
      <c r="B719" s="20">
        <f>+'SERVICIO FAENA'!A717</f>
        <v>0</v>
      </c>
      <c r="C719" s="49">
        <f>+'SERVICIO FAENA'!C717</f>
        <v>0</v>
      </c>
      <c r="D719" s="110"/>
      <c r="E719" s="110"/>
      <c r="F719" s="49"/>
      <c r="G719" s="49"/>
      <c r="H719" s="49">
        <f t="shared" si="33"/>
        <v>0</v>
      </c>
      <c r="I719" s="16"/>
      <c r="J719" s="16">
        <v>0</v>
      </c>
      <c r="K719" s="16">
        <v>0</v>
      </c>
      <c r="L719" s="11"/>
      <c r="M719" s="11"/>
      <c r="N719" s="16">
        <f t="shared" si="34"/>
        <v>0</v>
      </c>
      <c r="O719" s="18"/>
      <c r="P719" s="19">
        <v>0</v>
      </c>
      <c r="Q719" s="29">
        <f t="shared" si="35"/>
        <v>0</v>
      </c>
      <c r="R719" s="11"/>
    </row>
    <row r="720" spans="1:18" ht="12.75" customHeight="1" x14ac:dyDescent="0.2">
      <c r="A720" s="18">
        <f>+'SERVICIO FAENA'!E718</f>
        <v>0</v>
      </c>
      <c r="B720" s="20">
        <f>+'SERVICIO FAENA'!A718</f>
        <v>0</v>
      </c>
      <c r="C720" s="49">
        <f>+'SERVICIO FAENA'!C718</f>
        <v>0</v>
      </c>
      <c r="D720" s="110"/>
      <c r="E720" s="110"/>
      <c r="F720" s="49"/>
      <c r="G720" s="49"/>
      <c r="H720" s="49">
        <f t="shared" si="33"/>
        <v>0</v>
      </c>
      <c r="I720" s="16"/>
      <c r="J720" s="16">
        <v>0</v>
      </c>
      <c r="K720" s="16">
        <v>0</v>
      </c>
      <c r="L720" s="11"/>
      <c r="M720" s="11"/>
      <c r="N720" s="16">
        <f t="shared" si="34"/>
        <v>0</v>
      </c>
      <c r="O720" s="18"/>
      <c r="P720" s="19">
        <v>0</v>
      </c>
      <c r="Q720" s="29">
        <f t="shared" si="35"/>
        <v>0</v>
      </c>
      <c r="R720" s="11"/>
    </row>
    <row r="721" spans="1:18" x14ac:dyDescent="0.2">
      <c r="A721" s="18">
        <f>+'SERVICIO FAENA'!E719</f>
        <v>0</v>
      </c>
      <c r="B721" s="20">
        <f>+'SERVICIO FAENA'!A719</f>
        <v>0</v>
      </c>
      <c r="C721" s="49">
        <f>+'SERVICIO FAENA'!C719</f>
        <v>0</v>
      </c>
      <c r="D721" s="110"/>
      <c r="E721" s="110"/>
      <c r="F721" s="49"/>
      <c r="G721" s="49"/>
      <c r="H721" s="49">
        <f t="shared" ref="H721:H785" si="36">+D721+E721</f>
        <v>0</v>
      </c>
      <c r="I721" s="16"/>
      <c r="J721" s="16">
        <v>0</v>
      </c>
      <c r="K721" s="16">
        <v>0</v>
      </c>
      <c r="L721" s="11"/>
      <c r="M721" s="11"/>
      <c r="N721" s="16">
        <f t="shared" si="34"/>
        <v>0</v>
      </c>
      <c r="O721" s="18"/>
      <c r="P721" s="19">
        <v>0</v>
      </c>
      <c r="Q721" s="29">
        <f t="shared" si="35"/>
        <v>0</v>
      </c>
      <c r="R721" s="11"/>
    </row>
    <row r="722" spans="1:18" ht="12.75" customHeight="1" x14ac:dyDescent="0.2">
      <c r="A722" s="18">
        <f>+'SERVICIO FAENA'!E720</f>
        <v>0</v>
      </c>
      <c r="B722" s="20">
        <f>+'SERVICIO FAENA'!A720</f>
        <v>0</v>
      </c>
      <c r="C722" s="49">
        <f>+'SERVICIO FAENA'!C720</f>
        <v>0</v>
      </c>
      <c r="D722" s="110"/>
      <c r="E722" s="110"/>
      <c r="F722" s="49"/>
      <c r="G722" s="49"/>
      <c r="H722" s="49">
        <f t="shared" si="36"/>
        <v>0</v>
      </c>
      <c r="I722" s="16"/>
      <c r="J722" s="16">
        <v>0</v>
      </c>
      <c r="K722" s="16">
        <v>0</v>
      </c>
      <c r="L722" s="11"/>
      <c r="M722" s="11"/>
      <c r="N722" s="16">
        <f t="shared" si="34"/>
        <v>0</v>
      </c>
      <c r="O722" s="18"/>
      <c r="P722" s="19">
        <v>0</v>
      </c>
      <c r="Q722" s="29">
        <f t="shared" si="35"/>
        <v>0</v>
      </c>
      <c r="R722" s="11"/>
    </row>
    <row r="723" spans="1:18" x14ac:dyDescent="0.2">
      <c r="A723" s="18">
        <f>+'SERVICIO FAENA'!E721</f>
        <v>0</v>
      </c>
      <c r="B723" s="20">
        <f>+'SERVICIO FAENA'!A721</f>
        <v>0</v>
      </c>
      <c r="C723" s="49">
        <f>+'SERVICIO FAENA'!C721</f>
        <v>0</v>
      </c>
      <c r="D723" s="110"/>
      <c r="E723" s="110"/>
      <c r="F723" s="49"/>
      <c r="G723" s="49"/>
      <c r="H723" s="49">
        <f t="shared" si="36"/>
        <v>0</v>
      </c>
      <c r="I723" s="16"/>
      <c r="J723" s="16">
        <v>0</v>
      </c>
      <c r="K723" s="16">
        <v>0</v>
      </c>
      <c r="L723" s="11"/>
      <c r="M723" s="11"/>
      <c r="N723" s="16">
        <f t="shared" si="34"/>
        <v>0</v>
      </c>
      <c r="O723" s="18"/>
      <c r="P723" s="19">
        <v>0</v>
      </c>
      <c r="Q723" s="29">
        <f t="shared" si="35"/>
        <v>0</v>
      </c>
      <c r="R723" s="11"/>
    </row>
    <row r="724" spans="1:18" ht="12.75" customHeight="1" x14ac:dyDescent="0.2">
      <c r="A724" s="18">
        <f>+'SERVICIO FAENA'!E722</f>
        <v>0</v>
      </c>
      <c r="B724" s="20">
        <f>+'SERVICIO FAENA'!A722</f>
        <v>0</v>
      </c>
      <c r="C724" s="49">
        <f>+'SERVICIO FAENA'!C722</f>
        <v>0</v>
      </c>
      <c r="D724" s="110"/>
      <c r="E724" s="110"/>
      <c r="F724" s="49"/>
      <c r="G724" s="49"/>
      <c r="H724" s="49">
        <f t="shared" si="36"/>
        <v>0</v>
      </c>
      <c r="I724" s="16"/>
      <c r="J724" s="16">
        <v>0</v>
      </c>
      <c r="K724" s="16">
        <v>0</v>
      </c>
      <c r="L724" s="11"/>
      <c r="M724" s="11"/>
      <c r="N724" s="16">
        <f t="shared" si="34"/>
        <v>0</v>
      </c>
      <c r="O724" s="18"/>
      <c r="P724" s="19">
        <v>0</v>
      </c>
      <c r="Q724" s="29">
        <f t="shared" si="35"/>
        <v>0</v>
      </c>
      <c r="R724" s="11"/>
    </row>
    <row r="725" spans="1:18" x14ac:dyDescent="0.2">
      <c r="A725" s="18">
        <f>+'SERVICIO FAENA'!E723</f>
        <v>0</v>
      </c>
      <c r="B725" s="20">
        <f>+'SERVICIO FAENA'!A723</f>
        <v>0</v>
      </c>
      <c r="C725" s="49">
        <f>+'SERVICIO FAENA'!C723</f>
        <v>0</v>
      </c>
      <c r="D725" s="110"/>
      <c r="E725" s="110"/>
      <c r="F725" s="49"/>
      <c r="G725" s="49"/>
      <c r="H725" s="49">
        <f t="shared" si="36"/>
        <v>0</v>
      </c>
      <c r="I725" s="16"/>
      <c r="J725" s="16">
        <v>0</v>
      </c>
      <c r="K725" s="16">
        <v>0</v>
      </c>
      <c r="L725" s="11"/>
      <c r="M725" s="11"/>
      <c r="N725" s="16">
        <f t="shared" si="34"/>
        <v>0</v>
      </c>
      <c r="O725" s="18"/>
      <c r="P725" s="19">
        <v>0</v>
      </c>
      <c r="Q725" s="29">
        <f t="shared" si="35"/>
        <v>0</v>
      </c>
      <c r="R725" s="11"/>
    </row>
    <row r="726" spans="1:18" ht="12.75" customHeight="1" x14ac:dyDescent="0.2">
      <c r="A726" s="18">
        <f>+'SERVICIO FAENA'!E724</f>
        <v>0</v>
      </c>
      <c r="B726" s="20">
        <f>+'SERVICIO FAENA'!A724</f>
        <v>0</v>
      </c>
      <c r="C726" s="49">
        <f>+'SERVICIO FAENA'!C724</f>
        <v>0</v>
      </c>
      <c r="D726" s="110"/>
      <c r="E726" s="110"/>
      <c r="F726" s="49"/>
      <c r="G726" s="49"/>
      <c r="H726" s="49">
        <f t="shared" si="36"/>
        <v>0</v>
      </c>
      <c r="I726" s="16"/>
      <c r="J726" s="16">
        <v>0</v>
      </c>
      <c r="K726" s="16">
        <v>0</v>
      </c>
      <c r="L726" s="11"/>
      <c r="M726" s="11"/>
      <c r="N726" s="16">
        <f t="shared" si="34"/>
        <v>0</v>
      </c>
      <c r="O726" s="18"/>
      <c r="P726" s="19">
        <v>0</v>
      </c>
      <c r="Q726" s="29">
        <f t="shared" si="35"/>
        <v>0</v>
      </c>
      <c r="R726" s="11"/>
    </row>
    <row r="727" spans="1:18" x14ac:dyDescent="0.2">
      <c r="A727" s="18">
        <f>+'SERVICIO FAENA'!E725</f>
        <v>0</v>
      </c>
      <c r="B727" s="20">
        <f>+'SERVICIO FAENA'!A725</f>
        <v>0</v>
      </c>
      <c r="C727" s="49">
        <f>+'SERVICIO FAENA'!C725</f>
        <v>0</v>
      </c>
      <c r="D727" s="110"/>
      <c r="E727" s="110"/>
      <c r="F727" s="49"/>
      <c r="G727" s="49"/>
      <c r="H727" s="49">
        <f t="shared" si="36"/>
        <v>0</v>
      </c>
      <c r="I727" s="16"/>
      <c r="J727" s="16">
        <v>0</v>
      </c>
      <c r="K727" s="16">
        <v>0</v>
      </c>
      <c r="L727" s="11"/>
      <c r="M727" s="11"/>
      <c r="N727" s="16">
        <f t="shared" si="34"/>
        <v>0</v>
      </c>
      <c r="O727" s="18"/>
      <c r="P727" s="19">
        <v>0</v>
      </c>
      <c r="Q727" s="29">
        <f t="shared" si="35"/>
        <v>0</v>
      </c>
      <c r="R727" s="11"/>
    </row>
    <row r="728" spans="1:18" ht="12.75" customHeight="1" x14ac:dyDescent="0.2">
      <c r="A728" s="18">
        <f>+'SERVICIO FAENA'!E726</f>
        <v>0</v>
      </c>
      <c r="B728" s="20">
        <f>+'SERVICIO FAENA'!A726</f>
        <v>0</v>
      </c>
      <c r="C728" s="49">
        <f>+'SERVICIO FAENA'!C726</f>
        <v>0</v>
      </c>
      <c r="D728" s="110"/>
      <c r="E728" s="110"/>
      <c r="F728" s="49"/>
      <c r="G728" s="49"/>
      <c r="H728" s="49">
        <f t="shared" si="36"/>
        <v>0</v>
      </c>
      <c r="I728" s="16"/>
      <c r="J728" s="16">
        <v>0</v>
      </c>
      <c r="K728" s="16">
        <v>0</v>
      </c>
      <c r="L728" s="11"/>
      <c r="M728" s="11"/>
      <c r="N728" s="16">
        <f t="shared" si="34"/>
        <v>0</v>
      </c>
      <c r="O728" s="18"/>
      <c r="P728" s="19">
        <v>0</v>
      </c>
      <c r="Q728" s="29">
        <f t="shared" si="35"/>
        <v>0</v>
      </c>
      <c r="R728" s="11"/>
    </row>
    <row r="729" spans="1:18" x14ac:dyDescent="0.2">
      <c r="A729" s="18">
        <f>+'SERVICIO FAENA'!E727</f>
        <v>0</v>
      </c>
      <c r="B729" s="20">
        <f>+'SERVICIO FAENA'!A727</f>
        <v>0</v>
      </c>
      <c r="C729" s="49">
        <f>+'SERVICIO FAENA'!C727</f>
        <v>0</v>
      </c>
      <c r="D729" s="110"/>
      <c r="E729" s="110"/>
      <c r="F729" s="49"/>
      <c r="G729" s="49"/>
      <c r="H729" s="49">
        <f t="shared" si="36"/>
        <v>0</v>
      </c>
      <c r="I729" s="16"/>
      <c r="J729" s="16">
        <v>0</v>
      </c>
      <c r="K729" s="16">
        <v>0</v>
      </c>
      <c r="L729" s="11"/>
      <c r="M729" s="11"/>
      <c r="N729" s="16">
        <f t="shared" si="34"/>
        <v>0</v>
      </c>
      <c r="O729" s="18"/>
      <c r="P729" s="19">
        <v>0</v>
      </c>
      <c r="Q729" s="29">
        <f t="shared" si="35"/>
        <v>0</v>
      </c>
      <c r="R729" s="11"/>
    </row>
    <row r="730" spans="1:18" ht="12.75" customHeight="1" x14ac:dyDescent="0.2">
      <c r="A730" s="18">
        <f>+'SERVICIO FAENA'!E728</f>
        <v>0</v>
      </c>
      <c r="B730" s="20">
        <f>+'SERVICIO FAENA'!A728</f>
        <v>0</v>
      </c>
      <c r="C730" s="49">
        <f>+'SERVICIO FAENA'!C728</f>
        <v>0</v>
      </c>
      <c r="D730" s="110"/>
      <c r="E730" s="110"/>
      <c r="F730" s="49"/>
      <c r="G730" s="49"/>
      <c r="H730" s="49">
        <f t="shared" si="36"/>
        <v>0</v>
      </c>
      <c r="I730" s="16"/>
      <c r="J730" s="16">
        <v>0</v>
      </c>
      <c r="K730" s="16">
        <v>0</v>
      </c>
      <c r="L730" s="11"/>
      <c r="M730" s="11"/>
      <c r="N730" s="16">
        <f t="shared" si="34"/>
        <v>0</v>
      </c>
      <c r="O730" s="18"/>
      <c r="P730" s="19">
        <v>0</v>
      </c>
      <c r="Q730" s="29">
        <f t="shared" si="35"/>
        <v>0</v>
      </c>
      <c r="R730" s="11"/>
    </row>
    <row r="731" spans="1:18" x14ac:dyDescent="0.2">
      <c r="A731" s="18">
        <f>+'SERVICIO FAENA'!E729</f>
        <v>0</v>
      </c>
      <c r="B731" s="20">
        <f>+'SERVICIO FAENA'!A729</f>
        <v>0</v>
      </c>
      <c r="C731" s="49">
        <f>+'SERVICIO FAENA'!C729</f>
        <v>0</v>
      </c>
      <c r="D731" s="110"/>
      <c r="E731" s="110"/>
      <c r="F731" s="49"/>
      <c r="G731" s="49"/>
      <c r="H731" s="49">
        <f t="shared" si="36"/>
        <v>0</v>
      </c>
      <c r="I731" s="16"/>
      <c r="J731" s="16">
        <v>0</v>
      </c>
      <c r="K731" s="16">
        <v>0</v>
      </c>
      <c r="L731" s="11"/>
      <c r="M731" s="11"/>
      <c r="N731" s="16">
        <f t="shared" si="34"/>
        <v>0</v>
      </c>
      <c r="O731" s="18"/>
      <c r="P731" s="19">
        <v>0</v>
      </c>
      <c r="Q731" s="29">
        <f t="shared" si="35"/>
        <v>0</v>
      </c>
      <c r="R731" s="11"/>
    </row>
    <row r="732" spans="1:18" ht="12.75" customHeight="1" x14ac:dyDescent="0.2">
      <c r="A732" s="18">
        <f>+'SERVICIO FAENA'!E730</f>
        <v>0</v>
      </c>
      <c r="B732" s="20">
        <f>+'SERVICIO FAENA'!A730</f>
        <v>0</v>
      </c>
      <c r="C732" s="49">
        <f>+'SERVICIO FAENA'!C730</f>
        <v>0</v>
      </c>
      <c r="D732" s="110"/>
      <c r="E732" s="110"/>
      <c r="F732" s="49"/>
      <c r="G732" s="49"/>
      <c r="H732" s="49">
        <f t="shared" si="36"/>
        <v>0</v>
      </c>
      <c r="I732" s="16"/>
      <c r="J732" s="16">
        <v>0</v>
      </c>
      <c r="K732" s="16">
        <v>0</v>
      </c>
      <c r="L732" s="11"/>
      <c r="M732" s="11"/>
      <c r="N732" s="16">
        <f t="shared" si="34"/>
        <v>0</v>
      </c>
      <c r="O732" s="18"/>
      <c r="P732" s="19">
        <v>0</v>
      </c>
      <c r="Q732" s="29">
        <f t="shared" si="35"/>
        <v>0</v>
      </c>
      <c r="R732" s="11"/>
    </row>
    <row r="733" spans="1:18" x14ac:dyDescent="0.2">
      <c r="A733" s="18">
        <f>+'SERVICIO FAENA'!E731</f>
        <v>0</v>
      </c>
      <c r="B733" s="20">
        <f>+'SERVICIO FAENA'!A731</f>
        <v>0</v>
      </c>
      <c r="C733" s="49">
        <f>+'SERVICIO FAENA'!C731</f>
        <v>0</v>
      </c>
      <c r="D733" s="110"/>
      <c r="E733" s="110"/>
      <c r="F733" s="49"/>
      <c r="G733" s="49"/>
      <c r="H733" s="49">
        <f t="shared" si="36"/>
        <v>0</v>
      </c>
      <c r="I733" s="16"/>
      <c r="J733" s="16">
        <v>0</v>
      </c>
      <c r="K733" s="16">
        <v>0</v>
      </c>
      <c r="L733" s="11"/>
      <c r="M733" s="11"/>
      <c r="N733" s="16">
        <f t="shared" si="34"/>
        <v>0</v>
      </c>
      <c r="O733" s="18"/>
      <c r="P733" s="19">
        <v>0</v>
      </c>
      <c r="Q733" s="29">
        <f t="shared" si="35"/>
        <v>0</v>
      </c>
      <c r="R733" s="11"/>
    </row>
    <row r="734" spans="1:18" ht="12.75" customHeight="1" x14ac:dyDescent="0.2">
      <c r="A734" s="18">
        <f>+'SERVICIO FAENA'!E732</f>
        <v>0</v>
      </c>
      <c r="B734" s="20">
        <f>+'SERVICIO FAENA'!A732</f>
        <v>0</v>
      </c>
      <c r="C734" s="49">
        <f>+'SERVICIO FAENA'!C732</f>
        <v>0</v>
      </c>
      <c r="D734" s="110"/>
      <c r="E734" s="110"/>
      <c r="F734" s="49"/>
      <c r="G734" s="49"/>
      <c r="H734" s="49">
        <f t="shared" si="36"/>
        <v>0</v>
      </c>
      <c r="I734" s="16"/>
      <c r="J734" s="16">
        <v>0</v>
      </c>
      <c r="K734" s="16">
        <v>0</v>
      </c>
      <c r="L734" s="11"/>
      <c r="M734" s="11"/>
      <c r="N734" s="16">
        <f t="shared" si="34"/>
        <v>0</v>
      </c>
      <c r="O734" s="18"/>
      <c r="P734" s="19">
        <v>0</v>
      </c>
      <c r="Q734" s="29">
        <f t="shared" si="35"/>
        <v>0</v>
      </c>
      <c r="R734" s="11"/>
    </row>
    <row r="735" spans="1:18" x14ac:dyDescent="0.2">
      <c r="A735" s="18">
        <f>+'SERVICIO FAENA'!E733</f>
        <v>0</v>
      </c>
      <c r="B735" s="20">
        <f>+'SERVICIO FAENA'!A733</f>
        <v>0</v>
      </c>
      <c r="C735" s="49">
        <f>+'SERVICIO FAENA'!C733</f>
        <v>0</v>
      </c>
      <c r="D735" s="110"/>
      <c r="E735" s="110"/>
      <c r="F735" s="49"/>
      <c r="G735" s="49"/>
      <c r="H735" s="49">
        <f t="shared" si="36"/>
        <v>0</v>
      </c>
      <c r="I735" s="16"/>
      <c r="J735" s="16">
        <v>0</v>
      </c>
      <c r="K735" s="16">
        <v>0</v>
      </c>
      <c r="L735" s="11"/>
      <c r="M735" s="11"/>
      <c r="N735" s="16">
        <f t="shared" si="34"/>
        <v>0</v>
      </c>
      <c r="O735" s="18"/>
      <c r="P735" s="19">
        <v>0</v>
      </c>
      <c r="Q735" s="29">
        <f t="shared" si="35"/>
        <v>0</v>
      </c>
      <c r="R735" s="11"/>
    </row>
    <row r="736" spans="1:18" ht="12.75" customHeight="1" x14ac:dyDescent="0.2">
      <c r="A736" s="18">
        <f>+'SERVICIO FAENA'!E734</f>
        <v>0</v>
      </c>
      <c r="B736" s="20">
        <f>+'SERVICIO FAENA'!A734</f>
        <v>0</v>
      </c>
      <c r="C736" s="49">
        <f>+'SERVICIO FAENA'!C734</f>
        <v>0</v>
      </c>
      <c r="D736" s="110"/>
      <c r="E736" s="110"/>
      <c r="F736" s="49"/>
      <c r="G736" s="49"/>
      <c r="H736" s="49">
        <f t="shared" si="36"/>
        <v>0</v>
      </c>
      <c r="I736" s="16"/>
      <c r="J736" s="16">
        <v>0</v>
      </c>
      <c r="K736" s="16">
        <v>0</v>
      </c>
      <c r="L736" s="11"/>
      <c r="M736" s="11"/>
      <c r="N736" s="16">
        <f t="shared" si="34"/>
        <v>0</v>
      </c>
      <c r="O736" s="18"/>
      <c r="P736" s="19">
        <v>0</v>
      </c>
      <c r="Q736" s="29">
        <f t="shared" si="35"/>
        <v>0</v>
      </c>
      <c r="R736" s="11"/>
    </row>
    <row r="737" spans="1:18" x14ac:dyDescent="0.2">
      <c r="A737" s="18">
        <f>+'SERVICIO FAENA'!E735</f>
        <v>0</v>
      </c>
      <c r="B737" s="20">
        <f>+'SERVICIO FAENA'!A735</f>
        <v>0</v>
      </c>
      <c r="C737" s="49">
        <f>+'SERVICIO FAENA'!C735</f>
        <v>0</v>
      </c>
      <c r="D737" s="110"/>
      <c r="E737" s="110"/>
      <c r="F737" s="49"/>
      <c r="G737" s="49"/>
      <c r="H737" s="49">
        <f t="shared" si="36"/>
        <v>0</v>
      </c>
      <c r="I737" s="16"/>
      <c r="J737" s="16">
        <v>0</v>
      </c>
      <c r="K737" s="16">
        <v>0</v>
      </c>
      <c r="L737" s="11"/>
      <c r="M737" s="11"/>
      <c r="N737" s="16">
        <f t="shared" si="34"/>
        <v>0</v>
      </c>
      <c r="O737" s="18"/>
      <c r="P737" s="19">
        <v>0</v>
      </c>
      <c r="Q737" s="29">
        <f t="shared" si="35"/>
        <v>0</v>
      </c>
      <c r="R737" s="11"/>
    </row>
    <row r="738" spans="1:18" ht="12.75" customHeight="1" x14ac:dyDescent="0.2">
      <c r="A738" s="18">
        <f>+'SERVICIO FAENA'!E736</f>
        <v>0</v>
      </c>
      <c r="B738" s="20">
        <f>+'SERVICIO FAENA'!A736</f>
        <v>0</v>
      </c>
      <c r="C738" s="49">
        <f>+'SERVICIO FAENA'!C736</f>
        <v>0</v>
      </c>
      <c r="D738" s="110"/>
      <c r="E738" s="110"/>
      <c r="F738" s="49"/>
      <c r="G738" s="49"/>
      <c r="H738" s="49">
        <f t="shared" si="36"/>
        <v>0</v>
      </c>
      <c r="I738" s="16"/>
      <c r="J738" s="16">
        <v>0</v>
      </c>
      <c r="K738" s="16">
        <v>0</v>
      </c>
      <c r="L738" s="11"/>
      <c r="M738" s="11"/>
      <c r="N738" s="16">
        <f t="shared" si="34"/>
        <v>0</v>
      </c>
      <c r="O738" s="18"/>
      <c r="P738" s="19">
        <v>0</v>
      </c>
      <c r="Q738" s="29">
        <f t="shared" si="35"/>
        <v>0</v>
      </c>
      <c r="R738" s="11"/>
    </row>
    <row r="739" spans="1:18" x14ac:dyDescent="0.2">
      <c r="A739" s="18">
        <f>+'SERVICIO FAENA'!E737</f>
        <v>0</v>
      </c>
      <c r="B739" s="20">
        <f>+'SERVICIO FAENA'!A737</f>
        <v>0</v>
      </c>
      <c r="C739" s="49">
        <f>+'SERVICIO FAENA'!C737</f>
        <v>0</v>
      </c>
      <c r="D739" s="110"/>
      <c r="E739" s="110"/>
      <c r="F739" s="49"/>
      <c r="G739" s="49"/>
      <c r="H739" s="49">
        <f t="shared" si="36"/>
        <v>0</v>
      </c>
      <c r="I739" s="16"/>
      <c r="J739" s="16">
        <v>0</v>
      </c>
      <c r="K739" s="16">
        <v>0</v>
      </c>
      <c r="L739" s="11"/>
      <c r="M739" s="11"/>
      <c r="N739" s="16">
        <f t="shared" si="34"/>
        <v>0</v>
      </c>
      <c r="O739" s="18"/>
      <c r="P739" s="19">
        <v>0</v>
      </c>
      <c r="Q739" s="29">
        <f t="shared" si="35"/>
        <v>0</v>
      </c>
      <c r="R739" s="11"/>
    </row>
    <row r="740" spans="1:18" ht="12.75" customHeight="1" x14ac:dyDescent="0.2">
      <c r="A740" s="18">
        <f>+'SERVICIO FAENA'!E738</f>
        <v>0</v>
      </c>
      <c r="B740" s="20">
        <f>+'SERVICIO FAENA'!A738</f>
        <v>0</v>
      </c>
      <c r="C740" s="49">
        <f>+'SERVICIO FAENA'!C738</f>
        <v>0</v>
      </c>
      <c r="D740" s="110"/>
      <c r="E740" s="110"/>
      <c r="F740" s="49"/>
      <c r="G740" s="49"/>
      <c r="H740" s="49">
        <f t="shared" si="36"/>
        <v>0</v>
      </c>
      <c r="I740" s="16"/>
      <c r="J740" s="16">
        <v>0</v>
      </c>
      <c r="K740" s="16">
        <v>0</v>
      </c>
      <c r="L740" s="11"/>
      <c r="M740" s="11"/>
      <c r="N740" s="16">
        <f t="shared" si="34"/>
        <v>0</v>
      </c>
      <c r="O740" s="18"/>
      <c r="P740" s="19">
        <v>0</v>
      </c>
      <c r="Q740" s="29">
        <f t="shared" si="35"/>
        <v>0</v>
      </c>
      <c r="R740" s="11"/>
    </row>
    <row r="741" spans="1:18" x14ac:dyDescent="0.2">
      <c r="A741" s="18">
        <f>+'SERVICIO FAENA'!E739</f>
        <v>0</v>
      </c>
      <c r="B741" s="20">
        <f>+'SERVICIO FAENA'!A739</f>
        <v>0</v>
      </c>
      <c r="C741" s="49">
        <f>+'SERVICIO FAENA'!C739</f>
        <v>0</v>
      </c>
      <c r="D741" s="110"/>
      <c r="E741" s="110"/>
      <c r="F741" s="49"/>
      <c r="G741" s="49"/>
      <c r="H741" s="49">
        <f t="shared" si="36"/>
        <v>0</v>
      </c>
      <c r="I741" s="16"/>
      <c r="J741" s="16">
        <v>0</v>
      </c>
      <c r="K741" s="16">
        <v>0</v>
      </c>
      <c r="L741" s="11"/>
      <c r="M741" s="11"/>
      <c r="N741" s="16">
        <f t="shared" si="34"/>
        <v>0</v>
      </c>
      <c r="O741" s="18"/>
      <c r="P741" s="19">
        <v>0</v>
      </c>
      <c r="Q741" s="29">
        <f t="shared" si="35"/>
        <v>0</v>
      </c>
      <c r="R741" s="11"/>
    </row>
    <row r="742" spans="1:18" ht="12.75" customHeight="1" x14ac:dyDescent="0.2">
      <c r="A742" s="18">
        <f>+'SERVICIO FAENA'!E740</f>
        <v>0</v>
      </c>
      <c r="B742" s="20">
        <f>+'SERVICIO FAENA'!A740</f>
        <v>0</v>
      </c>
      <c r="C742" s="49">
        <f>+'SERVICIO FAENA'!C740</f>
        <v>0</v>
      </c>
      <c r="D742" s="110"/>
      <c r="E742" s="110"/>
      <c r="F742" s="49"/>
      <c r="G742" s="49"/>
      <c r="H742" s="49">
        <f t="shared" si="36"/>
        <v>0</v>
      </c>
      <c r="I742" s="16"/>
      <c r="J742" s="16">
        <v>0</v>
      </c>
      <c r="K742" s="16">
        <v>0</v>
      </c>
      <c r="L742" s="11"/>
      <c r="M742" s="11"/>
      <c r="N742" s="16">
        <f t="shared" si="34"/>
        <v>0</v>
      </c>
      <c r="O742" s="18"/>
      <c r="P742" s="19">
        <v>0</v>
      </c>
      <c r="Q742" s="29">
        <f t="shared" si="35"/>
        <v>0</v>
      </c>
      <c r="R742" s="11"/>
    </row>
    <row r="743" spans="1:18" x14ac:dyDescent="0.2">
      <c r="A743" s="18">
        <f>+'SERVICIO FAENA'!E741</f>
        <v>0</v>
      </c>
      <c r="B743" s="20">
        <f>+'SERVICIO FAENA'!A741</f>
        <v>0</v>
      </c>
      <c r="C743" s="49">
        <f>+'SERVICIO FAENA'!C741</f>
        <v>0</v>
      </c>
      <c r="D743" s="110"/>
      <c r="E743" s="110"/>
      <c r="F743" s="49"/>
      <c r="G743" s="49"/>
      <c r="H743" s="49">
        <f t="shared" si="36"/>
        <v>0</v>
      </c>
      <c r="I743" s="16"/>
      <c r="J743" s="16">
        <v>0</v>
      </c>
      <c r="K743" s="16">
        <v>0</v>
      </c>
      <c r="L743" s="11"/>
      <c r="M743" s="11"/>
      <c r="N743" s="16">
        <f t="shared" si="34"/>
        <v>0</v>
      </c>
      <c r="O743" s="18"/>
      <c r="P743" s="19">
        <v>0</v>
      </c>
      <c r="Q743" s="29">
        <f t="shared" si="35"/>
        <v>0</v>
      </c>
      <c r="R743" s="11"/>
    </row>
    <row r="744" spans="1:18" ht="12.75" customHeight="1" x14ac:dyDescent="0.2">
      <c r="A744" s="18">
        <f>+'SERVICIO FAENA'!E742</f>
        <v>0</v>
      </c>
      <c r="B744" s="20">
        <f>+'SERVICIO FAENA'!A742</f>
        <v>0</v>
      </c>
      <c r="C744" s="49">
        <f>+'SERVICIO FAENA'!C742</f>
        <v>0</v>
      </c>
      <c r="D744" s="110"/>
      <c r="E744" s="110"/>
      <c r="F744" s="49"/>
      <c r="G744" s="49"/>
      <c r="H744" s="49">
        <f t="shared" si="36"/>
        <v>0</v>
      </c>
      <c r="I744" s="16"/>
      <c r="J744" s="16">
        <v>0</v>
      </c>
      <c r="K744" s="16">
        <v>0</v>
      </c>
      <c r="L744" s="11"/>
      <c r="M744" s="11"/>
      <c r="N744" s="16">
        <f t="shared" si="34"/>
        <v>0</v>
      </c>
      <c r="O744" s="18"/>
      <c r="P744" s="19">
        <v>0</v>
      </c>
      <c r="Q744" s="29">
        <f t="shared" si="35"/>
        <v>0</v>
      </c>
      <c r="R744" s="11"/>
    </row>
    <row r="745" spans="1:18" x14ac:dyDescent="0.2">
      <c r="A745" s="18">
        <f>+'SERVICIO FAENA'!E743</f>
        <v>0</v>
      </c>
      <c r="B745" s="20">
        <f>+'SERVICIO FAENA'!A743</f>
        <v>0</v>
      </c>
      <c r="C745" s="49">
        <f>+'SERVICIO FAENA'!C743</f>
        <v>0</v>
      </c>
      <c r="D745" s="110"/>
      <c r="E745" s="110"/>
      <c r="F745" s="49"/>
      <c r="G745" s="49"/>
      <c r="H745" s="49">
        <f t="shared" si="36"/>
        <v>0</v>
      </c>
      <c r="I745" s="16"/>
      <c r="J745" s="16">
        <v>0</v>
      </c>
      <c r="K745" s="16">
        <v>0</v>
      </c>
      <c r="L745" s="11"/>
      <c r="M745" s="11"/>
      <c r="N745" s="16">
        <f t="shared" si="34"/>
        <v>0</v>
      </c>
      <c r="O745" s="18"/>
      <c r="P745" s="19">
        <v>0</v>
      </c>
      <c r="Q745" s="29">
        <f t="shared" si="35"/>
        <v>0</v>
      </c>
      <c r="R745" s="11"/>
    </row>
    <row r="746" spans="1:18" ht="12.75" customHeight="1" x14ac:dyDescent="0.2">
      <c r="A746" s="18">
        <f>+'SERVICIO FAENA'!E744</f>
        <v>0</v>
      </c>
      <c r="B746" s="20">
        <f>+'SERVICIO FAENA'!A744</f>
        <v>0</v>
      </c>
      <c r="C746" s="49">
        <f>+'SERVICIO FAENA'!C744</f>
        <v>0</v>
      </c>
      <c r="D746" s="110"/>
      <c r="E746" s="110"/>
      <c r="F746" s="49"/>
      <c r="G746" s="49"/>
      <c r="H746" s="49">
        <f t="shared" si="36"/>
        <v>0</v>
      </c>
      <c r="I746" s="16"/>
      <c r="J746" s="16">
        <v>0</v>
      </c>
      <c r="K746" s="16">
        <v>0</v>
      </c>
      <c r="L746" s="11"/>
      <c r="M746" s="11"/>
      <c r="N746" s="16">
        <f t="shared" si="34"/>
        <v>0</v>
      </c>
      <c r="O746" s="18"/>
      <c r="P746" s="19">
        <v>0</v>
      </c>
      <c r="Q746" s="29">
        <f t="shared" si="35"/>
        <v>0</v>
      </c>
      <c r="R746" s="11"/>
    </row>
    <row r="747" spans="1:18" x14ac:dyDescent="0.2">
      <c r="A747" s="18">
        <f>+'SERVICIO FAENA'!E745</f>
        <v>0</v>
      </c>
      <c r="B747" s="20">
        <f>+'SERVICIO FAENA'!A745</f>
        <v>0</v>
      </c>
      <c r="C747" s="49">
        <f>+'SERVICIO FAENA'!C745</f>
        <v>0</v>
      </c>
      <c r="D747" s="110"/>
      <c r="E747" s="110"/>
      <c r="F747" s="49"/>
      <c r="G747" s="49"/>
      <c r="H747" s="49">
        <f t="shared" si="36"/>
        <v>0</v>
      </c>
      <c r="I747" s="16"/>
      <c r="J747" s="16">
        <v>0</v>
      </c>
      <c r="K747" s="16">
        <v>0</v>
      </c>
      <c r="L747" s="11"/>
      <c r="M747" s="11"/>
      <c r="N747" s="16">
        <f t="shared" si="34"/>
        <v>0</v>
      </c>
      <c r="O747" s="18"/>
      <c r="P747" s="19">
        <v>0</v>
      </c>
      <c r="Q747" s="29">
        <f t="shared" si="35"/>
        <v>0</v>
      </c>
      <c r="R747" s="11"/>
    </row>
    <row r="748" spans="1:18" ht="12.75" customHeight="1" x14ac:dyDescent="0.2">
      <c r="A748" s="18">
        <f>+'SERVICIO FAENA'!E746</f>
        <v>0</v>
      </c>
      <c r="B748" s="20">
        <f>+'SERVICIO FAENA'!A746</f>
        <v>0</v>
      </c>
      <c r="C748" s="49">
        <f>+'SERVICIO FAENA'!C746</f>
        <v>0</v>
      </c>
      <c r="D748" s="110"/>
      <c r="E748" s="110"/>
      <c r="F748" s="49"/>
      <c r="G748" s="49"/>
      <c r="H748" s="49">
        <f t="shared" si="36"/>
        <v>0</v>
      </c>
      <c r="I748" s="16"/>
      <c r="J748" s="16">
        <v>0</v>
      </c>
      <c r="K748" s="16">
        <v>0</v>
      </c>
      <c r="L748" s="11"/>
      <c r="M748" s="11"/>
      <c r="N748" s="16">
        <f t="shared" si="34"/>
        <v>0</v>
      </c>
      <c r="O748" s="18"/>
      <c r="P748" s="19">
        <v>0</v>
      </c>
      <c r="Q748" s="29">
        <f t="shared" si="35"/>
        <v>0</v>
      </c>
      <c r="R748" s="11"/>
    </row>
    <row r="749" spans="1:18" x14ac:dyDescent="0.2">
      <c r="A749" s="18">
        <f>+'SERVICIO FAENA'!E747</f>
        <v>0</v>
      </c>
      <c r="B749" s="20">
        <f>+'SERVICIO FAENA'!A747</f>
        <v>0</v>
      </c>
      <c r="C749" s="49">
        <f>+'SERVICIO FAENA'!C747</f>
        <v>0</v>
      </c>
      <c r="D749" s="110"/>
      <c r="E749" s="110"/>
      <c r="F749" s="49"/>
      <c r="G749" s="49"/>
      <c r="H749" s="49">
        <f t="shared" si="36"/>
        <v>0</v>
      </c>
      <c r="I749" s="16"/>
      <c r="J749" s="16">
        <v>0</v>
      </c>
      <c r="K749" s="16">
        <v>0</v>
      </c>
      <c r="L749" s="11"/>
      <c r="M749" s="11"/>
      <c r="N749" s="16">
        <f t="shared" si="34"/>
        <v>0</v>
      </c>
      <c r="O749" s="18"/>
      <c r="P749" s="19">
        <v>0</v>
      </c>
      <c r="Q749" s="29">
        <f t="shared" si="35"/>
        <v>0</v>
      </c>
      <c r="R749" s="11"/>
    </row>
    <row r="750" spans="1:18" ht="12.75" customHeight="1" x14ac:dyDescent="0.2">
      <c r="A750" s="18">
        <f>+'SERVICIO FAENA'!E748</f>
        <v>0</v>
      </c>
      <c r="B750" s="20">
        <f>+'SERVICIO FAENA'!A748</f>
        <v>0</v>
      </c>
      <c r="C750" s="49">
        <f>+'SERVICIO FAENA'!C748</f>
        <v>0</v>
      </c>
      <c r="D750" s="110"/>
      <c r="E750" s="110"/>
      <c r="F750" s="49"/>
      <c r="G750" s="49"/>
      <c r="H750" s="49">
        <f t="shared" si="36"/>
        <v>0</v>
      </c>
      <c r="I750" s="16"/>
      <c r="J750" s="16">
        <v>0</v>
      </c>
      <c r="K750" s="16">
        <v>0</v>
      </c>
      <c r="L750" s="11"/>
      <c r="M750" s="11"/>
      <c r="N750" s="16">
        <f t="shared" si="34"/>
        <v>0</v>
      </c>
      <c r="O750" s="18"/>
      <c r="P750" s="19">
        <v>0</v>
      </c>
      <c r="Q750" s="29">
        <f t="shared" si="35"/>
        <v>0</v>
      </c>
      <c r="R750" s="11"/>
    </row>
    <row r="751" spans="1:18" x14ac:dyDescent="0.2">
      <c r="A751" s="18">
        <f>+'SERVICIO FAENA'!E749</f>
        <v>0</v>
      </c>
      <c r="B751" s="20">
        <f>+'SERVICIO FAENA'!A749</f>
        <v>0</v>
      </c>
      <c r="C751" s="49">
        <f>+'SERVICIO FAENA'!C749</f>
        <v>0</v>
      </c>
      <c r="D751" s="110"/>
      <c r="E751" s="110"/>
      <c r="F751" s="49"/>
      <c r="G751" s="49"/>
      <c r="H751" s="49">
        <f t="shared" si="36"/>
        <v>0</v>
      </c>
      <c r="I751" s="16"/>
      <c r="J751" s="16">
        <v>0</v>
      </c>
      <c r="K751" s="16">
        <v>0</v>
      </c>
      <c r="L751" s="11"/>
      <c r="M751" s="11"/>
      <c r="N751" s="16">
        <f t="shared" si="34"/>
        <v>0</v>
      </c>
      <c r="O751" s="18"/>
      <c r="P751" s="19">
        <v>0</v>
      </c>
      <c r="Q751" s="29">
        <f t="shared" si="35"/>
        <v>0</v>
      </c>
      <c r="R751" s="11"/>
    </row>
    <row r="752" spans="1:18" ht="12.75" customHeight="1" x14ac:dyDescent="0.2">
      <c r="A752" s="18">
        <f>+'SERVICIO FAENA'!E750</f>
        <v>0</v>
      </c>
      <c r="B752" s="20">
        <f>+'SERVICIO FAENA'!A750</f>
        <v>0</v>
      </c>
      <c r="C752" s="49">
        <f>+'SERVICIO FAENA'!C750</f>
        <v>0</v>
      </c>
      <c r="D752" s="110"/>
      <c r="E752" s="110"/>
      <c r="F752" s="49"/>
      <c r="G752" s="49"/>
      <c r="H752" s="49">
        <f t="shared" si="36"/>
        <v>0</v>
      </c>
      <c r="I752" s="16"/>
      <c r="J752" s="16">
        <v>0</v>
      </c>
      <c r="K752" s="16">
        <v>0</v>
      </c>
      <c r="L752" s="11"/>
      <c r="M752" s="11"/>
      <c r="N752" s="16">
        <f t="shared" si="34"/>
        <v>0</v>
      </c>
      <c r="O752" s="18"/>
      <c r="P752" s="19">
        <v>0</v>
      </c>
      <c r="Q752" s="29">
        <f t="shared" si="35"/>
        <v>0</v>
      </c>
      <c r="R752" s="11"/>
    </row>
    <row r="753" spans="1:18" x14ac:dyDescent="0.2">
      <c r="A753" s="18">
        <f>+'SERVICIO FAENA'!E751</f>
        <v>0</v>
      </c>
      <c r="B753" s="20">
        <f>+'SERVICIO FAENA'!A751</f>
        <v>0</v>
      </c>
      <c r="C753" s="49">
        <f>+'SERVICIO FAENA'!C751</f>
        <v>0</v>
      </c>
      <c r="D753" s="110"/>
      <c r="E753" s="110"/>
      <c r="F753" s="49"/>
      <c r="G753" s="49"/>
      <c r="H753" s="49">
        <f t="shared" si="36"/>
        <v>0</v>
      </c>
      <c r="I753" s="16"/>
      <c r="J753" s="16">
        <v>0</v>
      </c>
      <c r="K753" s="16">
        <v>0</v>
      </c>
      <c r="L753" s="11"/>
      <c r="M753" s="11"/>
      <c r="N753" s="16">
        <f t="shared" si="34"/>
        <v>0</v>
      </c>
      <c r="O753" s="18"/>
      <c r="P753" s="19">
        <v>0</v>
      </c>
      <c r="Q753" s="29">
        <f t="shared" si="35"/>
        <v>0</v>
      </c>
      <c r="R753" s="11"/>
    </row>
    <row r="754" spans="1:18" ht="12.75" customHeight="1" x14ac:dyDescent="0.2">
      <c r="A754" s="18">
        <f>+'SERVICIO FAENA'!E752</f>
        <v>0</v>
      </c>
      <c r="B754" s="20">
        <f>+'SERVICIO FAENA'!A752</f>
        <v>0</v>
      </c>
      <c r="C754" s="49">
        <f>+'SERVICIO FAENA'!C752</f>
        <v>0</v>
      </c>
      <c r="D754" s="110"/>
      <c r="E754" s="110"/>
      <c r="F754" s="49"/>
      <c r="G754" s="49"/>
      <c r="H754" s="49">
        <f t="shared" si="36"/>
        <v>0</v>
      </c>
      <c r="I754" s="16"/>
      <c r="J754" s="16">
        <v>0</v>
      </c>
      <c r="K754" s="16">
        <v>0</v>
      </c>
      <c r="L754" s="11"/>
      <c r="M754" s="11"/>
      <c r="N754" s="16">
        <f t="shared" si="34"/>
        <v>0</v>
      </c>
      <c r="O754" s="18"/>
      <c r="P754" s="19">
        <v>0</v>
      </c>
      <c r="Q754" s="29">
        <f t="shared" si="35"/>
        <v>0</v>
      </c>
      <c r="R754" s="11"/>
    </row>
    <row r="755" spans="1:18" x14ac:dyDescent="0.2">
      <c r="A755" s="18">
        <f>+'SERVICIO FAENA'!E753</f>
        <v>0</v>
      </c>
      <c r="B755" s="20">
        <f>+'SERVICIO FAENA'!A753</f>
        <v>0</v>
      </c>
      <c r="C755" s="49">
        <f>+'SERVICIO FAENA'!C753</f>
        <v>0</v>
      </c>
      <c r="D755" s="110"/>
      <c r="E755" s="110"/>
      <c r="F755" s="49"/>
      <c r="G755" s="49"/>
      <c r="H755" s="49">
        <f t="shared" si="36"/>
        <v>0</v>
      </c>
      <c r="I755" s="16"/>
      <c r="J755" s="16">
        <v>0</v>
      </c>
      <c r="K755" s="16">
        <v>0</v>
      </c>
      <c r="L755" s="11"/>
      <c r="M755" s="11"/>
      <c r="N755" s="16">
        <f t="shared" si="34"/>
        <v>0</v>
      </c>
      <c r="O755" s="18"/>
      <c r="P755" s="19">
        <v>0</v>
      </c>
      <c r="Q755" s="29">
        <f t="shared" si="35"/>
        <v>0</v>
      </c>
      <c r="R755" s="11"/>
    </row>
    <row r="756" spans="1:18" ht="12.75" customHeight="1" x14ac:dyDescent="0.2">
      <c r="A756" s="18">
        <f>+'SERVICIO FAENA'!E754</f>
        <v>0</v>
      </c>
      <c r="B756" s="20">
        <f>+'SERVICIO FAENA'!A754</f>
        <v>0</v>
      </c>
      <c r="C756" s="49">
        <f>+'SERVICIO FAENA'!C754</f>
        <v>0</v>
      </c>
      <c r="D756" s="110"/>
      <c r="E756" s="110"/>
      <c r="F756" s="49"/>
      <c r="G756" s="49"/>
      <c r="H756" s="49">
        <f t="shared" si="36"/>
        <v>0</v>
      </c>
      <c r="I756" s="16"/>
      <c r="J756" s="16">
        <v>0</v>
      </c>
      <c r="K756" s="16">
        <v>0</v>
      </c>
      <c r="L756" s="11"/>
      <c r="M756" s="11"/>
      <c r="N756" s="16">
        <f t="shared" si="34"/>
        <v>0</v>
      </c>
      <c r="O756" s="18"/>
      <c r="P756" s="19">
        <v>0</v>
      </c>
      <c r="Q756" s="29">
        <f t="shared" si="35"/>
        <v>0</v>
      </c>
      <c r="R756" s="11"/>
    </row>
    <row r="757" spans="1:18" x14ac:dyDescent="0.2">
      <c r="A757" s="18">
        <f>+'SERVICIO FAENA'!E755</f>
        <v>0</v>
      </c>
      <c r="B757" s="20">
        <f>+'SERVICIO FAENA'!A755</f>
        <v>0</v>
      </c>
      <c r="C757" s="49">
        <f>+'SERVICIO FAENA'!C755</f>
        <v>0</v>
      </c>
      <c r="D757" s="110"/>
      <c r="E757" s="110"/>
      <c r="F757" s="49"/>
      <c r="G757" s="49"/>
      <c r="H757" s="49">
        <f t="shared" si="36"/>
        <v>0</v>
      </c>
      <c r="I757" s="16"/>
      <c r="J757" s="16">
        <v>0</v>
      </c>
      <c r="K757" s="16">
        <v>0</v>
      </c>
      <c r="L757" s="11"/>
      <c r="M757" s="11"/>
      <c r="N757" s="16">
        <f t="shared" si="34"/>
        <v>0</v>
      </c>
      <c r="O757" s="18"/>
      <c r="P757" s="19">
        <v>0</v>
      </c>
      <c r="Q757" s="29">
        <f t="shared" si="35"/>
        <v>0</v>
      </c>
      <c r="R757" s="11"/>
    </row>
    <row r="758" spans="1:18" ht="12.75" customHeight="1" x14ac:dyDescent="0.2">
      <c r="A758" s="18">
        <f>+'SERVICIO FAENA'!E756</f>
        <v>0</v>
      </c>
      <c r="B758" s="20">
        <f>+'SERVICIO FAENA'!A756</f>
        <v>0</v>
      </c>
      <c r="C758" s="49">
        <f>+'SERVICIO FAENA'!C756</f>
        <v>0</v>
      </c>
      <c r="D758" s="110"/>
      <c r="E758" s="110"/>
      <c r="F758" s="49"/>
      <c r="G758" s="49"/>
      <c r="H758" s="49">
        <f t="shared" si="36"/>
        <v>0</v>
      </c>
      <c r="I758" s="16"/>
      <c r="J758" s="16">
        <v>0</v>
      </c>
      <c r="K758" s="16">
        <v>0</v>
      </c>
      <c r="L758" s="11"/>
      <c r="M758" s="11"/>
      <c r="N758" s="16">
        <f t="shared" si="34"/>
        <v>0</v>
      </c>
      <c r="O758" s="18"/>
      <c r="P758" s="19">
        <v>0</v>
      </c>
      <c r="Q758" s="29">
        <f t="shared" si="35"/>
        <v>0</v>
      </c>
      <c r="R758" s="11"/>
    </row>
    <row r="759" spans="1:18" x14ac:dyDescent="0.2">
      <c r="A759" s="18">
        <f>+'SERVICIO FAENA'!E757</f>
        <v>0</v>
      </c>
      <c r="B759" s="20">
        <f>+'SERVICIO FAENA'!A757</f>
        <v>0</v>
      </c>
      <c r="C759" s="49">
        <f>+'SERVICIO FAENA'!C757</f>
        <v>0</v>
      </c>
      <c r="D759" s="110"/>
      <c r="E759" s="110"/>
      <c r="F759" s="49"/>
      <c r="G759" s="49"/>
      <c r="H759" s="49">
        <f t="shared" si="36"/>
        <v>0</v>
      </c>
      <c r="I759" s="16"/>
      <c r="J759" s="16">
        <v>0</v>
      </c>
      <c r="K759" s="16">
        <v>0</v>
      </c>
      <c r="L759" s="11"/>
      <c r="M759" s="11"/>
      <c r="N759" s="16">
        <f t="shared" si="34"/>
        <v>0</v>
      </c>
      <c r="O759" s="18"/>
      <c r="P759" s="19">
        <v>0</v>
      </c>
      <c r="Q759" s="29">
        <f t="shared" si="35"/>
        <v>0</v>
      </c>
      <c r="R759" s="11"/>
    </row>
    <row r="760" spans="1:18" ht="12.75" customHeight="1" x14ac:dyDescent="0.2">
      <c r="A760" s="18">
        <f>+'SERVICIO FAENA'!E758</f>
        <v>0</v>
      </c>
      <c r="B760" s="20">
        <f>+'SERVICIO FAENA'!A758</f>
        <v>0</v>
      </c>
      <c r="C760" s="49">
        <f>+'SERVICIO FAENA'!C758</f>
        <v>0</v>
      </c>
      <c r="D760" s="110"/>
      <c r="E760" s="110"/>
      <c r="F760" s="49"/>
      <c r="G760" s="49"/>
      <c r="H760" s="49">
        <f t="shared" si="36"/>
        <v>0</v>
      </c>
      <c r="I760" s="16"/>
      <c r="J760" s="16">
        <v>0</v>
      </c>
      <c r="K760" s="16">
        <v>0</v>
      </c>
      <c r="L760" s="11"/>
      <c r="M760" s="11"/>
      <c r="N760" s="16">
        <f t="shared" si="34"/>
        <v>0</v>
      </c>
      <c r="O760" s="18"/>
      <c r="P760" s="19">
        <v>0</v>
      </c>
      <c r="Q760" s="29">
        <f t="shared" si="35"/>
        <v>0</v>
      </c>
      <c r="R760" s="11"/>
    </row>
    <row r="761" spans="1:18" x14ac:dyDescent="0.2">
      <c r="A761" s="18">
        <f>+'SERVICIO FAENA'!E759</f>
        <v>0</v>
      </c>
      <c r="B761" s="20">
        <f>+'SERVICIO FAENA'!A759</f>
        <v>0</v>
      </c>
      <c r="C761" s="49">
        <f>+'SERVICIO FAENA'!C759</f>
        <v>0</v>
      </c>
      <c r="D761" s="110"/>
      <c r="E761" s="110"/>
      <c r="F761" s="49"/>
      <c r="G761" s="49"/>
      <c r="H761" s="49">
        <f t="shared" si="36"/>
        <v>0</v>
      </c>
      <c r="I761" s="16"/>
      <c r="J761" s="16">
        <v>0</v>
      </c>
      <c r="K761" s="16">
        <v>0</v>
      </c>
      <c r="L761" s="11"/>
      <c r="M761" s="11"/>
      <c r="N761" s="16">
        <f t="shared" si="34"/>
        <v>0</v>
      </c>
      <c r="O761" s="18"/>
      <c r="P761" s="19">
        <v>0</v>
      </c>
      <c r="Q761" s="29">
        <f t="shared" si="35"/>
        <v>0</v>
      </c>
      <c r="R761" s="11"/>
    </row>
    <row r="762" spans="1:18" ht="12.75" customHeight="1" x14ac:dyDescent="0.2">
      <c r="A762" s="18">
        <f>+'SERVICIO FAENA'!E760</f>
        <v>0</v>
      </c>
      <c r="B762" s="20">
        <f>+'SERVICIO FAENA'!A760</f>
        <v>0</v>
      </c>
      <c r="C762" s="49">
        <f>+'SERVICIO FAENA'!C760</f>
        <v>0</v>
      </c>
      <c r="D762" s="110"/>
      <c r="E762" s="110"/>
      <c r="F762" s="49"/>
      <c r="G762" s="49"/>
      <c r="H762" s="49">
        <f t="shared" si="36"/>
        <v>0</v>
      </c>
      <c r="I762" s="16"/>
      <c r="J762" s="16">
        <v>0</v>
      </c>
      <c r="K762" s="16">
        <v>0</v>
      </c>
      <c r="L762" s="11"/>
      <c r="M762" s="11"/>
      <c r="N762" s="16">
        <f t="shared" si="34"/>
        <v>0</v>
      </c>
      <c r="O762" s="18"/>
      <c r="P762" s="19">
        <v>0</v>
      </c>
      <c r="Q762" s="29">
        <f t="shared" si="35"/>
        <v>0</v>
      </c>
      <c r="R762" s="11"/>
    </row>
    <row r="763" spans="1:18" x14ac:dyDescent="0.2">
      <c r="A763" s="18">
        <f>+'SERVICIO FAENA'!E761</f>
        <v>0</v>
      </c>
      <c r="B763" s="20">
        <f>+'SERVICIO FAENA'!A761</f>
        <v>0</v>
      </c>
      <c r="C763" s="49">
        <f>+'SERVICIO FAENA'!C761</f>
        <v>0</v>
      </c>
      <c r="D763" s="110"/>
      <c r="E763" s="110"/>
      <c r="F763" s="49"/>
      <c r="G763" s="49"/>
      <c r="H763" s="49">
        <f t="shared" si="36"/>
        <v>0</v>
      </c>
      <c r="I763" s="16"/>
      <c r="J763" s="16">
        <v>0</v>
      </c>
      <c r="K763" s="16">
        <v>0</v>
      </c>
      <c r="L763" s="11"/>
      <c r="M763" s="11"/>
      <c r="N763" s="16">
        <f t="shared" si="34"/>
        <v>0</v>
      </c>
      <c r="O763" s="18"/>
      <c r="P763" s="19">
        <v>0</v>
      </c>
      <c r="Q763" s="29">
        <f t="shared" si="35"/>
        <v>0</v>
      </c>
      <c r="R763" s="11"/>
    </row>
    <row r="764" spans="1:18" ht="12.75" customHeight="1" x14ac:dyDescent="0.2">
      <c r="A764" s="18">
        <f>+'SERVICIO FAENA'!E762</f>
        <v>0</v>
      </c>
      <c r="B764" s="20">
        <f>+'SERVICIO FAENA'!A762</f>
        <v>0</v>
      </c>
      <c r="C764" s="49">
        <f>+'SERVICIO FAENA'!C762</f>
        <v>0</v>
      </c>
      <c r="D764" s="110"/>
      <c r="E764" s="110"/>
      <c r="F764" s="49"/>
      <c r="G764" s="49"/>
      <c r="H764" s="49">
        <f t="shared" si="36"/>
        <v>0</v>
      </c>
      <c r="I764" s="16"/>
      <c r="J764" s="16">
        <v>0</v>
      </c>
      <c r="K764" s="16">
        <v>0</v>
      </c>
      <c r="L764" s="11"/>
      <c r="M764" s="11"/>
      <c r="N764" s="16">
        <f t="shared" si="34"/>
        <v>0</v>
      </c>
      <c r="O764" s="18"/>
      <c r="P764" s="19">
        <v>0</v>
      </c>
      <c r="Q764" s="29">
        <f t="shared" si="35"/>
        <v>0</v>
      </c>
      <c r="R764" s="11"/>
    </row>
    <row r="765" spans="1:18" x14ac:dyDescent="0.2">
      <c r="A765" s="18">
        <f>+'SERVICIO FAENA'!E763</f>
        <v>0</v>
      </c>
      <c r="B765" s="20">
        <f>+'SERVICIO FAENA'!A763</f>
        <v>0</v>
      </c>
      <c r="C765" s="49">
        <f>+'SERVICIO FAENA'!C763</f>
        <v>0</v>
      </c>
      <c r="D765" s="110"/>
      <c r="E765" s="110"/>
      <c r="F765" s="49"/>
      <c r="G765" s="49"/>
      <c r="H765" s="49">
        <f t="shared" si="36"/>
        <v>0</v>
      </c>
      <c r="I765" s="16"/>
      <c r="J765" s="16">
        <v>0</v>
      </c>
      <c r="K765" s="16">
        <v>0</v>
      </c>
      <c r="L765" s="11"/>
      <c r="M765" s="11"/>
      <c r="N765" s="16">
        <f t="shared" si="34"/>
        <v>0</v>
      </c>
      <c r="O765" s="18"/>
      <c r="P765" s="19">
        <v>0</v>
      </c>
      <c r="Q765" s="29">
        <f t="shared" si="35"/>
        <v>0</v>
      </c>
      <c r="R765" s="11"/>
    </row>
    <row r="766" spans="1:18" ht="12.75" customHeight="1" x14ac:dyDescent="0.2">
      <c r="A766" s="18">
        <f>+'SERVICIO FAENA'!E764</f>
        <v>0</v>
      </c>
      <c r="B766" s="20">
        <f>+'SERVICIO FAENA'!A764</f>
        <v>0</v>
      </c>
      <c r="C766" s="49">
        <f>+'SERVICIO FAENA'!C764</f>
        <v>0</v>
      </c>
      <c r="D766" s="110"/>
      <c r="E766" s="110"/>
      <c r="F766" s="49"/>
      <c r="G766" s="49"/>
      <c r="H766" s="49">
        <f t="shared" si="36"/>
        <v>0</v>
      </c>
      <c r="I766" s="16"/>
      <c r="J766" s="16">
        <v>0</v>
      </c>
      <c r="K766" s="16">
        <v>0</v>
      </c>
      <c r="L766" s="11"/>
      <c r="M766" s="11"/>
      <c r="N766" s="16">
        <f t="shared" si="34"/>
        <v>0</v>
      </c>
      <c r="O766" s="18"/>
      <c r="P766" s="19">
        <v>0</v>
      </c>
      <c r="Q766" s="29">
        <f t="shared" si="35"/>
        <v>0</v>
      </c>
      <c r="R766" s="11"/>
    </row>
    <row r="767" spans="1:18" x14ac:dyDescent="0.2">
      <c r="A767" s="18">
        <f>+'SERVICIO FAENA'!E765</f>
        <v>0</v>
      </c>
      <c r="B767" s="20">
        <f>+'SERVICIO FAENA'!A765</f>
        <v>0</v>
      </c>
      <c r="C767" s="49">
        <f>+'SERVICIO FAENA'!C765</f>
        <v>0</v>
      </c>
      <c r="D767" s="110"/>
      <c r="E767" s="110"/>
      <c r="F767" s="49"/>
      <c r="G767" s="49"/>
      <c r="H767" s="49">
        <f t="shared" si="36"/>
        <v>0</v>
      </c>
      <c r="I767" s="16"/>
      <c r="J767" s="16">
        <v>0</v>
      </c>
      <c r="K767" s="16">
        <v>0</v>
      </c>
      <c r="L767" s="11"/>
      <c r="M767" s="11"/>
      <c r="N767" s="16">
        <f t="shared" si="34"/>
        <v>0</v>
      </c>
      <c r="O767" s="18"/>
      <c r="P767" s="19">
        <v>0</v>
      </c>
      <c r="Q767" s="29">
        <f t="shared" si="35"/>
        <v>0</v>
      </c>
      <c r="R767" s="11"/>
    </row>
    <row r="768" spans="1:18" ht="12.75" customHeight="1" x14ac:dyDescent="0.2">
      <c r="A768" s="18">
        <f>+'SERVICIO FAENA'!E766</f>
        <v>0</v>
      </c>
      <c r="B768" s="20">
        <f>+'SERVICIO FAENA'!A766</f>
        <v>0</v>
      </c>
      <c r="C768" s="49">
        <f>+'SERVICIO FAENA'!C766</f>
        <v>0</v>
      </c>
      <c r="D768" s="110"/>
      <c r="E768" s="110"/>
      <c r="F768" s="49"/>
      <c r="G768" s="49"/>
      <c r="H768" s="49">
        <f t="shared" si="36"/>
        <v>0</v>
      </c>
      <c r="I768" s="16"/>
      <c r="J768" s="16">
        <v>0</v>
      </c>
      <c r="K768" s="16">
        <v>0</v>
      </c>
      <c r="L768" s="11"/>
      <c r="M768" s="11"/>
      <c r="N768" s="16">
        <f t="shared" si="34"/>
        <v>0</v>
      </c>
      <c r="O768" s="18"/>
      <c r="P768" s="19">
        <v>0</v>
      </c>
      <c r="Q768" s="29">
        <f t="shared" si="35"/>
        <v>0</v>
      </c>
      <c r="R768" s="11"/>
    </row>
    <row r="769" spans="1:18" x14ac:dyDescent="0.2">
      <c r="A769" s="18">
        <f>+'SERVICIO FAENA'!E767</f>
        <v>0</v>
      </c>
      <c r="B769" s="20">
        <f>+'SERVICIO FAENA'!A767</f>
        <v>0</v>
      </c>
      <c r="C769" s="49">
        <f>+'SERVICIO FAENA'!C767</f>
        <v>0</v>
      </c>
      <c r="D769" s="110"/>
      <c r="E769" s="110"/>
      <c r="F769" s="49"/>
      <c r="G769" s="49"/>
      <c r="H769" s="49">
        <f t="shared" si="36"/>
        <v>0</v>
      </c>
      <c r="I769" s="16"/>
      <c r="J769" s="16">
        <v>0</v>
      </c>
      <c r="K769" s="16">
        <v>0</v>
      </c>
      <c r="L769" s="11"/>
      <c r="M769" s="11"/>
      <c r="N769" s="16">
        <f t="shared" si="34"/>
        <v>0</v>
      </c>
      <c r="O769" s="18"/>
      <c r="P769" s="19">
        <v>0</v>
      </c>
      <c r="Q769" s="29">
        <f t="shared" si="35"/>
        <v>0</v>
      </c>
      <c r="R769" s="11"/>
    </row>
    <row r="770" spans="1:18" ht="12.75" customHeight="1" x14ac:dyDescent="0.2">
      <c r="A770" s="18">
        <f>+'SERVICIO FAENA'!E768</f>
        <v>0</v>
      </c>
      <c r="B770" s="20">
        <f>+'SERVICIO FAENA'!A768</f>
        <v>0</v>
      </c>
      <c r="C770" s="49">
        <f>+'SERVICIO FAENA'!C768</f>
        <v>0</v>
      </c>
      <c r="D770" s="110"/>
      <c r="E770" s="110"/>
      <c r="F770" s="49"/>
      <c r="G770" s="49"/>
      <c r="H770" s="49">
        <f t="shared" si="36"/>
        <v>0</v>
      </c>
      <c r="I770" s="16"/>
      <c r="J770" s="16">
        <v>0</v>
      </c>
      <c r="K770" s="16">
        <v>0</v>
      </c>
      <c r="L770" s="11"/>
      <c r="M770" s="11"/>
      <c r="N770" s="16">
        <f t="shared" si="34"/>
        <v>0</v>
      </c>
      <c r="O770" s="18"/>
      <c r="P770" s="19">
        <v>0</v>
      </c>
      <c r="Q770" s="29">
        <f t="shared" si="35"/>
        <v>0</v>
      </c>
      <c r="R770" s="11"/>
    </row>
    <row r="771" spans="1:18" x14ac:dyDescent="0.2">
      <c r="A771" s="18">
        <f>+'SERVICIO FAENA'!E769</f>
        <v>0</v>
      </c>
      <c r="B771" s="20">
        <f>+'SERVICIO FAENA'!A769</f>
        <v>0</v>
      </c>
      <c r="C771" s="49">
        <f>+'SERVICIO FAENA'!C769</f>
        <v>0</v>
      </c>
      <c r="D771" s="110"/>
      <c r="E771" s="110"/>
      <c r="F771" s="49"/>
      <c r="G771" s="49"/>
      <c r="H771" s="49">
        <f t="shared" si="36"/>
        <v>0</v>
      </c>
      <c r="I771" s="16"/>
      <c r="J771" s="16">
        <v>0</v>
      </c>
      <c r="K771" s="16">
        <v>0</v>
      </c>
      <c r="L771" s="11"/>
      <c r="M771" s="11"/>
      <c r="N771" s="16">
        <f t="shared" si="34"/>
        <v>0</v>
      </c>
      <c r="O771" s="18"/>
      <c r="P771" s="19">
        <v>0</v>
      </c>
      <c r="Q771" s="29">
        <f t="shared" si="35"/>
        <v>0</v>
      </c>
      <c r="R771" s="11"/>
    </row>
    <row r="772" spans="1:18" ht="12.75" customHeight="1" x14ac:dyDescent="0.2">
      <c r="A772" s="18">
        <f>+'SERVICIO FAENA'!E770</f>
        <v>0</v>
      </c>
      <c r="B772" s="20">
        <f>+'SERVICIO FAENA'!A770</f>
        <v>0</v>
      </c>
      <c r="C772" s="49">
        <f>+'SERVICIO FAENA'!C770</f>
        <v>0</v>
      </c>
      <c r="D772" s="110"/>
      <c r="E772" s="110"/>
      <c r="F772" s="49"/>
      <c r="G772" s="49"/>
      <c r="H772" s="49">
        <f t="shared" si="36"/>
        <v>0</v>
      </c>
      <c r="I772" s="16"/>
      <c r="J772" s="16">
        <v>0</v>
      </c>
      <c r="K772" s="16">
        <v>0</v>
      </c>
      <c r="L772" s="11"/>
      <c r="M772" s="11"/>
      <c r="N772" s="16">
        <f t="shared" si="34"/>
        <v>0</v>
      </c>
      <c r="O772" s="18"/>
      <c r="P772" s="19">
        <v>0</v>
      </c>
      <c r="Q772" s="29">
        <f t="shared" si="35"/>
        <v>0</v>
      </c>
      <c r="R772" s="11"/>
    </row>
    <row r="773" spans="1:18" x14ac:dyDescent="0.2">
      <c r="A773" s="18">
        <f>+'SERVICIO FAENA'!E771</f>
        <v>0</v>
      </c>
      <c r="B773" s="20">
        <f>+'SERVICIO FAENA'!A771</f>
        <v>0</v>
      </c>
      <c r="C773" s="49">
        <f>+'SERVICIO FAENA'!C771</f>
        <v>0</v>
      </c>
      <c r="D773" s="110"/>
      <c r="E773" s="110"/>
      <c r="F773" s="49"/>
      <c r="G773" s="49"/>
      <c r="H773" s="49">
        <f t="shared" si="36"/>
        <v>0</v>
      </c>
      <c r="I773" s="16"/>
      <c r="J773" s="16">
        <v>0</v>
      </c>
      <c r="K773" s="16">
        <v>0</v>
      </c>
      <c r="L773" s="11"/>
      <c r="M773" s="11"/>
      <c r="N773" s="16">
        <f t="shared" si="34"/>
        <v>0</v>
      </c>
      <c r="O773" s="18"/>
      <c r="P773" s="19">
        <v>0</v>
      </c>
      <c r="Q773" s="29">
        <f t="shared" si="35"/>
        <v>0</v>
      </c>
      <c r="R773" s="11"/>
    </row>
    <row r="774" spans="1:18" ht="12.75" customHeight="1" x14ac:dyDescent="0.2">
      <c r="A774" s="18">
        <f>+'SERVICIO FAENA'!E772</f>
        <v>0</v>
      </c>
      <c r="B774" s="20">
        <f>+'SERVICIO FAENA'!A772</f>
        <v>0</v>
      </c>
      <c r="C774" s="49">
        <f>+'SERVICIO FAENA'!C772</f>
        <v>0</v>
      </c>
      <c r="D774" s="110"/>
      <c r="E774" s="110"/>
      <c r="F774" s="49"/>
      <c r="G774" s="49"/>
      <c r="H774" s="49">
        <f t="shared" si="36"/>
        <v>0</v>
      </c>
      <c r="I774" s="16"/>
      <c r="J774" s="16">
        <v>0</v>
      </c>
      <c r="K774" s="16">
        <v>0</v>
      </c>
      <c r="L774" s="11"/>
      <c r="M774" s="11"/>
      <c r="N774" s="16">
        <f t="shared" si="34"/>
        <v>0</v>
      </c>
      <c r="O774" s="18"/>
      <c r="P774" s="19">
        <v>0</v>
      </c>
      <c r="Q774" s="29">
        <f t="shared" si="35"/>
        <v>0</v>
      </c>
      <c r="R774" s="11"/>
    </row>
    <row r="775" spans="1:18" x14ac:dyDescent="0.2">
      <c r="A775" s="18">
        <f>+'SERVICIO FAENA'!E773</f>
        <v>0</v>
      </c>
      <c r="B775" s="20">
        <f>+'SERVICIO FAENA'!A773</f>
        <v>0</v>
      </c>
      <c r="C775" s="49">
        <f>+'SERVICIO FAENA'!C773</f>
        <v>0</v>
      </c>
      <c r="D775" s="110"/>
      <c r="E775" s="110"/>
      <c r="F775" s="49"/>
      <c r="G775" s="49"/>
      <c r="H775" s="49">
        <f t="shared" si="36"/>
        <v>0</v>
      </c>
      <c r="I775" s="16"/>
      <c r="J775" s="16">
        <v>0</v>
      </c>
      <c r="K775" s="16">
        <v>0</v>
      </c>
      <c r="L775" s="11"/>
      <c r="M775" s="11"/>
      <c r="N775" s="16">
        <f t="shared" si="34"/>
        <v>0</v>
      </c>
      <c r="O775" s="18"/>
      <c r="P775" s="19">
        <v>0</v>
      </c>
      <c r="Q775" s="29">
        <f t="shared" si="35"/>
        <v>0</v>
      </c>
      <c r="R775" s="11"/>
    </row>
    <row r="776" spans="1:18" ht="12.75" customHeight="1" x14ac:dyDescent="0.2">
      <c r="A776" s="18">
        <f>+'SERVICIO FAENA'!E774</f>
        <v>0</v>
      </c>
      <c r="B776" s="20">
        <f>+'SERVICIO FAENA'!A774</f>
        <v>0</v>
      </c>
      <c r="C776" s="49">
        <f>+'SERVICIO FAENA'!C774</f>
        <v>0</v>
      </c>
      <c r="D776" s="110"/>
      <c r="E776" s="110"/>
      <c r="F776" s="49"/>
      <c r="G776" s="49"/>
      <c r="H776" s="49">
        <f t="shared" si="36"/>
        <v>0</v>
      </c>
      <c r="I776" s="16"/>
      <c r="J776" s="16">
        <v>0</v>
      </c>
      <c r="K776" s="16">
        <v>0</v>
      </c>
      <c r="L776" s="11"/>
      <c r="M776" s="11"/>
      <c r="N776" s="16">
        <f t="shared" ref="N776:N785" si="37">+K776*I776</f>
        <v>0</v>
      </c>
      <c r="O776" s="18"/>
      <c r="P776" s="19">
        <v>0</v>
      </c>
      <c r="Q776" s="29">
        <f t="shared" ref="Q776:Q785" si="38">+P776-N776</f>
        <v>0</v>
      </c>
      <c r="R776" s="11"/>
    </row>
    <row r="777" spans="1:18" x14ac:dyDescent="0.2">
      <c r="A777" s="18">
        <f>+'SERVICIO FAENA'!E775</f>
        <v>0</v>
      </c>
      <c r="B777" s="20">
        <f>+'SERVICIO FAENA'!A775</f>
        <v>0</v>
      </c>
      <c r="C777" s="49">
        <f>+'SERVICIO FAENA'!C775</f>
        <v>0</v>
      </c>
      <c r="D777" s="110"/>
      <c r="E777" s="110"/>
      <c r="F777" s="49"/>
      <c r="G777" s="49"/>
      <c r="H777" s="49">
        <f t="shared" si="36"/>
        <v>0</v>
      </c>
      <c r="I777" s="16"/>
      <c r="J777" s="16">
        <v>0</v>
      </c>
      <c r="K777" s="16">
        <v>0</v>
      </c>
      <c r="L777" s="11"/>
      <c r="M777" s="11"/>
      <c r="N777" s="16">
        <f t="shared" si="37"/>
        <v>0</v>
      </c>
      <c r="O777" s="18"/>
      <c r="P777" s="19">
        <v>0</v>
      </c>
      <c r="Q777" s="29">
        <f t="shared" si="38"/>
        <v>0</v>
      </c>
      <c r="R777" s="11"/>
    </row>
    <row r="778" spans="1:18" ht="12.75" customHeight="1" x14ac:dyDescent="0.2">
      <c r="A778" s="18">
        <f>+'SERVICIO FAENA'!E776</f>
        <v>0</v>
      </c>
      <c r="B778" s="20">
        <f>+'SERVICIO FAENA'!A776</f>
        <v>0</v>
      </c>
      <c r="C778" s="49">
        <f>+'SERVICIO FAENA'!C776</f>
        <v>0</v>
      </c>
      <c r="D778" s="110"/>
      <c r="E778" s="110"/>
      <c r="F778" s="49"/>
      <c r="G778" s="49"/>
      <c r="H778" s="49">
        <f t="shared" si="36"/>
        <v>0</v>
      </c>
      <c r="I778" s="16"/>
      <c r="J778" s="16">
        <v>0</v>
      </c>
      <c r="K778" s="16">
        <v>0</v>
      </c>
      <c r="L778" s="11"/>
      <c r="M778" s="11"/>
      <c r="N778" s="16">
        <f t="shared" si="37"/>
        <v>0</v>
      </c>
      <c r="O778" s="18"/>
      <c r="P778" s="19">
        <v>0</v>
      </c>
      <c r="Q778" s="29">
        <f t="shared" si="38"/>
        <v>0</v>
      </c>
      <c r="R778" s="11"/>
    </row>
    <row r="779" spans="1:18" x14ac:dyDescent="0.2">
      <c r="A779" s="18">
        <f>+'SERVICIO FAENA'!E777</f>
        <v>0</v>
      </c>
      <c r="B779" s="20">
        <f>+'SERVICIO FAENA'!A777</f>
        <v>0</v>
      </c>
      <c r="C779" s="49">
        <f>+'SERVICIO FAENA'!C777</f>
        <v>0</v>
      </c>
      <c r="D779" s="110"/>
      <c r="E779" s="110"/>
      <c r="F779" s="49"/>
      <c r="G779" s="49"/>
      <c r="H779" s="49">
        <f t="shared" si="36"/>
        <v>0</v>
      </c>
      <c r="I779" s="16"/>
      <c r="J779" s="16">
        <v>0</v>
      </c>
      <c r="K779" s="16">
        <v>0</v>
      </c>
      <c r="L779" s="11"/>
      <c r="M779" s="11"/>
      <c r="N779" s="16">
        <f t="shared" si="37"/>
        <v>0</v>
      </c>
      <c r="O779" s="18"/>
      <c r="P779" s="19">
        <v>0</v>
      </c>
      <c r="Q779" s="29">
        <f t="shared" si="38"/>
        <v>0</v>
      </c>
      <c r="R779" s="11"/>
    </row>
    <row r="780" spans="1:18" ht="12.75" customHeight="1" x14ac:dyDescent="0.2">
      <c r="A780" s="18">
        <f>+'SERVICIO FAENA'!E778</f>
        <v>0</v>
      </c>
      <c r="B780" s="20">
        <f>+'SERVICIO FAENA'!A778</f>
        <v>0</v>
      </c>
      <c r="C780" s="49">
        <f>+'SERVICIO FAENA'!C778</f>
        <v>0</v>
      </c>
      <c r="D780" s="110"/>
      <c r="E780" s="110"/>
      <c r="F780" s="49"/>
      <c r="G780" s="49"/>
      <c r="H780" s="49">
        <f t="shared" si="36"/>
        <v>0</v>
      </c>
      <c r="I780" s="16"/>
      <c r="J780" s="16">
        <v>0</v>
      </c>
      <c r="K780" s="16">
        <v>0</v>
      </c>
      <c r="L780" s="11"/>
      <c r="M780" s="11"/>
      <c r="N780" s="16">
        <f t="shared" si="37"/>
        <v>0</v>
      </c>
      <c r="O780" s="18"/>
      <c r="P780" s="19">
        <v>0</v>
      </c>
      <c r="Q780" s="29">
        <f t="shared" si="38"/>
        <v>0</v>
      </c>
      <c r="R780" s="11"/>
    </row>
    <row r="781" spans="1:18" x14ac:dyDescent="0.2">
      <c r="A781" s="18">
        <f>+'SERVICIO FAENA'!E779</f>
        <v>0</v>
      </c>
      <c r="B781" s="20">
        <f>+'SERVICIO FAENA'!A779</f>
        <v>0</v>
      </c>
      <c r="C781" s="49">
        <f>+'SERVICIO FAENA'!C779</f>
        <v>0</v>
      </c>
      <c r="D781" s="110"/>
      <c r="E781" s="110"/>
      <c r="F781" s="49"/>
      <c r="G781" s="49"/>
      <c r="H781" s="49">
        <f t="shared" si="36"/>
        <v>0</v>
      </c>
      <c r="I781" s="16"/>
      <c r="J781" s="16">
        <v>0</v>
      </c>
      <c r="K781" s="16">
        <v>0</v>
      </c>
      <c r="L781" s="11"/>
      <c r="M781" s="11"/>
      <c r="N781" s="16">
        <f t="shared" si="37"/>
        <v>0</v>
      </c>
      <c r="O781" s="18"/>
      <c r="P781" s="19">
        <v>0</v>
      </c>
      <c r="Q781" s="29">
        <f t="shared" si="38"/>
        <v>0</v>
      </c>
      <c r="R781" s="11"/>
    </row>
    <row r="782" spans="1:18" ht="12.75" customHeight="1" x14ac:dyDescent="0.2">
      <c r="A782" s="18">
        <f>+'SERVICIO FAENA'!E780</f>
        <v>0</v>
      </c>
      <c r="B782" s="20">
        <f>+'SERVICIO FAENA'!A780</f>
        <v>0</v>
      </c>
      <c r="C782" s="49">
        <f>+'SERVICIO FAENA'!C780</f>
        <v>0</v>
      </c>
      <c r="D782" s="110"/>
      <c r="E782" s="110"/>
      <c r="F782" s="49"/>
      <c r="G782" s="49"/>
      <c r="H782" s="49">
        <f t="shared" si="36"/>
        <v>0</v>
      </c>
      <c r="I782" s="16"/>
      <c r="J782" s="16">
        <v>0</v>
      </c>
      <c r="K782" s="16">
        <v>0</v>
      </c>
      <c r="L782" s="11"/>
      <c r="M782" s="11"/>
      <c r="N782" s="16">
        <f t="shared" si="37"/>
        <v>0</v>
      </c>
      <c r="O782" s="18"/>
      <c r="P782" s="19">
        <v>0</v>
      </c>
      <c r="Q782" s="29">
        <f t="shared" si="38"/>
        <v>0</v>
      </c>
      <c r="R782" s="11"/>
    </row>
    <row r="783" spans="1:18" x14ac:dyDescent="0.2">
      <c r="A783" s="18">
        <f>+'SERVICIO FAENA'!E781</f>
        <v>0</v>
      </c>
      <c r="B783" s="20">
        <f>+'SERVICIO FAENA'!A781</f>
        <v>0</v>
      </c>
      <c r="C783" s="49">
        <f>+'SERVICIO FAENA'!C781</f>
        <v>0</v>
      </c>
      <c r="D783" s="110"/>
      <c r="E783" s="110"/>
      <c r="F783" s="49"/>
      <c r="G783" s="49"/>
      <c r="H783" s="49">
        <f t="shared" si="36"/>
        <v>0</v>
      </c>
      <c r="I783" s="16"/>
      <c r="J783" s="16">
        <v>0</v>
      </c>
      <c r="K783" s="16">
        <v>0</v>
      </c>
      <c r="L783" s="11"/>
      <c r="M783" s="11"/>
      <c r="N783" s="16">
        <f t="shared" si="37"/>
        <v>0</v>
      </c>
      <c r="O783" s="18"/>
      <c r="P783" s="19">
        <v>0</v>
      </c>
      <c r="Q783" s="29">
        <f t="shared" si="38"/>
        <v>0</v>
      </c>
      <c r="R783" s="11"/>
    </row>
    <row r="784" spans="1:18" ht="12.75" customHeight="1" x14ac:dyDescent="0.2">
      <c r="A784" s="18">
        <f>+'SERVICIO FAENA'!E782</f>
        <v>0</v>
      </c>
      <c r="B784" s="20">
        <f>+'SERVICIO FAENA'!A782</f>
        <v>0</v>
      </c>
      <c r="C784" s="49">
        <f>+'SERVICIO FAENA'!C782</f>
        <v>0</v>
      </c>
      <c r="D784" s="110"/>
      <c r="E784" s="110"/>
      <c r="F784" s="49"/>
      <c r="G784" s="49"/>
      <c r="H784" s="49">
        <f t="shared" si="36"/>
        <v>0</v>
      </c>
      <c r="I784" s="16"/>
      <c r="J784" s="16">
        <v>0</v>
      </c>
      <c r="K784" s="16">
        <v>0</v>
      </c>
      <c r="L784" s="11"/>
      <c r="M784" s="11"/>
      <c r="N784" s="16">
        <f t="shared" si="37"/>
        <v>0</v>
      </c>
      <c r="O784" s="18"/>
      <c r="P784" s="19">
        <v>0</v>
      </c>
      <c r="Q784" s="29">
        <f t="shared" si="38"/>
        <v>0</v>
      </c>
      <c r="R784" s="11"/>
    </row>
    <row r="785" spans="1:18" x14ac:dyDescent="0.2">
      <c r="A785" s="18">
        <f>+'SERVICIO FAENA'!E783</f>
        <v>0</v>
      </c>
      <c r="B785" s="20">
        <f>+'SERVICIO FAENA'!A783</f>
        <v>0</v>
      </c>
      <c r="C785" s="49">
        <f>+'SERVICIO FAENA'!C783</f>
        <v>0</v>
      </c>
      <c r="D785" s="110"/>
      <c r="E785" s="110"/>
      <c r="F785" s="49"/>
      <c r="G785" s="49"/>
      <c r="H785" s="49">
        <f t="shared" si="36"/>
        <v>0</v>
      </c>
      <c r="I785" s="16"/>
      <c r="J785" s="16">
        <v>0</v>
      </c>
      <c r="K785" s="16">
        <v>0</v>
      </c>
      <c r="L785" s="11"/>
      <c r="M785" s="11"/>
      <c r="N785" s="16">
        <f t="shared" si="37"/>
        <v>0</v>
      </c>
      <c r="O785" s="18"/>
      <c r="P785" s="19">
        <v>0</v>
      </c>
      <c r="Q785" s="29">
        <f t="shared" si="38"/>
        <v>0</v>
      </c>
      <c r="R785" s="11"/>
    </row>
  </sheetData>
  <autoFilter ref="A1:R785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rgb="FFFFFF00"/>
  </sheetPr>
  <dimension ref="A1:K23"/>
  <sheetViews>
    <sheetView workbookViewId="0">
      <pane ySplit="1" topLeftCell="A2" activePane="bottomLeft" state="frozen"/>
      <selection pane="bottomLeft" activeCell="H182" sqref="H182"/>
    </sheetView>
  </sheetViews>
  <sheetFormatPr baseColWidth="10" defaultColWidth="11.42578125" defaultRowHeight="12.75" x14ac:dyDescent="0.2"/>
  <cols>
    <col min="1" max="1" width="11.42578125" style="5"/>
    <col min="2" max="2" width="11.42578125" style="50"/>
    <col min="3" max="4" width="12.85546875" style="5" customWidth="1"/>
    <col min="5" max="5" width="11.85546875" style="5" bestFit="1" customWidth="1"/>
    <col min="6" max="6" width="11.42578125" style="5"/>
    <col min="7" max="7" width="12" style="5" bestFit="1" customWidth="1"/>
    <col min="8" max="8" width="11.42578125" style="5"/>
    <col min="9" max="9" width="14.85546875" style="8" customWidth="1"/>
    <col min="10" max="10" width="11.42578125" style="5"/>
    <col min="11" max="11" width="15.85546875" style="5" bestFit="1" customWidth="1"/>
    <col min="12" max="16384" width="11.42578125" style="5"/>
  </cols>
  <sheetData>
    <row r="1" spans="1:11" ht="39" thickBot="1" x14ac:dyDescent="0.25">
      <c r="A1" s="9" t="s">
        <v>22</v>
      </c>
      <c r="B1" s="21" t="s">
        <v>21</v>
      </c>
      <c r="C1" s="9" t="s">
        <v>31</v>
      </c>
      <c r="D1" s="9" t="s">
        <v>27</v>
      </c>
      <c r="E1" s="21" t="s">
        <v>23</v>
      </c>
      <c r="F1" s="21" t="s">
        <v>24</v>
      </c>
      <c r="G1" s="9" t="s">
        <v>57</v>
      </c>
      <c r="H1" s="27" t="s">
        <v>10</v>
      </c>
      <c r="I1" s="30" t="s">
        <v>11</v>
      </c>
      <c r="J1" s="27" t="s">
        <v>12</v>
      </c>
      <c r="K1" s="28" t="s">
        <v>13</v>
      </c>
    </row>
    <row r="2" spans="1:11" x14ac:dyDescent="0.2">
      <c r="A2" s="18">
        <f>+RENDERING!A2</f>
        <v>46024</v>
      </c>
      <c r="B2" s="49">
        <f>+RENDERING!B2</f>
        <v>1</v>
      </c>
      <c r="C2" s="16"/>
      <c r="D2" s="16">
        <v>0</v>
      </c>
      <c r="E2" s="11"/>
      <c r="F2" s="11"/>
      <c r="G2" s="16">
        <f t="shared" ref="G2:G12" si="0">+D2*C2</f>
        <v>0</v>
      </c>
      <c r="H2" s="18"/>
      <c r="I2" s="19">
        <v>0</v>
      </c>
      <c r="J2" s="29">
        <f t="shared" ref="J2:J12" si="1">+I2-G2</f>
        <v>0</v>
      </c>
      <c r="K2" s="11"/>
    </row>
    <row r="3" spans="1:11" x14ac:dyDescent="0.2">
      <c r="A3" s="18">
        <f>+RENDERING!A3</f>
        <v>46024</v>
      </c>
      <c r="B3" s="49">
        <f>+RENDERING!B3</f>
        <v>2</v>
      </c>
      <c r="C3" s="16"/>
      <c r="D3" s="16">
        <v>0</v>
      </c>
      <c r="E3" s="11"/>
      <c r="F3" s="11"/>
      <c r="G3" s="16">
        <f t="shared" si="0"/>
        <v>0</v>
      </c>
      <c r="H3" s="18"/>
      <c r="I3" s="19">
        <v>0</v>
      </c>
      <c r="J3" s="29">
        <f t="shared" si="1"/>
        <v>0</v>
      </c>
      <c r="K3" s="11"/>
    </row>
    <row r="4" spans="1:11" x14ac:dyDescent="0.2">
      <c r="A4" s="18">
        <f>+RENDERING!A4</f>
        <v>46027</v>
      </c>
      <c r="B4" s="49">
        <f>+RENDERING!B4</f>
        <v>3</v>
      </c>
      <c r="C4" s="16"/>
      <c r="D4" s="16">
        <v>0</v>
      </c>
      <c r="E4" s="11"/>
      <c r="F4" s="11"/>
      <c r="G4" s="16">
        <f t="shared" si="0"/>
        <v>0</v>
      </c>
      <c r="H4" s="18"/>
      <c r="I4" s="19">
        <v>0</v>
      </c>
      <c r="J4" s="29">
        <f t="shared" si="1"/>
        <v>0</v>
      </c>
      <c r="K4" s="11"/>
    </row>
    <row r="5" spans="1:11" x14ac:dyDescent="0.2">
      <c r="A5" s="18">
        <f>+RENDERING!A5</f>
        <v>46027</v>
      </c>
      <c r="B5" s="49">
        <f>+RENDERING!B5</f>
        <v>4</v>
      </c>
      <c r="C5" s="16"/>
      <c r="D5" s="16">
        <v>0</v>
      </c>
      <c r="E5" s="11"/>
      <c r="F5" s="11"/>
      <c r="G5" s="16">
        <f t="shared" si="0"/>
        <v>0</v>
      </c>
      <c r="H5" s="18"/>
      <c r="I5" s="19">
        <v>0</v>
      </c>
      <c r="J5" s="29">
        <f t="shared" si="1"/>
        <v>0</v>
      </c>
      <c r="K5" s="11"/>
    </row>
    <row r="6" spans="1:11" x14ac:dyDescent="0.2">
      <c r="A6" s="18">
        <f>+RENDERING!A6</f>
        <v>46027</v>
      </c>
      <c r="B6" s="49">
        <f>+RENDERING!B6</f>
        <v>5</v>
      </c>
      <c r="C6" s="16"/>
      <c r="D6" s="16">
        <v>0</v>
      </c>
      <c r="E6" s="11"/>
      <c r="F6" s="11"/>
      <c r="G6" s="16">
        <f t="shared" si="0"/>
        <v>0</v>
      </c>
      <c r="H6" s="18"/>
      <c r="I6" s="19">
        <v>0</v>
      </c>
      <c r="J6" s="29">
        <f t="shared" si="1"/>
        <v>0</v>
      </c>
      <c r="K6" s="11"/>
    </row>
    <row r="7" spans="1:11" x14ac:dyDescent="0.2">
      <c r="A7" s="18">
        <f>+RENDERING!A7</f>
        <v>46028</v>
      </c>
      <c r="B7" s="49">
        <f>+RENDERING!B7</f>
        <v>6</v>
      </c>
      <c r="C7" s="16"/>
      <c r="D7" s="16">
        <v>0</v>
      </c>
      <c r="E7" s="11"/>
      <c r="F7" s="11"/>
      <c r="G7" s="16">
        <f t="shared" si="0"/>
        <v>0</v>
      </c>
      <c r="H7" s="18"/>
      <c r="I7" s="19">
        <v>0</v>
      </c>
      <c r="J7" s="29">
        <f t="shared" si="1"/>
        <v>0</v>
      </c>
      <c r="K7" s="11"/>
    </row>
    <row r="8" spans="1:11" x14ac:dyDescent="0.2">
      <c r="A8" s="18">
        <f>+RENDERING!A8</f>
        <v>46028</v>
      </c>
      <c r="B8" s="49">
        <f>+RENDERING!B8</f>
        <v>7</v>
      </c>
      <c r="C8" s="16"/>
      <c r="D8" s="16">
        <v>0</v>
      </c>
      <c r="E8" s="11"/>
      <c r="F8" s="11"/>
      <c r="G8" s="16">
        <f t="shared" si="0"/>
        <v>0</v>
      </c>
      <c r="H8" s="18"/>
      <c r="I8" s="19">
        <v>0</v>
      </c>
      <c r="J8" s="29">
        <f t="shared" si="1"/>
        <v>0</v>
      </c>
      <c r="K8" s="11"/>
    </row>
    <row r="9" spans="1:11" x14ac:dyDescent="0.2">
      <c r="A9" s="18">
        <f>+RENDERING!A9</f>
        <v>46028</v>
      </c>
      <c r="B9" s="49">
        <f>+RENDERING!B9</f>
        <v>8</v>
      </c>
      <c r="C9" s="16"/>
      <c r="D9" s="16">
        <v>0</v>
      </c>
      <c r="E9" s="11"/>
      <c r="F9" s="11"/>
      <c r="G9" s="16">
        <f t="shared" si="0"/>
        <v>0</v>
      </c>
      <c r="H9" s="18"/>
      <c r="I9" s="19">
        <v>0</v>
      </c>
      <c r="J9" s="29">
        <f t="shared" si="1"/>
        <v>0</v>
      </c>
      <c r="K9" s="11"/>
    </row>
    <row r="10" spans="1:11" x14ac:dyDescent="0.2">
      <c r="A10" s="18">
        <f>+RENDERING!A10</f>
        <v>46028</v>
      </c>
      <c r="B10" s="49">
        <f>+RENDERING!B10</f>
        <v>9</v>
      </c>
      <c r="C10" s="16"/>
      <c r="D10" s="16">
        <v>0</v>
      </c>
      <c r="E10" s="11"/>
      <c r="F10" s="11"/>
      <c r="G10" s="16">
        <f t="shared" si="0"/>
        <v>0</v>
      </c>
      <c r="H10" s="18"/>
      <c r="I10" s="19">
        <v>0</v>
      </c>
      <c r="J10" s="29">
        <f t="shared" si="1"/>
        <v>0</v>
      </c>
      <c r="K10" s="11"/>
    </row>
    <row r="11" spans="1:11" x14ac:dyDescent="0.2">
      <c r="A11" s="18">
        <f>+RENDERING!A11</f>
        <v>46028</v>
      </c>
      <c r="B11" s="49">
        <f>+RENDERING!B11</f>
        <v>10</v>
      </c>
      <c r="C11" s="16"/>
      <c r="D11" s="16">
        <v>0</v>
      </c>
      <c r="E11" s="11"/>
      <c r="F11" s="11"/>
      <c r="G11" s="16">
        <f t="shared" si="0"/>
        <v>0</v>
      </c>
      <c r="H11" s="18"/>
      <c r="I11" s="19">
        <v>0</v>
      </c>
      <c r="J11" s="29">
        <f t="shared" si="1"/>
        <v>0</v>
      </c>
      <c r="K11" s="11"/>
    </row>
    <row r="12" spans="1:11" x14ac:dyDescent="0.2">
      <c r="A12" s="18">
        <f>+RENDERING!A12</f>
        <v>46029</v>
      </c>
      <c r="B12" s="49">
        <f>+RENDERING!B12</f>
        <v>11</v>
      </c>
      <c r="C12" s="16"/>
      <c r="D12" s="16">
        <v>0</v>
      </c>
      <c r="E12" s="11"/>
      <c r="F12" s="11"/>
      <c r="G12" s="16">
        <f t="shared" si="0"/>
        <v>0</v>
      </c>
      <c r="H12" s="18"/>
      <c r="I12" s="19">
        <v>0</v>
      </c>
      <c r="J12" s="29">
        <f t="shared" si="1"/>
        <v>0</v>
      </c>
      <c r="K12" s="11"/>
    </row>
    <row r="13" spans="1:11" x14ac:dyDescent="0.2">
      <c r="A13" s="18">
        <f>+RENDERING!A13</f>
        <v>46029</v>
      </c>
      <c r="B13" s="49">
        <f>+RENDERING!B13</f>
        <v>12</v>
      </c>
      <c r="C13" s="16"/>
      <c r="D13" s="16">
        <v>0</v>
      </c>
      <c r="E13" s="11"/>
      <c r="F13" s="11"/>
      <c r="G13" s="16">
        <f t="shared" ref="G13:G23" si="2">+D13*C13</f>
        <v>0</v>
      </c>
      <c r="H13" s="18"/>
      <c r="I13" s="19">
        <v>0</v>
      </c>
      <c r="J13" s="29">
        <f t="shared" ref="J13:J23" si="3">+I13-G13</f>
        <v>0</v>
      </c>
      <c r="K13" s="11"/>
    </row>
    <row r="14" spans="1:11" x14ac:dyDescent="0.2">
      <c r="A14" s="18">
        <f>+RENDERING!A14</f>
        <v>46029</v>
      </c>
      <c r="B14" s="49">
        <f>+RENDERING!B14</f>
        <v>13</v>
      </c>
      <c r="C14" s="16"/>
      <c r="D14" s="16">
        <v>0</v>
      </c>
      <c r="E14" s="11"/>
      <c r="F14" s="11"/>
      <c r="G14" s="16">
        <f t="shared" si="2"/>
        <v>0</v>
      </c>
      <c r="H14" s="18"/>
      <c r="I14" s="19">
        <v>0</v>
      </c>
      <c r="J14" s="29">
        <f t="shared" si="3"/>
        <v>0</v>
      </c>
      <c r="K14" s="11"/>
    </row>
    <row r="15" spans="1:11" x14ac:dyDescent="0.2">
      <c r="A15" s="18">
        <f>+RENDERING!A15</f>
        <v>46030</v>
      </c>
      <c r="B15" s="49">
        <f>+RENDERING!B15</f>
        <v>14</v>
      </c>
      <c r="C15" s="16"/>
      <c r="D15" s="16">
        <v>0</v>
      </c>
      <c r="E15" s="11"/>
      <c r="F15" s="11"/>
      <c r="G15" s="16">
        <f t="shared" si="2"/>
        <v>0</v>
      </c>
      <c r="H15" s="18"/>
      <c r="I15" s="19">
        <v>0</v>
      </c>
      <c r="J15" s="29">
        <f t="shared" si="3"/>
        <v>0</v>
      </c>
      <c r="K15" s="11"/>
    </row>
    <row r="16" spans="1:11" x14ac:dyDescent="0.2">
      <c r="A16" s="18">
        <f>+RENDERING!A16</f>
        <v>46031</v>
      </c>
      <c r="B16" s="49">
        <f>+RENDERING!B16</f>
        <v>15</v>
      </c>
      <c r="C16" s="16"/>
      <c r="D16" s="16">
        <v>0</v>
      </c>
      <c r="E16" s="11"/>
      <c r="F16" s="11"/>
      <c r="G16" s="16">
        <f t="shared" si="2"/>
        <v>0</v>
      </c>
      <c r="H16" s="18"/>
      <c r="I16" s="19">
        <v>0</v>
      </c>
      <c r="J16" s="29">
        <f t="shared" si="3"/>
        <v>0</v>
      </c>
      <c r="K16" s="11"/>
    </row>
    <row r="17" spans="1:11" x14ac:dyDescent="0.2">
      <c r="A17" s="18">
        <f>+RENDERING!A17</f>
        <v>46031</v>
      </c>
      <c r="B17" s="49">
        <f>+RENDERING!B17</f>
        <v>16</v>
      </c>
      <c r="C17" s="16"/>
      <c r="D17" s="16">
        <v>0</v>
      </c>
      <c r="E17" s="11"/>
      <c r="F17" s="11"/>
      <c r="G17" s="16">
        <f t="shared" si="2"/>
        <v>0</v>
      </c>
      <c r="H17" s="18"/>
      <c r="I17" s="19">
        <v>0</v>
      </c>
      <c r="J17" s="29">
        <f t="shared" si="3"/>
        <v>0</v>
      </c>
      <c r="K17" s="11"/>
    </row>
    <row r="18" spans="1:11" x14ac:dyDescent="0.2">
      <c r="A18" s="18">
        <f>+RENDERING!A18</f>
        <v>46031</v>
      </c>
      <c r="B18" s="49">
        <f>+RENDERING!B18</f>
        <v>17</v>
      </c>
      <c r="C18" s="16"/>
      <c r="D18" s="16">
        <v>0</v>
      </c>
      <c r="E18" s="11"/>
      <c r="F18" s="11"/>
      <c r="G18" s="16">
        <f t="shared" si="2"/>
        <v>0</v>
      </c>
      <c r="H18" s="18"/>
      <c r="I18" s="19">
        <v>0</v>
      </c>
      <c r="J18" s="29">
        <f t="shared" si="3"/>
        <v>0</v>
      </c>
      <c r="K18" s="11"/>
    </row>
    <row r="19" spans="1:11" x14ac:dyDescent="0.2">
      <c r="A19" s="18">
        <f>+RENDERING!A19</f>
        <v>46034</v>
      </c>
      <c r="B19" s="49">
        <f>+RENDERING!B19</f>
        <v>18</v>
      </c>
      <c r="C19" s="16"/>
      <c r="D19" s="16">
        <v>0</v>
      </c>
      <c r="E19" s="11"/>
      <c r="F19" s="11"/>
      <c r="G19" s="16">
        <f t="shared" si="2"/>
        <v>0</v>
      </c>
      <c r="H19" s="18"/>
      <c r="I19" s="19">
        <v>0</v>
      </c>
      <c r="J19" s="29">
        <f t="shared" si="3"/>
        <v>0</v>
      </c>
      <c r="K19" s="11"/>
    </row>
    <row r="20" spans="1:11" x14ac:dyDescent="0.2">
      <c r="A20" s="18">
        <f>+RENDERING!A20</f>
        <v>46034</v>
      </c>
      <c r="B20" s="49">
        <f>+RENDERING!B20</f>
        <v>19</v>
      </c>
      <c r="C20" s="16"/>
      <c r="D20" s="16">
        <v>0</v>
      </c>
      <c r="E20" s="11"/>
      <c r="F20" s="11"/>
      <c r="G20" s="16">
        <f t="shared" si="2"/>
        <v>0</v>
      </c>
      <c r="H20" s="18"/>
      <c r="I20" s="19">
        <v>0</v>
      </c>
      <c r="J20" s="29">
        <f t="shared" si="3"/>
        <v>0</v>
      </c>
      <c r="K20" s="11"/>
    </row>
    <row r="21" spans="1:11" x14ac:dyDescent="0.2">
      <c r="A21" s="18">
        <f>+RENDERING!A21</f>
        <v>46034</v>
      </c>
      <c r="B21" s="49">
        <f>+RENDERING!B21</f>
        <v>20</v>
      </c>
      <c r="C21" s="16"/>
      <c r="D21" s="16">
        <v>0</v>
      </c>
      <c r="E21" s="11"/>
      <c r="F21" s="11"/>
      <c r="G21" s="16">
        <f t="shared" si="2"/>
        <v>0</v>
      </c>
      <c r="H21" s="18"/>
      <c r="I21" s="19">
        <v>0</v>
      </c>
      <c r="J21" s="29">
        <f t="shared" si="3"/>
        <v>0</v>
      </c>
      <c r="K21" s="11"/>
    </row>
    <row r="22" spans="1:11" x14ac:dyDescent="0.2">
      <c r="A22" s="18">
        <f>+RENDERING!A22</f>
        <v>46035</v>
      </c>
      <c r="B22" s="49">
        <f>+RENDERING!B22</f>
        <v>21</v>
      </c>
      <c r="C22" s="16"/>
      <c r="D22" s="16">
        <v>0</v>
      </c>
      <c r="E22" s="11"/>
      <c r="F22" s="11"/>
      <c r="G22" s="16">
        <f t="shared" si="2"/>
        <v>0</v>
      </c>
      <c r="H22" s="18"/>
      <c r="I22" s="19">
        <v>0</v>
      </c>
      <c r="J22" s="29">
        <f t="shared" si="3"/>
        <v>0</v>
      </c>
      <c r="K22" s="11"/>
    </row>
    <row r="23" spans="1:11" x14ac:dyDescent="0.2">
      <c r="A23" s="18">
        <f>+RENDERING!A23</f>
        <v>46035</v>
      </c>
      <c r="B23" s="49">
        <f>+RENDERING!B23</f>
        <v>22</v>
      </c>
      <c r="C23" s="16"/>
      <c r="D23" s="16">
        <v>0</v>
      </c>
      <c r="E23" s="11"/>
      <c r="F23" s="11"/>
      <c r="G23" s="16">
        <f t="shared" si="2"/>
        <v>0</v>
      </c>
      <c r="H23" s="18"/>
      <c r="I23" s="19">
        <v>0</v>
      </c>
      <c r="J23" s="29">
        <f t="shared" si="3"/>
        <v>0</v>
      </c>
      <c r="K23" s="11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43"/>
  <sheetViews>
    <sheetView tabSelected="1" workbookViewId="0">
      <pane ySplit="3" topLeftCell="A48" activePane="bottomLeft" state="frozen"/>
      <selection pane="bottomLeft" activeCell="AD80" sqref="AD80"/>
    </sheetView>
  </sheetViews>
  <sheetFormatPr baseColWidth="10" defaultColWidth="11.42578125" defaultRowHeight="12.75" x14ac:dyDescent="0.2"/>
  <cols>
    <col min="1" max="1" width="8.42578125" style="50" bestFit="1" customWidth="1"/>
    <col min="2" max="2" width="9" style="5" bestFit="1" customWidth="1"/>
    <col min="3" max="3" width="8.42578125" style="50" bestFit="1" customWidth="1"/>
    <col min="4" max="4" width="8.140625" style="5" bestFit="1" customWidth="1"/>
    <col min="5" max="5" width="9.7109375" style="98" bestFit="1" customWidth="1"/>
    <col min="6" max="6" width="3.140625" style="5" bestFit="1" customWidth="1"/>
    <col min="7" max="7" width="9.7109375" style="39" bestFit="1" customWidth="1"/>
    <col min="8" max="8" width="3.140625" style="5" bestFit="1" customWidth="1"/>
    <col min="9" max="9" width="9.7109375" style="39" bestFit="1" customWidth="1"/>
    <col min="10" max="10" width="3.140625" style="5" bestFit="1" customWidth="1"/>
    <col min="11" max="11" width="9.7109375" style="39" bestFit="1" customWidth="1"/>
    <col min="12" max="12" width="3.140625" style="5" bestFit="1" customWidth="1"/>
    <col min="13" max="13" width="9.7109375" style="39" bestFit="1" customWidth="1"/>
    <col min="14" max="14" width="3.140625" style="5" bestFit="1" customWidth="1"/>
    <col min="15" max="15" width="9.7109375" style="39" bestFit="1" customWidth="1"/>
    <col min="16" max="16" width="3.140625" style="5" bestFit="1" customWidth="1"/>
    <col min="17" max="17" width="9.7109375" style="39" bestFit="1" customWidth="1"/>
    <col min="18" max="18" width="3.140625" style="5" bestFit="1" customWidth="1"/>
    <col min="19" max="19" width="9.7109375" style="39" bestFit="1" customWidth="1"/>
    <col min="20" max="20" width="3.140625" style="5" bestFit="1" customWidth="1"/>
    <col min="21" max="21" width="9.7109375" style="39" bestFit="1" customWidth="1"/>
    <col min="22" max="22" width="3.140625" style="5" bestFit="1" customWidth="1"/>
    <col min="23" max="23" width="9.7109375" style="39" bestFit="1" customWidth="1"/>
    <col min="24" max="24" width="3.140625" style="5" bestFit="1" customWidth="1"/>
    <col min="25" max="25" width="9.7109375" style="39" bestFit="1" customWidth="1"/>
    <col min="26" max="26" width="3.140625" style="5" bestFit="1" customWidth="1"/>
    <col min="27" max="27" width="9.7109375" style="39" bestFit="1" customWidth="1"/>
    <col min="28" max="28" width="3.140625" style="5" bestFit="1" customWidth="1"/>
    <col min="29" max="29" width="9.7109375" style="39" bestFit="1" customWidth="1"/>
    <col min="30" max="30" width="12.7109375" style="39" bestFit="1" customWidth="1"/>
    <col min="31" max="31" width="9.5703125" style="39" customWidth="1"/>
    <col min="32" max="32" width="18.7109375" style="39" bestFit="1" customWidth="1"/>
    <col min="33" max="33" width="11.140625" style="39" bestFit="1" customWidth="1"/>
    <col min="34" max="34" width="11.42578125" style="92"/>
    <col min="35" max="35" width="11.42578125" style="44"/>
    <col min="36" max="36" width="13.42578125" style="92" customWidth="1"/>
    <col min="37" max="16384" width="11.42578125" style="5"/>
  </cols>
  <sheetData>
    <row r="1" spans="1:37" ht="13.5" thickBot="1" x14ac:dyDescent="0.25">
      <c r="D1" s="269" t="s">
        <v>90</v>
      </c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  <c r="Q1" s="269"/>
      <c r="R1" s="269"/>
      <c r="S1" s="269"/>
      <c r="T1" s="269"/>
      <c r="U1" s="269"/>
      <c r="V1" s="269"/>
      <c r="W1" s="269"/>
      <c r="X1" s="269"/>
      <c r="Y1" s="269"/>
      <c r="Z1" s="269"/>
      <c r="AA1" s="269"/>
      <c r="AB1" s="269"/>
      <c r="AC1" s="269"/>
      <c r="AD1" s="270" t="s">
        <v>91</v>
      </c>
      <c r="AE1" s="270"/>
      <c r="AF1" s="270"/>
      <c r="AG1" s="270"/>
      <c r="AH1" s="270"/>
      <c r="AI1" s="270"/>
      <c r="AJ1" s="270"/>
      <c r="AK1" s="270"/>
    </row>
    <row r="2" spans="1:37" ht="39.75" customHeight="1" thickBot="1" x14ac:dyDescent="0.25">
      <c r="A2" s="236" t="s">
        <v>85</v>
      </c>
      <c r="B2" s="236" t="s">
        <v>22</v>
      </c>
      <c r="C2" s="236" t="s">
        <v>84</v>
      </c>
      <c r="D2" s="257" t="s">
        <v>88</v>
      </c>
      <c r="E2" s="258"/>
      <c r="F2" s="257"/>
      <c r="G2" s="258"/>
      <c r="H2" s="257"/>
      <c r="I2" s="258"/>
      <c r="J2" s="257"/>
      <c r="K2" s="258"/>
      <c r="L2" s="257"/>
      <c r="M2" s="258"/>
      <c r="N2" s="257"/>
      <c r="O2" s="258"/>
      <c r="P2" s="257"/>
      <c r="Q2" s="258"/>
      <c r="R2" s="257"/>
      <c r="S2" s="258"/>
      <c r="T2" s="257"/>
      <c r="U2" s="258"/>
      <c r="V2" s="257"/>
      <c r="W2" s="258"/>
      <c r="X2" s="257"/>
      <c r="Y2" s="258"/>
      <c r="Z2" s="257"/>
      <c r="AA2" s="258"/>
      <c r="AB2" s="257"/>
      <c r="AC2" s="258"/>
      <c r="AD2" s="266" t="s">
        <v>93</v>
      </c>
      <c r="AE2" s="267"/>
      <c r="AF2" s="268"/>
      <c r="AG2" s="273" t="s">
        <v>50</v>
      </c>
      <c r="AH2" s="271" t="s">
        <v>47</v>
      </c>
      <c r="AI2" s="240" t="s">
        <v>18</v>
      </c>
      <c r="AJ2" s="271" t="s">
        <v>19</v>
      </c>
      <c r="AK2" s="238" t="s">
        <v>20</v>
      </c>
    </row>
    <row r="3" spans="1:37" ht="20.25" customHeight="1" thickBot="1" x14ac:dyDescent="0.25">
      <c r="A3" s="237"/>
      <c r="B3" s="237"/>
      <c r="C3" s="237"/>
      <c r="D3" s="27" t="s">
        <v>86</v>
      </c>
      <c r="E3" s="97" t="s">
        <v>87</v>
      </c>
      <c r="F3" s="27" t="s">
        <v>86</v>
      </c>
      <c r="G3" s="86" t="s">
        <v>87</v>
      </c>
      <c r="H3" s="27" t="s">
        <v>86</v>
      </c>
      <c r="I3" s="86" t="s">
        <v>87</v>
      </c>
      <c r="J3" s="27" t="s">
        <v>86</v>
      </c>
      <c r="K3" s="86" t="s">
        <v>87</v>
      </c>
      <c r="L3" s="27" t="s">
        <v>86</v>
      </c>
      <c r="M3" s="86" t="s">
        <v>87</v>
      </c>
      <c r="N3" s="27" t="s">
        <v>86</v>
      </c>
      <c r="O3" s="86" t="s">
        <v>87</v>
      </c>
      <c r="P3" s="27" t="s">
        <v>86</v>
      </c>
      <c r="Q3" s="86" t="s">
        <v>87</v>
      </c>
      <c r="R3" s="27" t="s">
        <v>86</v>
      </c>
      <c r="S3" s="86" t="s">
        <v>87</v>
      </c>
      <c r="T3" s="27" t="s">
        <v>86</v>
      </c>
      <c r="U3" s="86" t="s">
        <v>87</v>
      </c>
      <c r="V3" s="27" t="s">
        <v>86</v>
      </c>
      <c r="W3" s="86" t="s">
        <v>87</v>
      </c>
      <c r="X3" s="27" t="s">
        <v>86</v>
      </c>
      <c r="Y3" s="86" t="s">
        <v>87</v>
      </c>
      <c r="Z3" s="27" t="s">
        <v>86</v>
      </c>
      <c r="AA3" s="86" t="s">
        <v>87</v>
      </c>
      <c r="AB3" s="27" t="s">
        <v>86</v>
      </c>
      <c r="AC3" s="86" t="s">
        <v>87</v>
      </c>
      <c r="AD3" s="219" t="s">
        <v>92</v>
      </c>
      <c r="AE3" s="220" t="s">
        <v>89</v>
      </c>
      <c r="AF3" s="221" t="s">
        <v>97</v>
      </c>
      <c r="AG3" s="274"/>
      <c r="AH3" s="272"/>
      <c r="AI3" s="241"/>
      <c r="AJ3" s="272"/>
      <c r="AK3" s="239"/>
    </row>
    <row r="4" spans="1:37" x14ac:dyDescent="0.2">
      <c r="A4" s="20">
        <f>+'SERVICIO FAENA'!A3</f>
        <v>1</v>
      </c>
      <c r="B4" s="18">
        <f>+'SERVICIO FAENA'!E3</f>
        <v>46024</v>
      </c>
      <c r="C4" s="20">
        <f>+'SERVICIO FAENA'!C3</f>
        <v>15</v>
      </c>
      <c r="D4" s="87"/>
      <c r="E4" s="48"/>
      <c r="F4" s="48"/>
      <c r="G4" s="85"/>
      <c r="H4" s="48"/>
      <c r="I4" s="85"/>
      <c r="J4" s="48"/>
      <c r="K4" s="85"/>
      <c r="L4" s="48"/>
      <c r="M4" s="85"/>
      <c r="N4" s="48"/>
      <c r="O4" s="85"/>
      <c r="P4" s="48"/>
      <c r="Q4" s="85"/>
      <c r="R4" s="48"/>
      <c r="S4" s="85"/>
      <c r="T4" s="48"/>
      <c r="U4" s="85"/>
      <c r="V4" s="48"/>
      <c r="W4" s="85"/>
      <c r="X4" s="48"/>
      <c r="Y4" s="85"/>
      <c r="Z4" s="48"/>
      <c r="AA4" s="85"/>
      <c r="AB4" s="48"/>
      <c r="AC4" s="85"/>
      <c r="AD4" s="222"/>
      <c r="AE4" s="223"/>
      <c r="AF4" s="222"/>
      <c r="AG4" s="88">
        <f>+D4*E4</f>
        <v>0</v>
      </c>
      <c r="AH4" s="93">
        <f t="shared" ref="AH4:AH17" si="0">+AG4*1.105</f>
        <v>0</v>
      </c>
      <c r="AI4" s="91"/>
      <c r="AJ4" s="96"/>
      <c r="AK4" s="94">
        <f t="shared" ref="AK4:AK37" si="1">+AJ4-AH4</f>
        <v>0</v>
      </c>
    </row>
    <row r="5" spans="1:37" x14ac:dyDescent="0.2">
      <c r="A5" s="20">
        <f>+'SERVICIO FAENA'!A4</f>
        <v>2</v>
      </c>
      <c r="B5" s="18">
        <f>+'SERVICIO FAENA'!E4</f>
        <v>46024</v>
      </c>
      <c r="C5" s="20">
        <f>+'SERVICIO FAENA'!C4</f>
        <v>43</v>
      </c>
      <c r="D5" s="87"/>
      <c r="E5" s="48"/>
      <c r="F5" s="48"/>
      <c r="G5" s="85"/>
      <c r="H5" s="48"/>
      <c r="I5" s="85"/>
      <c r="J5" s="48"/>
      <c r="K5" s="85"/>
      <c r="L5" s="48"/>
      <c r="M5" s="85"/>
      <c r="N5" s="48"/>
      <c r="O5" s="85"/>
      <c r="P5" s="48"/>
      <c r="Q5" s="85"/>
      <c r="R5" s="48"/>
      <c r="S5" s="85"/>
      <c r="T5" s="48"/>
      <c r="U5" s="85"/>
      <c r="V5" s="48"/>
      <c r="W5" s="85"/>
      <c r="X5" s="48"/>
      <c r="Y5" s="85"/>
      <c r="Z5" s="48"/>
      <c r="AA5" s="85"/>
      <c r="AB5" s="48"/>
      <c r="AC5" s="85"/>
      <c r="AD5" s="224"/>
      <c r="AE5" s="225"/>
      <c r="AF5" s="222"/>
      <c r="AG5" s="88">
        <f t="shared" ref="AG5:AG37" si="2">+D5*E5</f>
        <v>0</v>
      </c>
      <c r="AH5" s="93">
        <f t="shared" si="0"/>
        <v>0</v>
      </c>
      <c r="AI5" s="90"/>
      <c r="AJ5" s="95"/>
      <c r="AK5" s="94">
        <f t="shared" si="1"/>
        <v>0</v>
      </c>
    </row>
    <row r="6" spans="1:37" x14ac:dyDescent="0.2">
      <c r="A6" s="20">
        <f>+'SERVICIO FAENA'!A5</f>
        <v>3</v>
      </c>
      <c r="B6" s="18">
        <f>+'SERVICIO FAENA'!E5</f>
        <v>46027</v>
      </c>
      <c r="C6" s="20">
        <f>+'SERVICIO FAENA'!C5</f>
        <v>40</v>
      </c>
      <c r="D6" s="87"/>
      <c r="E6" s="48"/>
      <c r="F6" s="48"/>
      <c r="G6" s="85"/>
      <c r="H6" s="48"/>
      <c r="I6" s="85"/>
      <c r="J6" s="48"/>
      <c r="K6" s="85"/>
      <c r="L6" s="48"/>
      <c r="M6" s="85"/>
      <c r="N6" s="48"/>
      <c r="O6" s="85"/>
      <c r="P6" s="48"/>
      <c r="Q6" s="85"/>
      <c r="R6" s="48"/>
      <c r="S6" s="85"/>
      <c r="T6" s="48"/>
      <c r="U6" s="85"/>
      <c r="V6" s="48"/>
      <c r="W6" s="85"/>
      <c r="X6" s="48"/>
      <c r="Y6" s="85"/>
      <c r="Z6" s="48"/>
      <c r="AA6" s="85"/>
      <c r="AB6" s="48"/>
      <c r="AC6" s="85"/>
      <c r="AD6" s="222"/>
      <c r="AE6" s="223"/>
      <c r="AF6" s="222"/>
      <c r="AG6" s="88">
        <f t="shared" si="2"/>
        <v>0</v>
      </c>
      <c r="AH6" s="93">
        <f t="shared" si="0"/>
        <v>0</v>
      </c>
      <c r="AI6" s="91"/>
      <c r="AJ6" s="96"/>
      <c r="AK6" s="94">
        <f t="shared" si="1"/>
        <v>0</v>
      </c>
    </row>
    <row r="7" spans="1:37" x14ac:dyDescent="0.2">
      <c r="A7" s="20">
        <f>+'SERVICIO FAENA'!A6</f>
        <v>4</v>
      </c>
      <c r="B7" s="18">
        <f>+'SERVICIO FAENA'!E6</f>
        <v>46027</v>
      </c>
      <c r="C7" s="20">
        <f>+'SERVICIO FAENA'!C6</f>
        <v>25</v>
      </c>
      <c r="D7" s="87"/>
      <c r="E7" s="48"/>
      <c r="F7" s="48"/>
      <c r="G7" s="85"/>
      <c r="H7" s="48"/>
      <c r="I7" s="85"/>
      <c r="J7" s="48"/>
      <c r="K7" s="85"/>
      <c r="L7" s="48"/>
      <c r="M7" s="85"/>
      <c r="N7" s="48"/>
      <c r="O7" s="85"/>
      <c r="P7" s="48"/>
      <c r="Q7" s="85"/>
      <c r="R7" s="48"/>
      <c r="S7" s="85"/>
      <c r="T7" s="48"/>
      <c r="U7" s="85"/>
      <c r="V7" s="48"/>
      <c r="W7" s="85"/>
      <c r="X7" s="48"/>
      <c r="Y7" s="85"/>
      <c r="Z7" s="48"/>
      <c r="AA7" s="85"/>
      <c r="AB7" s="48"/>
      <c r="AC7" s="85"/>
      <c r="AD7" s="224"/>
      <c r="AE7" s="225"/>
      <c r="AF7" s="222"/>
      <c r="AG7" s="88">
        <f t="shared" si="2"/>
        <v>0</v>
      </c>
      <c r="AH7" s="93">
        <f t="shared" si="0"/>
        <v>0</v>
      </c>
      <c r="AI7" s="90"/>
      <c r="AJ7" s="95"/>
      <c r="AK7" s="94">
        <f t="shared" si="1"/>
        <v>0</v>
      </c>
    </row>
    <row r="8" spans="1:37" x14ac:dyDescent="0.2">
      <c r="A8" s="20">
        <f>+'SERVICIO FAENA'!A7</f>
        <v>5</v>
      </c>
      <c r="B8" s="18">
        <f>+'SERVICIO FAENA'!E7</f>
        <v>46027</v>
      </c>
      <c r="C8" s="20">
        <f>+'SERVICIO FAENA'!C7</f>
        <v>30</v>
      </c>
      <c r="D8" s="87"/>
      <c r="E8" s="48"/>
      <c r="F8" s="48"/>
      <c r="G8" s="85"/>
      <c r="H8" s="48"/>
      <c r="I8" s="85"/>
      <c r="J8" s="48"/>
      <c r="K8" s="85"/>
      <c r="L8" s="48"/>
      <c r="M8" s="85"/>
      <c r="N8" s="48"/>
      <c r="O8" s="85"/>
      <c r="P8" s="48"/>
      <c r="Q8" s="85"/>
      <c r="R8" s="48"/>
      <c r="S8" s="85"/>
      <c r="T8" s="48"/>
      <c r="U8" s="85"/>
      <c r="V8" s="48"/>
      <c r="W8" s="85"/>
      <c r="X8" s="48"/>
      <c r="Y8" s="85"/>
      <c r="Z8" s="48"/>
      <c r="AA8" s="85"/>
      <c r="AB8" s="48"/>
      <c r="AC8" s="85"/>
      <c r="AD8" s="222"/>
      <c r="AE8" s="223"/>
      <c r="AF8" s="222"/>
      <c r="AG8" s="88">
        <f t="shared" si="2"/>
        <v>0</v>
      </c>
      <c r="AH8" s="93">
        <f t="shared" si="0"/>
        <v>0</v>
      </c>
      <c r="AI8" s="91"/>
      <c r="AJ8" s="96"/>
      <c r="AK8" s="94">
        <f t="shared" si="1"/>
        <v>0</v>
      </c>
    </row>
    <row r="9" spans="1:37" x14ac:dyDescent="0.2">
      <c r="A9" s="20">
        <f>+'SERVICIO FAENA'!A8</f>
        <v>6</v>
      </c>
      <c r="B9" s="18">
        <f>+'SERVICIO FAENA'!E8</f>
        <v>46028</v>
      </c>
      <c r="C9" s="20">
        <f>+'SERVICIO FAENA'!C8</f>
        <v>15</v>
      </c>
      <c r="D9" s="87"/>
      <c r="E9" s="48"/>
      <c r="F9" s="48"/>
      <c r="G9" s="85"/>
      <c r="H9" s="48"/>
      <c r="I9" s="85"/>
      <c r="J9" s="48"/>
      <c r="K9" s="85"/>
      <c r="L9" s="48"/>
      <c r="M9" s="85"/>
      <c r="N9" s="48"/>
      <c r="O9" s="85"/>
      <c r="P9" s="48"/>
      <c r="Q9" s="85"/>
      <c r="R9" s="48"/>
      <c r="S9" s="85"/>
      <c r="T9" s="48"/>
      <c r="U9" s="85"/>
      <c r="V9" s="48"/>
      <c r="W9" s="85"/>
      <c r="X9" s="48"/>
      <c r="Y9" s="85"/>
      <c r="Z9" s="48"/>
      <c r="AA9" s="85"/>
      <c r="AB9" s="48"/>
      <c r="AC9" s="85"/>
      <c r="AD9" s="224"/>
      <c r="AE9" s="225"/>
      <c r="AF9" s="222"/>
      <c r="AG9" s="88">
        <f t="shared" si="2"/>
        <v>0</v>
      </c>
      <c r="AH9" s="93">
        <f t="shared" si="0"/>
        <v>0</v>
      </c>
      <c r="AI9" s="90"/>
      <c r="AJ9" s="95"/>
      <c r="AK9" s="94">
        <f t="shared" si="1"/>
        <v>0</v>
      </c>
    </row>
    <row r="10" spans="1:37" x14ac:dyDescent="0.2">
      <c r="A10" s="20">
        <f>+'SERVICIO FAENA'!A9</f>
        <v>7</v>
      </c>
      <c r="B10" s="18">
        <f>+'SERVICIO FAENA'!E9</f>
        <v>46028</v>
      </c>
      <c r="C10" s="20">
        <f>+'SERVICIO FAENA'!C9</f>
        <v>35</v>
      </c>
      <c r="D10" s="87"/>
      <c r="E10" s="48"/>
      <c r="F10" s="48"/>
      <c r="G10" s="85"/>
      <c r="H10" s="48"/>
      <c r="I10" s="85"/>
      <c r="J10" s="48"/>
      <c r="K10" s="85"/>
      <c r="L10" s="48"/>
      <c r="M10" s="85"/>
      <c r="N10" s="48"/>
      <c r="O10" s="85"/>
      <c r="P10" s="48"/>
      <c r="Q10" s="85"/>
      <c r="R10" s="48"/>
      <c r="S10" s="85"/>
      <c r="T10" s="48"/>
      <c r="U10" s="85"/>
      <c r="V10" s="48"/>
      <c r="W10" s="85"/>
      <c r="X10" s="48"/>
      <c r="Y10" s="85"/>
      <c r="Z10" s="48"/>
      <c r="AA10" s="85"/>
      <c r="AB10" s="48"/>
      <c r="AC10" s="85"/>
      <c r="AD10" s="222"/>
      <c r="AE10" s="223"/>
      <c r="AF10" s="222"/>
      <c r="AG10" s="88">
        <f t="shared" si="2"/>
        <v>0</v>
      </c>
      <c r="AH10" s="93">
        <f t="shared" si="0"/>
        <v>0</v>
      </c>
      <c r="AI10" s="91"/>
      <c r="AJ10" s="96"/>
      <c r="AK10" s="94">
        <f t="shared" si="1"/>
        <v>0</v>
      </c>
    </row>
    <row r="11" spans="1:37" x14ac:dyDescent="0.2">
      <c r="A11" s="20">
        <f>+'SERVICIO FAENA'!A10</f>
        <v>8</v>
      </c>
      <c r="B11" s="18">
        <f>+'SERVICIO FAENA'!E10</f>
        <v>46028</v>
      </c>
      <c r="C11" s="20">
        <f>+'SERVICIO FAENA'!C10</f>
        <v>5</v>
      </c>
      <c r="D11" s="87"/>
      <c r="E11" s="48"/>
      <c r="F11" s="48"/>
      <c r="G11" s="85"/>
      <c r="H11" s="48"/>
      <c r="I11" s="85"/>
      <c r="J11" s="48"/>
      <c r="K11" s="85"/>
      <c r="L11" s="48"/>
      <c r="M11" s="85"/>
      <c r="N11" s="48"/>
      <c r="O11" s="85"/>
      <c r="P11" s="48"/>
      <c r="Q11" s="85"/>
      <c r="R11" s="48"/>
      <c r="S11" s="85"/>
      <c r="T11" s="48"/>
      <c r="U11" s="85"/>
      <c r="V11" s="48"/>
      <c r="W11" s="85"/>
      <c r="X11" s="48"/>
      <c r="Y11" s="85"/>
      <c r="Z11" s="48"/>
      <c r="AA11" s="85"/>
      <c r="AB11" s="48"/>
      <c r="AC11" s="85"/>
      <c r="AD11" s="224"/>
      <c r="AE11" s="225"/>
      <c r="AF11" s="222"/>
      <c r="AG11" s="88">
        <f t="shared" si="2"/>
        <v>0</v>
      </c>
      <c r="AH11" s="93">
        <f t="shared" si="0"/>
        <v>0</v>
      </c>
      <c r="AI11" s="90"/>
      <c r="AJ11" s="95"/>
      <c r="AK11" s="94">
        <f t="shared" si="1"/>
        <v>0</v>
      </c>
    </row>
    <row r="12" spans="1:37" x14ac:dyDescent="0.2">
      <c r="A12" s="20">
        <f>+'SERVICIO FAENA'!A11</f>
        <v>9</v>
      </c>
      <c r="B12" s="18">
        <f>+'SERVICIO FAENA'!E11</f>
        <v>46028</v>
      </c>
      <c r="C12" s="20">
        <f>+'SERVICIO FAENA'!C11</f>
        <v>10</v>
      </c>
      <c r="D12" s="87"/>
      <c r="E12" s="48"/>
      <c r="F12" s="48"/>
      <c r="G12" s="85"/>
      <c r="H12" s="48"/>
      <c r="I12" s="85"/>
      <c r="J12" s="48"/>
      <c r="K12" s="85"/>
      <c r="L12" s="48"/>
      <c r="M12" s="85"/>
      <c r="N12" s="48"/>
      <c r="O12" s="85"/>
      <c r="P12" s="48"/>
      <c r="Q12" s="85"/>
      <c r="R12" s="48"/>
      <c r="S12" s="85"/>
      <c r="T12" s="48"/>
      <c r="U12" s="85"/>
      <c r="V12" s="48"/>
      <c r="W12" s="85"/>
      <c r="X12" s="48"/>
      <c r="Y12" s="85"/>
      <c r="Z12" s="48"/>
      <c r="AA12" s="85"/>
      <c r="AB12" s="48"/>
      <c r="AC12" s="85"/>
      <c r="AD12" s="222"/>
      <c r="AE12" s="223"/>
      <c r="AF12" s="222"/>
      <c r="AG12" s="88">
        <f t="shared" si="2"/>
        <v>0</v>
      </c>
      <c r="AH12" s="93">
        <f t="shared" si="0"/>
        <v>0</v>
      </c>
      <c r="AI12" s="91"/>
      <c r="AJ12" s="96"/>
      <c r="AK12" s="94">
        <f t="shared" si="1"/>
        <v>0</v>
      </c>
    </row>
    <row r="13" spans="1:37" x14ac:dyDescent="0.2">
      <c r="A13" s="20">
        <f>+'SERVICIO FAENA'!A12</f>
        <v>10</v>
      </c>
      <c r="B13" s="18">
        <f>+'SERVICIO FAENA'!E12</f>
        <v>46028</v>
      </c>
      <c r="C13" s="20">
        <f>+'SERVICIO FAENA'!C12</f>
        <v>15</v>
      </c>
      <c r="D13" s="87"/>
      <c r="E13" s="48"/>
      <c r="F13" s="48"/>
      <c r="G13" s="85"/>
      <c r="H13" s="48"/>
      <c r="I13" s="85"/>
      <c r="J13" s="48"/>
      <c r="K13" s="85"/>
      <c r="L13" s="48"/>
      <c r="M13" s="85"/>
      <c r="N13" s="48"/>
      <c r="O13" s="85"/>
      <c r="P13" s="48"/>
      <c r="Q13" s="85"/>
      <c r="R13" s="48"/>
      <c r="S13" s="85"/>
      <c r="T13" s="48"/>
      <c r="U13" s="85"/>
      <c r="V13" s="48"/>
      <c r="W13" s="85"/>
      <c r="X13" s="48"/>
      <c r="Y13" s="85"/>
      <c r="Z13" s="48"/>
      <c r="AA13" s="85"/>
      <c r="AB13" s="48"/>
      <c r="AC13" s="85"/>
      <c r="AD13" s="224"/>
      <c r="AE13" s="225"/>
      <c r="AF13" s="222"/>
      <c r="AG13" s="88">
        <f t="shared" si="2"/>
        <v>0</v>
      </c>
      <c r="AH13" s="93">
        <f t="shared" si="0"/>
        <v>0</v>
      </c>
      <c r="AI13" s="90"/>
      <c r="AJ13" s="95"/>
      <c r="AK13" s="94">
        <f t="shared" si="1"/>
        <v>0</v>
      </c>
    </row>
    <row r="14" spans="1:37" x14ac:dyDescent="0.2">
      <c r="A14" s="20">
        <f>+'SERVICIO FAENA'!A13</f>
        <v>11</v>
      </c>
      <c r="B14" s="18">
        <f>+'SERVICIO FAENA'!E13</f>
        <v>46029</v>
      </c>
      <c r="C14" s="20">
        <f>+'SERVICIO FAENA'!C13</f>
        <v>20</v>
      </c>
      <c r="D14" s="87"/>
      <c r="E14" s="48"/>
      <c r="F14" s="48"/>
      <c r="G14" s="85"/>
      <c r="H14" s="48"/>
      <c r="I14" s="85"/>
      <c r="J14" s="48"/>
      <c r="K14" s="85"/>
      <c r="L14" s="48"/>
      <c r="M14" s="85"/>
      <c r="N14" s="48"/>
      <c r="O14" s="85"/>
      <c r="P14" s="48"/>
      <c r="Q14" s="85"/>
      <c r="R14" s="48"/>
      <c r="S14" s="85"/>
      <c r="T14" s="48"/>
      <c r="U14" s="85"/>
      <c r="V14" s="48"/>
      <c r="W14" s="85"/>
      <c r="X14" s="48"/>
      <c r="Y14" s="85"/>
      <c r="Z14" s="48"/>
      <c r="AA14" s="85"/>
      <c r="AB14" s="48"/>
      <c r="AC14" s="85"/>
      <c r="AD14" s="222"/>
      <c r="AE14" s="223"/>
      <c r="AF14" s="222"/>
      <c r="AG14" s="88">
        <f t="shared" si="2"/>
        <v>0</v>
      </c>
      <c r="AH14" s="93">
        <f t="shared" si="0"/>
        <v>0</v>
      </c>
      <c r="AI14" s="91"/>
      <c r="AJ14" s="96"/>
      <c r="AK14" s="94">
        <f t="shared" si="1"/>
        <v>0</v>
      </c>
    </row>
    <row r="15" spans="1:37" x14ac:dyDescent="0.2">
      <c r="A15" s="20">
        <f>+'SERVICIO FAENA'!A14</f>
        <v>12</v>
      </c>
      <c r="B15" s="18">
        <f>+'SERVICIO FAENA'!E14</f>
        <v>46029</v>
      </c>
      <c r="C15" s="20">
        <f>+'SERVICIO FAENA'!C14</f>
        <v>3</v>
      </c>
      <c r="D15" s="87">
        <v>79.72</v>
      </c>
      <c r="E15" s="48">
        <v>3167.42</v>
      </c>
      <c r="F15" s="48"/>
      <c r="G15" s="85"/>
      <c r="H15" s="48"/>
      <c r="I15" s="85"/>
      <c r="J15" s="48"/>
      <c r="K15" s="85"/>
      <c r="L15" s="48"/>
      <c r="M15" s="85"/>
      <c r="N15" s="48"/>
      <c r="O15" s="85"/>
      <c r="P15" s="48"/>
      <c r="Q15" s="85"/>
      <c r="R15" s="48"/>
      <c r="S15" s="85"/>
      <c r="T15" s="48"/>
      <c r="U15" s="85"/>
      <c r="V15" s="48"/>
      <c r="W15" s="85"/>
      <c r="X15" s="48"/>
      <c r="Y15" s="85"/>
      <c r="Z15" s="48"/>
      <c r="AA15" s="85"/>
      <c r="AB15" s="48"/>
      <c r="AC15" s="85"/>
      <c r="AD15" s="224" t="s">
        <v>224</v>
      </c>
      <c r="AE15" s="225">
        <v>46029</v>
      </c>
      <c r="AF15" s="222" t="s">
        <v>112</v>
      </c>
      <c r="AG15" s="88">
        <f t="shared" si="2"/>
        <v>252506.7224</v>
      </c>
      <c r="AH15" s="93">
        <f t="shared" si="0"/>
        <v>279019.92825200001</v>
      </c>
      <c r="AI15" s="90"/>
      <c r="AJ15" s="95"/>
      <c r="AK15" s="94">
        <f t="shared" si="1"/>
        <v>-279019.92825200001</v>
      </c>
    </row>
    <row r="16" spans="1:37" x14ac:dyDescent="0.2">
      <c r="A16" s="20">
        <f>+'SERVICIO FAENA'!A15</f>
        <v>13</v>
      </c>
      <c r="B16" s="18">
        <f>+'SERVICIO FAENA'!E15</f>
        <v>46029</v>
      </c>
      <c r="C16" s="20">
        <f>+'SERVICIO FAENA'!C15</f>
        <v>40</v>
      </c>
      <c r="D16" s="87">
        <f>20.56+20.12+20.16+20.18</f>
        <v>81.02000000000001</v>
      </c>
      <c r="E16" s="48">
        <v>3167.4209999999998</v>
      </c>
      <c r="F16" s="48"/>
      <c r="G16" s="85"/>
      <c r="H16" s="48"/>
      <c r="I16" s="85"/>
      <c r="J16" s="48"/>
      <c r="K16" s="85"/>
      <c r="L16" s="48"/>
      <c r="M16" s="85"/>
      <c r="N16" s="48"/>
      <c r="O16" s="85"/>
      <c r="P16" s="48"/>
      <c r="Q16" s="85"/>
      <c r="R16" s="48"/>
      <c r="S16" s="85"/>
      <c r="T16" s="48"/>
      <c r="U16" s="85"/>
      <c r="V16" s="48"/>
      <c r="W16" s="85"/>
      <c r="X16" s="48"/>
      <c r="Y16" s="85"/>
      <c r="Z16" s="48"/>
      <c r="AA16" s="85"/>
      <c r="AB16" s="48"/>
      <c r="AC16" s="85"/>
      <c r="AD16" s="222" t="s">
        <v>223</v>
      </c>
      <c r="AE16" s="223">
        <v>8</v>
      </c>
      <c r="AF16" s="222" t="s">
        <v>112</v>
      </c>
      <c r="AG16" s="88">
        <f t="shared" si="2"/>
        <v>256624.44942000002</v>
      </c>
      <c r="AH16" s="93">
        <f t="shared" si="0"/>
        <v>283570.01660910004</v>
      </c>
      <c r="AI16" s="91"/>
      <c r="AJ16" s="96"/>
      <c r="AK16" s="94">
        <f t="shared" si="1"/>
        <v>-283570.01660910004</v>
      </c>
    </row>
    <row r="17" spans="1:37" x14ac:dyDescent="0.2">
      <c r="A17" s="20">
        <f>+'SERVICIO FAENA'!A16</f>
        <v>14</v>
      </c>
      <c r="B17" s="18">
        <f>+'SERVICIO FAENA'!E16</f>
        <v>46030</v>
      </c>
      <c r="C17" s="20">
        <f>+'SERVICIO FAENA'!C16</f>
        <v>35</v>
      </c>
      <c r="D17" s="87"/>
      <c r="E17" s="48"/>
      <c r="F17" s="48"/>
      <c r="G17" s="85"/>
      <c r="H17" s="48"/>
      <c r="I17" s="85"/>
      <c r="J17" s="48"/>
      <c r="K17" s="85"/>
      <c r="L17" s="48"/>
      <c r="M17" s="85"/>
      <c r="N17" s="48"/>
      <c r="O17" s="85"/>
      <c r="P17" s="48"/>
      <c r="Q17" s="85"/>
      <c r="R17" s="48"/>
      <c r="S17" s="85"/>
      <c r="T17" s="48"/>
      <c r="U17" s="85"/>
      <c r="V17" s="48"/>
      <c r="W17" s="85"/>
      <c r="X17" s="48"/>
      <c r="Y17" s="85"/>
      <c r="Z17" s="48"/>
      <c r="AA17" s="85"/>
      <c r="AB17" s="48"/>
      <c r="AC17" s="85"/>
      <c r="AD17" s="224"/>
      <c r="AE17" s="225"/>
      <c r="AF17" s="222"/>
      <c r="AG17" s="88">
        <f t="shared" si="2"/>
        <v>0</v>
      </c>
      <c r="AH17" s="93">
        <f t="shared" si="0"/>
        <v>0</v>
      </c>
      <c r="AI17" s="90"/>
      <c r="AJ17" s="95"/>
      <c r="AK17" s="94">
        <f t="shared" si="1"/>
        <v>0</v>
      </c>
    </row>
    <row r="18" spans="1:37" x14ac:dyDescent="0.2">
      <c r="A18" s="20">
        <f>+'SERVICIO FAENA'!A17</f>
        <v>15</v>
      </c>
      <c r="B18" s="18">
        <f>+'SERVICIO FAENA'!E17</f>
        <v>46031</v>
      </c>
      <c r="C18" s="20">
        <f>+'SERVICIO FAENA'!C17</f>
        <v>46</v>
      </c>
      <c r="D18" s="87"/>
      <c r="E18" s="48"/>
      <c r="F18" s="48"/>
      <c r="G18" s="85"/>
      <c r="H18" s="48"/>
      <c r="I18" s="85"/>
      <c r="J18" s="48"/>
      <c r="K18" s="85"/>
      <c r="L18" s="48"/>
      <c r="M18" s="85"/>
      <c r="N18" s="48"/>
      <c r="O18" s="85"/>
      <c r="P18" s="48"/>
      <c r="Q18" s="85"/>
      <c r="R18" s="48"/>
      <c r="S18" s="85"/>
      <c r="T18" s="48"/>
      <c r="U18" s="85"/>
      <c r="V18" s="48"/>
      <c r="W18" s="85"/>
      <c r="X18" s="48"/>
      <c r="Y18" s="85"/>
      <c r="Z18" s="48"/>
      <c r="AA18" s="85"/>
      <c r="AB18" s="48"/>
      <c r="AC18" s="85"/>
      <c r="AD18" s="222"/>
      <c r="AE18" s="223"/>
      <c r="AF18" s="222"/>
      <c r="AG18" s="88">
        <f t="shared" si="2"/>
        <v>0</v>
      </c>
      <c r="AH18" s="93">
        <f t="shared" ref="AH18:AH37" si="3">+AG18*1.105</f>
        <v>0</v>
      </c>
      <c r="AI18" s="91"/>
      <c r="AJ18" s="96"/>
      <c r="AK18" s="94">
        <f t="shared" si="1"/>
        <v>0</v>
      </c>
    </row>
    <row r="19" spans="1:37" x14ac:dyDescent="0.2">
      <c r="A19" s="20">
        <f>+'SERVICIO FAENA'!A18</f>
        <v>16</v>
      </c>
      <c r="B19" s="18">
        <f>+'SERVICIO FAENA'!E18</f>
        <v>46031</v>
      </c>
      <c r="C19" s="20">
        <f>+'SERVICIO FAENA'!C18</f>
        <v>15</v>
      </c>
      <c r="D19" s="87"/>
      <c r="E19" s="48"/>
      <c r="F19" s="48"/>
      <c r="G19" s="85"/>
      <c r="H19" s="48"/>
      <c r="I19" s="85"/>
      <c r="J19" s="48"/>
      <c r="K19" s="85"/>
      <c r="L19" s="48"/>
      <c r="M19" s="85"/>
      <c r="N19" s="48"/>
      <c r="O19" s="85"/>
      <c r="P19" s="48"/>
      <c r="Q19" s="85"/>
      <c r="R19" s="48"/>
      <c r="S19" s="85"/>
      <c r="T19" s="48"/>
      <c r="U19" s="85"/>
      <c r="V19" s="48"/>
      <c r="W19" s="85"/>
      <c r="X19" s="48"/>
      <c r="Y19" s="85"/>
      <c r="Z19" s="48"/>
      <c r="AA19" s="85"/>
      <c r="AB19" s="48"/>
      <c r="AC19" s="85"/>
      <c r="AD19" s="224"/>
      <c r="AE19" s="225"/>
      <c r="AF19" s="222"/>
      <c r="AG19" s="88">
        <f t="shared" si="2"/>
        <v>0</v>
      </c>
      <c r="AH19" s="93">
        <f t="shared" si="3"/>
        <v>0</v>
      </c>
      <c r="AI19" s="90"/>
      <c r="AJ19" s="95"/>
      <c r="AK19" s="94">
        <f t="shared" si="1"/>
        <v>0</v>
      </c>
    </row>
    <row r="20" spans="1:37" x14ac:dyDescent="0.2">
      <c r="A20" s="20">
        <f>+'SERVICIO FAENA'!A19</f>
        <v>17</v>
      </c>
      <c r="B20" s="18">
        <f>+'SERVICIO FAENA'!E19</f>
        <v>46031</v>
      </c>
      <c r="C20" s="20">
        <f>+'SERVICIO FAENA'!C19</f>
        <v>17</v>
      </c>
      <c r="D20" s="87"/>
      <c r="E20" s="48"/>
      <c r="F20" s="48"/>
      <c r="G20" s="85"/>
      <c r="H20" s="48"/>
      <c r="I20" s="85"/>
      <c r="J20" s="48"/>
      <c r="K20" s="85"/>
      <c r="L20" s="48"/>
      <c r="M20" s="85"/>
      <c r="N20" s="48"/>
      <c r="O20" s="85"/>
      <c r="P20" s="48"/>
      <c r="Q20" s="85"/>
      <c r="R20" s="48"/>
      <c r="S20" s="85"/>
      <c r="T20" s="48"/>
      <c r="U20" s="85"/>
      <c r="V20" s="48"/>
      <c r="W20" s="85"/>
      <c r="X20" s="48"/>
      <c r="Y20" s="85"/>
      <c r="Z20" s="48"/>
      <c r="AA20" s="85"/>
      <c r="AB20" s="48"/>
      <c r="AC20" s="85"/>
      <c r="AD20" s="222"/>
      <c r="AE20" s="223"/>
      <c r="AF20" s="222"/>
      <c r="AG20" s="88">
        <f t="shared" si="2"/>
        <v>0</v>
      </c>
      <c r="AH20" s="93">
        <f t="shared" si="3"/>
        <v>0</v>
      </c>
      <c r="AI20" s="91"/>
      <c r="AJ20" s="96"/>
      <c r="AK20" s="94">
        <f t="shared" si="1"/>
        <v>0</v>
      </c>
    </row>
    <row r="21" spans="1:37" x14ac:dyDescent="0.2">
      <c r="A21" s="20">
        <f>+'SERVICIO FAENA'!A20</f>
        <v>18</v>
      </c>
      <c r="B21" s="18">
        <f>+'SERVICIO FAENA'!E20</f>
        <v>46034</v>
      </c>
      <c r="C21" s="20">
        <f>+'SERVICIO FAENA'!C20</f>
        <v>43</v>
      </c>
      <c r="D21" s="87"/>
      <c r="E21" s="48"/>
      <c r="F21" s="48"/>
      <c r="G21" s="85"/>
      <c r="H21" s="48"/>
      <c r="I21" s="85"/>
      <c r="J21" s="48"/>
      <c r="K21" s="85"/>
      <c r="L21" s="48"/>
      <c r="M21" s="85"/>
      <c r="N21" s="48"/>
      <c r="O21" s="85"/>
      <c r="P21" s="48"/>
      <c r="Q21" s="85"/>
      <c r="R21" s="48"/>
      <c r="S21" s="85"/>
      <c r="T21" s="48"/>
      <c r="U21" s="85"/>
      <c r="V21" s="48"/>
      <c r="W21" s="85"/>
      <c r="X21" s="48"/>
      <c r="Y21" s="85"/>
      <c r="Z21" s="48"/>
      <c r="AA21" s="85"/>
      <c r="AB21" s="48"/>
      <c r="AC21" s="85"/>
      <c r="AD21" s="224"/>
      <c r="AE21" s="225"/>
      <c r="AF21" s="222"/>
      <c r="AG21" s="88">
        <f t="shared" si="2"/>
        <v>0</v>
      </c>
      <c r="AH21" s="93">
        <f t="shared" si="3"/>
        <v>0</v>
      </c>
      <c r="AI21" s="90"/>
      <c r="AJ21" s="95"/>
      <c r="AK21" s="94">
        <f t="shared" si="1"/>
        <v>0</v>
      </c>
    </row>
    <row r="22" spans="1:37" x14ac:dyDescent="0.2">
      <c r="A22" s="20">
        <f>+'SERVICIO FAENA'!A21</f>
        <v>19</v>
      </c>
      <c r="B22" s="18">
        <f>+'SERVICIO FAENA'!E21</f>
        <v>46034</v>
      </c>
      <c r="C22" s="20">
        <f>+'SERVICIO FAENA'!C21</f>
        <v>25</v>
      </c>
      <c r="D22" s="87"/>
      <c r="E22" s="48"/>
      <c r="F22" s="48"/>
      <c r="G22" s="85"/>
      <c r="H22" s="48"/>
      <c r="I22" s="85"/>
      <c r="J22" s="48"/>
      <c r="K22" s="85"/>
      <c r="L22" s="48"/>
      <c r="M22" s="85"/>
      <c r="N22" s="48"/>
      <c r="O22" s="85"/>
      <c r="P22" s="48"/>
      <c r="Q22" s="85"/>
      <c r="R22" s="48"/>
      <c r="S22" s="85"/>
      <c r="T22" s="48"/>
      <c r="U22" s="85"/>
      <c r="V22" s="48"/>
      <c r="W22" s="85"/>
      <c r="X22" s="48"/>
      <c r="Y22" s="85"/>
      <c r="Z22" s="48"/>
      <c r="AA22" s="85"/>
      <c r="AB22" s="48"/>
      <c r="AC22" s="85"/>
      <c r="AD22" s="222"/>
      <c r="AE22" s="223"/>
      <c r="AF22" s="222"/>
      <c r="AG22" s="88">
        <f t="shared" si="2"/>
        <v>0</v>
      </c>
      <c r="AH22" s="93">
        <f t="shared" si="3"/>
        <v>0</v>
      </c>
      <c r="AI22" s="91"/>
      <c r="AJ22" s="96"/>
      <c r="AK22" s="94">
        <f t="shared" si="1"/>
        <v>0</v>
      </c>
    </row>
    <row r="23" spans="1:37" x14ac:dyDescent="0.2">
      <c r="A23" s="20">
        <f>+'SERVICIO FAENA'!A22</f>
        <v>20</v>
      </c>
      <c r="B23" s="18">
        <f>+'SERVICIO FAENA'!E22</f>
        <v>46034</v>
      </c>
      <c r="C23" s="20">
        <f>+'SERVICIO FAENA'!C22</f>
        <v>15</v>
      </c>
      <c r="D23" s="87"/>
      <c r="E23" s="48"/>
      <c r="F23" s="48"/>
      <c r="G23" s="85"/>
      <c r="H23" s="48"/>
      <c r="I23" s="85"/>
      <c r="J23" s="48"/>
      <c r="K23" s="85"/>
      <c r="L23" s="48"/>
      <c r="M23" s="85"/>
      <c r="N23" s="48"/>
      <c r="O23" s="85"/>
      <c r="P23" s="48"/>
      <c r="Q23" s="85"/>
      <c r="R23" s="48"/>
      <c r="S23" s="85"/>
      <c r="T23" s="48"/>
      <c r="U23" s="85"/>
      <c r="V23" s="48"/>
      <c r="W23" s="85"/>
      <c r="X23" s="48"/>
      <c r="Y23" s="85"/>
      <c r="Z23" s="48"/>
      <c r="AA23" s="85"/>
      <c r="AB23" s="48"/>
      <c r="AC23" s="85"/>
      <c r="AD23" s="224"/>
      <c r="AE23" s="225"/>
      <c r="AF23" s="222"/>
      <c r="AG23" s="88">
        <f t="shared" si="2"/>
        <v>0</v>
      </c>
      <c r="AH23" s="93">
        <f t="shared" si="3"/>
        <v>0</v>
      </c>
      <c r="AI23" s="90"/>
      <c r="AJ23" s="95"/>
      <c r="AK23" s="94">
        <f t="shared" si="1"/>
        <v>0</v>
      </c>
    </row>
    <row r="24" spans="1:37" x14ac:dyDescent="0.2">
      <c r="A24" s="20">
        <f>+'SERVICIO FAENA'!A23</f>
        <v>21</v>
      </c>
      <c r="B24" s="18">
        <f>+'SERVICIO FAENA'!E23</f>
        <v>46035</v>
      </c>
      <c r="C24" s="20">
        <f>+'SERVICIO FAENA'!C23</f>
        <v>8</v>
      </c>
      <c r="D24" s="87"/>
      <c r="E24" s="48"/>
      <c r="F24" s="48"/>
      <c r="G24" s="85"/>
      <c r="H24" s="48"/>
      <c r="I24" s="85"/>
      <c r="J24" s="48"/>
      <c r="K24" s="85"/>
      <c r="L24" s="48"/>
      <c r="M24" s="85"/>
      <c r="N24" s="48"/>
      <c r="O24" s="85"/>
      <c r="P24" s="48"/>
      <c r="Q24" s="85"/>
      <c r="R24" s="48"/>
      <c r="S24" s="85"/>
      <c r="T24" s="48"/>
      <c r="U24" s="85"/>
      <c r="V24" s="48"/>
      <c r="W24" s="85"/>
      <c r="X24" s="48"/>
      <c r="Y24" s="85"/>
      <c r="Z24" s="48"/>
      <c r="AA24" s="85"/>
      <c r="AB24" s="48"/>
      <c r="AC24" s="85"/>
      <c r="AD24" s="222"/>
      <c r="AE24" s="223"/>
      <c r="AF24" s="222"/>
      <c r="AG24" s="88">
        <f t="shared" si="2"/>
        <v>0</v>
      </c>
      <c r="AH24" s="93">
        <f t="shared" si="3"/>
        <v>0</v>
      </c>
      <c r="AI24" s="91"/>
      <c r="AJ24" s="96"/>
      <c r="AK24" s="94">
        <f t="shared" si="1"/>
        <v>0</v>
      </c>
    </row>
    <row r="25" spans="1:37" x14ac:dyDescent="0.2">
      <c r="A25" s="20">
        <f>+'SERVICIO FAENA'!A24</f>
        <v>22</v>
      </c>
      <c r="B25" s="18">
        <f>+'SERVICIO FAENA'!E24</f>
        <v>46035</v>
      </c>
      <c r="C25" s="20">
        <f>+'SERVICIO FAENA'!C24</f>
        <v>7</v>
      </c>
      <c r="D25" s="87"/>
      <c r="E25" s="48"/>
      <c r="F25" s="48"/>
      <c r="G25" s="85"/>
      <c r="H25" s="48"/>
      <c r="I25" s="85"/>
      <c r="J25" s="48"/>
      <c r="K25" s="85"/>
      <c r="L25" s="48"/>
      <c r="M25" s="85"/>
      <c r="N25" s="48"/>
      <c r="O25" s="85"/>
      <c r="P25" s="48"/>
      <c r="Q25" s="85"/>
      <c r="R25" s="48"/>
      <c r="S25" s="85"/>
      <c r="T25" s="48"/>
      <c r="U25" s="85"/>
      <c r="V25" s="48"/>
      <c r="W25" s="85"/>
      <c r="X25" s="48"/>
      <c r="Y25" s="85"/>
      <c r="Z25" s="48"/>
      <c r="AA25" s="85"/>
      <c r="AB25" s="48"/>
      <c r="AC25" s="85"/>
      <c r="AD25" s="224"/>
      <c r="AE25" s="225"/>
      <c r="AF25" s="222"/>
      <c r="AG25" s="88">
        <f t="shared" si="2"/>
        <v>0</v>
      </c>
      <c r="AH25" s="93">
        <f t="shared" si="3"/>
        <v>0</v>
      </c>
      <c r="AI25" s="90"/>
      <c r="AJ25" s="95"/>
      <c r="AK25" s="94">
        <f t="shared" si="1"/>
        <v>0</v>
      </c>
    </row>
    <row r="26" spans="1:37" x14ac:dyDescent="0.2">
      <c r="A26" s="20">
        <f>+'SERVICIO FAENA'!A25</f>
        <v>23</v>
      </c>
      <c r="B26" s="18">
        <f>+'SERVICIO FAENA'!E25</f>
        <v>46035</v>
      </c>
      <c r="C26" s="20">
        <f>+'SERVICIO FAENA'!C25</f>
        <v>5</v>
      </c>
      <c r="D26" s="87"/>
      <c r="E26" s="48"/>
      <c r="F26" s="48"/>
      <c r="G26" s="85"/>
      <c r="H26" s="48"/>
      <c r="I26" s="85"/>
      <c r="J26" s="48"/>
      <c r="K26" s="85"/>
      <c r="L26" s="48"/>
      <c r="M26" s="85"/>
      <c r="N26" s="48"/>
      <c r="O26" s="85"/>
      <c r="P26" s="48"/>
      <c r="Q26" s="85"/>
      <c r="R26" s="48"/>
      <c r="S26" s="85"/>
      <c r="T26" s="48"/>
      <c r="U26" s="85"/>
      <c r="V26" s="48"/>
      <c r="W26" s="85"/>
      <c r="X26" s="48"/>
      <c r="Y26" s="85"/>
      <c r="Z26" s="48"/>
      <c r="AA26" s="85"/>
      <c r="AB26" s="48"/>
      <c r="AC26" s="85"/>
      <c r="AD26" s="222"/>
      <c r="AE26" s="223"/>
      <c r="AF26" s="222"/>
      <c r="AG26" s="88">
        <f t="shared" si="2"/>
        <v>0</v>
      </c>
      <c r="AH26" s="93">
        <f t="shared" si="3"/>
        <v>0</v>
      </c>
      <c r="AI26" s="91"/>
      <c r="AJ26" s="96"/>
      <c r="AK26" s="94">
        <f t="shared" si="1"/>
        <v>0</v>
      </c>
    </row>
    <row r="27" spans="1:37" x14ac:dyDescent="0.2">
      <c r="A27" s="20">
        <f>+'SERVICIO FAENA'!A26</f>
        <v>24</v>
      </c>
      <c r="B27" s="18">
        <f>+'SERVICIO FAENA'!E26</f>
        <v>46036</v>
      </c>
      <c r="C27" s="20">
        <f>+'SERVICIO FAENA'!C26</f>
        <v>30</v>
      </c>
      <c r="D27" s="87"/>
      <c r="E27" s="48"/>
      <c r="F27" s="48"/>
      <c r="G27" s="85"/>
      <c r="H27" s="48"/>
      <c r="I27" s="85"/>
      <c r="J27" s="48"/>
      <c r="K27" s="85"/>
      <c r="L27" s="48"/>
      <c r="M27" s="85"/>
      <c r="N27" s="48"/>
      <c r="O27" s="85"/>
      <c r="P27" s="48"/>
      <c r="Q27" s="85"/>
      <c r="R27" s="48"/>
      <c r="S27" s="85"/>
      <c r="T27" s="48"/>
      <c r="U27" s="85"/>
      <c r="V27" s="48"/>
      <c r="W27" s="85"/>
      <c r="X27" s="48"/>
      <c r="Y27" s="85"/>
      <c r="Z27" s="48"/>
      <c r="AA27" s="85"/>
      <c r="AB27" s="48"/>
      <c r="AC27" s="85"/>
      <c r="AD27" s="224"/>
      <c r="AE27" s="225"/>
      <c r="AF27" s="222"/>
      <c r="AG27" s="88">
        <f t="shared" si="2"/>
        <v>0</v>
      </c>
      <c r="AH27" s="93">
        <f t="shared" si="3"/>
        <v>0</v>
      </c>
      <c r="AI27" s="90"/>
      <c r="AJ27" s="95"/>
      <c r="AK27" s="94">
        <f t="shared" si="1"/>
        <v>0</v>
      </c>
    </row>
    <row r="28" spans="1:37" x14ac:dyDescent="0.2">
      <c r="A28" s="20">
        <f>+'SERVICIO FAENA'!A27</f>
        <v>25</v>
      </c>
      <c r="B28" s="18">
        <f>+'SERVICIO FAENA'!E27</f>
        <v>46036</v>
      </c>
      <c r="C28" s="20">
        <f>+'SERVICIO FAENA'!C27</f>
        <v>6</v>
      </c>
      <c r="D28" s="87"/>
      <c r="E28" s="48"/>
      <c r="F28" s="48"/>
      <c r="G28" s="85"/>
      <c r="H28" s="48"/>
      <c r="I28" s="85"/>
      <c r="J28" s="48"/>
      <c r="K28" s="85"/>
      <c r="L28" s="48"/>
      <c r="M28" s="85"/>
      <c r="N28" s="48"/>
      <c r="O28" s="85"/>
      <c r="P28" s="48"/>
      <c r="Q28" s="85"/>
      <c r="R28" s="48"/>
      <c r="S28" s="85"/>
      <c r="T28" s="48"/>
      <c r="U28" s="85"/>
      <c r="V28" s="48"/>
      <c r="W28" s="85"/>
      <c r="X28" s="48"/>
      <c r="Y28" s="85"/>
      <c r="Z28" s="48"/>
      <c r="AA28" s="85"/>
      <c r="AB28" s="48"/>
      <c r="AC28" s="85"/>
      <c r="AD28" s="222"/>
      <c r="AE28" s="223"/>
      <c r="AF28" s="222"/>
      <c r="AG28" s="88">
        <f t="shared" si="2"/>
        <v>0</v>
      </c>
      <c r="AH28" s="93">
        <f t="shared" si="3"/>
        <v>0</v>
      </c>
      <c r="AI28" s="91"/>
      <c r="AJ28" s="96"/>
      <c r="AK28" s="94">
        <f t="shared" si="1"/>
        <v>0</v>
      </c>
    </row>
    <row r="29" spans="1:37" x14ac:dyDescent="0.2">
      <c r="A29" s="20">
        <f>+'SERVICIO FAENA'!A28</f>
        <v>26</v>
      </c>
      <c r="B29" s="18">
        <f>+'SERVICIO FAENA'!E28</f>
        <v>46038</v>
      </c>
      <c r="C29" s="20">
        <f>+'SERVICIO FAENA'!C28</f>
        <v>50</v>
      </c>
      <c r="D29" s="87"/>
      <c r="E29" s="48"/>
      <c r="F29" s="48"/>
      <c r="G29" s="85"/>
      <c r="H29" s="48"/>
      <c r="I29" s="85"/>
      <c r="J29" s="48"/>
      <c r="K29" s="85"/>
      <c r="L29" s="48"/>
      <c r="M29" s="85"/>
      <c r="N29" s="48"/>
      <c r="O29" s="85"/>
      <c r="P29" s="48"/>
      <c r="Q29" s="85"/>
      <c r="R29" s="48"/>
      <c r="S29" s="85"/>
      <c r="T29" s="48"/>
      <c r="U29" s="85"/>
      <c r="V29" s="48"/>
      <c r="W29" s="85"/>
      <c r="X29" s="48"/>
      <c r="Y29" s="85"/>
      <c r="Z29" s="48"/>
      <c r="AA29" s="85"/>
      <c r="AB29" s="48"/>
      <c r="AC29" s="85"/>
      <c r="AD29" s="224"/>
      <c r="AE29" s="225"/>
      <c r="AF29" s="222"/>
      <c r="AG29" s="88">
        <f t="shared" si="2"/>
        <v>0</v>
      </c>
      <c r="AH29" s="93">
        <f t="shared" si="3"/>
        <v>0</v>
      </c>
      <c r="AI29" s="90"/>
      <c r="AJ29" s="95"/>
      <c r="AK29" s="94">
        <f t="shared" si="1"/>
        <v>0</v>
      </c>
    </row>
    <row r="30" spans="1:37" x14ac:dyDescent="0.2">
      <c r="A30" s="20">
        <f>+'SERVICIO FAENA'!A29</f>
        <v>27</v>
      </c>
      <c r="B30" s="18">
        <f>+'SERVICIO FAENA'!E29</f>
        <v>46041</v>
      </c>
      <c r="C30" s="20">
        <f>+'SERVICIO FAENA'!C29</f>
        <v>40</v>
      </c>
      <c r="D30" s="87"/>
      <c r="E30" s="48"/>
      <c r="F30" s="48"/>
      <c r="G30" s="85"/>
      <c r="H30" s="48"/>
      <c r="I30" s="85"/>
      <c r="J30" s="48"/>
      <c r="K30" s="85"/>
      <c r="L30" s="48"/>
      <c r="M30" s="85"/>
      <c r="N30" s="48"/>
      <c r="O30" s="85"/>
      <c r="P30" s="48"/>
      <c r="Q30" s="85"/>
      <c r="R30" s="48"/>
      <c r="S30" s="85"/>
      <c r="T30" s="48"/>
      <c r="U30" s="85"/>
      <c r="V30" s="48"/>
      <c r="W30" s="85"/>
      <c r="X30" s="48"/>
      <c r="Y30" s="85"/>
      <c r="Z30" s="48"/>
      <c r="AA30" s="85"/>
      <c r="AB30" s="48"/>
      <c r="AC30" s="85"/>
      <c r="AD30" s="222"/>
      <c r="AE30" s="223"/>
      <c r="AF30" s="222"/>
      <c r="AG30" s="88">
        <f t="shared" si="2"/>
        <v>0</v>
      </c>
      <c r="AH30" s="93">
        <f t="shared" si="3"/>
        <v>0</v>
      </c>
      <c r="AI30" s="91"/>
      <c r="AJ30" s="96"/>
      <c r="AK30" s="94">
        <f t="shared" si="1"/>
        <v>0</v>
      </c>
    </row>
    <row r="31" spans="1:37" x14ac:dyDescent="0.2">
      <c r="A31" s="20">
        <f>+'SERVICIO FAENA'!A30</f>
        <v>28</v>
      </c>
      <c r="B31" s="18">
        <f>+'SERVICIO FAENA'!E30</f>
        <v>46041</v>
      </c>
      <c r="C31" s="20">
        <f>+'SERVICIO FAENA'!C30</f>
        <v>26</v>
      </c>
      <c r="D31" s="87"/>
      <c r="E31" s="48"/>
      <c r="F31" s="48"/>
      <c r="G31" s="85"/>
      <c r="H31" s="48"/>
      <c r="I31" s="85"/>
      <c r="J31" s="48"/>
      <c r="K31" s="85"/>
      <c r="L31" s="48"/>
      <c r="M31" s="85"/>
      <c r="N31" s="48"/>
      <c r="O31" s="85"/>
      <c r="P31" s="48"/>
      <c r="Q31" s="85"/>
      <c r="R31" s="48"/>
      <c r="S31" s="85"/>
      <c r="T31" s="48"/>
      <c r="U31" s="85"/>
      <c r="V31" s="48"/>
      <c r="W31" s="85"/>
      <c r="X31" s="48"/>
      <c r="Y31" s="85"/>
      <c r="Z31" s="48"/>
      <c r="AA31" s="85"/>
      <c r="AB31" s="48"/>
      <c r="AC31" s="85"/>
      <c r="AD31" s="224"/>
      <c r="AE31" s="225"/>
      <c r="AF31" s="222"/>
      <c r="AG31" s="88">
        <f t="shared" si="2"/>
        <v>0</v>
      </c>
      <c r="AH31" s="93">
        <f t="shared" si="3"/>
        <v>0</v>
      </c>
      <c r="AI31" s="90"/>
      <c r="AJ31" s="95"/>
      <c r="AK31" s="94">
        <f t="shared" si="1"/>
        <v>0</v>
      </c>
    </row>
    <row r="32" spans="1:37" x14ac:dyDescent="0.2">
      <c r="A32" s="20">
        <f>+'SERVICIO FAENA'!A31</f>
        <v>29</v>
      </c>
      <c r="B32" s="18">
        <f>+'SERVICIO FAENA'!E31</f>
        <v>46041</v>
      </c>
      <c r="C32" s="20">
        <f>+'SERVICIO FAENA'!C31</f>
        <v>15</v>
      </c>
      <c r="D32" s="87"/>
      <c r="E32" s="48"/>
      <c r="F32" s="48"/>
      <c r="G32" s="85"/>
      <c r="H32" s="48"/>
      <c r="I32" s="85"/>
      <c r="J32" s="48"/>
      <c r="K32" s="85"/>
      <c r="L32" s="48"/>
      <c r="M32" s="85"/>
      <c r="N32" s="48"/>
      <c r="O32" s="85"/>
      <c r="P32" s="48"/>
      <c r="Q32" s="85"/>
      <c r="R32" s="48"/>
      <c r="S32" s="85"/>
      <c r="T32" s="48"/>
      <c r="U32" s="85"/>
      <c r="V32" s="48"/>
      <c r="W32" s="85"/>
      <c r="X32" s="48"/>
      <c r="Y32" s="85"/>
      <c r="Z32" s="48"/>
      <c r="AA32" s="85"/>
      <c r="AB32" s="48"/>
      <c r="AC32" s="85"/>
      <c r="AD32" s="222"/>
      <c r="AE32" s="223"/>
      <c r="AF32" s="222"/>
      <c r="AG32" s="88">
        <f t="shared" si="2"/>
        <v>0</v>
      </c>
      <c r="AH32" s="93">
        <f t="shared" si="3"/>
        <v>0</v>
      </c>
      <c r="AI32" s="91"/>
      <c r="AJ32" s="96"/>
      <c r="AK32" s="94">
        <f t="shared" si="1"/>
        <v>0</v>
      </c>
    </row>
    <row r="33" spans="1:37" x14ac:dyDescent="0.2">
      <c r="A33" s="20">
        <f>+'SERVICIO FAENA'!A32</f>
        <v>30</v>
      </c>
      <c r="B33" s="18" t="str">
        <f>+'SERVICIO FAENA'!E32</f>
        <v>20-21/01/2026</v>
      </c>
      <c r="C33" s="20">
        <f>+'SERVICIO FAENA'!C32</f>
        <v>18</v>
      </c>
      <c r="D33" s="87"/>
      <c r="E33" s="48"/>
      <c r="F33" s="48"/>
      <c r="G33" s="85"/>
      <c r="H33" s="48"/>
      <c r="I33" s="85"/>
      <c r="J33" s="48"/>
      <c r="K33" s="85"/>
      <c r="L33" s="48"/>
      <c r="M33" s="85"/>
      <c r="N33" s="48"/>
      <c r="O33" s="85"/>
      <c r="P33" s="48"/>
      <c r="Q33" s="85"/>
      <c r="R33" s="48"/>
      <c r="S33" s="85"/>
      <c r="T33" s="48"/>
      <c r="U33" s="85"/>
      <c r="V33" s="48"/>
      <c r="W33" s="85"/>
      <c r="X33" s="48"/>
      <c r="Y33" s="85"/>
      <c r="Z33" s="48"/>
      <c r="AA33" s="85"/>
      <c r="AB33" s="48"/>
      <c r="AC33" s="85"/>
      <c r="AD33" s="224"/>
      <c r="AE33" s="225"/>
      <c r="AF33" s="222"/>
      <c r="AG33" s="88">
        <f t="shared" si="2"/>
        <v>0</v>
      </c>
      <c r="AH33" s="93">
        <f t="shared" si="3"/>
        <v>0</v>
      </c>
      <c r="AI33" s="90"/>
      <c r="AJ33" s="95"/>
      <c r="AK33" s="94">
        <f t="shared" si="1"/>
        <v>0</v>
      </c>
    </row>
    <row r="34" spans="1:37" x14ac:dyDescent="0.2">
      <c r="A34" s="20">
        <f>+'SERVICIO FAENA'!A33</f>
        <v>31</v>
      </c>
      <c r="B34" s="18">
        <f>+'SERVICIO FAENA'!E33</f>
        <v>46042</v>
      </c>
      <c r="C34" s="20">
        <f>+'SERVICIO FAENA'!C33</f>
        <v>50</v>
      </c>
      <c r="D34" s="87"/>
      <c r="E34" s="48"/>
      <c r="F34" s="48"/>
      <c r="G34" s="85"/>
      <c r="H34" s="48"/>
      <c r="I34" s="85"/>
      <c r="J34" s="48"/>
      <c r="K34" s="85"/>
      <c r="L34" s="48"/>
      <c r="M34" s="85"/>
      <c r="N34" s="48"/>
      <c r="O34" s="85"/>
      <c r="P34" s="48"/>
      <c r="Q34" s="85"/>
      <c r="R34" s="48"/>
      <c r="S34" s="85"/>
      <c r="T34" s="48"/>
      <c r="U34" s="85"/>
      <c r="V34" s="48"/>
      <c r="W34" s="85"/>
      <c r="X34" s="48"/>
      <c r="Y34" s="85"/>
      <c r="Z34" s="48"/>
      <c r="AA34" s="85"/>
      <c r="AB34" s="48"/>
      <c r="AC34" s="85"/>
      <c r="AD34" s="222"/>
      <c r="AE34" s="223"/>
      <c r="AF34" s="222"/>
      <c r="AG34" s="88">
        <f t="shared" si="2"/>
        <v>0</v>
      </c>
      <c r="AH34" s="93">
        <f t="shared" si="3"/>
        <v>0</v>
      </c>
      <c r="AI34" s="91"/>
      <c r="AJ34" s="96"/>
      <c r="AK34" s="94">
        <f t="shared" si="1"/>
        <v>0</v>
      </c>
    </row>
    <row r="35" spans="1:37" x14ac:dyDescent="0.2">
      <c r="A35" s="20">
        <f>+'SERVICIO FAENA'!A34</f>
        <v>32</v>
      </c>
      <c r="B35" s="18">
        <f>+'SERVICIO FAENA'!E34</f>
        <v>46044</v>
      </c>
      <c r="C35" s="20">
        <f>+'SERVICIO FAENA'!C34</f>
        <v>8</v>
      </c>
      <c r="D35" s="87"/>
      <c r="E35" s="48"/>
      <c r="F35" s="48"/>
      <c r="G35" s="85"/>
      <c r="H35" s="48"/>
      <c r="I35" s="85"/>
      <c r="J35" s="48"/>
      <c r="K35" s="85"/>
      <c r="L35" s="48"/>
      <c r="M35" s="85"/>
      <c r="N35" s="48"/>
      <c r="O35" s="85"/>
      <c r="P35" s="48"/>
      <c r="Q35" s="85"/>
      <c r="R35" s="48"/>
      <c r="S35" s="85"/>
      <c r="T35" s="48"/>
      <c r="U35" s="85"/>
      <c r="V35" s="48"/>
      <c r="W35" s="85"/>
      <c r="X35" s="48"/>
      <c r="Y35" s="85"/>
      <c r="Z35" s="48"/>
      <c r="AA35" s="85"/>
      <c r="AB35" s="48"/>
      <c r="AC35" s="85"/>
      <c r="AD35" s="224"/>
      <c r="AE35" s="225"/>
      <c r="AF35" s="222"/>
      <c r="AG35" s="88">
        <f t="shared" si="2"/>
        <v>0</v>
      </c>
      <c r="AH35" s="93">
        <f t="shared" si="3"/>
        <v>0</v>
      </c>
      <c r="AI35" s="90"/>
      <c r="AJ35" s="95"/>
      <c r="AK35" s="94">
        <f t="shared" si="1"/>
        <v>0</v>
      </c>
    </row>
    <row r="36" spans="1:37" x14ac:dyDescent="0.2">
      <c r="A36" s="20">
        <f>+'SERVICIO FAENA'!A35</f>
        <v>33</v>
      </c>
      <c r="B36" s="18">
        <f>+'SERVICIO FAENA'!E35</f>
        <v>46044</v>
      </c>
      <c r="C36" s="20">
        <f>+'SERVICIO FAENA'!C35</f>
        <v>20</v>
      </c>
      <c r="D36" s="87"/>
      <c r="E36" s="48"/>
      <c r="F36" s="48"/>
      <c r="G36" s="85"/>
      <c r="H36" s="48"/>
      <c r="I36" s="85"/>
      <c r="J36" s="48"/>
      <c r="K36" s="85"/>
      <c r="L36" s="48"/>
      <c r="M36" s="85"/>
      <c r="N36" s="48"/>
      <c r="O36" s="85"/>
      <c r="P36" s="48"/>
      <c r="Q36" s="85"/>
      <c r="R36" s="48"/>
      <c r="S36" s="85"/>
      <c r="T36" s="48"/>
      <c r="U36" s="85"/>
      <c r="V36" s="48"/>
      <c r="W36" s="85"/>
      <c r="X36" s="48"/>
      <c r="Y36" s="85"/>
      <c r="Z36" s="48"/>
      <c r="AA36" s="85"/>
      <c r="AB36" s="48"/>
      <c r="AC36" s="85"/>
      <c r="AD36" s="222"/>
      <c r="AE36" s="223"/>
      <c r="AF36" s="222"/>
      <c r="AG36" s="88">
        <f t="shared" si="2"/>
        <v>0</v>
      </c>
      <c r="AH36" s="93">
        <f t="shared" si="3"/>
        <v>0</v>
      </c>
      <c r="AI36" s="91"/>
      <c r="AJ36" s="96"/>
      <c r="AK36" s="94">
        <f t="shared" si="1"/>
        <v>0</v>
      </c>
    </row>
    <row r="37" spans="1:37" x14ac:dyDescent="0.2">
      <c r="A37" s="20">
        <f>+'SERVICIO FAENA'!A36</f>
        <v>34</v>
      </c>
      <c r="B37" s="18">
        <f>+'SERVICIO FAENA'!E36</f>
        <v>46045</v>
      </c>
      <c r="C37" s="20">
        <f>+'SERVICIO FAENA'!C36</f>
        <v>15</v>
      </c>
      <c r="D37" s="87"/>
      <c r="E37" s="48"/>
      <c r="F37" s="48"/>
      <c r="G37" s="85"/>
      <c r="H37" s="48"/>
      <c r="I37" s="85"/>
      <c r="J37" s="48"/>
      <c r="K37" s="85"/>
      <c r="L37" s="48"/>
      <c r="M37" s="85"/>
      <c r="N37" s="48"/>
      <c r="O37" s="85"/>
      <c r="P37" s="48"/>
      <c r="Q37" s="85"/>
      <c r="R37" s="48"/>
      <c r="S37" s="85"/>
      <c r="T37" s="48"/>
      <c r="U37" s="85"/>
      <c r="V37" s="48"/>
      <c r="W37" s="85"/>
      <c r="X37" s="48"/>
      <c r="Y37" s="85"/>
      <c r="Z37" s="48"/>
      <c r="AA37" s="85"/>
      <c r="AB37" s="48"/>
      <c r="AC37" s="85"/>
      <c r="AD37" s="224"/>
      <c r="AE37" s="225"/>
      <c r="AF37" s="222"/>
      <c r="AG37" s="88">
        <f t="shared" si="2"/>
        <v>0</v>
      </c>
      <c r="AH37" s="93">
        <f t="shared" si="3"/>
        <v>0</v>
      </c>
      <c r="AI37" s="90"/>
      <c r="AJ37" s="95"/>
      <c r="AK37" s="94">
        <f t="shared" si="1"/>
        <v>0</v>
      </c>
    </row>
    <row r="38" spans="1:37" x14ac:dyDescent="0.2">
      <c r="A38" s="20">
        <f>+'SERVICIO FAENA'!A37</f>
        <v>35</v>
      </c>
      <c r="B38" s="18">
        <f>+'SERVICIO FAENA'!E37</f>
        <v>46045</v>
      </c>
      <c r="C38" s="20">
        <f>+'SERVICIO FAENA'!C37</f>
        <v>13</v>
      </c>
      <c r="D38" s="87"/>
      <c r="E38" s="48"/>
      <c r="F38" s="48"/>
      <c r="G38" s="85"/>
      <c r="H38" s="48"/>
      <c r="I38" s="85"/>
      <c r="J38" s="48"/>
      <c r="K38" s="85"/>
      <c r="L38" s="48"/>
      <c r="M38" s="85"/>
      <c r="N38" s="48"/>
      <c r="O38" s="85"/>
      <c r="P38" s="48"/>
      <c r="Q38" s="85"/>
      <c r="R38" s="48"/>
      <c r="S38" s="85"/>
      <c r="T38" s="48"/>
      <c r="U38" s="85"/>
      <c r="V38" s="48"/>
      <c r="W38" s="85"/>
      <c r="X38" s="48"/>
      <c r="Y38" s="85"/>
      <c r="Z38" s="48"/>
      <c r="AA38" s="85"/>
      <c r="AB38" s="48"/>
      <c r="AC38" s="85"/>
      <c r="AD38" s="224"/>
      <c r="AE38" s="225"/>
      <c r="AF38" s="222"/>
      <c r="AG38" s="88">
        <f t="shared" ref="AG38:AG101" si="4">+D38*E38</f>
        <v>0</v>
      </c>
      <c r="AH38" s="93">
        <f t="shared" ref="AH38:AH101" si="5">+AG38*1.105</f>
        <v>0</v>
      </c>
      <c r="AI38" s="90"/>
      <c r="AJ38" s="95"/>
      <c r="AK38" s="94">
        <f t="shared" ref="AK38:AK101" si="6">+AJ38-AH38</f>
        <v>0</v>
      </c>
    </row>
    <row r="39" spans="1:37" x14ac:dyDescent="0.2">
      <c r="A39" s="20">
        <f>+'SERVICIO FAENA'!A38</f>
        <v>36</v>
      </c>
      <c r="B39" s="18">
        <f>+'SERVICIO FAENA'!E38</f>
        <v>46045</v>
      </c>
      <c r="C39" s="20">
        <f>+'SERVICIO FAENA'!C38</f>
        <v>15</v>
      </c>
      <c r="D39" s="87"/>
      <c r="E39" s="48"/>
      <c r="F39" s="48"/>
      <c r="G39" s="85"/>
      <c r="H39" s="48"/>
      <c r="I39" s="85"/>
      <c r="J39" s="48"/>
      <c r="K39" s="85"/>
      <c r="L39" s="48"/>
      <c r="M39" s="85"/>
      <c r="N39" s="48"/>
      <c r="O39" s="85"/>
      <c r="P39" s="48"/>
      <c r="Q39" s="85"/>
      <c r="R39" s="48"/>
      <c r="S39" s="85"/>
      <c r="T39" s="48"/>
      <c r="U39" s="85"/>
      <c r="V39" s="48"/>
      <c r="W39" s="85"/>
      <c r="X39" s="48"/>
      <c r="Y39" s="85"/>
      <c r="Z39" s="48"/>
      <c r="AA39" s="85"/>
      <c r="AB39" s="48"/>
      <c r="AC39" s="85"/>
      <c r="AD39" s="222"/>
      <c r="AE39" s="223"/>
      <c r="AF39" s="222"/>
      <c r="AG39" s="88">
        <f t="shared" si="4"/>
        <v>0</v>
      </c>
      <c r="AH39" s="93">
        <f t="shared" si="5"/>
        <v>0</v>
      </c>
      <c r="AI39" s="91"/>
      <c r="AJ39" s="96"/>
      <c r="AK39" s="94">
        <f t="shared" si="6"/>
        <v>0</v>
      </c>
    </row>
    <row r="40" spans="1:37" x14ac:dyDescent="0.2">
      <c r="A40" s="20">
        <f>+'SERVICIO FAENA'!A39</f>
        <v>37</v>
      </c>
      <c r="B40" s="18">
        <f>+'SERVICIO FAENA'!E39</f>
        <v>46048</v>
      </c>
      <c r="C40" s="20">
        <f>+'SERVICIO FAENA'!C39</f>
        <v>15</v>
      </c>
      <c r="D40" s="87"/>
      <c r="E40" s="48"/>
      <c r="F40" s="48"/>
      <c r="G40" s="85"/>
      <c r="H40" s="48"/>
      <c r="I40" s="85"/>
      <c r="J40" s="48"/>
      <c r="K40" s="85"/>
      <c r="L40" s="48"/>
      <c r="M40" s="85"/>
      <c r="N40" s="48"/>
      <c r="O40" s="85"/>
      <c r="P40" s="48"/>
      <c r="Q40" s="85"/>
      <c r="R40" s="48"/>
      <c r="S40" s="85"/>
      <c r="T40" s="48"/>
      <c r="U40" s="85"/>
      <c r="V40" s="48"/>
      <c r="W40" s="85"/>
      <c r="X40" s="48"/>
      <c r="Y40" s="85"/>
      <c r="Z40" s="48"/>
      <c r="AA40" s="85"/>
      <c r="AB40" s="48"/>
      <c r="AC40" s="85"/>
      <c r="AD40" s="224"/>
      <c r="AE40" s="225"/>
      <c r="AF40" s="222"/>
      <c r="AG40" s="88">
        <f t="shared" si="4"/>
        <v>0</v>
      </c>
      <c r="AH40" s="93">
        <f t="shared" si="5"/>
        <v>0</v>
      </c>
      <c r="AI40" s="90"/>
      <c r="AJ40" s="95"/>
      <c r="AK40" s="94">
        <f t="shared" si="6"/>
        <v>0</v>
      </c>
    </row>
    <row r="41" spans="1:37" x14ac:dyDescent="0.2">
      <c r="A41" s="20">
        <f>+'SERVICIO FAENA'!A40</f>
        <v>38</v>
      </c>
      <c r="B41" s="18">
        <f>+'SERVICIO FAENA'!E40</f>
        <v>46048</v>
      </c>
      <c r="C41" s="20">
        <f>+'SERVICIO FAENA'!C40</f>
        <v>26</v>
      </c>
      <c r="D41" s="87"/>
      <c r="E41" s="48"/>
      <c r="F41" s="48"/>
      <c r="G41" s="85"/>
      <c r="H41" s="48"/>
      <c r="I41" s="85"/>
      <c r="J41" s="48"/>
      <c r="K41" s="85"/>
      <c r="L41" s="48"/>
      <c r="M41" s="85"/>
      <c r="N41" s="48"/>
      <c r="O41" s="85"/>
      <c r="P41" s="48"/>
      <c r="Q41" s="85"/>
      <c r="R41" s="48"/>
      <c r="S41" s="85"/>
      <c r="T41" s="48"/>
      <c r="U41" s="85"/>
      <c r="V41" s="48"/>
      <c r="W41" s="85"/>
      <c r="X41" s="48"/>
      <c r="Y41" s="85"/>
      <c r="Z41" s="48"/>
      <c r="AA41" s="85"/>
      <c r="AB41" s="48"/>
      <c r="AC41" s="85"/>
      <c r="AD41" s="224"/>
      <c r="AE41" s="225"/>
      <c r="AF41" s="222"/>
      <c r="AG41" s="88">
        <f t="shared" si="4"/>
        <v>0</v>
      </c>
      <c r="AH41" s="93">
        <f t="shared" si="5"/>
        <v>0</v>
      </c>
      <c r="AI41" s="90"/>
      <c r="AJ41" s="95"/>
      <c r="AK41" s="94">
        <f t="shared" si="6"/>
        <v>0</v>
      </c>
    </row>
    <row r="42" spans="1:37" x14ac:dyDescent="0.2">
      <c r="A42" s="20">
        <f>+'SERVICIO FAENA'!A41</f>
        <v>39</v>
      </c>
      <c r="B42" s="18">
        <f>+'SERVICIO FAENA'!E41</f>
        <v>46049</v>
      </c>
      <c r="C42" s="20">
        <f>+'SERVICIO FAENA'!C41</f>
        <v>18</v>
      </c>
      <c r="D42" s="87"/>
      <c r="E42" s="48"/>
      <c r="F42" s="48"/>
      <c r="G42" s="85"/>
      <c r="H42" s="48"/>
      <c r="I42" s="85"/>
      <c r="J42" s="48"/>
      <c r="K42" s="85"/>
      <c r="L42" s="48"/>
      <c r="M42" s="85"/>
      <c r="N42" s="48"/>
      <c r="O42" s="85"/>
      <c r="P42" s="48"/>
      <c r="Q42" s="85"/>
      <c r="R42" s="48"/>
      <c r="S42" s="85"/>
      <c r="T42" s="48"/>
      <c r="U42" s="85"/>
      <c r="V42" s="48"/>
      <c r="W42" s="85"/>
      <c r="X42" s="48"/>
      <c r="Y42" s="85"/>
      <c r="Z42" s="48"/>
      <c r="AA42" s="85"/>
      <c r="AB42" s="48"/>
      <c r="AC42" s="85"/>
      <c r="AD42" s="222"/>
      <c r="AE42" s="223"/>
      <c r="AF42" s="222"/>
      <c r="AG42" s="88">
        <f t="shared" si="4"/>
        <v>0</v>
      </c>
      <c r="AH42" s="93">
        <f t="shared" si="5"/>
        <v>0</v>
      </c>
      <c r="AI42" s="91"/>
      <c r="AJ42" s="96"/>
      <c r="AK42" s="94">
        <f t="shared" si="6"/>
        <v>0</v>
      </c>
    </row>
    <row r="43" spans="1:37" x14ac:dyDescent="0.2">
      <c r="A43" s="20">
        <f>+'SERVICIO FAENA'!A42</f>
        <v>40</v>
      </c>
      <c r="B43" s="18">
        <f>+'SERVICIO FAENA'!E42</f>
        <v>46049</v>
      </c>
      <c r="C43" s="20">
        <f>+'SERVICIO FAENA'!C42</f>
        <v>31</v>
      </c>
      <c r="D43" s="87"/>
      <c r="E43" s="48"/>
      <c r="F43" s="48"/>
      <c r="G43" s="85"/>
      <c r="H43" s="48"/>
      <c r="I43" s="85"/>
      <c r="J43" s="48"/>
      <c r="K43" s="85"/>
      <c r="L43" s="48"/>
      <c r="M43" s="85"/>
      <c r="N43" s="48"/>
      <c r="O43" s="85"/>
      <c r="P43" s="48"/>
      <c r="Q43" s="85"/>
      <c r="R43" s="48"/>
      <c r="S43" s="85"/>
      <c r="T43" s="48"/>
      <c r="U43" s="85"/>
      <c r="V43" s="48"/>
      <c r="W43" s="85"/>
      <c r="X43" s="48"/>
      <c r="Y43" s="85"/>
      <c r="Z43" s="48"/>
      <c r="AA43" s="85"/>
      <c r="AB43" s="48"/>
      <c r="AC43" s="85"/>
      <c r="AD43" s="224"/>
      <c r="AE43" s="225"/>
      <c r="AF43" s="222"/>
      <c r="AG43" s="88">
        <f t="shared" si="4"/>
        <v>0</v>
      </c>
      <c r="AH43" s="93">
        <f t="shared" si="5"/>
        <v>0</v>
      </c>
      <c r="AI43" s="90"/>
      <c r="AJ43" s="95"/>
      <c r="AK43" s="94">
        <f t="shared" si="6"/>
        <v>0</v>
      </c>
    </row>
    <row r="44" spans="1:37" x14ac:dyDescent="0.2">
      <c r="A44" s="20">
        <f>+'SERVICIO FAENA'!A43</f>
        <v>41</v>
      </c>
      <c r="B44" s="18">
        <f>+'SERVICIO FAENA'!E43</f>
        <v>46049</v>
      </c>
      <c r="C44" s="20">
        <f>+'SERVICIO FAENA'!C43</f>
        <v>14</v>
      </c>
      <c r="D44" s="87"/>
      <c r="E44" s="48"/>
      <c r="F44" s="48"/>
      <c r="G44" s="85"/>
      <c r="H44" s="48"/>
      <c r="I44" s="85"/>
      <c r="J44" s="48"/>
      <c r="K44" s="85"/>
      <c r="L44" s="48"/>
      <c r="M44" s="85"/>
      <c r="N44" s="48"/>
      <c r="O44" s="85"/>
      <c r="P44" s="48"/>
      <c r="Q44" s="85"/>
      <c r="R44" s="48"/>
      <c r="S44" s="85"/>
      <c r="T44" s="48"/>
      <c r="U44" s="85"/>
      <c r="V44" s="48"/>
      <c r="W44" s="85"/>
      <c r="X44" s="48"/>
      <c r="Y44" s="85"/>
      <c r="Z44" s="48"/>
      <c r="AA44" s="85"/>
      <c r="AB44" s="48"/>
      <c r="AC44" s="85"/>
      <c r="AD44" s="224"/>
      <c r="AE44" s="225"/>
      <c r="AF44" s="222"/>
      <c r="AG44" s="88">
        <f t="shared" si="4"/>
        <v>0</v>
      </c>
      <c r="AH44" s="93">
        <f t="shared" si="5"/>
        <v>0</v>
      </c>
      <c r="AI44" s="90"/>
      <c r="AJ44" s="95"/>
      <c r="AK44" s="94">
        <f t="shared" si="6"/>
        <v>0</v>
      </c>
    </row>
    <row r="45" spans="1:37" x14ac:dyDescent="0.2">
      <c r="A45" s="20">
        <f>+'SERVICIO FAENA'!A44</f>
        <v>42</v>
      </c>
      <c r="B45" s="18">
        <f>+'SERVICIO FAENA'!E44</f>
        <v>46050</v>
      </c>
      <c r="C45" s="20">
        <f>+'SERVICIO FAENA'!C44</f>
        <v>14</v>
      </c>
      <c r="D45" s="87"/>
      <c r="E45" s="48"/>
      <c r="F45" s="48"/>
      <c r="G45" s="85"/>
      <c r="H45" s="48"/>
      <c r="I45" s="85"/>
      <c r="J45" s="48"/>
      <c r="K45" s="85"/>
      <c r="L45" s="48"/>
      <c r="M45" s="85"/>
      <c r="N45" s="48"/>
      <c r="O45" s="85"/>
      <c r="P45" s="48"/>
      <c r="Q45" s="85"/>
      <c r="R45" s="48"/>
      <c r="S45" s="85"/>
      <c r="T45" s="48"/>
      <c r="U45" s="85"/>
      <c r="V45" s="48"/>
      <c r="W45" s="85"/>
      <c r="X45" s="48"/>
      <c r="Y45" s="85"/>
      <c r="Z45" s="48"/>
      <c r="AA45" s="85"/>
      <c r="AB45" s="48"/>
      <c r="AC45" s="85"/>
      <c r="AD45" s="222"/>
      <c r="AE45" s="223"/>
      <c r="AF45" s="222"/>
      <c r="AG45" s="88">
        <f t="shared" si="4"/>
        <v>0</v>
      </c>
      <c r="AH45" s="93">
        <f t="shared" si="5"/>
        <v>0</v>
      </c>
      <c r="AI45" s="91"/>
      <c r="AJ45" s="96"/>
      <c r="AK45" s="94">
        <f t="shared" si="6"/>
        <v>0</v>
      </c>
    </row>
    <row r="46" spans="1:37" x14ac:dyDescent="0.2">
      <c r="A46" s="20">
        <f>+'SERVICIO FAENA'!A45</f>
        <v>43</v>
      </c>
      <c r="B46" s="18">
        <f>+'SERVICIO FAENA'!E45</f>
        <v>46050</v>
      </c>
      <c r="C46" s="20">
        <f>+'SERVICIO FAENA'!C45</f>
        <v>9</v>
      </c>
      <c r="D46" s="87"/>
      <c r="E46" s="48"/>
      <c r="F46" s="48"/>
      <c r="G46" s="85"/>
      <c r="H46" s="48"/>
      <c r="I46" s="85"/>
      <c r="J46" s="48"/>
      <c r="K46" s="85"/>
      <c r="L46" s="48"/>
      <c r="M46" s="85"/>
      <c r="N46" s="48"/>
      <c r="O46" s="85"/>
      <c r="P46" s="48"/>
      <c r="Q46" s="85"/>
      <c r="R46" s="48"/>
      <c r="S46" s="85"/>
      <c r="T46" s="48"/>
      <c r="U46" s="85"/>
      <c r="V46" s="48"/>
      <c r="W46" s="85"/>
      <c r="X46" s="48"/>
      <c r="Y46" s="85"/>
      <c r="Z46" s="48"/>
      <c r="AA46" s="85"/>
      <c r="AB46" s="48"/>
      <c r="AC46" s="85"/>
      <c r="AD46" s="224"/>
      <c r="AE46" s="225"/>
      <c r="AF46" s="222"/>
      <c r="AG46" s="88">
        <f t="shared" si="4"/>
        <v>0</v>
      </c>
      <c r="AH46" s="93">
        <f t="shared" si="5"/>
        <v>0</v>
      </c>
      <c r="AI46" s="90"/>
      <c r="AJ46" s="95"/>
      <c r="AK46" s="94">
        <f t="shared" si="6"/>
        <v>0</v>
      </c>
    </row>
    <row r="47" spans="1:37" x14ac:dyDescent="0.2">
      <c r="A47" s="20">
        <f>+'SERVICIO FAENA'!A46</f>
        <v>44</v>
      </c>
      <c r="B47" s="18">
        <f>+'SERVICIO FAENA'!E46</f>
        <v>46050</v>
      </c>
      <c r="C47" s="20">
        <f>+'SERVICIO FAENA'!C46</f>
        <v>6</v>
      </c>
      <c r="D47" s="87"/>
      <c r="E47" s="48"/>
      <c r="F47" s="48"/>
      <c r="G47" s="85"/>
      <c r="H47" s="48"/>
      <c r="I47" s="85"/>
      <c r="J47" s="48"/>
      <c r="K47" s="85"/>
      <c r="L47" s="48"/>
      <c r="M47" s="85"/>
      <c r="N47" s="48"/>
      <c r="O47" s="85"/>
      <c r="P47" s="48"/>
      <c r="Q47" s="85"/>
      <c r="R47" s="48"/>
      <c r="S47" s="85"/>
      <c r="T47" s="48"/>
      <c r="U47" s="85"/>
      <c r="V47" s="48"/>
      <c r="W47" s="85"/>
      <c r="X47" s="48"/>
      <c r="Y47" s="85"/>
      <c r="Z47" s="48"/>
      <c r="AA47" s="85"/>
      <c r="AB47" s="48"/>
      <c r="AC47" s="85"/>
      <c r="AD47" s="224"/>
      <c r="AE47" s="225"/>
      <c r="AF47" s="222"/>
      <c r="AG47" s="88">
        <f t="shared" si="4"/>
        <v>0</v>
      </c>
      <c r="AH47" s="93">
        <f t="shared" si="5"/>
        <v>0</v>
      </c>
      <c r="AI47" s="90"/>
      <c r="AJ47" s="95"/>
      <c r="AK47" s="94">
        <f t="shared" si="6"/>
        <v>0</v>
      </c>
    </row>
    <row r="48" spans="1:37" x14ac:dyDescent="0.2">
      <c r="A48" s="20">
        <f>+'SERVICIO FAENA'!A47</f>
        <v>45</v>
      </c>
      <c r="B48" s="18">
        <f>+'SERVICIO FAENA'!E47</f>
        <v>46052</v>
      </c>
      <c r="C48" s="20">
        <f>+'SERVICIO FAENA'!C47</f>
        <v>22</v>
      </c>
      <c r="D48" s="87"/>
      <c r="E48" s="48"/>
      <c r="F48" s="48"/>
      <c r="G48" s="85"/>
      <c r="H48" s="48"/>
      <c r="I48" s="85"/>
      <c r="J48" s="48"/>
      <c r="K48" s="85"/>
      <c r="L48" s="48"/>
      <c r="M48" s="85"/>
      <c r="N48" s="48"/>
      <c r="O48" s="85"/>
      <c r="P48" s="48"/>
      <c r="Q48" s="85"/>
      <c r="R48" s="48"/>
      <c r="S48" s="85"/>
      <c r="T48" s="48"/>
      <c r="U48" s="85"/>
      <c r="V48" s="48"/>
      <c r="W48" s="85"/>
      <c r="X48" s="48"/>
      <c r="Y48" s="85"/>
      <c r="Z48" s="48"/>
      <c r="AA48" s="85"/>
      <c r="AB48" s="48"/>
      <c r="AC48" s="85"/>
      <c r="AD48" s="222"/>
      <c r="AE48" s="223"/>
      <c r="AF48" s="222"/>
      <c r="AG48" s="88">
        <f t="shared" si="4"/>
        <v>0</v>
      </c>
      <c r="AH48" s="93">
        <f t="shared" si="5"/>
        <v>0</v>
      </c>
      <c r="AI48" s="91"/>
      <c r="AJ48" s="96"/>
      <c r="AK48" s="94">
        <f t="shared" si="6"/>
        <v>0</v>
      </c>
    </row>
    <row r="49" spans="1:37" x14ac:dyDescent="0.2">
      <c r="A49" s="20">
        <f>+'SERVICIO FAENA'!A48</f>
        <v>46</v>
      </c>
      <c r="B49" s="18">
        <f>+'SERVICIO FAENA'!E48</f>
        <v>46052</v>
      </c>
      <c r="C49" s="20">
        <f>+'SERVICIO FAENA'!C48</f>
        <v>20</v>
      </c>
      <c r="D49" s="87"/>
      <c r="E49" s="48"/>
      <c r="F49" s="48"/>
      <c r="G49" s="85"/>
      <c r="H49" s="48"/>
      <c r="I49" s="85"/>
      <c r="J49" s="48"/>
      <c r="K49" s="85"/>
      <c r="L49" s="48"/>
      <c r="M49" s="85"/>
      <c r="N49" s="48"/>
      <c r="O49" s="85"/>
      <c r="P49" s="48"/>
      <c r="Q49" s="85"/>
      <c r="R49" s="48"/>
      <c r="S49" s="85"/>
      <c r="T49" s="48"/>
      <c r="U49" s="85"/>
      <c r="V49" s="48"/>
      <c r="W49" s="85"/>
      <c r="X49" s="48"/>
      <c r="Y49" s="85"/>
      <c r="Z49" s="48"/>
      <c r="AA49" s="85"/>
      <c r="AB49" s="48"/>
      <c r="AC49" s="85"/>
      <c r="AD49" s="224"/>
      <c r="AE49" s="225"/>
      <c r="AF49" s="222"/>
      <c r="AG49" s="88">
        <f t="shared" si="4"/>
        <v>0</v>
      </c>
      <c r="AH49" s="93">
        <f t="shared" si="5"/>
        <v>0</v>
      </c>
      <c r="AI49" s="90"/>
      <c r="AJ49" s="95"/>
      <c r="AK49" s="94">
        <f t="shared" si="6"/>
        <v>0</v>
      </c>
    </row>
    <row r="50" spans="1:37" x14ac:dyDescent="0.2">
      <c r="A50" s="20">
        <f>+'SERVICIO FAENA'!A49</f>
        <v>47</v>
      </c>
      <c r="B50" s="18">
        <f>+'SERVICIO FAENA'!E49</f>
        <v>46052</v>
      </c>
      <c r="C50" s="20">
        <f>+'SERVICIO FAENA'!C49</f>
        <v>13</v>
      </c>
      <c r="D50" s="87"/>
      <c r="E50" s="48"/>
      <c r="F50" s="48"/>
      <c r="G50" s="85"/>
      <c r="H50" s="48"/>
      <c r="I50" s="85"/>
      <c r="J50" s="48"/>
      <c r="K50" s="85"/>
      <c r="L50" s="48"/>
      <c r="M50" s="85"/>
      <c r="N50" s="48"/>
      <c r="O50" s="85"/>
      <c r="P50" s="48"/>
      <c r="Q50" s="85"/>
      <c r="R50" s="48"/>
      <c r="S50" s="85"/>
      <c r="T50" s="48"/>
      <c r="U50" s="85"/>
      <c r="V50" s="48"/>
      <c r="W50" s="85"/>
      <c r="X50" s="48"/>
      <c r="Y50" s="85"/>
      <c r="Z50" s="48"/>
      <c r="AA50" s="85"/>
      <c r="AB50" s="48"/>
      <c r="AC50" s="85"/>
      <c r="AD50" s="224"/>
      <c r="AE50" s="225"/>
      <c r="AF50" s="222"/>
      <c r="AG50" s="88">
        <f t="shared" si="4"/>
        <v>0</v>
      </c>
      <c r="AH50" s="93">
        <f t="shared" si="5"/>
        <v>0</v>
      </c>
      <c r="AI50" s="90"/>
      <c r="AJ50" s="95"/>
      <c r="AK50" s="94">
        <f t="shared" si="6"/>
        <v>0</v>
      </c>
    </row>
    <row r="51" spans="1:37" x14ac:dyDescent="0.2">
      <c r="A51" s="20">
        <f>+'SERVICIO FAENA'!A50</f>
        <v>48</v>
      </c>
      <c r="B51" s="18">
        <f>+'SERVICIO FAENA'!E50</f>
        <v>46052</v>
      </c>
      <c r="C51" s="20">
        <f>+'SERVICIO FAENA'!C50</f>
        <v>8</v>
      </c>
      <c r="D51" s="87"/>
      <c r="E51" s="48"/>
      <c r="F51" s="48"/>
      <c r="G51" s="85"/>
      <c r="H51" s="48"/>
      <c r="I51" s="85"/>
      <c r="J51" s="48"/>
      <c r="K51" s="85"/>
      <c r="L51" s="48"/>
      <c r="M51" s="85"/>
      <c r="N51" s="48"/>
      <c r="O51" s="85"/>
      <c r="P51" s="48"/>
      <c r="Q51" s="85"/>
      <c r="R51" s="48"/>
      <c r="S51" s="85"/>
      <c r="T51" s="48"/>
      <c r="U51" s="85"/>
      <c r="V51" s="48"/>
      <c r="W51" s="85"/>
      <c r="X51" s="48"/>
      <c r="Y51" s="85"/>
      <c r="Z51" s="48"/>
      <c r="AA51" s="85"/>
      <c r="AB51" s="48"/>
      <c r="AC51" s="85"/>
      <c r="AD51" s="222"/>
      <c r="AE51" s="223"/>
      <c r="AF51" s="222"/>
      <c r="AG51" s="88">
        <f t="shared" si="4"/>
        <v>0</v>
      </c>
      <c r="AH51" s="93">
        <f t="shared" si="5"/>
        <v>0</v>
      </c>
      <c r="AI51" s="91"/>
      <c r="AJ51" s="96"/>
      <c r="AK51" s="94">
        <f t="shared" si="6"/>
        <v>0</v>
      </c>
    </row>
    <row r="52" spans="1:37" x14ac:dyDescent="0.2">
      <c r="A52" s="20">
        <f>+'SERVICIO FAENA'!A51</f>
        <v>49</v>
      </c>
      <c r="B52" s="18">
        <f>+'SERVICIO FAENA'!E51</f>
        <v>46052</v>
      </c>
      <c r="C52" s="20">
        <f>+'SERVICIO FAENA'!C51</f>
        <v>5</v>
      </c>
      <c r="D52" s="87"/>
      <c r="E52" s="48"/>
      <c r="F52" s="48"/>
      <c r="G52" s="85"/>
      <c r="H52" s="48"/>
      <c r="I52" s="85"/>
      <c r="J52" s="48"/>
      <c r="K52" s="85"/>
      <c r="L52" s="48"/>
      <c r="M52" s="85"/>
      <c r="N52" s="48"/>
      <c r="O52" s="85"/>
      <c r="P52" s="48"/>
      <c r="Q52" s="85"/>
      <c r="R52" s="48"/>
      <c r="S52" s="85"/>
      <c r="T52" s="48"/>
      <c r="U52" s="85"/>
      <c r="V52" s="48"/>
      <c r="W52" s="85"/>
      <c r="X52" s="48"/>
      <c r="Y52" s="85"/>
      <c r="Z52" s="48"/>
      <c r="AA52" s="85"/>
      <c r="AB52" s="48"/>
      <c r="AC52" s="85"/>
      <c r="AD52" s="224"/>
      <c r="AE52" s="225"/>
      <c r="AF52" s="222"/>
      <c r="AG52" s="88">
        <f t="shared" si="4"/>
        <v>0</v>
      </c>
      <c r="AH52" s="93">
        <f t="shared" si="5"/>
        <v>0</v>
      </c>
      <c r="AI52" s="90"/>
      <c r="AJ52" s="95"/>
      <c r="AK52" s="94">
        <f t="shared" si="6"/>
        <v>0</v>
      </c>
    </row>
    <row r="53" spans="1:37" ht="13.5" thickBot="1" x14ac:dyDescent="0.25">
      <c r="A53" s="153">
        <f>+'SERVICIO FAENA'!A52</f>
        <v>50</v>
      </c>
      <c r="B53" s="120">
        <f>+'SERVICIO FAENA'!E52</f>
        <v>46052</v>
      </c>
      <c r="C53" s="153">
        <f>+'SERVICIO FAENA'!C52</f>
        <v>2</v>
      </c>
      <c r="D53" s="165"/>
      <c r="E53" s="166"/>
      <c r="F53" s="166"/>
      <c r="G53" s="167"/>
      <c r="H53" s="166"/>
      <c r="I53" s="167"/>
      <c r="J53" s="166"/>
      <c r="K53" s="167"/>
      <c r="L53" s="166"/>
      <c r="M53" s="167"/>
      <c r="N53" s="166"/>
      <c r="O53" s="167"/>
      <c r="P53" s="166"/>
      <c r="Q53" s="167"/>
      <c r="R53" s="166"/>
      <c r="S53" s="167"/>
      <c r="T53" s="166"/>
      <c r="U53" s="167"/>
      <c r="V53" s="166"/>
      <c r="W53" s="167"/>
      <c r="X53" s="166"/>
      <c r="Y53" s="167"/>
      <c r="Z53" s="166"/>
      <c r="AA53" s="167"/>
      <c r="AB53" s="166"/>
      <c r="AC53" s="167"/>
      <c r="AD53" s="226"/>
      <c r="AE53" s="227"/>
      <c r="AF53" s="226"/>
      <c r="AG53" s="166">
        <f t="shared" si="4"/>
        <v>0</v>
      </c>
      <c r="AH53" s="168">
        <f t="shared" si="5"/>
        <v>0</v>
      </c>
      <c r="AI53" s="169"/>
      <c r="AJ53" s="170"/>
      <c r="AK53" s="171">
        <f t="shared" si="6"/>
        <v>0</v>
      </c>
    </row>
    <row r="54" spans="1:37" x14ac:dyDescent="0.2">
      <c r="A54" s="149">
        <f>+'SERVICIO FAENA'!A53</f>
        <v>51</v>
      </c>
      <c r="B54" s="59">
        <f>+'SERVICIO FAENA'!E53</f>
        <v>46055</v>
      </c>
      <c r="C54" s="149">
        <f>+'SERVICIO FAENA'!C53</f>
        <v>42</v>
      </c>
      <c r="D54" s="157"/>
      <c r="E54" s="158"/>
      <c r="F54" s="158"/>
      <c r="G54" s="159"/>
      <c r="H54" s="158"/>
      <c r="I54" s="159"/>
      <c r="J54" s="158"/>
      <c r="K54" s="159"/>
      <c r="L54" s="158"/>
      <c r="M54" s="159"/>
      <c r="N54" s="158"/>
      <c r="O54" s="159"/>
      <c r="P54" s="158"/>
      <c r="Q54" s="159"/>
      <c r="R54" s="158"/>
      <c r="S54" s="159"/>
      <c r="T54" s="158"/>
      <c r="U54" s="159"/>
      <c r="V54" s="158"/>
      <c r="W54" s="159"/>
      <c r="X54" s="158"/>
      <c r="Y54" s="159"/>
      <c r="Z54" s="158"/>
      <c r="AA54" s="159"/>
      <c r="AB54" s="158"/>
      <c r="AC54" s="159"/>
      <c r="AD54" s="228"/>
      <c r="AE54" s="229"/>
      <c r="AF54" s="228"/>
      <c r="AG54" s="160">
        <f t="shared" si="4"/>
        <v>0</v>
      </c>
      <c r="AH54" s="161">
        <f t="shared" si="5"/>
        <v>0</v>
      </c>
      <c r="AI54" s="162"/>
      <c r="AJ54" s="163"/>
      <c r="AK54" s="164">
        <f t="shared" si="6"/>
        <v>0</v>
      </c>
    </row>
    <row r="55" spans="1:37" x14ac:dyDescent="0.2">
      <c r="A55" s="20">
        <f>+'SERVICIO FAENA'!A54</f>
        <v>52</v>
      </c>
      <c r="B55" s="18">
        <f>+'SERVICIO FAENA'!E54</f>
        <v>46055</v>
      </c>
      <c r="C55" s="20">
        <f>+'SERVICIO FAENA'!C54</f>
        <v>18</v>
      </c>
      <c r="D55" s="87"/>
      <c r="E55" s="48"/>
      <c r="F55" s="48"/>
      <c r="G55" s="85"/>
      <c r="H55" s="48"/>
      <c r="I55" s="85"/>
      <c r="J55" s="48"/>
      <c r="K55" s="85"/>
      <c r="L55" s="48"/>
      <c r="M55" s="85"/>
      <c r="N55" s="48"/>
      <c r="O55" s="85"/>
      <c r="P55" s="48"/>
      <c r="Q55" s="85"/>
      <c r="R55" s="48"/>
      <c r="S55" s="85"/>
      <c r="T55" s="48"/>
      <c r="U55" s="85"/>
      <c r="V55" s="48"/>
      <c r="W55" s="85"/>
      <c r="X55" s="48"/>
      <c r="Y55" s="85"/>
      <c r="Z55" s="48"/>
      <c r="AA55" s="85"/>
      <c r="AB55" s="48"/>
      <c r="AC55" s="85"/>
      <c r="AD55" s="224"/>
      <c r="AE55" s="225"/>
      <c r="AF55" s="222"/>
      <c r="AG55" s="88">
        <f t="shared" si="4"/>
        <v>0</v>
      </c>
      <c r="AH55" s="93">
        <f t="shared" si="5"/>
        <v>0</v>
      </c>
      <c r="AI55" s="90"/>
      <c r="AJ55" s="95"/>
      <c r="AK55" s="94">
        <f t="shared" si="6"/>
        <v>0</v>
      </c>
    </row>
    <row r="56" spans="1:37" x14ac:dyDescent="0.2">
      <c r="A56" s="20">
        <f>+'SERVICIO FAENA'!A55</f>
        <v>53</v>
      </c>
      <c r="B56" s="18">
        <f>+'SERVICIO FAENA'!E55</f>
        <v>46057</v>
      </c>
      <c r="C56" s="20">
        <f>+'SERVICIO FAENA'!C55</f>
        <v>17</v>
      </c>
      <c r="D56" s="87"/>
      <c r="E56" s="48"/>
      <c r="F56" s="48"/>
      <c r="G56" s="85"/>
      <c r="H56" s="48"/>
      <c r="I56" s="85"/>
      <c r="J56" s="48"/>
      <c r="K56" s="85"/>
      <c r="L56" s="48"/>
      <c r="M56" s="85"/>
      <c r="N56" s="48"/>
      <c r="O56" s="85"/>
      <c r="P56" s="48"/>
      <c r="Q56" s="85"/>
      <c r="R56" s="48"/>
      <c r="S56" s="85"/>
      <c r="T56" s="48"/>
      <c r="U56" s="85"/>
      <c r="V56" s="48"/>
      <c r="W56" s="85"/>
      <c r="X56" s="48"/>
      <c r="Y56" s="85"/>
      <c r="Z56" s="48"/>
      <c r="AA56" s="85"/>
      <c r="AB56" s="48"/>
      <c r="AC56" s="85"/>
      <c r="AD56" s="224"/>
      <c r="AE56" s="225"/>
      <c r="AF56" s="222"/>
      <c r="AG56" s="88">
        <f t="shared" si="4"/>
        <v>0</v>
      </c>
      <c r="AH56" s="93">
        <f t="shared" si="5"/>
        <v>0</v>
      </c>
      <c r="AI56" s="90"/>
      <c r="AJ56" s="95"/>
      <c r="AK56" s="94">
        <f t="shared" si="6"/>
        <v>0</v>
      </c>
    </row>
    <row r="57" spans="1:37" x14ac:dyDescent="0.2">
      <c r="A57" s="20">
        <f>+'SERVICIO FAENA'!A56</f>
        <v>54</v>
      </c>
      <c r="B57" s="18">
        <f>+'SERVICIO FAENA'!E56</f>
        <v>46056</v>
      </c>
      <c r="C57" s="20">
        <f>+'SERVICIO FAENA'!C56</f>
        <v>50</v>
      </c>
      <c r="D57" s="87"/>
      <c r="E57" s="48"/>
      <c r="F57" s="48"/>
      <c r="G57" s="85"/>
      <c r="H57" s="48"/>
      <c r="I57" s="85"/>
      <c r="J57" s="48"/>
      <c r="K57" s="85"/>
      <c r="L57" s="48"/>
      <c r="M57" s="85"/>
      <c r="N57" s="48"/>
      <c r="O57" s="85"/>
      <c r="P57" s="48"/>
      <c r="Q57" s="85"/>
      <c r="R57" s="48"/>
      <c r="S57" s="85"/>
      <c r="T57" s="48"/>
      <c r="U57" s="85"/>
      <c r="V57" s="48"/>
      <c r="W57" s="85"/>
      <c r="X57" s="48"/>
      <c r="Y57" s="85"/>
      <c r="Z57" s="48"/>
      <c r="AA57" s="85"/>
      <c r="AB57" s="48"/>
      <c r="AC57" s="85"/>
      <c r="AD57" s="222"/>
      <c r="AE57" s="223"/>
      <c r="AF57" s="222"/>
      <c r="AG57" s="88">
        <f t="shared" si="4"/>
        <v>0</v>
      </c>
      <c r="AH57" s="93">
        <f t="shared" si="5"/>
        <v>0</v>
      </c>
      <c r="AI57" s="91"/>
      <c r="AJ57" s="96"/>
      <c r="AK57" s="94">
        <f t="shared" si="6"/>
        <v>0</v>
      </c>
    </row>
    <row r="58" spans="1:37" x14ac:dyDescent="0.2">
      <c r="A58" s="20">
        <f>+'SERVICIO FAENA'!A57</f>
        <v>55</v>
      </c>
      <c r="B58" s="18">
        <f>+'SERVICIO FAENA'!E57</f>
        <v>46057</v>
      </c>
      <c r="C58" s="20">
        <f>+'SERVICIO FAENA'!C57</f>
        <v>10</v>
      </c>
      <c r="D58" s="87"/>
      <c r="E58" s="48"/>
      <c r="F58" s="48"/>
      <c r="G58" s="85"/>
      <c r="H58" s="48"/>
      <c r="I58" s="85"/>
      <c r="J58" s="48"/>
      <c r="K58" s="85"/>
      <c r="L58" s="48"/>
      <c r="M58" s="85"/>
      <c r="N58" s="48"/>
      <c r="O58" s="85"/>
      <c r="P58" s="48"/>
      <c r="Q58" s="85"/>
      <c r="R58" s="48"/>
      <c r="S58" s="85"/>
      <c r="T58" s="48"/>
      <c r="U58" s="85"/>
      <c r="V58" s="48"/>
      <c r="W58" s="85"/>
      <c r="X58" s="48"/>
      <c r="Y58" s="85"/>
      <c r="Z58" s="48"/>
      <c r="AA58" s="85"/>
      <c r="AB58" s="48"/>
      <c r="AC58" s="85"/>
      <c r="AD58" s="224"/>
      <c r="AE58" s="225"/>
      <c r="AF58" s="222"/>
      <c r="AG58" s="88">
        <f t="shared" si="4"/>
        <v>0</v>
      </c>
      <c r="AH58" s="93">
        <f t="shared" si="5"/>
        <v>0</v>
      </c>
      <c r="AI58" s="90"/>
      <c r="AJ58" s="95"/>
      <c r="AK58" s="94">
        <f t="shared" si="6"/>
        <v>0</v>
      </c>
    </row>
    <row r="59" spans="1:37" x14ac:dyDescent="0.2">
      <c r="A59" s="20">
        <f>+'SERVICIO FAENA'!A58</f>
        <v>56</v>
      </c>
      <c r="B59" s="18">
        <f>+'SERVICIO FAENA'!E58</f>
        <v>46058</v>
      </c>
      <c r="C59" s="20">
        <f>+'SERVICIO FAENA'!C58</f>
        <v>15</v>
      </c>
      <c r="D59" s="87"/>
      <c r="E59" s="48"/>
      <c r="F59" s="48"/>
      <c r="G59" s="85"/>
      <c r="H59" s="48"/>
      <c r="I59" s="85"/>
      <c r="J59" s="48"/>
      <c r="K59" s="85"/>
      <c r="L59" s="48"/>
      <c r="M59" s="85"/>
      <c r="N59" s="48"/>
      <c r="O59" s="85"/>
      <c r="P59" s="48"/>
      <c r="Q59" s="85"/>
      <c r="R59" s="48"/>
      <c r="S59" s="85"/>
      <c r="T59" s="48"/>
      <c r="U59" s="85"/>
      <c r="V59" s="48"/>
      <c r="W59" s="85"/>
      <c r="X59" s="48"/>
      <c r="Y59" s="85"/>
      <c r="Z59" s="48"/>
      <c r="AA59" s="85"/>
      <c r="AB59" s="48"/>
      <c r="AC59" s="85"/>
      <c r="AD59" s="224"/>
      <c r="AE59" s="225"/>
      <c r="AF59" s="222"/>
      <c r="AG59" s="88">
        <f t="shared" si="4"/>
        <v>0</v>
      </c>
      <c r="AH59" s="93">
        <f t="shared" si="5"/>
        <v>0</v>
      </c>
      <c r="AI59" s="90"/>
      <c r="AJ59" s="95"/>
      <c r="AK59" s="94">
        <f t="shared" si="6"/>
        <v>0</v>
      </c>
    </row>
    <row r="60" spans="1:37" x14ac:dyDescent="0.2">
      <c r="A60" s="20">
        <f>+'SERVICIO FAENA'!A59</f>
        <v>57</v>
      </c>
      <c r="B60" s="18">
        <f>+'SERVICIO FAENA'!E59</f>
        <v>46057</v>
      </c>
      <c r="C60" s="20">
        <f>+'SERVICIO FAENA'!C59</f>
        <v>5</v>
      </c>
      <c r="D60" s="87"/>
      <c r="E60" s="48"/>
      <c r="F60" s="48"/>
      <c r="G60" s="85"/>
      <c r="H60" s="48"/>
      <c r="I60" s="85"/>
      <c r="J60" s="48"/>
      <c r="K60" s="85"/>
      <c r="L60" s="48"/>
      <c r="M60" s="85"/>
      <c r="N60" s="48"/>
      <c r="O60" s="85"/>
      <c r="P60" s="48"/>
      <c r="Q60" s="85"/>
      <c r="R60" s="48"/>
      <c r="S60" s="85"/>
      <c r="T60" s="48"/>
      <c r="U60" s="85"/>
      <c r="V60" s="48"/>
      <c r="W60" s="85"/>
      <c r="X60" s="48"/>
      <c r="Y60" s="85"/>
      <c r="Z60" s="48"/>
      <c r="AA60" s="85"/>
      <c r="AB60" s="48"/>
      <c r="AC60" s="85"/>
      <c r="AD60" s="222"/>
      <c r="AE60" s="223"/>
      <c r="AF60" s="222"/>
      <c r="AG60" s="88">
        <f t="shared" si="4"/>
        <v>0</v>
      </c>
      <c r="AH60" s="93">
        <f t="shared" si="5"/>
        <v>0</v>
      </c>
      <c r="AI60" s="91"/>
      <c r="AJ60" s="96"/>
      <c r="AK60" s="94">
        <f t="shared" si="6"/>
        <v>0</v>
      </c>
    </row>
    <row r="61" spans="1:37" x14ac:dyDescent="0.2">
      <c r="A61" s="20">
        <f>+'SERVICIO FAENA'!A60</f>
        <v>58</v>
      </c>
      <c r="B61" s="18">
        <f>+'SERVICIO FAENA'!E60</f>
        <v>46058</v>
      </c>
      <c r="C61" s="20">
        <f>+'SERVICIO FAENA'!C60</f>
        <v>10</v>
      </c>
      <c r="D61" s="87"/>
      <c r="E61" s="48"/>
      <c r="F61" s="48"/>
      <c r="G61" s="85"/>
      <c r="H61" s="48"/>
      <c r="I61" s="85"/>
      <c r="J61" s="48"/>
      <c r="K61" s="85"/>
      <c r="L61" s="48"/>
      <c r="M61" s="85"/>
      <c r="N61" s="48"/>
      <c r="O61" s="85"/>
      <c r="P61" s="48"/>
      <c r="Q61" s="85"/>
      <c r="R61" s="48"/>
      <c r="S61" s="85"/>
      <c r="T61" s="48"/>
      <c r="U61" s="85"/>
      <c r="V61" s="48"/>
      <c r="W61" s="85"/>
      <c r="X61" s="48"/>
      <c r="Y61" s="85"/>
      <c r="Z61" s="48"/>
      <c r="AA61" s="85"/>
      <c r="AB61" s="48"/>
      <c r="AC61" s="85"/>
      <c r="AD61" s="224"/>
      <c r="AE61" s="225"/>
      <c r="AF61" s="222"/>
      <c r="AG61" s="88">
        <f t="shared" si="4"/>
        <v>0</v>
      </c>
      <c r="AH61" s="93">
        <f t="shared" si="5"/>
        <v>0</v>
      </c>
      <c r="AI61" s="90"/>
      <c r="AJ61" s="95"/>
      <c r="AK61" s="94">
        <f t="shared" si="6"/>
        <v>0</v>
      </c>
    </row>
    <row r="62" spans="1:37" x14ac:dyDescent="0.2">
      <c r="A62" s="20">
        <f>+'SERVICIO FAENA'!A61</f>
        <v>59</v>
      </c>
      <c r="B62" s="18">
        <f>+'SERVICIO FAENA'!E61</f>
        <v>46059</v>
      </c>
      <c r="C62" s="20">
        <f>+'SERVICIO FAENA'!C61</f>
        <v>20</v>
      </c>
      <c r="D62" s="87"/>
      <c r="E62" s="48"/>
      <c r="F62" s="48"/>
      <c r="G62" s="85"/>
      <c r="H62" s="48"/>
      <c r="I62" s="85"/>
      <c r="J62" s="48"/>
      <c r="K62" s="85"/>
      <c r="L62" s="48"/>
      <c r="M62" s="85"/>
      <c r="N62" s="48"/>
      <c r="O62" s="85"/>
      <c r="P62" s="48"/>
      <c r="Q62" s="85"/>
      <c r="R62" s="48"/>
      <c r="S62" s="85"/>
      <c r="T62" s="48"/>
      <c r="U62" s="85"/>
      <c r="V62" s="48"/>
      <c r="W62" s="85"/>
      <c r="X62" s="48"/>
      <c r="Y62" s="85"/>
      <c r="Z62" s="48"/>
      <c r="AA62" s="85"/>
      <c r="AB62" s="48"/>
      <c r="AC62" s="85"/>
      <c r="AD62" s="224"/>
      <c r="AE62" s="225"/>
      <c r="AF62" s="222"/>
      <c r="AG62" s="88">
        <f t="shared" si="4"/>
        <v>0</v>
      </c>
      <c r="AH62" s="93">
        <f t="shared" si="5"/>
        <v>0</v>
      </c>
      <c r="AI62" s="90"/>
      <c r="AJ62" s="95"/>
      <c r="AK62" s="94">
        <f t="shared" si="6"/>
        <v>0</v>
      </c>
    </row>
    <row r="63" spans="1:37" x14ac:dyDescent="0.2">
      <c r="A63" s="20">
        <f>+'SERVICIO FAENA'!A62</f>
        <v>60</v>
      </c>
      <c r="B63" s="18">
        <f>+'SERVICIO FAENA'!E62</f>
        <v>46059</v>
      </c>
      <c r="C63" s="20">
        <f>+'SERVICIO FAENA'!C62</f>
        <v>28</v>
      </c>
      <c r="D63" s="87"/>
      <c r="E63" s="48"/>
      <c r="F63" s="48"/>
      <c r="G63" s="85"/>
      <c r="H63" s="48"/>
      <c r="I63" s="85"/>
      <c r="J63" s="48"/>
      <c r="K63" s="85"/>
      <c r="L63" s="48"/>
      <c r="M63" s="85"/>
      <c r="N63" s="48"/>
      <c r="O63" s="85"/>
      <c r="P63" s="48"/>
      <c r="Q63" s="85"/>
      <c r="R63" s="48"/>
      <c r="S63" s="85"/>
      <c r="T63" s="48"/>
      <c r="U63" s="85"/>
      <c r="V63" s="48"/>
      <c r="W63" s="85"/>
      <c r="X63" s="48"/>
      <c r="Y63" s="85"/>
      <c r="Z63" s="48"/>
      <c r="AA63" s="85"/>
      <c r="AB63" s="48"/>
      <c r="AC63" s="85"/>
      <c r="AD63" s="222"/>
      <c r="AE63" s="223"/>
      <c r="AF63" s="222"/>
      <c r="AG63" s="88">
        <f t="shared" si="4"/>
        <v>0</v>
      </c>
      <c r="AH63" s="93">
        <f t="shared" si="5"/>
        <v>0</v>
      </c>
      <c r="AI63" s="91"/>
      <c r="AJ63" s="96"/>
      <c r="AK63" s="94">
        <f t="shared" si="6"/>
        <v>0</v>
      </c>
    </row>
    <row r="64" spans="1:37" x14ac:dyDescent="0.2">
      <c r="A64" s="20">
        <f>+'SERVICIO FAENA'!A63</f>
        <v>61</v>
      </c>
      <c r="B64" s="18">
        <f>+'SERVICIO FAENA'!E63</f>
        <v>46059</v>
      </c>
      <c r="C64" s="20">
        <f>+'SERVICIO FAENA'!C63</f>
        <v>20</v>
      </c>
      <c r="D64" s="87"/>
      <c r="E64" s="48"/>
      <c r="F64" s="48"/>
      <c r="G64" s="85"/>
      <c r="H64" s="48"/>
      <c r="I64" s="85"/>
      <c r="J64" s="48"/>
      <c r="K64" s="85"/>
      <c r="L64" s="48"/>
      <c r="M64" s="85"/>
      <c r="N64" s="48"/>
      <c r="O64" s="85"/>
      <c r="P64" s="48"/>
      <c r="Q64" s="85"/>
      <c r="R64" s="48"/>
      <c r="S64" s="85"/>
      <c r="T64" s="48"/>
      <c r="U64" s="85"/>
      <c r="V64" s="48"/>
      <c r="W64" s="85"/>
      <c r="X64" s="48"/>
      <c r="Y64" s="85"/>
      <c r="Z64" s="48"/>
      <c r="AA64" s="85"/>
      <c r="AB64" s="48"/>
      <c r="AC64" s="85"/>
      <c r="AD64" s="224"/>
      <c r="AE64" s="225"/>
      <c r="AF64" s="222"/>
      <c r="AG64" s="88">
        <f t="shared" si="4"/>
        <v>0</v>
      </c>
      <c r="AH64" s="93">
        <f t="shared" si="5"/>
        <v>0</v>
      </c>
      <c r="AI64" s="90"/>
      <c r="AJ64" s="95"/>
      <c r="AK64" s="94">
        <f t="shared" si="6"/>
        <v>0</v>
      </c>
    </row>
    <row r="65" spans="1:37" x14ac:dyDescent="0.2">
      <c r="A65" s="20">
        <f>+'SERVICIO FAENA'!A64</f>
        <v>62</v>
      </c>
      <c r="B65" s="18">
        <f>+'SERVICIO FAENA'!E64</f>
        <v>46059</v>
      </c>
      <c r="C65" s="20">
        <f>+'SERVICIO FAENA'!C64</f>
        <v>1</v>
      </c>
      <c r="D65" s="87"/>
      <c r="E65" s="48"/>
      <c r="F65" s="48"/>
      <c r="G65" s="85"/>
      <c r="H65" s="48"/>
      <c r="I65" s="85"/>
      <c r="J65" s="48"/>
      <c r="K65" s="85"/>
      <c r="L65" s="48"/>
      <c r="M65" s="85"/>
      <c r="N65" s="48"/>
      <c r="O65" s="85"/>
      <c r="P65" s="48"/>
      <c r="Q65" s="85"/>
      <c r="R65" s="48"/>
      <c r="S65" s="85"/>
      <c r="T65" s="48"/>
      <c r="U65" s="85"/>
      <c r="V65" s="48"/>
      <c r="W65" s="85"/>
      <c r="X65" s="48"/>
      <c r="Y65" s="85"/>
      <c r="Z65" s="48"/>
      <c r="AA65" s="85"/>
      <c r="AB65" s="48"/>
      <c r="AC65" s="85"/>
      <c r="AD65" s="224"/>
      <c r="AE65" s="225"/>
      <c r="AF65" s="222"/>
      <c r="AG65" s="88">
        <f t="shared" si="4"/>
        <v>0</v>
      </c>
      <c r="AH65" s="93">
        <f t="shared" si="5"/>
        <v>0</v>
      </c>
      <c r="AI65" s="90"/>
      <c r="AJ65" s="95"/>
      <c r="AK65" s="94">
        <f t="shared" si="6"/>
        <v>0</v>
      </c>
    </row>
    <row r="66" spans="1:37" x14ac:dyDescent="0.2">
      <c r="A66" s="20">
        <f>+'SERVICIO FAENA'!A65</f>
        <v>63</v>
      </c>
      <c r="B66" s="18">
        <f>+'SERVICIO FAENA'!E65</f>
        <v>46062</v>
      </c>
      <c r="C66" s="20">
        <f>+'SERVICIO FAENA'!C65</f>
        <v>8</v>
      </c>
      <c r="D66" s="87"/>
      <c r="E66" s="48"/>
      <c r="F66" s="48"/>
      <c r="G66" s="85"/>
      <c r="H66" s="48"/>
      <c r="I66" s="85"/>
      <c r="J66" s="48"/>
      <c r="K66" s="85"/>
      <c r="L66" s="48"/>
      <c r="M66" s="85"/>
      <c r="N66" s="48"/>
      <c r="O66" s="85"/>
      <c r="P66" s="48"/>
      <c r="Q66" s="85"/>
      <c r="R66" s="48"/>
      <c r="S66" s="85"/>
      <c r="T66" s="48"/>
      <c r="U66" s="85"/>
      <c r="V66" s="48"/>
      <c r="W66" s="85"/>
      <c r="X66" s="48"/>
      <c r="Y66" s="85"/>
      <c r="Z66" s="48"/>
      <c r="AA66" s="85"/>
      <c r="AB66" s="48"/>
      <c r="AC66" s="85"/>
      <c r="AD66" s="222"/>
      <c r="AE66" s="223"/>
      <c r="AF66" s="222"/>
      <c r="AG66" s="88">
        <f t="shared" si="4"/>
        <v>0</v>
      </c>
      <c r="AH66" s="93">
        <f t="shared" si="5"/>
        <v>0</v>
      </c>
      <c r="AI66" s="91"/>
      <c r="AJ66" s="96"/>
      <c r="AK66" s="94">
        <f t="shared" si="6"/>
        <v>0</v>
      </c>
    </row>
    <row r="67" spans="1:37" x14ac:dyDescent="0.2">
      <c r="A67" s="20">
        <f>+'SERVICIO FAENA'!A66</f>
        <v>64</v>
      </c>
      <c r="B67" s="18">
        <f>+'SERVICIO FAENA'!E66</f>
        <v>46062</v>
      </c>
      <c r="C67" s="20">
        <f>+'SERVICIO FAENA'!C66</f>
        <v>3</v>
      </c>
      <c r="D67" s="87"/>
      <c r="E67" s="48"/>
      <c r="F67" s="48"/>
      <c r="G67" s="85"/>
      <c r="H67" s="48"/>
      <c r="I67" s="85"/>
      <c r="J67" s="48"/>
      <c r="K67" s="85"/>
      <c r="L67" s="48"/>
      <c r="M67" s="85"/>
      <c r="N67" s="48"/>
      <c r="O67" s="85"/>
      <c r="P67" s="48"/>
      <c r="Q67" s="85"/>
      <c r="R67" s="48"/>
      <c r="S67" s="85"/>
      <c r="T67" s="48"/>
      <c r="U67" s="85"/>
      <c r="V67" s="48"/>
      <c r="W67" s="85"/>
      <c r="X67" s="48"/>
      <c r="Y67" s="85"/>
      <c r="Z67" s="48"/>
      <c r="AA67" s="85"/>
      <c r="AB67" s="48"/>
      <c r="AC67" s="85"/>
      <c r="AD67" s="224"/>
      <c r="AE67" s="225"/>
      <c r="AF67" s="222"/>
      <c r="AG67" s="88">
        <f t="shared" si="4"/>
        <v>0</v>
      </c>
      <c r="AH67" s="93">
        <f t="shared" si="5"/>
        <v>0</v>
      </c>
      <c r="AI67" s="90"/>
      <c r="AJ67" s="95"/>
      <c r="AK67" s="94">
        <f t="shared" si="6"/>
        <v>0</v>
      </c>
    </row>
    <row r="68" spans="1:37" x14ac:dyDescent="0.2">
      <c r="A68" s="20">
        <f>+'SERVICIO FAENA'!A67</f>
        <v>65</v>
      </c>
      <c r="B68" s="18">
        <f>+'SERVICIO FAENA'!E67</f>
        <v>46062</v>
      </c>
      <c r="C68" s="20">
        <f>+'SERVICIO FAENA'!C67</f>
        <v>4</v>
      </c>
      <c r="D68" s="87"/>
      <c r="E68" s="48"/>
      <c r="F68" s="48"/>
      <c r="G68" s="85"/>
      <c r="H68" s="48"/>
      <c r="I68" s="85"/>
      <c r="J68" s="48"/>
      <c r="K68" s="85"/>
      <c r="L68" s="48"/>
      <c r="M68" s="85"/>
      <c r="N68" s="48"/>
      <c r="O68" s="85"/>
      <c r="P68" s="48"/>
      <c r="Q68" s="85"/>
      <c r="R68" s="48"/>
      <c r="S68" s="85"/>
      <c r="T68" s="48"/>
      <c r="U68" s="85"/>
      <c r="V68" s="48"/>
      <c r="W68" s="85"/>
      <c r="X68" s="48"/>
      <c r="Y68" s="85"/>
      <c r="Z68" s="48"/>
      <c r="AA68" s="85"/>
      <c r="AB68" s="48"/>
      <c r="AC68" s="85"/>
      <c r="AD68" s="224"/>
      <c r="AE68" s="225"/>
      <c r="AF68" s="222"/>
      <c r="AG68" s="88">
        <f t="shared" si="4"/>
        <v>0</v>
      </c>
      <c r="AH68" s="93">
        <f t="shared" si="5"/>
        <v>0</v>
      </c>
      <c r="AI68" s="90"/>
      <c r="AJ68" s="95"/>
      <c r="AK68" s="94">
        <f t="shared" si="6"/>
        <v>0</v>
      </c>
    </row>
    <row r="69" spans="1:37" x14ac:dyDescent="0.2">
      <c r="A69" s="20">
        <f>+'SERVICIO FAENA'!A68</f>
        <v>66</v>
      </c>
      <c r="B69" s="18">
        <f>+'SERVICIO FAENA'!E68</f>
        <v>46062</v>
      </c>
      <c r="C69" s="20">
        <f>+'SERVICIO FAENA'!C68</f>
        <v>21</v>
      </c>
      <c r="D69" s="87"/>
      <c r="E69" s="48"/>
      <c r="F69" s="48"/>
      <c r="G69" s="85"/>
      <c r="H69" s="48"/>
      <c r="I69" s="85"/>
      <c r="J69" s="48"/>
      <c r="K69" s="85"/>
      <c r="L69" s="48"/>
      <c r="M69" s="85"/>
      <c r="N69" s="48"/>
      <c r="O69" s="85"/>
      <c r="P69" s="48"/>
      <c r="Q69" s="85"/>
      <c r="R69" s="48"/>
      <c r="S69" s="85"/>
      <c r="T69" s="48"/>
      <c r="U69" s="85"/>
      <c r="V69" s="48"/>
      <c r="W69" s="85"/>
      <c r="X69" s="48"/>
      <c r="Y69" s="85"/>
      <c r="Z69" s="48"/>
      <c r="AA69" s="85"/>
      <c r="AB69" s="48"/>
      <c r="AC69" s="85"/>
      <c r="AD69" s="222"/>
      <c r="AE69" s="223"/>
      <c r="AF69" s="222"/>
      <c r="AG69" s="88">
        <f t="shared" si="4"/>
        <v>0</v>
      </c>
      <c r="AH69" s="93">
        <f t="shared" si="5"/>
        <v>0</v>
      </c>
      <c r="AI69" s="91"/>
      <c r="AJ69" s="96"/>
      <c r="AK69" s="94">
        <f t="shared" si="6"/>
        <v>0</v>
      </c>
    </row>
    <row r="70" spans="1:37" x14ac:dyDescent="0.2">
      <c r="A70" s="20">
        <f>+'SERVICIO FAENA'!A69</f>
        <v>67</v>
      </c>
      <c r="B70" s="18">
        <f>+'SERVICIO FAENA'!E69</f>
        <v>46062</v>
      </c>
      <c r="C70" s="20">
        <f>+'SERVICIO FAENA'!C69</f>
        <v>45</v>
      </c>
      <c r="D70" s="87"/>
      <c r="E70" s="48"/>
      <c r="F70" s="48"/>
      <c r="G70" s="85"/>
      <c r="H70" s="48"/>
      <c r="I70" s="85"/>
      <c r="J70" s="48"/>
      <c r="K70" s="85"/>
      <c r="L70" s="48"/>
      <c r="M70" s="85"/>
      <c r="N70" s="48"/>
      <c r="O70" s="85"/>
      <c r="P70" s="48"/>
      <c r="Q70" s="85"/>
      <c r="R70" s="48"/>
      <c r="S70" s="85"/>
      <c r="T70" s="48"/>
      <c r="U70" s="85"/>
      <c r="V70" s="48"/>
      <c r="W70" s="85"/>
      <c r="X70" s="48"/>
      <c r="Y70" s="85"/>
      <c r="Z70" s="48"/>
      <c r="AA70" s="85"/>
      <c r="AB70" s="48"/>
      <c r="AC70" s="85"/>
      <c r="AD70" s="224"/>
      <c r="AE70" s="225"/>
      <c r="AF70" s="222"/>
      <c r="AG70" s="88">
        <f t="shared" si="4"/>
        <v>0</v>
      </c>
      <c r="AH70" s="93">
        <f t="shared" si="5"/>
        <v>0</v>
      </c>
      <c r="AI70" s="90"/>
      <c r="AJ70" s="95"/>
      <c r="AK70" s="94">
        <f t="shared" si="6"/>
        <v>0</v>
      </c>
    </row>
    <row r="71" spans="1:37" x14ac:dyDescent="0.2">
      <c r="A71" s="20">
        <f>+'SERVICIO FAENA'!A70</f>
        <v>68</v>
      </c>
      <c r="B71" s="18">
        <f>+'SERVICIO FAENA'!E70</f>
        <v>46063</v>
      </c>
      <c r="C71" s="20">
        <f>+'SERVICIO FAENA'!C70</f>
        <v>18</v>
      </c>
      <c r="D71" s="87">
        <v>101.94</v>
      </c>
      <c r="E71" s="48">
        <v>3167.42</v>
      </c>
      <c r="F71" s="48"/>
      <c r="G71" s="85"/>
      <c r="H71" s="48"/>
      <c r="I71" s="85"/>
      <c r="J71" s="48"/>
      <c r="K71" s="85"/>
      <c r="L71" s="48"/>
      <c r="M71" s="85"/>
      <c r="N71" s="48"/>
      <c r="O71" s="85"/>
      <c r="P71" s="48"/>
      <c r="Q71" s="85"/>
      <c r="R71" s="48"/>
      <c r="S71" s="85"/>
      <c r="T71" s="48"/>
      <c r="U71" s="85"/>
      <c r="V71" s="48"/>
      <c r="W71" s="85"/>
      <c r="X71" s="48"/>
      <c r="Y71" s="85"/>
      <c r="Z71" s="48"/>
      <c r="AA71" s="85"/>
      <c r="AB71" s="48"/>
      <c r="AC71" s="85"/>
      <c r="AD71" s="224" t="s">
        <v>225</v>
      </c>
      <c r="AE71" s="225">
        <v>46069</v>
      </c>
      <c r="AF71" s="222" t="s">
        <v>112</v>
      </c>
      <c r="AG71" s="88">
        <f t="shared" si="4"/>
        <v>322886.79479999997</v>
      </c>
      <c r="AH71" s="93">
        <f t="shared" si="5"/>
        <v>356789.90825399995</v>
      </c>
      <c r="AI71" s="90"/>
      <c r="AJ71" s="95"/>
      <c r="AK71" s="94">
        <f t="shared" si="6"/>
        <v>-356789.90825399995</v>
      </c>
    </row>
    <row r="72" spans="1:37" x14ac:dyDescent="0.2">
      <c r="A72" s="20">
        <f>+'SERVICIO FAENA'!A71</f>
        <v>69</v>
      </c>
      <c r="B72" s="18">
        <f>+'SERVICIO FAENA'!E71</f>
        <v>46063</v>
      </c>
      <c r="C72" s="20">
        <f>+'SERVICIO FAENA'!C71</f>
        <v>50</v>
      </c>
      <c r="D72" s="87"/>
      <c r="E72" s="48"/>
      <c r="F72" s="48"/>
      <c r="G72" s="85"/>
      <c r="H72" s="48"/>
      <c r="I72" s="85"/>
      <c r="J72" s="48"/>
      <c r="K72" s="85"/>
      <c r="L72" s="48"/>
      <c r="M72" s="85"/>
      <c r="N72" s="48"/>
      <c r="O72" s="85"/>
      <c r="P72" s="48"/>
      <c r="Q72" s="85"/>
      <c r="R72" s="48"/>
      <c r="S72" s="85"/>
      <c r="T72" s="48"/>
      <c r="U72" s="85"/>
      <c r="V72" s="48"/>
      <c r="W72" s="85"/>
      <c r="X72" s="48"/>
      <c r="Y72" s="85"/>
      <c r="Z72" s="48"/>
      <c r="AA72" s="85"/>
      <c r="AB72" s="48"/>
      <c r="AC72" s="85"/>
      <c r="AD72" s="222"/>
      <c r="AE72" s="223"/>
      <c r="AF72" s="222"/>
      <c r="AG72" s="88">
        <f t="shared" si="4"/>
        <v>0</v>
      </c>
      <c r="AH72" s="93">
        <f t="shared" si="5"/>
        <v>0</v>
      </c>
      <c r="AI72" s="91"/>
      <c r="AJ72" s="96"/>
      <c r="AK72" s="94">
        <f t="shared" si="6"/>
        <v>0</v>
      </c>
    </row>
    <row r="73" spans="1:37" x14ac:dyDescent="0.2">
      <c r="A73" s="20">
        <f>+'SERVICIO FAENA'!A72</f>
        <v>70</v>
      </c>
      <c r="B73" s="18">
        <f>+'SERVICIO FAENA'!E72</f>
        <v>46065</v>
      </c>
      <c r="C73" s="20">
        <f>+'SERVICIO FAENA'!C72</f>
        <v>5</v>
      </c>
      <c r="D73" s="87"/>
      <c r="E73" s="48"/>
      <c r="F73" s="48"/>
      <c r="G73" s="85"/>
      <c r="H73" s="48"/>
      <c r="I73" s="85"/>
      <c r="J73" s="48"/>
      <c r="K73" s="85"/>
      <c r="L73" s="48"/>
      <c r="M73" s="85"/>
      <c r="N73" s="48"/>
      <c r="O73" s="85"/>
      <c r="P73" s="48"/>
      <c r="Q73" s="85"/>
      <c r="R73" s="48"/>
      <c r="S73" s="85"/>
      <c r="T73" s="48"/>
      <c r="U73" s="85"/>
      <c r="V73" s="48"/>
      <c r="W73" s="85"/>
      <c r="X73" s="48"/>
      <c r="Y73" s="85"/>
      <c r="Z73" s="48"/>
      <c r="AA73" s="85"/>
      <c r="AB73" s="48"/>
      <c r="AC73" s="85"/>
      <c r="AD73" s="224"/>
      <c r="AE73" s="225"/>
      <c r="AF73" s="222"/>
      <c r="AG73" s="88">
        <f t="shared" si="4"/>
        <v>0</v>
      </c>
      <c r="AH73" s="93">
        <f t="shared" si="5"/>
        <v>0</v>
      </c>
      <c r="AI73" s="90"/>
      <c r="AJ73" s="95"/>
      <c r="AK73" s="94">
        <f t="shared" si="6"/>
        <v>0</v>
      </c>
    </row>
    <row r="74" spans="1:37" x14ac:dyDescent="0.2">
      <c r="A74" s="20">
        <f>+'SERVICIO FAENA'!A73</f>
        <v>71</v>
      </c>
      <c r="B74" s="18">
        <f>+'SERVICIO FAENA'!E73</f>
        <v>46065</v>
      </c>
      <c r="C74" s="20">
        <f>+'SERVICIO FAENA'!C73</f>
        <v>25</v>
      </c>
      <c r="D74" s="87"/>
      <c r="E74" s="48"/>
      <c r="F74" s="48"/>
      <c r="G74" s="85"/>
      <c r="H74" s="48"/>
      <c r="I74" s="85"/>
      <c r="J74" s="48"/>
      <c r="K74" s="85"/>
      <c r="L74" s="48"/>
      <c r="M74" s="85"/>
      <c r="N74" s="48"/>
      <c r="O74" s="85"/>
      <c r="P74" s="48"/>
      <c r="Q74" s="85"/>
      <c r="R74" s="48"/>
      <c r="S74" s="85"/>
      <c r="T74" s="48"/>
      <c r="U74" s="85"/>
      <c r="V74" s="48"/>
      <c r="W74" s="85"/>
      <c r="X74" s="48"/>
      <c r="Y74" s="85"/>
      <c r="Z74" s="48"/>
      <c r="AA74" s="85"/>
      <c r="AB74" s="48"/>
      <c r="AC74" s="85"/>
      <c r="AD74" s="224"/>
      <c r="AE74" s="225"/>
      <c r="AF74" s="222"/>
      <c r="AG74" s="88">
        <f t="shared" si="4"/>
        <v>0</v>
      </c>
      <c r="AH74" s="93">
        <f t="shared" si="5"/>
        <v>0</v>
      </c>
      <c r="AI74" s="90"/>
      <c r="AJ74" s="95"/>
      <c r="AK74" s="94">
        <f t="shared" si="6"/>
        <v>0</v>
      </c>
    </row>
    <row r="75" spans="1:37" x14ac:dyDescent="0.2">
      <c r="A75" s="20">
        <f>+'SERVICIO FAENA'!A74</f>
        <v>72</v>
      </c>
      <c r="B75" s="18">
        <f>+'SERVICIO FAENA'!E74</f>
        <v>46065</v>
      </c>
      <c r="C75" s="20">
        <f>+'SERVICIO FAENA'!C74</f>
        <v>20</v>
      </c>
      <c r="D75" s="87"/>
      <c r="E75" s="48"/>
      <c r="F75" s="48"/>
      <c r="G75" s="85"/>
      <c r="H75" s="48"/>
      <c r="I75" s="85"/>
      <c r="J75" s="48"/>
      <c r="K75" s="85"/>
      <c r="L75" s="48"/>
      <c r="M75" s="85"/>
      <c r="N75" s="48"/>
      <c r="O75" s="85"/>
      <c r="P75" s="48"/>
      <c r="Q75" s="85"/>
      <c r="R75" s="48"/>
      <c r="S75" s="85"/>
      <c r="T75" s="48"/>
      <c r="U75" s="85"/>
      <c r="V75" s="48"/>
      <c r="W75" s="85"/>
      <c r="X75" s="48"/>
      <c r="Y75" s="85"/>
      <c r="Z75" s="48"/>
      <c r="AA75" s="85"/>
      <c r="AB75" s="48"/>
      <c r="AC75" s="85"/>
      <c r="AD75" s="222"/>
      <c r="AE75" s="223"/>
      <c r="AF75" s="222"/>
      <c r="AG75" s="88">
        <f t="shared" si="4"/>
        <v>0</v>
      </c>
      <c r="AH75" s="93">
        <f t="shared" si="5"/>
        <v>0</v>
      </c>
      <c r="AI75" s="91"/>
      <c r="AJ75" s="96"/>
      <c r="AK75" s="94">
        <f t="shared" si="6"/>
        <v>0</v>
      </c>
    </row>
    <row r="76" spans="1:37" x14ac:dyDescent="0.2">
      <c r="A76" s="20">
        <f>+'SERVICIO FAENA'!A75</f>
        <v>73</v>
      </c>
      <c r="B76" s="18">
        <f>+'SERVICIO FAENA'!E75</f>
        <v>46065</v>
      </c>
      <c r="C76" s="20">
        <f>+'SERVICIO FAENA'!C75</f>
        <v>15</v>
      </c>
      <c r="D76" s="87"/>
      <c r="E76" s="48"/>
      <c r="F76" s="48"/>
      <c r="G76" s="85"/>
      <c r="H76" s="48"/>
      <c r="I76" s="85"/>
      <c r="J76" s="48"/>
      <c r="K76" s="85"/>
      <c r="L76" s="48"/>
      <c r="M76" s="85"/>
      <c r="N76" s="48"/>
      <c r="O76" s="85"/>
      <c r="P76" s="48"/>
      <c r="Q76" s="85"/>
      <c r="R76" s="48"/>
      <c r="S76" s="85"/>
      <c r="T76" s="48"/>
      <c r="U76" s="85"/>
      <c r="V76" s="48"/>
      <c r="W76" s="85"/>
      <c r="X76" s="48"/>
      <c r="Y76" s="85"/>
      <c r="Z76" s="48"/>
      <c r="AA76" s="85"/>
      <c r="AB76" s="48"/>
      <c r="AC76" s="85"/>
      <c r="AD76" s="224"/>
      <c r="AE76" s="225"/>
      <c r="AF76" s="222"/>
      <c r="AG76" s="88">
        <f t="shared" si="4"/>
        <v>0</v>
      </c>
      <c r="AH76" s="93">
        <f t="shared" si="5"/>
        <v>0</v>
      </c>
      <c r="AI76" s="90"/>
      <c r="AJ76" s="95"/>
      <c r="AK76" s="94">
        <f t="shared" si="6"/>
        <v>0</v>
      </c>
    </row>
    <row r="77" spans="1:37" x14ac:dyDescent="0.2">
      <c r="A77" s="20">
        <f>+'SERVICIO FAENA'!A76</f>
        <v>74</v>
      </c>
      <c r="B77" s="18">
        <f>+'SERVICIO FAENA'!E76</f>
        <v>46071</v>
      </c>
      <c r="C77" s="20">
        <f>+'SERVICIO FAENA'!C76</f>
        <v>10</v>
      </c>
      <c r="D77" s="87"/>
      <c r="E77" s="48"/>
      <c r="F77" s="48"/>
      <c r="G77" s="85"/>
      <c r="H77" s="48"/>
      <c r="I77" s="85"/>
      <c r="J77" s="48"/>
      <c r="K77" s="85"/>
      <c r="L77" s="48"/>
      <c r="M77" s="85"/>
      <c r="N77" s="48"/>
      <c r="O77" s="85"/>
      <c r="P77" s="48"/>
      <c r="Q77" s="85"/>
      <c r="R77" s="48"/>
      <c r="S77" s="85"/>
      <c r="T77" s="48"/>
      <c r="U77" s="85"/>
      <c r="V77" s="48"/>
      <c r="W77" s="85"/>
      <c r="X77" s="48"/>
      <c r="Y77" s="85"/>
      <c r="Z77" s="48"/>
      <c r="AA77" s="85"/>
      <c r="AB77" s="48"/>
      <c r="AC77" s="85"/>
      <c r="AD77" s="224"/>
      <c r="AE77" s="225"/>
      <c r="AF77" s="222"/>
      <c r="AG77" s="88">
        <f t="shared" si="4"/>
        <v>0</v>
      </c>
      <c r="AH77" s="93">
        <f t="shared" si="5"/>
        <v>0</v>
      </c>
      <c r="AI77" s="90"/>
      <c r="AJ77" s="95"/>
      <c r="AK77" s="94">
        <f t="shared" si="6"/>
        <v>0</v>
      </c>
    </row>
    <row r="78" spans="1:37" x14ac:dyDescent="0.2">
      <c r="A78" s="20">
        <f>+'SERVICIO FAENA'!A77</f>
        <v>75</v>
      </c>
      <c r="B78" s="18">
        <f>+'SERVICIO FAENA'!E77</f>
        <v>46071</v>
      </c>
      <c r="C78" s="20">
        <f>+'SERVICIO FAENA'!C77</f>
        <v>5</v>
      </c>
      <c r="D78" s="87"/>
      <c r="E78" s="48"/>
      <c r="F78" s="48"/>
      <c r="G78" s="85"/>
      <c r="H78" s="48"/>
      <c r="I78" s="85"/>
      <c r="J78" s="48"/>
      <c r="K78" s="85"/>
      <c r="L78" s="48"/>
      <c r="M78" s="85"/>
      <c r="N78" s="48"/>
      <c r="O78" s="85"/>
      <c r="P78" s="48"/>
      <c r="Q78" s="85"/>
      <c r="R78" s="48"/>
      <c r="S78" s="85"/>
      <c r="T78" s="48"/>
      <c r="U78" s="85"/>
      <c r="V78" s="48"/>
      <c r="W78" s="85"/>
      <c r="X78" s="48"/>
      <c r="Y78" s="85"/>
      <c r="Z78" s="48"/>
      <c r="AA78" s="85"/>
      <c r="AB78" s="48"/>
      <c r="AC78" s="85"/>
      <c r="AD78" s="222"/>
      <c r="AE78" s="223"/>
      <c r="AF78" s="222"/>
      <c r="AG78" s="88">
        <f t="shared" si="4"/>
        <v>0</v>
      </c>
      <c r="AH78" s="93">
        <f t="shared" si="5"/>
        <v>0</v>
      </c>
      <c r="AI78" s="91"/>
      <c r="AJ78" s="96"/>
      <c r="AK78" s="94">
        <f t="shared" si="6"/>
        <v>0</v>
      </c>
    </row>
    <row r="79" spans="1:37" x14ac:dyDescent="0.2">
      <c r="A79" s="20">
        <f>+'SERVICIO FAENA'!A78</f>
        <v>76</v>
      </c>
      <c r="B79" s="18">
        <f>+'SERVICIO FAENA'!E78</f>
        <v>46071</v>
      </c>
      <c r="C79" s="20">
        <f>+'SERVICIO FAENA'!C78</f>
        <v>18</v>
      </c>
      <c r="D79" s="87">
        <v>100.52</v>
      </c>
      <c r="E79" s="48">
        <v>3484.16</v>
      </c>
      <c r="F79" s="48"/>
      <c r="G79" s="85"/>
      <c r="H79" s="48"/>
      <c r="I79" s="85"/>
      <c r="J79" s="48"/>
      <c r="K79" s="85"/>
      <c r="L79" s="48"/>
      <c r="M79" s="85"/>
      <c r="N79" s="48"/>
      <c r="O79" s="85"/>
      <c r="P79" s="48"/>
      <c r="Q79" s="85"/>
      <c r="R79" s="48"/>
      <c r="S79" s="85"/>
      <c r="T79" s="48"/>
      <c r="U79" s="85"/>
      <c r="V79" s="48"/>
      <c r="W79" s="85"/>
      <c r="X79" s="48"/>
      <c r="Y79" s="85"/>
      <c r="Z79" s="48"/>
      <c r="AA79" s="85"/>
      <c r="AB79" s="48"/>
      <c r="AC79" s="85"/>
      <c r="AD79" s="224" t="s">
        <v>227</v>
      </c>
      <c r="AE79" s="225">
        <v>46079</v>
      </c>
      <c r="AF79" s="222" t="s">
        <v>103</v>
      </c>
      <c r="AG79" s="88">
        <f t="shared" si="4"/>
        <v>350227.76319999999</v>
      </c>
      <c r="AH79" s="93">
        <f t="shared" si="5"/>
        <v>387001.67833599995</v>
      </c>
      <c r="AI79" s="90"/>
      <c r="AJ79" s="95"/>
      <c r="AK79" s="94">
        <f t="shared" si="6"/>
        <v>-387001.67833599995</v>
      </c>
    </row>
    <row r="80" spans="1:37" x14ac:dyDescent="0.2">
      <c r="A80" s="20">
        <f>+'SERVICIO FAENA'!A79</f>
        <v>77</v>
      </c>
      <c r="B80" s="18">
        <f>+'SERVICIO FAENA'!E79</f>
        <v>46071</v>
      </c>
      <c r="C80" s="20">
        <f>+'SERVICIO FAENA'!C79</f>
        <v>15</v>
      </c>
      <c r="D80" s="87">
        <v>100.4</v>
      </c>
      <c r="E80" s="48">
        <v>3167.42</v>
      </c>
      <c r="F80" s="48"/>
      <c r="G80" s="85"/>
      <c r="H80" s="48"/>
      <c r="I80" s="85"/>
      <c r="J80" s="48"/>
      <c r="K80" s="85"/>
      <c r="L80" s="48"/>
      <c r="M80" s="85"/>
      <c r="N80" s="48"/>
      <c r="O80" s="85"/>
      <c r="P80" s="48"/>
      <c r="Q80" s="85"/>
      <c r="R80" s="48"/>
      <c r="S80" s="85"/>
      <c r="T80" s="48"/>
      <c r="U80" s="85"/>
      <c r="V80" s="48"/>
      <c r="W80" s="85"/>
      <c r="X80" s="48"/>
      <c r="Y80" s="85"/>
      <c r="Z80" s="48"/>
      <c r="AA80" s="85"/>
      <c r="AB80" s="48"/>
      <c r="AC80" s="85"/>
      <c r="AD80" s="224" t="s">
        <v>226</v>
      </c>
      <c r="AE80" s="225">
        <v>46079</v>
      </c>
      <c r="AF80" s="222" t="s">
        <v>112</v>
      </c>
      <c r="AG80" s="88">
        <f t="shared" si="4"/>
        <v>318008.96800000005</v>
      </c>
      <c r="AH80" s="93">
        <f t="shared" si="5"/>
        <v>351399.90964000003</v>
      </c>
      <c r="AI80" s="90"/>
      <c r="AJ80" s="95"/>
      <c r="AK80" s="94">
        <f t="shared" si="6"/>
        <v>-351399.90964000003</v>
      </c>
    </row>
    <row r="81" spans="1:37" x14ac:dyDescent="0.2">
      <c r="A81" s="20">
        <f>+'SERVICIO FAENA'!A80</f>
        <v>78</v>
      </c>
      <c r="B81" s="18">
        <f>+'SERVICIO FAENA'!E80</f>
        <v>46073</v>
      </c>
      <c r="C81" s="20">
        <f>+'SERVICIO FAENA'!C80</f>
        <v>8</v>
      </c>
      <c r="D81" s="87"/>
      <c r="E81" s="48"/>
      <c r="F81" s="48"/>
      <c r="G81" s="85"/>
      <c r="H81" s="48"/>
      <c r="I81" s="85"/>
      <c r="J81" s="48"/>
      <c r="K81" s="85"/>
      <c r="L81" s="48"/>
      <c r="M81" s="85"/>
      <c r="N81" s="48"/>
      <c r="O81" s="85"/>
      <c r="P81" s="48"/>
      <c r="Q81" s="85"/>
      <c r="R81" s="48"/>
      <c r="S81" s="85"/>
      <c r="T81" s="48"/>
      <c r="U81" s="85"/>
      <c r="V81" s="48"/>
      <c r="W81" s="85"/>
      <c r="X81" s="48"/>
      <c r="Y81" s="85"/>
      <c r="Z81" s="48"/>
      <c r="AA81" s="85"/>
      <c r="AB81" s="48"/>
      <c r="AC81" s="85"/>
      <c r="AD81" s="222"/>
      <c r="AE81" s="223"/>
      <c r="AF81" s="222"/>
      <c r="AG81" s="88">
        <f t="shared" si="4"/>
        <v>0</v>
      </c>
      <c r="AH81" s="93">
        <f t="shared" si="5"/>
        <v>0</v>
      </c>
      <c r="AI81" s="91"/>
      <c r="AJ81" s="96"/>
      <c r="AK81" s="94">
        <f t="shared" si="6"/>
        <v>0</v>
      </c>
    </row>
    <row r="82" spans="1:37" x14ac:dyDescent="0.2">
      <c r="A82" s="20">
        <f>+'SERVICIO FAENA'!A81</f>
        <v>79</v>
      </c>
      <c r="B82" s="18">
        <f>+'SERVICIO FAENA'!E81</f>
        <v>46073</v>
      </c>
      <c r="C82" s="20">
        <f>+'SERVICIO FAENA'!C81</f>
        <v>20</v>
      </c>
      <c r="D82" s="87"/>
      <c r="E82" s="48"/>
      <c r="F82" s="48"/>
      <c r="G82" s="85"/>
      <c r="H82" s="48"/>
      <c r="I82" s="85"/>
      <c r="J82" s="48"/>
      <c r="K82" s="85"/>
      <c r="L82" s="48"/>
      <c r="M82" s="85"/>
      <c r="N82" s="48"/>
      <c r="O82" s="85"/>
      <c r="P82" s="48"/>
      <c r="Q82" s="85"/>
      <c r="R82" s="48"/>
      <c r="S82" s="85"/>
      <c r="T82" s="48"/>
      <c r="U82" s="85"/>
      <c r="V82" s="48"/>
      <c r="W82" s="85"/>
      <c r="X82" s="48"/>
      <c r="Y82" s="85"/>
      <c r="Z82" s="48"/>
      <c r="AA82" s="85"/>
      <c r="AB82" s="48"/>
      <c r="AC82" s="85"/>
      <c r="AD82" s="224"/>
      <c r="AE82" s="225"/>
      <c r="AF82" s="222"/>
      <c r="AG82" s="88">
        <f t="shared" si="4"/>
        <v>0</v>
      </c>
      <c r="AH82" s="93">
        <f t="shared" si="5"/>
        <v>0</v>
      </c>
      <c r="AI82" s="90"/>
      <c r="AJ82" s="95"/>
      <c r="AK82" s="94">
        <f t="shared" si="6"/>
        <v>0</v>
      </c>
    </row>
    <row r="83" spans="1:37" x14ac:dyDescent="0.2">
      <c r="A83" s="20">
        <f>+'SERVICIO FAENA'!A82</f>
        <v>80</v>
      </c>
      <c r="B83" s="18">
        <f>+'SERVICIO FAENA'!E82</f>
        <v>46073</v>
      </c>
      <c r="C83" s="20">
        <f>+'SERVICIO FAENA'!C82</f>
        <v>21</v>
      </c>
      <c r="D83" s="87"/>
      <c r="E83" s="48"/>
      <c r="F83" s="48"/>
      <c r="G83" s="85"/>
      <c r="H83" s="48"/>
      <c r="I83" s="85"/>
      <c r="J83" s="48"/>
      <c r="K83" s="85"/>
      <c r="L83" s="48"/>
      <c r="M83" s="85"/>
      <c r="N83" s="48"/>
      <c r="O83" s="85"/>
      <c r="P83" s="48"/>
      <c r="Q83" s="85"/>
      <c r="R83" s="48"/>
      <c r="S83" s="85"/>
      <c r="T83" s="48"/>
      <c r="U83" s="85"/>
      <c r="V83" s="48"/>
      <c r="W83" s="85"/>
      <c r="X83" s="48"/>
      <c r="Y83" s="85"/>
      <c r="Z83" s="48"/>
      <c r="AA83" s="85"/>
      <c r="AB83" s="48"/>
      <c r="AC83" s="85"/>
      <c r="AD83" s="224"/>
      <c r="AE83" s="225"/>
      <c r="AF83" s="222"/>
      <c r="AG83" s="88">
        <f t="shared" si="4"/>
        <v>0</v>
      </c>
      <c r="AH83" s="93">
        <f t="shared" si="5"/>
        <v>0</v>
      </c>
      <c r="AI83" s="90"/>
      <c r="AJ83" s="95"/>
      <c r="AK83" s="94">
        <f t="shared" si="6"/>
        <v>0</v>
      </c>
    </row>
    <row r="84" spans="1:37" x14ac:dyDescent="0.2">
      <c r="A84" s="20">
        <f>+'SERVICIO FAENA'!A83</f>
        <v>81</v>
      </c>
      <c r="B84" s="18">
        <f>+'SERVICIO FAENA'!E83</f>
        <v>46073</v>
      </c>
      <c r="C84" s="20">
        <f>+'SERVICIO FAENA'!C83</f>
        <v>15</v>
      </c>
      <c r="D84" s="87"/>
      <c r="E84" s="48"/>
      <c r="F84" s="48"/>
      <c r="G84" s="85"/>
      <c r="H84" s="48"/>
      <c r="I84" s="85"/>
      <c r="J84" s="48"/>
      <c r="K84" s="85"/>
      <c r="L84" s="48"/>
      <c r="M84" s="85"/>
      <c r="N84" s="48"/>
      <c r="O84" s="85"/>
      <c r="P84" s="48"/>
      <c r="Q84" s="85"/>
      <c r="R84" s="48"/>
      <c r="S84" s="85"/>
      <c r="T84" s="48"/>
      <c r="U84" s="85"/>
      <c r="V84" s="48"/>
      <c r="W84" s="85"/>
      <c r="X84" s="48"/>
      <c r="Y84" s="85"/>
      <c r="Z84" s="48"/>
      <c r="AA84" s="85"/>
      <c r="AB84" s="48"/>
      <c r="AC84" s="85"/>
      <c r="AD84" s="222"/>
      <c r="AE84" s="223"/>
      <c r="AF84" s="222"/>
      <c r="AG84" s="88">
        <f t="shared" si="4"/>
        <v>0</v>
      </c>
      <c r="AH84" s="93">
        <f t="shared" si="5"/>
        <v>0</v>
      </c>
      <c r="AI84" s="91"/>
      <c r="AJ84" s="96"/>
      <c r="AK84" s="94">
        <f t="shared" si="6"/>
        <v>0</v>
      </c>
    </row>
    <row r="85" spans="1:37" x14ac:dyDescent="0.2">
      <c r="A85" s="20">
        <f>+'SERVICIO FAENA'!A84</f>
        <v>82</v>
      </c>
      <c r="B85" s="18">
        <f>+'SERVICIO FAENA'!E84</f>
        <v>46073</v>
      </c>
      <c r="C85" s="20">
        <f>+'SERVICIO FAENA'!C84</f>
        <v>15</v>
      </c>
      <c r="D85" s="87"/>
      <c r="E85" s="48"/>
      <c r="F85" s="48"/>
      <c r="G85" s="85"/>
      <c r="H85" s="48"/>
      <c r="I85" s="85"/>
      <c r="J85" s="48"/>
      <c r="K85" s="85"/>
      <c r="L85" s="48"/>
      <c r="M85" s="85"/>
      <c r="N85" s="48"/>
      <c r="O85" s="85"/>
      <c r="P85" s="48"/>
      <c r="Q85" s="85"/>
      <c r="R85" s="48"/>
      <c r="S85" s="85"/>
      <c r="T85" s="48"/>
      <c r="U85" s="85"/>
      <c r="V85" s="48"/>
      <c r="W85" s="85"/>
      <c r="X85" s="48"/>
      <c r="Y85" s="85"/>
      <c r="Z85" s="48"/>
      <c r="AA85" s="85"/>
      <c r="AB85" s="48"/>
      <c r="AC85" s="85"/>
      <c r="AD85" s="224"/>
      <c r="AE85" s="225"/>
      <c r="AF85" s="222"/>
      <c r="AG85" s="88">
        <f t="shared" si="4"/>
        <v>0</v>
      </c>
      <c r="AH85" s="93">
        <f t="shared" si="5"/>
        <v>0</v>
      </c>
      <c r="AI85" s="90"/>
      <c r="AJ85" s="95"/>
      <c r="AK85" s="94">
        <f t="shared" si="6"/>
        <v>0</v>
      </c>
    </row>
    <row r="86" spans="1:37" x14ac:dyDescent="0.2">
      <c r="A86" s="20">
        <f>+'SERVICIO FAENA'!A85</f>
        <v>83</v>
      </c>
      <c r="B86" s="18">
        <f>+'SERVICIO FAENA'!E85</f>
        <v>46073</v>
      </c>
      <c r="C86" s="20">
        <f>+'SERVICIO FAENA'!C85</f>
        <v>15</v>
      </c>
      <c r="D86" s="87"/>
      <c r="E86" s="48"/>
      <c r="F86" s="48"/>
      <c r="G86" s="85"/>
      <c r="H86" s="48"/>
      <c r="I86" s="85"/>
      <c r="J86" s="48"/>
      <c r="K86" s="85"/>
      <c r="L86" s="48"/>
      <c r="M86" s="85"/>
      <c r="N86" s="48"/>
      <c r="O86" s="85"/>
      <c r="P86" s="48"/>
      <c r="Q86" s="85"/>
      <c r="R86" s="48"/>
      <c r="S86" s="85"/>
      <c r="T86" s="48"/>
      <c r="U86" s="85"/>
      <c r="V86" s="48"/>
      <c r="W86" s="85"/>
      <c r="X86" s="48"/>
      <c r="Y86" s="85"/>
      <c r="Z86" s="48"/>
      <c r="AA86" s="85"/>
      <c r="AB86" s="48"/>
      <c r="AC86" s="85"/>
      <c r="AD86" s="224"/>
      <c r="AE86" s="225"/>
      <c r="AF86" s="222"/>
      <c r="AG86" s="88">
        <f t="shared" si="4"/>
        <v>0</v>
      </c>
      <c r="AH86" s="93">
        <f t="shared" si="5"/>
        <v>0</v>
      </c>
      <c r="AI86" s="90"/>
      <c r="AJ86" s="95"/>
      <c r="AK86" s="94">
        <f t="shared" si="6"/>
        <v>0</v>
      </c>
    </row>
    <row r="87" spans="1:37" x14ac:dyDescent="0.2">
      <c r="A87" s="20">
        <f>+'SERVICIO FAENA'!A86</f>
        <v>84</v>
      </c>
      <c r="B87" s="18">
        <f>+'SERVICIO FAENA'!E86</f>
        <v>46076</v>
      </c>
      <c r="C87" s="20">
        <f>+'SERVICIO FAENA'!C86</f>
        <v>21</v>
      </c>
      <c r="D87" s="87"/>
      <c r="E87" s="48"/>
      <c r="F87" s="48"/>
      <c r="G87" s="85"/>
      <c r="H87" s="48"/>
      <c r="I87" s="85"/>
      <c r="J87" s="48"/>
      <c r="K87" s="85"/>
      <c r="L87" s="48"/>
      <c r="M87" s="85"/>
      <c r="N87" s="48"/>
      <c r="O87" s="85"/>
      <c r="P87" s="48"/>
      <c r="Q87" s="85"/>
      <c r="R87" s="48"/>
      <c r="S87" s="85"/>
      <c r="T87" s="48"/>
      <c r="U87" s="85"/>
      <c r="V87" s="48"/>
      <c r="W87" s="85"/>
      <c r="X87" s="48"/>
      <c r="Y87" s="85"/>
      <c r="Z87" s="48"/>
      <c r="AA87" s="85"/>
      <c r="AB87" s="48"/>
      <c r="AC87" s="85"/>
      <c r="AD87" s="222"/>
      <c r="AE87" s="223"/>
      <c r="AF87" s="222"/>
      <c r="AG87" s="88">
        <f t="shared" si="4"/>
        <v>0</v>
      </c>
      <c r="AH87" s="93">
        <f t="shared" si="5"/>
        <v>0</v>
      </c>
      <c r="AI87" s="91"/>
      <c r="AJ87" s="96"/>
      <c r="AK87" s="94">
        <f t="shared" si="6"/>
        <v>0</v>
      </c>
    </row>
    <row r="88" spans="1:37" x14ac:dyDescent="0.2">
      <c r="A88" s="20">
        <f>+'SERVICIO FAENA'!A87</f>
        <v>85</v>
      </c>
      <c r="B88" s="18">
        <f>+'SERVICIO FAENA'!E87</f>
        <v>46076</v>
      </c>
      <c r="C88" s="20">
        <f>+'SERVICIO FAENA'!C87</f>
        <v>18</v>
      </c>
      <c r="D88" s="87"/>
      <c r="E88" s="48"/>
      <c r="F88" s="48"/>
      <c r="G88" s="85"/>
      <c r="H88" s="48"/>
      <c r="I88" s="85"/>
      <c r="J88" s="48"/>
      <c r="K88" s="85"/>
      <c r="L88" s="48"/>
      <c r="M88" s="85"/>
      <c r="N88" s="48"/>
      <c r="O88" s="85"/>
      <c r="P88" s="48"/>
      <c r="Q88" s="85"/>
      <c r="R88" s="48"/>
      <c r="S88" s="85"/>
      <c r="T88" s="48"/>
      <c r="U88" s="85"/>
      <c r="V88" s="48"/>
      <c r="W88" s="85"/>
      <c r="X88" s="48"/>
      <c r="Y88" s="85"/>
      <c r="Z88" s="48"/>
      <c r="AA88" s="85"/>
      <c r="AB88" s="48"/>
      <c r="AC88" s="85"/>
      <c r="AD88" s="224"/>
      <c r="AE88" s="225"/>
      <c r="AF88" s="222"/>
      <c r="AG88" s="88">
        <f t="shared" si="4"/>
        <v>0</v>
      </c>
      <c r="AH88" s="93">
        <f t="shared" si="5"/>
        <v>0</v>
      </c>
      <c r="AI88" s="90"/>
      <c r="AJ88" s="95"/>
      <c r="AK88" s="94">
        <f t="shared" si="6"/>
        <v>0</v>
      </c>
    </row>
    <row r="89" spans="1:37" x14ac:dyDescent="0.2">
      <c r="A89" s="20">
        <f>+'SERVICIO FAENA'!A88</f>
        <v>86</v>
      </c>
      <c r="B89" s="18">
        <f>+'SERVICIO FAENA'!E88</f>
        <v>46077</v>
      </c>
      <c r="C89" s="20">
        <f>+'SERVICIO FAENA'!C88</f>
        <v>50</v>
      </c>
      <c r="D89" s="87"/>
      <c r="E89" s="48"/>
      <c r="F89" s="48"/>
      <c r="G89" s="85"/>
      <c r="H89" s="48"/>
      <c r="I89" s="85"/>
      <c r="J89" s="48"/>
      <c r="K89" s="85"/>
      <c r="L89" s="48"/>
      <c r="M89" s="85"/>
      <c r="N89" s="48"/>
      <c r="O89" s="85"/>
      <c r="P89" s="48"/>
      <c r="Q89" s="85"/>
      <c r="R89" s="48"/>
      <c r="S89" s="85"/>
      <c r="T89" s="48"/>
      <c r="U89" s="85"/>
      <c r="V89" s="48"/>
      <c r="W89" s="85"/>
      <c r="X89" s="48"/>
      <c r="Y89" s="85"/>
      <c r="Z89" s="48"/>
      <c r="AA89" s="85"/>
      <c r="AB89" s="48"/>
      <c r="AC89" s="85"/>
      <c r="AD89" s="224"/>
      <c r="AE89" s="225"/>
      <c r="AF89" s="222"/>
      <c r="AG89" s="88">
        <f t="shared" si="4"/>
        <v>0</v>
      </c>
      <c r="AH89" s="93">
        <f t="shared" si="5"/>
        <v>0</v>
      </c>
      <c r="AI89" s="90"/>
      <c r="AJ89" s="95"/>
      <c r="AK89" s="94">
        <f t="shared" si="6"/>
        <v>0</v>
      </c>
    </row>
    <row r="90" spans="1:37" x14ac:dyDescent="0.2">
      <c r="A90" s="20">
        <f>+'SERVICIO FAENA'!A89</f>
        <v>87</v>
      </c>
      <c r="B90" s="18">
        <f>+'SERVICIO FAENA'!E89</f>
        <v>46077</v>
      </c>
      <c r="C90" s="20">
        <f>+'SERVICIO FAENA'!C89</f>
        <v>18</v>
      </c>
      <c r="D90" s="87"/>
      <c r="E90" s="48"/>
      <c r="F90" s="48"/>
      <c r="G90" s="85"/>
      <c r="H90" s="48"/>
      <c r="I90" s="85"/>
      <c r="J90" s="48"/>
      <c r="K90" s="85"/>
      <c r="L90" s="48"/>
      <c r="M90" s="85"/>
      <c r="N90" s="48"/>
      <c r="O90" s="85"/>
      <c r="P90" s="48"/>
      <c r="Q90" s="85"/>
      <c r="R90" s="48"/>
      <c r="S90" s="85"/>
      <c r="T90" s="48"/>
      <c r="U90" s="85"/>
      <c r="V90" s="48"/>
      <c r="W90" s="85"/>
      <c r="X90" s="48"/>
      <c r="Y90" s="85"/>
      <c r="Z90" s="48"/>
      <c r="AA90" s="85"/>
      <c r="AB90" s="48"/>
      <c r="AC90" s="85"/>
      <c r="AD90" s="222"/>
      <c r="AE90" s="223"/>
      <c r="AF90" s="222"/>
      <c r="AG90" s="88">
        <f t="shared" si="4"/>
        <v>0</v>
      </c>
      <c r="AH90" s="93">
        <f t="shared" si="5"/>
        <v>0</v>
      </c>
      <c r="AI90" s="91"/>
      <c r="AJ90" s="96"/>
      <c r="AK90" s="94">
        <f t="shared" si="6"/>
        <v>0</v>
      </c>
    </row>
    <row r="91" spans="1:37" x14ac:dyDescent="0.2">
      <c r="A91" s="20">
        <f>+'SERVICIO FAENA'!A90</f>
        <v>88</v>
      </c>
      <c r="B91" s="18">
        <f>+'SERVICIO FAENA'!E90</f>
        <v>46078</v>
      </c>
      <c r="C91" s="20">
        <f>+'SERVICIO FAENA'!C90</f>
        <v>8</v>
      </c>
      <c r="D91" s="87"/>
      <c r="E91" s="48"/>
      <c r="F91" s="48"/>
      <c r="G91" s="85"/>
      <c r="H91" s="48"/>
      <c r="I91" s="85"/>
      <c r="J91" s="48"/>
      <c r="K91" s="85"/>
      <c r="L91" s="48"/>
      <c r="M91" s="85"/>
      <c r="N91" s="48"/>
      <c r="O91" s="85"/>
      <c r="P91" s="48"/>
      <c r="Q91" s="85"/>
      <c r="R91" s="48"/>
      <c r="S91" s="85"/>
      <c r="T91" s="48"/>
      <c r="U91" s="85"/>
      <c r="V91" s="48"/>
      <c r="W91" s="85"/>
      <c r="X91" s="48"/>
      <c r="Y91" s="85"/>
      <c r="Z91" s="48"/>
      <c r="AA91" s="85"/>
      <c r="AB91" s="48"/>
      <c r="AC91" s="85"/>
      <c r="AD91" s="224"/>
      <c r="AE91" s="225"/>
      <c r="AF91" s="222"/>
      <c r="AG91" s="88">
        <f t="shared" si="4"/>
        <v>0</v>
      </c>
      <c r="AH91" s="93">
        <f t="shared" si="5"/>
        <v>0</v>
      </c>
      <c r="AI91" s="90"/>
      <c r="AJ91" s="95"/>
      <c r="AK91" s="94">
        <f t="shared" si="6"/>
        <v>0</v>
      </c>
    </row>
    <row r="92" spans="1:37" x14ac:dyDescent="0.2">
      <c r="A92" s="20">
        <f>+'SERVICIO FAENA'!A91</f>
        <v>89</v>
      </c>
      <c r="B92" s="18">
        <f>+'SERVICIO FAENA'!E91</f>
        <v>46078</v>
      </c>
      <c r="C92" s="20">
        <f>+'SERVICIO FAENA'!C91</f>
        <v>7</v>
      </c>
      <c r="D92" s="87"/>
      <c r="E92" s="48"/>
      <c r="F92" s="48"/>
      <c r="G92" s="85"/>
      <c r="H92" s="48"/>
      <c r="I92" s="85"/>
      <c r="J92" s="48"/>
      <c r="K92" s="85"/>
      <c r="L92" s="48"/>
      <c r="M92" s="85"/>
      <c r="N92" s="48"/>
      <c r="O92" s="85"/>
      <c r="P92" s="48"/>
      <c r="Q92" s="85"/>
      <c r="R92" s="48"/>
      <c r="S92" s="85"/>
      <c r="T92" s="48"/>
      <c r="U92" s="85"/>
      <c r="V92" s="48"/>
      <c r="W92" s="85"/>
      <c r="X92" s="48"/>
      <c r="Y92" s="85"/>
      <c r="Z92" s="48"/>
      <c r="AA92" s="85"/>
      <c r="AB92" s="48"/>
      <c r="AC92" s="85"/>
      <c r="AD92" s="224"/>
      <c r="AE92" s="225"/>
      <c r="AF92" s="222"/>
      <c r="AG92" s="88">
        <f t="shared" si="4"/>
        <v>0</v>
      </c>
      <c r="AH92" s="93">
        <f t="shared" si="5"/>
        <v>0</v>
      </c>
      <c r="AI92" s="90"/>
      <c r="AJ92" s="95"/>
      <c r="AK92" s="94">
        <f t="shared" si="6"/>
        <v>0</v>
      </c>
    </row>
    <row r="93" spans="1:37" x14ac:dyDescent="0.2">
      <c r="A93" s="20">
        <f>+'SERVICIO FAENA'!A92</f>
        <v>90</v>
      </c>
      <c r="B93" s="18">
        <f>+'SERVICIO FAENA'!E92</f>
        <v>46078</v>
      </c>
      <c r="C93" s="20">
        <f>+'SERVICIO FAENA'!C92</f>
        <v>11</v>
      </c>
      <c r="D93" s="87"/>
      <c r="E93" s="48"/>
      <c r="F93" s="48"/>
      <c r="G93" s="85"/>
      <c r="H93" s="48"/>
      <c r="I93" s="85"/>
      <c r="J93" s="48"/>
      <c r="K93" s="85"/>
      <c r="L93" s="48"/>
      <c r="M93" s="85"/>
      <c r="N93" s="48"/>
      <c r="O93" s="85"/>
      <c r="P93" s="48"/>
      <c r="Q93" s="85"/>
      <c r="R93" s="48"/>
      <c r="S93" s="85"/>
      <c r="T93" s="48"/>
      <c r="U93" s="85"/>
      <c r="V93" s="48"/>
      <c r="W93" s="85"/>
      <c r="X93" s="48"/>
      <c r="Y93" s="85"/>
      <c r="Z93" s="48"/>
      <c r="AA93" s="85"/>
      <c r="AB93" s="48"/>
      <c r="AC93" s="85"/>
      <c r="AD93" s="222"/>
      <c r="AE93" s="223"/>
      <c r="AF93" s="222"/>
      <c r="AG93" s="88">
        <f t="shared" si="4"/>
        <v>0</v>
      </c>
      <c r="AH93" s="93">
        <f t="shared" si="5"/>
        <v>0</v>
      </c>
      <c r="AI93" s="91"/>
      <c r="AJ93" s="96"/>
      <c r="AK93" s="94">
        <f t="shared" si="6"/>
        <v>0</v>
      </c>
    </row>
    <row r="94" spans="1:37" x14ac:dyDescent="0.2">
      <c r="A94" s="20">
        <f>+'SERVICIO FAENA'!A93</f>
        <v>91</v>
      </c>
      <c r="B94" s="18">
        <f>+'SERVICIO FAENA'!E93</f>
        <v>46080</v>
      </c>
      <c r="C94" s="20">
        <f>+'SERVICIO FAENA'!C93</f>
        <v>15</v>
      </c>
      <c r="D94" s="87"/>
      <c r="E94" s="48"/>
      <c r="F94" s="48"/>
      <c r="G94" s="85"/>
      <c r="H94" s="48"/>
      <c r="I94" s="85"/>
      <c r="J94" s="48"/>
      <c r="K94" s="85"/>
      <c r="L94" s="48"/>
      <c r="M94" s="85"/>
      <c r="N94" s="48"/>
      <c r="O94" s="85"/>
      <c r="P94" s="48"/>
      <c r="Q94" s="85"/>
      <c r="R94" s="48"/>
      <c r="S94" s="85"/>
      <c r="T94" s="48"/>
      <c r="U94" s="85"/>
      <c r="V94" s="48"/>
      <c r="W94" s="85"/>
      <c r="X94" s="48"/>
      <c r="Y94" s="85"/>
      <c r="Z94" s="48"/>
      <c r="AA94" s="85"/>
      <c r="AB94" s="48"/>
      <c r="AC94" s="85"/>
      <c r="AD94" s="224"/>
      <c r="AE94" s="225"/>
      <c r="AF94" s="222"/>
      <c r="AG94" s="88">
        <f t="shared" si="4"/>
        <v>0</v>
      </c>
      <c r="AH94" s="93">
        <f t="shared" si="5"/>
        <v>0</v>
      </c>
      <c r="AI94" s="90"/>
      <c r="AJ94" s="95"/>
      <c r="AK94" s="94">
        <f t="shared" si="6"/>
        <v>0</v>
      </c>
    </row>
    <row r="95" spans="1:37" x14ac:dyDescent="0.2">
      <c r="A95" s="20">
        <f>+'SERVICIO FAENA'!A94</f>
        <v>92</v>
      </c>
      <c r="B95" s="18">
        <f>+'SERVICIO FAENA'!E94</f>
        <v>46080</v>
      </c>
      <c r="C95" s="20">
        <f>+'SERVICIO FAENA'!C94</f>
        <v>10</v>
      </c>
      <c r="D95" s="87"/>
      <c r="E95" s="48"/>
      <c r="F95" s="48"/>
      <c r="G95" s="85"/>
      <c r="H95" s="48"/>
      <c r="I95" s="85"/>
      <c r="J95" s="48"/>
      <c r="K95" s="85"/>
      <c r="L95" s="48"/>
      <c r="M95" s="85"/>
      <c r="N95" s="48"/>
      <c r="O95" s="85"/>
      <c r="P95" s="48"/>
      <c r="Q95" s="85"/>
      <c r="R95" s="48"/>
      <c r="S95" s="85"/>
      <c r="T95" s="48"/>
      <c r="U95" s="85"/>
      <c r="V95" s="48"/>
      <c r="W95" s="85"/>
      <c r="X95" s="48"/>
      <c r="Y95" s="85"/>
      <c r="Z95" s="48"/>
      <c r="AA95" s="85"/>
      <c r="AB95" s="48"/>
      <c r="AC95" s="85"/>
      <c r="AD95" s="224"/>
      <c r="AE95" s="225"/>
      <c r="AF95" s="222"/>
      <c r="AG95" s="88">
        <f t="shared" si="4"/>
        <v>0</v>
      </c>
      <c r="AH95" s="93">
        <f t="shared" si="5"/>
        <v>0</v>
      </c>
      <c r="AI95" s="90"/>
      <c r="AJ95" s="95"/>
      <c r="AK95" s="94">
        <f t="shared" si="6"/>
        <v>0</v>
      </c>
    </row>
    <row r="96" spans="1:37" x14ac:dyDescent="0.2">
      <c r="A96" s="20">
        <f>+'SERVICIO FAENA'!A95</f>
        <v>93</v>
      </c>
      <c r="B96" s="18">
        <f>+'SERVICIO FAENA'!E95</f>
        <v>46080</v>
      </c>
      <c r="C96" s="20">
        <f>+'SERVICIO FAENA'!C95</f>
        <v>20</v>
      </c>
      <c r="D96" s="87"/>
      <c r="E96" s="48"/>
      <c r="F96" s="48"/>
      <c r="G96" s="85"/>
      <c r="H96" s="48"/>
      <c r="I96" s="85"/>
      <c r="J96" s="48"/>
      <c r="K96" s="85"/>
      <c r="L96" s="48"/>
      <c r="M96" s="85"/>
      <c r="N96" s="48"/>
      <c r="O96" s="85"/>
      <c r="P96" s="48"/>
      <c r="Q96" s="85"/>
      <c r="R96" s="48"/>
      <c r="S96" s="85"/>
      <c r="T96" s="48"/>
      <c r="U96" s="85"/>
      <c r="V96" s="48"/>
      <c r="W96" s="85"/>
      <c r="X96" s="48"/>
      <c r="Y96" s="85"/>
      <c r="Z96" s="48"/>
      <c r="AA96" s="85"/>
      <c r="AB96" s="48"/>
      <c r="AC96" s="85"/>
      <c r="AD96" s="222"/>
      <c r="AE96" s="223"/>
      <c r="AF96" s="222"/>
      <c r="AG96" s="88">
        <f t="shared" si="4"/>
        <v>0</v>
      </c>
      <c r="AH96" s="93">
        <f t="shared" si="5"/>
        <v>0</v>
      </c>
      <c r="AI96" s="91"/>
      <c r="AJ96" s="96"/>
      <c r="AK96" s="94">
        <f t="shared" si="6"/>
        <v>0</v>
      </c>
    </row>
    <row r="97" spans="1:37" x14ac:dyDescent="0.2">
      <c r="A97" s="20">
        <f>+'SERVICIO FAENA'!A96</f>
        <v>94</v>
      </c>
      <c r="B97" s="18">
        <f>+'SERVICIO FAENA'!E96</f>
        <v>46080</v>
      </c>
      <c r="C97" s="20">
        <f>+'SERVICIO FAENA'!C96</f>
        <v>8</v>
      </c>
      <c r="D97" s="87"/>
      <c r="E97" s="48"/>
      <c r="F97" s="48"/>
      <c r="G97" s="85"/>
      <c r="H97" s="48"/>
      <c r="I97" s="85"/>
      <c r="J97" s="48"/>
      <c r="K97" s="85"/>
      <c r="L97" s="48"/>
      <c r="M97" s="85"/>
      <c r="N97" s="48"/>
      <c r="O97" s="85"/>
      <c r="P97" s="48"/>
      <c r="Q97" s="85"/>
      <c r="R97" s="48"/>
      <c r="S97" s="85"/>
      <c r="T97" s="48"/>
      <c r="U97" s="85"/>
      <c r="V97" s="48"/>
      <c r="W97" s="85"/>
      <c r="X97" s="48"/>
      <c r="Y97" s="85"/>
      <c r="Z97" s="48"/>
      <c r="AA97" s="85"/>
      <c r="AB97" s="48"/>
      <c r="AC97" s="85"/>
      <c r="AD97" s="224"/>
      <c r="AE97" s="225"/>
      <c r="AF97" s="222"/>
      <c r="AG97" s="88">
        <f t="shared" si="4"/>
        <v>0</v>
      </c>
      <c r="AH97" s="93">
        <f t="shared" si="5"/>
        <v>0</v>
      </c>
      <c r="AI97" s="90"/>
      <c r="AJ97" s="95"/>
      <c r="AK97" s="94">
        <f t="shared" si="6"/>
        <v>0</v>
      </c>
    </row>
    <row r="98" spans="1:37" x14ac:dyDescent="0.2">
      <c r="A98" s="20">
        <f>+'SERVICIO FAENA'!A97</f>
        <v>95</v>
      </c>
      <c r="B98" s="18">
        <f>+'SERVICIO FAENA'!E97</f>
        <v>46080</v>
      </c>
      <c r="C98" s="20">
        <f>+'SERVICIO FAENA'!C97</f>
        <v>15</v>
      </c>
      <c r="D98" s="87"/>
      <c r="E98" s="48"/>
      <c r="F98" s="48"/>
      <c r="G98" s="85"/>
      <c r="H98" s="48"/>
      <c r="I98" s="85"/>
      <c r="J98" s="48"/>
      <c r="K98" s="85"/>
      <c r="L98" s="48"/>
      <c r="M98" s="85"/>
      <c r="N98" s="48"/>
      <c r="O98" s="85"/>
      <c r="P98" s="48"/>
      <c r="Q98" s="85"/>
      <c r="R98" s="48"/>
      <c r="S98" s="85"/>
      <c r="T98" s="48"/>
      <c r="U98" s="85"/>
      <c r="V98" s="48"/>
      <c r="W98" s="85"/>
      <c r="X98" s="48"/>
      <c r="Y98" s="85"/>
      <c r="Z98" s="48"/>
      <c r="AA98" s="85"/>
      <c r="AB98" s="48"/>
      <c r="AC98" s="85"/>
      <c r="AD98" s="224"/>
      <c r="AE98" s="225"/>
      <c r="AF98" s="222"/>
      <c r="AG98" s="88">
        <f t="shared" si="4"/>
        <v>0</v>
      </c>
      <c r="AH98" s="93">
        <f t="shared" si="5"/>
        <v>0</v>
      </c>
      <c r="AI98" s="90"/>
      <c r="AJ98" s="95"/>
      <c r="AK98" s="94">
        <f t="shared" si="6"/>
        <v>0</v>
      </c>
    </row>
    <row r="99" spans="1:37" x14ac:dyDescent="0.2">
      <c r="A99" s="20">
        <f>+'SERVICIO FAENA'!A98</f>
        <v>96</v>
      </c>
      <c r="B99" s="18">
        <f>+'SERVICIO FAENA'!E98</f>
        <v>46080</v>
      </c>
      <c r="C99" s="20">
        <f>+'SERVICIO FAENA'!C98</f>
        <v>22</v>
      </c>
      <c r="D99" s="87"/>
      <c r="E99" s="48"/>
      <c r="F99" s="48"/>
      <c r="G99" s="85"/>
      <c r="H99" s="48"/>
      <c r="I99" s="85"/>
      <c r="J99" s="48"/>
      <c r="K99" s="85"/>
      <c r="L99" s="48"/>
      <c r="M99" s="85"/>
      <c r="N99" s="48"/>
      <c r="O99" s="85"/>
      <c r="P99" s="48"/>
      <c r="Q99" s="85"/>
      <c r="R99" s="48"/>
      <c r="S99" s="85"/>
      <c r="T99" s="48"/>
      <c r="U99" s="85"/>
      <c r="V99" s="48"/>
      <c r="W99" s="85"/>
      <c r="X99" s="48"/>
      <c r="Y99" s="85"/>
      <c r="Z99" s="48"/>
      <c r="AA99" s="85"/>
      <c r="AB99" s="48"/>
      <c r="AC99" s="85"/>
      <c r="AD99" s="222"/>
      <c r="AE99" s="223"/>
      <c r="AF99" s="222"/>
      <c r="AG99" s="88">
        <f t="shared" si="4"/>
        <v>0</v>
      </c>
      <c r="AH99" s="93">
        <f t="shared" si="5"/>
        <v>0</v>
      </c>
      <c r="AI99" s="91"/>
      <c r="AJ99" s="96"/>
      <c r="AK99" s="94">
        <f t="shared" si="6"/>
        <v>0</v>
      </c>
    </row>
    <row r="100" spans="1:37" x14ac:dyDescent="0.2">
      <c r="A100" s="20">
        <f>+'SERVICIO FAENA'!A99</f>
        <v>97</v>
      </c>
      <c r="B100" s="18">
        <f>+'SERVICIO FAENA'!E99</f>
        <v>46083</v>
      </c>
      <c r="C100" s="20">
        <f>+'SERVICIO FAENA'!C99</f>
        <v>18</v>
      </c>
      <c r="D100" s="87"/>
      <c r="E100" s="48"/>
      <c r="F100" s="48"/>
      <c r="G100" s="85"/>
      <c r="H100" s="48"/>
      <c r="I100" s="85"/>
      <c r="J100" s="48"/>
      <c r="K100" s="85"/>
      <c r="L100" s="48"/>
      <c r="M100" s="85"/>
      <c r="N100" s="48"/>
      <c r="O100" s="85"/>
      <c r="P100" s="48"/>
      <c r="Q100" s="85"/>
      <c r="R100" s="48"/>
      <c r="S100" s="85"/>
      <c r="T100" s="48"/>
      <c r="U100" s="85"/>
      <c r="V100" s="48"/>
      <c r="W100" s="85"/>
      <c r="X100" s="48"/>
      <c r="Y100" s="85"/>
      <c r="Z100" s="48"/>
      <c r="AA100" s="85"/>
      <c r="AB100" s="48"/>
      <c r="AC100" s="85"/>
      <c r="AD100" s="224"/>
      <c r="AE100" s="225"/>
      <c r="AF100" s="222"/>
      <c r="AG100" s="88">
        <f t="shared" si="4"/>
        <v>0</v>
      </c>
      <c r="AH100" s="93">
        <f t="shared" si="5"/>
        <v>0</v>
      </c>
      <c r="AI100" s="90"/>
      <c r="AJ100" s="95"/>
      <c r="AK100" s="94">
        <f t="shared" si="6"/>
        <v>0</v>
      </c>
    </row>
    <row r="101" spans="1:37" x14ac:dyDescent="0.2">
      <c r="A101" s="20">
        <f>+'SERVICIO FAENA'!A100</f>
        <v>98</v>
      </c>
      <c r="B101" s="18">
        <f>+'SERVICIO FAENA'!E100</f>
        <v>46083</v>
      </c>
      <c r="C101" s="20">
        <f>+'SERVICIO FAENA'!C100</f>
        <v>44</v>
      </c>
      <c r="D101" s="87"/>
      <c r="E101" s="48"/>
      <c r="F101" s="48"/>
      <c r="G101" s="85"/>
      <c r="H101" s="48"/>
      <c r="I101" s="85"/>
      <c r="J101" s="48"/>
      <c r="K101" s="85"/>
      <c r="L101" s="48"/>
      <c r="M101" s="85"/>
      <c r="N101" s="48"/>
      <c r="O101" s="85"/>
      <c r="P101" s="48"/>
      <c r="Q101" s="85"/>
      <c r="R101" s="48"/>
      <c r="S101" s="85"/>
      <c r="T101" s="48"/>
      <c r="U101" s="85"/>
      <c r="V101" s="48"/>
      <c r="W101" s="85"/>
      <c r="X101" s="48"/>
      <c r="Y101" s="85"/>
      <c r="Z101" s="48"/>
      <c r="AA101" s="85"/>
      <c r="AB101" s="48"/>
      <c r="AC101" s="85"/>
      <c r="AD101" s="224"/>
      <c r="AE101" s="225"/>
      <c r="AF101" s="222"/>
      <c r="AG101" s="88">
        <f t="shared" si="4"/>
        <v>0</v>
      </c>
      <c r="AH101" s="93">
        <f t="shared" si="5"/>
        <v>0</v>
      </c>
      <c r="AI101" s="90"/>
      <c r="AJ101" s="95"/>
      <c r="AK101" s="94">
        <f t="shared" si="6"/>
        <v>0</v>
      </c>
    </row>
    <row r="102" spans="1:37" x14ac:dyDescent="0.2">
      <c r="A102" s="20">
        <f>+'SERVICIO FAENA'!A101</f>
        <v>99</v>
      </c>
      <c r="B102" s="18">
        <f>+'SERVICIO FAENA'!E101</f>
        <v>46083</v>
      </c>
      <c r="C102" s="20">
        <f>+'SERVICIO FAENA'!C101</f>
        <v>21</v>
      </c>
      <c r="D102" s="87"/>
      <c r="E102" s="48"/>
      <c r="F102" s="48"/>
      <c r="G102" s="85"/>
      <c r="H102" s="48"/>
      <c r="I102" s="85"/>
      <c r="J102" s="48"/>
      <c r="K102" s="85"/>
      <c r="L102" s="48"/>
      <c r="M102" s="85"/>
      <c r="N102" s="48"/>
      <c r="O102" s="85"/>
      <c r="P102" s="48"/>
      <c r="Q102" s="85"/>
      <c r="R102" s="48"/>
      <c r="S102" s="85"/>
      <c r="T102" s="48"/>
      <c r="U102" s="85"/>
      <c r="V102" s="48"/>
      <c r="W102" s="85"/>
      <c r="X102" s="48"/>
      <c r="Y102" s="85"/>
      <c r="Z102" s="48"/>
      <c r="AA102" s="85"/>
      <c r="AB102" s="48"/>
      <c r="AC102" s="85"/>
      <c r="AD102" s="222"/>
      <c r="AE102" s="223"/>
      <c r="AF102" s="222"/>
      <c r="AG102" s="88">
        <f t="shared" ref="AG102:AG165" si="7">+D102*E102</f>
        <v>0</v>
      </c>
      <c r="AH102" s="93">
        <f t="shared" ref="AH102:AH165" si="8">+AG102*1.105</f>
        <v>0</v>
      </c>
      <c r="AI102" s="91"/>
      <c r="AJ102" s="96"/>
      <c r="AK102" s="94">
        <f t="shared" ref="AK102:AK165" si="9">+AJ102-AH102</f>
        <v>0</v>
      </c>
    </row>
    <row r="103" spans="1:37" x14ac:dyDescent="0.2">
      <c r="A103" s="20">
        <f>+'SERVICIO FAENA'!A102</f>
        <v>100</v>
      </c>
      <c r="B103" s="18">
        <f>+'SERVICIO FAENA'!E102</f>
        <v>46084</v>
      </c>
      <c r="C103" s="20">
        <f>+'SERVICIO FAENA'!C102</f>
        <v>18</v>
      </c>
      <c r="D103" s="87"/>
      <c r="E103" s="48"/>
      <c r="F103" s="48"/>
      <c r="G103" s="85"/>
      <c r="H103" s="48"/>
      <c r="I103" s="85"/>
      <c r="J103" s="48"/>
      <c r="K103" s="85"/>
      <c r="L103" s="48"/>
      <c r="M103" s="85"/>
      <c r="N103" s="48"/>
      <c r="O103" s="85"/>
      <c r="P103" s="48"/>
      <c r="Q103" s="85"/>
      <c r="R103" s="48"/>
      <c r="S103" s="85"/>
      <c r="T103" s="48"/>
      <c r="U103" s="85"/>
      <c r="V103" s="48"/>
      <c r="W103" s="85"/>
      <c r="X103" s="48"/>
      <c r="Y103" s="85"/>
      <c r="Z103" s="48"/>
      <c r="AA103" s="85"/>
      <c r="AB103" s="48"/>
      <c r="AC103" s="85"/>
      <c r="AD103" s="224"/>
      <c r="AE103" s="225"/>
      <c r="AF103" s="222"/>
      <c r="AG103" s="88">
        <f t="shared" si="7"/>
        <v>0</v>
      </c>
      <c r="AH103" s="93">
        <f t="shared" si="8"/>
        <v>0</v>
      </c>
      <c r="AI103" s="90"/>
      <c r="AJ103" s="95"/>
      <c r="AK103" s="94">
        <f t="shared" si="9"/>
        <v>0</v>
      </c>
    </row>
    <row r="104" spans="1:37" x14ac:dyDescent="0.2">
      <c r="A104" s="20">
        <f>+'SERVICIO FAENA'!A103</f>
        <v>101</v>
      </c>
      <c r="B104" s="18">
        <f>+'SERVICIO FAENA'!E103</f>
        <v>46085</v>
      </c>
      <c r="C104" s="20">
        <f>+'SERVICIO FAENA'!C103</f>
        <v>8</v>
      </c>
      <c r="D104" s="87"/>
      <c r="E104" s="48"/>
      <c r="F104" s="48"/>
      <c r="G104" s="85"/>
      <c r="H104" s="48"/>
      <c r="I104" s="85"/>
      <c r="J104" s="48"/>
      <c r="K104" s="85"/>
      <c r="L104" s="48"/>
      <c r="M104" s="85"/>
      <c r="N104" s="48"/>
      <c r="O104" s="85"/>
      <c r="P104" s="48"/>
      <c r="Q104" s="85"/>
      <c r="R104" s="48"/>
      <c r="S104" s="85"/>
      <c r="T104" s="48"/>
      <c r="U104" s="85"/>
      <c r="V104" s="48"/>
      <c r="W104" s="85"/>
      <c r="X104" s="48"/>
      <c r="Y104" s="85"/>
      <c r="Z104" s="48"/>
      <c r="AA104" s="85"/>
      <c r="AB104" s="48"/>
      <c r="AC104" s="85"/>
      <c r="AD104" s="224"/>
      <c r="AE104" s="225"/>
      <c r="AF104" s="222"/>
      <c r="AG104" s="88">
        <f t="shared" si="7"/>
        <v>0</v>
      </c>
      <c r="AH104" s="93">
        <f t="shared" si="8"/>
        <v>0</v>
      </c>
      <c r="AI104" s="90"/>
      <c r="AJ104" s="95"/>
      <c r="AK104" s="94">
        <f t="shared" si="9"/>
        <v>0</v>
      </c>
    </row>
    <row r="105" spans="1:37" x14ac:dyDescent="0.2">
      <c r="A105" s="20">
        <f>+'SERVICIO FAENA'!A104</f>
        <v>102</v>
      </c>
      <c r="B105" s="18">
        <f>+'SERVICIO FAENA'!E104</f>
        <v>46085</v>
      </c>
      <c r="C105" s="20">
        <f>+'SERVICIO FAENA'!C104</f>
        <v>12</v>
      </c>
      <c r="D105" s="87"/>
      <c r="E105" s="48"/>
      <c r="F105" s="48"/>
      <c r="G105" s="85"/>
      <c r="H105" s="48"/>
      <c r="I105" s="85"/>
      <c r="J105" s="48"/>
      <c r="K105" s="85"/>
      <c r="L105" s="48"/>
      <c r="M105" s="85"/>
      <c r="N105" s="48"/>
      <c r="O105" s="85"/>
      <c r="P105" s="48"/>
      <c r="Q105" s="85"/>
      <c r="R105" s="48"/>
      <c r="S105" s="85"/>
      <c r="T105" s="48"/>
      <c r="U105" s="85"/>
      <c r="V105" s="48"/>
      <c r="W105" s="85"/>
      <c r="X105" s="48"/>
      <c r="Y105" s="85"/>
      <c r="Z105" s="48"/>
      <c r="AA105" s="85"/>
      <c r="AB105" s="48"/>
      <c r="AC105" s="85"/>
      <c r="AD105" s="222"/>
      <c r="AE105" s="223"/>
      <c r="AF105" s="222"/>
      <c r="AG105" s="88">
        <f t="shared" si="7"/>
        <v>0</v>
      </c>
      <c r="AH105" s="93">
        <f t="shared" si="8"/>
        <v>0</v>
      </c>
      <c r="AI105" s="91"/>
      <c r="AJ105" s="96"/>
      <c r="AK105" s="94">
        <f t="shared" si="9"/>
        <v>0</v>
      </c>
    </row>
    <row r="106" spans="1:37" x14ac:dyDescent="0.2">
      <c r="A106" s="20">
        <f>+'SERVICIO FAENA'!A105</f>
        <v>103</v>
      </c>
      <c r="B106" s="18">
        <f>+'SERVICIO FAENA'!E105</f>
        <v>46085</v>
      </c>
      <c r="C106" s="20">
        <f>+'SERVICIO FAENA'!C105</f>
        <v>10</v>
      </c>
      <c r="D106" s="87"/>
      <c r="E106" s="48"/>
      <c r="F106" s="48"/>
      <c r="G106" s="85"/>
      <c r="H106" s="48"/>
      <c r="I106" s="85"/>
      <c r="J106" s="48"/>
      <c r="K106" s="85"/>
      <c r="L106" s="48"/>
      <c r="M106" s="85"/>
      <c r="N106" s="48"/>
      <c r="O106" s="85"/>
      <c r="P106" s="48"/>
      <c r="Q106" s="85"/>
      <c r="R106" s="48"/>
      <c r="S106" s="85"/>
      <c r="T106" s="48"/>
      <c r="U106" s="85"/>
      <c r="V106" s="48"/>
      <c r="W106" s="85"/>
      <c r="X106" s="48"/>
      <c r="Y106" s="85"/>
      <c r="Z106" s="48"/>
      <c r="AA106" s="85"/>
      <c r="AB106" s="48"/>
      <c r="AC106" s="85"/>
      <c r="AD106" s="224"/>
      <c r="AE106" s="225"/>
      <c r="AF106" s="222"/>
      <c r="AG106" s="88">
        <f t="shared" si="7"/>
        <v>0</v>
      </c>
      <c r="AH106" s="93">
        <f t="shared" si="8"/>
        <v>0</v>
      </c>
      <c r="AI106" s="90"/>
      <c r="AJ106" s="95"/>
      <c r="AK106" s="94">
        <f t="shared" si="9"/>
        <v>0</v>
      </c>
    </row>
    <row r="107" spans="1:37" x14ac:dyDescent="0.2">
      <c r="A107" s="20">
        <f>+'SERVICIO FAENA'!A106</f>
        <v>104</v>
      </c>
      <c r="B107" s="18">
        <f>+'SERVICIO FAENA'!E106</f>
        <v>46085</v>
      </c>
      <c r="C107" s="20">
        <f>+'SERVICIO FAENA'!C106</f>
        <v>20</v>
      </c>
      <c r="D107" s="87"/>
      <c r="E107" s="48"/>
      <c r="F107" s="48"/>
      <c r="G107" s="85"/>
      <c r="H107" s="48"/>
      <c r="I107" s="85"/>
      <c r="J107" s="48"/>
      <c r="K107" s="85"/>
      <c r="L107" s="48"/>
      <c r="M107" s="85"/>
      <c r="N107" s="48"/>
      <c r="O107" s="85"/>
      <c r="P107" s="48"/>
      <c r="Q107" s="85"/>
      <c r="R107" s="48"/>
      <c r="S107" s="85"/>
      <c r="T107" s="48"/>
      <c r="U107" s="85"/>
      <c r="V107" s="48"/>
      <c r="W107" s="85"/>
      <c r="X107" s="48"/>
      <c r="Y107" s="85"/>
      <c r="Z107" s="48"/>
      <c r="AA107" s="85"/>
      <c r="AB107" s="48"/>
      <c r="AC107" s="85"/>
      <c r="AD107" s="224"/>
      <c r="AE107" s="225"/>
      <c r="AF107" s="222"/>
      <c r="AG107" s="88">
        <f t="shared" si="7"/>
        <v>0</v>
      </c>
      <c r="AH107" s="93">
        <f t="shared" si="8"/>
        <v>0</v>
      </c>
      <c r="AI107" s="90"/>
      <c r="AJ107" s="95"/>
      <c r="AK107" s="94">
        <f t="shared" si="9"/>
        <v>0</v>
      </c>
    </row>
    <row r="108" spans="1:37" x14ac:dyDescent="0.2">
      <c r="A108" s="20">
        <f>+'SERVICIO FAENA'!A107</f>
        <v>0</v>
      </c>
      <c r="B108" s="18">
        <f>+'SERVICIO FAENA'!E107</f>
        <v>0</v>
      </c>
      <c r="C108" s="20">
        <f>+'SERVICIO FAENA'!C107</f>
        <v>0</v>
      </c>
      <c r="D108" s="87"/>
      <c r="E108" s="48"/>
      <c r="F108" s="48"/>
      <c r="G108" s="85"/>
      <c r="H108" s="48"/>
      <c r="I108" s="85"/>
      <c r="J108" s="48"/>
      <c r="K108" s="85"/>
      <c r="L108" s="48"/>
      <c r="M108" s="85"/>
      <c r="N108" s="48"/>
      <c r="O108" s="85"/>
      <c r="P108" s="48"/>
      <c r="Q108" s="85"/>
      <c r="R108" s="48"/>
      <c r="S108" s="85"/>
      <c r="T108" s="48"/>
      <c r="U108" s="85"/>
      <c r="V108" s="48"/>
      <c r="W108" s="85"/>
      <c r="X108" s="48"/>
      <c r="Y108" s="85"/>
      <c r="Z108" s="48"/>
      <c r="AA108" s="85"/>
      <c r="AB108" s="48"/>
      <c r="AC108" s="85"/>
      <c r="AD108" s="222"/>
      <c r="AE108" s="223"/>
      <c r="AF108" s="222"/>
      <c r="AG108" s="88">
        <f t="shared" si="7"/>
        <v>0</v>
      </c>
      <c r="AH108" s="93">
        <f t="shared" si="8"/>
        <v>0</v>
      </c>
      <c r="AI108" s="91"/>
      <c r="AJ108" s="96"/>
      <c r="AK108" s="94">
        <f t="shared" si="9"/>
        <v>0</v>
      </c>
    </row>
    <row r="109" spans="1:37" x14ac:dyDescent="0.2">
      <c r="A109" s="20">
        <f>+'SERVICIO FAENA'!A108</f>
        <v>0</v>
      </c>
      <c r="B109" s="18">
        <f>+'SERVICIO FAENA'!E108</f>
        <v>0</v>
      </c>
      <c r="C109" s="20">
        <f>+'SERVICIO FAENA'!C108</f>
        <v>0</v>
      </c>
      <c r="D109" s="87"/>
      <c r="E109" s="48"/>
      <c r="F109" s="48"/>
      <c r="G109" s="85"/>
      <c r="H109" s="48"/>
      <c r="I109" s="85"/>
      <c r="J109" s="48"/>
      <c r="K109" s="85"/>
      <c r="L109" s="48"/>
      <c r="M109" s="85"/>
      <c r="N109" s="48"/>
      <c r="O109" s="85"/>
      <c r="P109" s="48"/>
      <c r="Q109" s="85"/>
      <c r="R109" s="48"/>
      <c r="S109" s="85"/>
      <c r="T109" s="48"/>
      <c r="U109" s="85"/>
      <c r="V109" s="48"/>
      <c r="W109" s="85"/>
      <c r="X109" s="48"/>
      <c r="Y109" s="85"/>
      <c r="Z109" s="48"/>
      <c r="AA109" s="85"/>
      <c r="AB109" s="48"/>
      <c r="AC109" s="85"/>
      <c r="AD109" s="224"/>
      <c r="AE109" s="225"/>
      <c r="AF109" s="222"/>
      <c r="AG109" s="88">
        <f t="shared" si="7"/>
        <v>0</v>
      </c>
      <c r="AH109" s="93">
        <f t="shared" si="8"/>
        <v>0</v>
      </c>
      <c r="AI109" s="90"/>
      <c r="AJ109" s="95"/>
      <c r="AK109" s="94">
        <f t="shared" si="9"/>
        <v>0</v>
      </c>
    </row>
    <row r="110" spans="1:37" x14ac:dyDescent="0.2">
      <c r="A110" s="20">
        <f>+'SERVICIO FAENA'!A109</f>
        <v>0</v>
      </c>
      <c r="B110" s="18">
        <f>+'SERVICIO FAENA'!E109</f>
        <v>0</v>
      </c>
      <c r="C110" s="20">
        <f>+'SERVICIO FAENA'!C109</f>
        <v>0</v>
      </c>
      <c r="D110" s="87"/>
      <c r="E110" s="48"/>
      <c r="F110" s="48"/>
      <c r="G110" s="85"/>
      <c r="H110" s="48"/>
      <c r="I110" s="85"/>
      <c r="J110" s="48"/>
      <c r="K110" s="85"/>
      <c r="L110" s="48"/>
      <c r="M110" s="85"/>
      <c r="N110" s="48"/>
      <c r="O110" s="85"/>
      <c r="P110" s="48"/>
      <c r="Q110" s="85"/>
      <c r="R110" s="48"/>
      <c r="S110" s="85"/>
      <c r="T110" s="48"/>
      <c r="U110" s="85"/>
      <c r="V110" s="48"/>
      <c r="W110" s="85"/>
      <c r="X110" s="48"/>
      <c r="Y110" s="85"/>
      <c r="Z110" s="48"/>
      <c r="AA110" s="85"/>
      <c r="AB110" s="48"/>
      <c r="AC110" s="85"/>
      <c r="AD110" s="224"/>
      <c r="AE110" s="225"/>
      <c r="AF110" s="222"/>
      <c r="AG110" s="88">
        <f t="shared" si="7"/>
        <v>0</v>
      </c>
      <c r="AH110" s="93">
        <f t="shared" si="8"/>
        <v>0</v>
      </c>
      <c r="AI110" s="90"/>
      <c r="AJ110" s="95"/>
      <c r="AK110" s="94">
        <f t="shared" si="9"/>
        <v>0</v>
      </c>
    </row>
    <row r="111" spans="1:37" x14ac:dyDescent="0.2">
      <c r="A111" s="20">
        <f>+'SERVICIO FAENA'!A110</f>
        <v>0</v>
      </c>
      <c r="B111" s="18">
        <f>+'SERVICIO FAENA'!E110</f>
        <v>0</v>
      </c>
      <c r="C111" s="20">
        <f>+'SERVICIO FAENA'!C110</f>
        <v>0</v>
      </c>
      <c r="D111" s="87"/>
      <c r="E111" s="48"/>
      <c r="F111" s="48"/>
      <c r="G111" s="85"/>
      <c r="H111" s="48"/>
      <c r="I111" s="85"/>
      <c r="J111" s="48"/>
      <c r="K111" s="85"/>
      <c r="L111" s="48"/>
      <c r="M111" s="85"/>
      <c r="N111" s="48"/>
      <c r="O111" s="85"/>
      <c r="P111" s="48"/>
      <c r="Q111" s="85"/>
      <c r="R111" s="48"/>
      <c r="S111" s="85"/>
      <c r="T111" s="48"/>
      <c r="U111" s="85"/>
      <c r="V111" s="48"/>
      <c r="W111" s="85"/>
      <c r="X111" s="48"/>
      <c r="Y111" s="85"/>
      <c r="Z111" s="48"/>
      <c r="AA111" s="85"/>
      <c r="AB111" s="48"/>
      <c r="AC111" s="85"/>
      <c r="AD111" s="222"/>
      <c r="AE111" s="223"/>
      <c r="AF111" s="222"/>
      <c r="AG111" s="88">
        <f t="shared" si="7"/>
        <v>0</v>
      </c>
      <c r="AH111" s="93">
        <f t="shared" si="8"/>
        <v>0</v>
      </c>
      <c r="AI111" s="91"/>
      <c r="AJ111" s="96"/>
      <c r="AK111" s="94">
        <f t="shared" si="9"/>
        <v>0</v>
      </c>
    </row>
    <row r="112" spans="1:37" x14ac:dyDescent="0.2">
      <c r="A112" s="20">
        <f>+'SERVICIO FAENA'!A111</f>
        <v>0</v>
      </c>
      <c r="B112" s="18">
        <f>+'SERVICIO FAENA'!E111</f>
        <v>0</v>
      </c>
      <c r="C112" s="20">
        <f>+'SERVICIO FAENA'!C111</f>
        <v>0</v>
      </c>
      <c r="D112" s="87"/>
      <c r="E112" s="48"/>
      <c r="F112" s="48"/>
      <c r="G112" s="85"/>
      <c r="H112" s="48"/>
      <c r="I112" s="85"/>
      <c r="J112" s="48"/>
      <c r="K112" s="85"/>
      <c r="L112" s="48"/>
      <c r="M112" s="85"/>
      <c r="N112" s="48"/>
      <c r="O112" s="85"/>
      <c r="P112" s="48"/>
      <c r="Q112" s="85"/>
      <c r="R112" s="48"/>
      <c r="S112" s="85"/>
      <c r="T112" s="48"/>
      <c r="U112" s="85"/>
      <c r="V112" s="48"/>
      <c r="W112" s="85"/>
      <c r="X112" s="48"/>
      <c r="Y112" s="85"/>
      <c r="Z112" s="48"/>
      <c r="AA112" s="85"/>
      <c r="AB112" s="48"/>
      <c r="AC112" s="85"/>
      <c r="AD112" s="224"/>
      <c r="AE112" s="225"/>
      <c r="AF112" s="222"/>
      <c r="AG112" s="88">
        <f t="shared" si="7"/>
        <v>0</v>
      </c>
      <c r="AH112" s="93">
        <f t="shared" si="8"/>
        <v>0</v>
      </c>
      <c r="AI112" s="90"/>
      <c r="AJ112" s="95"/>
      <c r="AK112" s="94">
        <f t="shared" si="9"/>
        <v>0</v>
      </c>
    </row>
    <row r="113" spans="1:37" x14ac:dyDescent="0.2">
      <c r="A113" s="20">
        <f>+'SERVICIO FAENA'!A112</f>
        <v>0</v>
      </c>
      <c r="B113" s="18">
        <f>+'SERVICIO FAENA'!E112</f>
        <v>0</v>
      </c>
      <c r="C113" s="20">
        <f>+'SERVICIO FAENA'!C112</f>
        <v>0</v>
      </c>
      <c r="D113" s="87"/>
      <c r="E113" s="48"/>
      <c r="F113" s="48"/>
      <c r="G113" s="85"/>
      <c r="H113" s="48"/>
      <c r="I113" s="85"/>
      <c r="J113" s="48"/>
      <c r="K113" s="85"/>
      <c r="L113" s="48"/>
      <c r="M113" s="85"/>
      <c r="N113" s="48"/>
      <c r="O113" s="85"/>
      <c r="P113" s="48"/>
      <c r="Q113" s="85"/>
      <c r="R113" s="48"/>
      <c r="S113" s="85"/>
      <c r="T113" s="48"/>
      <c r="U113" s="85"/>
      <c r="V113" s="48"/>
      <c r="W113" s="85"/>
      <c r="X113" s="48"/>
      <c r="Y113" s="85"/>
      <c r="Z113" s="48"/>
      <c r="AA113" s="85"/>
      <c r="AB113" s="48"/>
      <c r="AC113" s="85"/>
      <c r="AD113" s="224"/>
      <c r="AE113" s="225"/>
      <c r="AF113" s="222"/>
      <c r="AG113" s="88">
        <f t="shared" si="7"/>
        <v>0</v>
      </c>
      <c r="AH113" s="93">
        <f t="shared" si="8"/>
        <v>0</v>
      </c>
      <c r="AI113" s="90"/>
      <c r="AJ113" s="95"/>
      <c r="AK113" s="94">
        <f t="shared" si="9"/>
        <v>0</v>
      </c>
    </row>
    <row r="114" spans="1:37" x14ac:dyDescent="0.2">
      <c r="A114" s="20">
        <f>+'SERVICIO FAENA'!A113</f>
        <v>0</v>
      </c>
      <c r="B114" s="18">
        <f>+'SERVICIO FAENA'!E113</f>
        <v>0</v>
      </c>
      <c r="C114" s="20">
        <f>+'SERVICIO FAENA'!C113</f>
        <v>0</v>
      </c>
      <c r="D114" s="87"/>
      <c r="E114" s="48"/>
      <c r="F114" s="48"/>
      <c r="G114" s="85"/>
      <c r="H114" s="48"/>
      <c r="I114" s="85"/>
      <c r="J114" s="48"/>
      <c r="K114" s="85"/>
      <c r="L114" s="48"/>
      <c r="M114" s="85"/>
      <c r="N114" s="48"/>
      <c r="O114" s="85"/>
      <c r="P114" s="48"/>
      <c r="Q114" s="85"/>
      <c r="R114" s="48"/>
      <c r="S114" s="85"/>
      <c r="T114" s="48"/>
      <c r="U114" s="85"/>
      <c r="V114" s="48"/>
      <c r="W114" s="85"/>
      <c r="X114" s="48"/>
      <c r="Y114" s="85"/>
      <c r="Z114" s="48"/>
      <c r="AA114" s="85"/>
      <c r="AB114" s="48"/>
      <c r="AC114" s="85"/>
      <c r="AD114" s="222"/>
      <c r="AE114" s="223"/>
      <c r="AF114" s="222"/>
      <c r="AG114" s="88">
        <f t="shared" si="7"/>
        <v>0</v>
      </c>
      <c r="AH114" s="93">
        <f t="shared" si="8"/>
        <v>0</v>
      </c>
      <c r="AI114" s="91"/>
      <c r="AJ114" s="96"/>
      <c r="AK114" s="94">
        <f t="shared" si="9"/>
        <v>0</v>
      </c>
    </row>
    <row r="115" spans="1:37" x14ac:dyDescent="0.2">
      <c r="A115" s="20">
        <f>+'SERVICIO FAENA'!A114</f>
        <v>0</v>
      </c>
      <c r="B115" s="18">
        <f>+'SERVICIO FAENA'!E114</f>
        <v>0</v>
      </c>
      <c r="C115" s="20">
        <f>+'SERVICIO FAENA'!C114</f>
        <v>0</v>
      </c>
      <c r="D115" s="87"/>
      <c r="E115" s="48"/>
      <c r="F115" s="48"/>
      <c r="G115" s="85"/>
      <c r="H115" s="48"/>
      <c r="I115" s="85"/>
      <c r="J115" s="48"/>
      <c r="K115" s="85"/>
      <c r="L115" s="48"/>
      <c r="M115" s="85"/>
      <c r="N115" s="48"/>
      <c r="O115" s="85"/>
      <c r="P115" s="48"/>
      <c r="Q115" s="85"/>
      <c r="R115" s="48"/>
      <c r="S115" s="85"/>
      <c r="T115" s="48"/>
      <c r="U115" s="85"/>
      <c r="V115" s="48"/>
      <c r="W115" s="85"/>
      <c r="X115" s="48"/>
      <c r="Y115" s="85"/>
      <c r="Z115" s="48"/>
      <c r="AA115" s="85"/>
      <c r="AB115" s="48"/>
      <c r="AC115" s="85"/>
      <c r="AD115" s="224"/>
      <c r="AE115" s="225"/>
      <c r="AF115" s="222"/>
      <c r="AG115" s="88">
        <f t="shared" si="7"/>
        <v>0</v>
      </c>
      <c r="AH115" s="93">
        <f t="shared" si="8"/>
        <v>0</v>
      </c>
      <c r="AI115" s="90"/>
      <c r="AJ115" s="95"/>
      <c r="AK115" s="94">
        <f t="shared" si="9"/>
        <v>0</v>
      </c>
    </row>
    <row r="116" spans="1:37" x14ac:dyDescent="0.2">
      <c r="A116" s="20">
        <f>+'SERVICIO FAENA'!A115</f>
        <v>0</v>
      </c>
      <c r="B116" s="18">
        <f>+'SERVICIO FAENA'!E115</f>
        <v>0</v>
      </c>
      <c r="C116" s="20">
        <f>+'SERVICIO FAENA'!C115</f>
        <v>0</v>
      </c>
      <c r="D116" s="87"/>
      <c r="E116" s="48"/>
      <c r="F116" s="48"/>
      <c r="G116" s="85"/>
      <c r="H116" s="48"/>
      <c r="I116" s="85"/>
      <c r="J116" s="48"/>
      <c r="K116" s="85"/>
      <c r="L116" s="48"/>
      <c r="M116" s="85"/>
      <c r="N116" s="48"/>
      <c r="O116" s="85"/>
      <c r="P116" s="48"/>
      <c r="Q116" s="85"/>
      <c r="R116" s="48"/>
      <c r="S116" s="85"/>
      <c r="T116" s="48"/>
      <c r="U116" s="85"/>
      <c r="V116" s="48"/>
      <c r="W116" s="85"/>
      <c r="X116" s="48"/>
      <c r="Y116" s="85"/>
      <c r="Z116" s="48"/>
      <c r="AA116" s="85"/>
      <c r="AB116" s="48"/>
      <c r="AC116" s="85"/>
      <c r="AD116" s="224"/>
      <c r="AE116" s="225"/>
      <c r="AF116" s="222"/>
      <c r="AG116" s="88">
        <f t="shared" si="7"/>
        <v>0</v>
      </c>
      <c r="AH116" s="93">
        <f t="shared" si="8"/>
        <v>0</v>
      </c>
      <c r="AI116" s="90"/>
      <c r="AJ116" s="95"/>
      <c r="AK116" s="94">
        <f t="shared" si="9"/>
        <v>0</v>
      </c>
    </row>
    <row r="117" spans="1:37" x14ac:dyDescent="0.2">
      <c r="A117" s="20">
        <f>+'SERVICIO FAENA'!A116</f>
        <v>0</v>
      </c>
      <c r="B117" s="18">
        <f>+'SERVICIO FAENA'!E116</f>
        <v>0</v>
      </c>
      <c r="C117" s="20">
        <f>+'SERVICIO FAENA'!C116</f>
        <v>0</v>
      </c>
      <c r="D117" s="87"/>
      <c r="E117" s="48"/>
      <c r="F117" s="48"/>
      <c r="G117" s="85"/>
      <c r="H117" s="48"/>
      <c r="I117" s="85"/>
      <c r="J117" s="48"/>
      <c r="K117" s="85"/>
      <c r="L117" s="48"/>
      <c r="M117" s="85"/>
      <c r="N117" s="48"/>
      <c r="O117" s="85"/>
      <c r="P117" s="48"/>
      <c r="Q117" s="85"/>
      <c r="R117" s="48"/>
      <c r="S117" s="85"/>
      <c r="T117" s="48"/>
      <c r="U117" s="85"/>
      <c r="V117" s="48"/>
      <c r="W117" s="85"/>
      <c r="X117" s="48"/>
      <c r="Y117" s="85"/>
      <c r="Z117" s="48"/>
      <c r="AA117" s="85"/>
      <c r="AB117" s="48"/>
      <c r="AC117" s="85"/>
      <c r="AD117" s="222"/>
      <c r="AE117" s="223"/>
      <c r="AF117" s="222"/>
      <c r="AG117" s="88">
        <f t="shared" si="7"/>
        <v>0</v>
      </c>
      <c r="AH117" s="93">
        <f t="shared" si="8"/>
        <v>0</v>
      </c>
      <c r="AI117" s="91"/>
      <c r="AJ117" s="96"/>
      <c r="AK117" s="94">
        <f t="shared" si="9"/>
        <v>0</v>
      </c>
    </row>
    <row r="118" spans="1:37" x14ac:dyDescent="0.2">
      <c r="A118" s="20">
        <f>+'SERVICIO FAENA'!A117</f>
        <v>0</v>
      </c>
      <c r="B118" s="18">
        <f>+'SERVICIO FAENA'!E117</f>
        <v>0</v>
      </c>
      <c r="C118" s="20">
        <f>+'SERVICIO FAENA'!C117</f>
        <v>0</v>
      </c>
      <c r="D118" s="87"/>
      <c r="E118" s="48"/>
      <c r="F118" s="48"/>
      <c r="G118" s="85"/>
      <c r="H118" s="48"/>
      <c r="I118" s="85"/>
      <c r="J118" s="48"/>
      <c r="K118" s="85"/>
      <c r="L118" s="48"/>
      <c r="M118" s="85"/>
      <c r="N118" s="48"/>
      <c r="O118" s="85"/>
      <c r="P118" s="48"/>
      <c r="Q118" s="85"/>
      <c r="R118" s="48"/>
      <c r="S118" s="85"/>
      <c r="T118" s="48"/>
      <c r="U118" s="85"/>
      <c r="V118" s="48"/>
      <c r="W118" s="85"/>
      <c r="X118" s="48"/>
      <c r="Y118" s="85"/>
      <c r="Z118" s="48"/>
      <c r="AA118" s="85"/>
      <c r="AB118" s="48"/>
      <c r="AC118" s="85"/>
      <c r="AD118" s="224"/>
      <c r="AE118" s="225"/>
      <c r="AF118" s="222"/>
      <c r="AG118" s="88">
        <f t="shared" si="7"/>
        <v>0</v>
      </c>
      <c r="AH118" s="93">
        <f t="shared" si="8"/>
        <v>0</v>
      </c>
      <c r="AI118" s="90"/>
      <c r="AJ118" s="95"/>
      <c r="AK118" s="94">
        <f t="shared" si="9"/>
        <v>0</v>
      </c>
    </row>
    <row r="119" spans="1:37" x14ac:dyDescent="0.2">
      <c r="A119" s="20">
        <f>+'SERVICIO FAENA'!A118</f>
        <v>0</v>
      </c>
      <c r="B119" s="18">
        <f>+'SERVICIO FAENA'!E118</f>
        <v>0</v>
      </c>
      <c r="C119" s="20">
        <f>+'SERVICIO FAENA'!C118</f>
        <v>0</v>
      </c>
      <c r="D119" s="87"/>
      <c r="E119" s="48"/>
      <c r="F119" s="48"/>
      <c r="G119" s="85"/>
      <c r="H119" s="48"/>
      <c r="I119" s="85"/>
      <c r="J119" s="48"/>
      <c r="K119" s="85"/>
      <c r="L119" s="48"/>
      <c r="M119" s="85"/>
      <c r="N119" s="48"/>
      <c r="O119" s="85"/>
      <c r="P119" s="48"/>
      <c r="Q119" s="85"/>
      <c r="R119" s="48"/>
      <c r="S119" s="85"/>
      <c r="T119" s="48"/>
      <c r="U119" s="85"/>
      <c r="V119" s="48"/>
      <c r="W119" s="85"/>
      <c r="X119" s="48"/>
      <c r="Y119" s="85"/>
      <c r="Z119" s="48"/>
      <c r="AA119" s="85"/>
      <c r="AB119" s="48"/>
      <c r="AC119" s="85"/>
      <c r="AD119" s="224"/>
      <c r="AE119" s="225"/>
      <c r="AF119" s="222"/>
      <c r="AG119" s="88">
        <f t="shared" si="7"/>
        <v>0</v>
      </c>
      <c r="AH119" s="93">
        <f t="shared" si="8"/>
        <v>0</v>
      </c>
      <c r="AI119" s="90"/>
      <c r="AJ119" s="95"/>
      <c r="AK119" s="94">
        <f t="shared" si="9"/>
        <v>0</v>
      </c>
    </row>
    <row r="120" spans="1:37" x14ac:dyDescent="0.2">
      <c r="A120" s="20">
        <f>+'SERVICIO FAENA'!A119</f>
        <v>0</v>
      </c>
      <c r="B120" s="18">
        <f>+'SERVICIO FAENA'!E119</f>
        <v>0</v>
      </c>
      <c r="C120" s="20">
        <f>+'SERVICIO FAENA'!C119</f>
        <v>0</v>
      </c>
      <c r="D120" s="87"/>
      <c r="E120" s="48"/>
      <c r="F120" s="48"/>
      <c r="G120" s="85"/>
      <c r="H120" s="48"/>
      <c r="I120" s="85"/>
      <c r="J120" s="48"/>
      <c r="K120" s="85"/>
      <c r="L120" s="48"/>
      <c r="M120" s="85"/>
      <c r="N120" s="48"/>
      <c r="O120" s="85"/>
      <c r="P120" s="48"/>
      <c r="Q120" s="85"/>
      <c r="R120" s="48"/>
      <c r="S120" s="85"/>
      <c r="T120" s="48"/>
      <c r="U120" s="85"/>
      <c r="V120" s="48"/>
      <c r="W120" s="85"/>
      <c r="X120" s="48"/>
      <c r="Y120" s="85"/>
      <c r="Z120" s="48"/>
      <c r="AA120" s="85"/>
      <c r="AB120" s="48"/>
      <c r="AC120" s="85"/>
      <c r="AD120" s="222"/>
      <c r="AE120" s="223"/>
      <c r="AF120" s="222"/>
      <c r="AG120" s="88">
        <f t="shared" si="7"/>
        <v>0</v>
      </c>
      <c r="AH120" s="93">
        <f t="shared" si="8"/>
        <v>0</v>
      </c>
      <c r="AI120" s="91"/>
      <c r="AJ120" s="96"/>
      <c r="AK120" s="94">
        <f t="shared" si="9"/>
        <v>0</v>
      </c>
    </row>
    <row r="121" spans="1:37" x14ac:dyDescent="0.2">
      <c r="A121" s="20">
        <f>+'SERVICIO FAENA'!A120</f>
        <v>0</v>
      </c>
      <c r="B121" s="18">
        <f>+'SERVICIO FAENA'!E120</f>
        <v>0</v>
      </c>
      <c r="C121" s="20">
        <f>+'SERVICIO FAENA'!C120</f>
        <v>0</v>
      </c>
      <c r="D121" s="87"/>
      <c r="E121" s="48"/>
      <c r="F121" s="48"/>
      <c r="G121" s="85"/>
      <c r="H121" s="48"/>
      <c r="I121" s="85"/>
      <c r="J121" s="48"/>
      <c r="K121" s="85"/>
      <c r="L121" s="48"/>
      <c r="M121" s="85"/>
      <c r="N121" s="48"/>
      <c r="O121" s="85"/>
      <c r="P121" s="48"/>
      <c r="Q121" s="85"/>
      <c r="R121" s="48"/>
      <c r="S121" s="85"/>
      <c r="T121" s="48"/>
      <c r="U121" s="85"/>
      <c r="V121" s="48"/>
      <c r="W121" s="85"/>
      <c r="X121" s="48"/>
      <c r="Y121" s="85"/>
      <c r="Z121" s="48"/>
      <c r="AA121" s="85"/>
      <c r="AB121" s="48"/>
      <c r="AC121" s="85"/>
      <c r="AD121" s="224"/>
      <c r="AE121" s="225"/>
      <c r="AF121" s="222"/>
      <c r="AG121" s="88">
        <f t="shared" si="7"/>
        <v>0</v>
      </c>
      <c r="AH121" s="93">
        <f t="shared" si="8"/>
        <v>0</v>
      </c>
      <c r="AI121" s="90"/>
      <c r="AJ121" s="95"/>
      <c r="AK121" s="94">
        <f t="shared" si="9"/>
        <v>0</v>
      </c>
    </row>
    <row r="122" spans="1:37" x14ac:dyDescent="0.2">
      <c r="A122" s="20">
        <f>+'SERVICIO FAENA'!A121</f>
        <v>0</v>
      </c>
      <c r="B122" s="18">
        <f>+'SERVICIO FAENA'!E121</f>
        <v>0</v>
      </c>
      <c r="C122" s="20">
        <f>+'SERVICIO FAENA'!C121</f>
        <v>0</v>
      </c>
      <c r="D122" s="87"/>
      <c r="E122" s="48"/>
      <c r="F122" s="48"/>
      <c r="G122" s="85"/>
      <c r="H122" s="48"/>
      <c r="I122" s="85"/>
      <c r="J122" s="48"/>
      <c r="K122" s="85"/>
      <c r="L122" s="48"/>
      <c r="M122" s="85"/>
      <c r="N122" s="48"/>
      <c r="O122" s="85"/>
      <c r="P122" s="48"/>
      <c r="Q122" s="85"/>
      <c r="R122" s="48"/>
      <c r="S122" s="85"/>
      <c r="T122" s="48"/>
      <c r="U122" s="85"/>
      <c r="V122" s="48"/>
      <c r="W122" s="85"/>
      <c r="X122" s="48"/>
      <c r="Y122" s="85"/>
      <c r="Z122" s="48"/>
      <c r="AA122" s="85"/>
      <c r="AB122" s="48"/>
      <c r="AC122" s="85"/>
      <c r="AD122" s="224"/>
      <c r="AE122" s="225"/>
      <c r="AF122" s="222"/>
      <c r="AG122" s="88">
        <f t="shared" si="7"/>
        <v>0</v>
      </c>
      <c r="AH122" s="93">
        <f t="shared" si="8"/>
        <v>0</v>
      </c>
      <c r="AI122" s="90"/>
      <c r="AJ122" s="95"/>
      <c r="AK122" s="94">
        <f t="shared" si="9"/>
        <v>0</v>
      </c>
    </row>
    <row r="123" spans="1:37" x14ac:dyDescent="0.2">
      <c r="A123" s="20">
        <f>+'SERVICIO FAENA'!A122</f>
        <v>0</v>
      </c>
      <c r="B123" s="18">
        <f>+'SERVICIO FAENA'!E122</f>
        <v>0</v>
      </c>
      <c r="C123" s="20">
        <f>+'SERVICIO FAENA'!C122</f>
        <v>0</v>
      </c>
      <c r="D123" s="87"/>
      <c r="E123" s="48"/>
      <c r="F123" s="48"/>
      <c r="G123" s="85"/>
      <c r="H123" s="48"/>
      <c r="I123" s="85"/>
      <c r="J123" s="48"/>
      <c r="K123" s="85"/>
      <c r="L123" s="48"/>
      <c r="M123" s="85"/>
      <c r="N123" s="48"/>
      <c r="O123" s="85"/>
      <c r="P123" s="48"/>
      <c r="Q123" s="85"/>
      <c r="R123" s="48"/>
      <c r="S123" s="85"/>
      <c r="T123" s="48"/>
      <c r="U123" s="85"/>
      <c r="V123" s="48"/>
      <c r="W123" s="85"/>
      <c r="X123" s="48"/>
      <c r="Y123" s="85"/>
      <c r="Z123" s="48"/>
      <c r="AA123" s="85"/>
      <c r="AB123" s="48"/>
      <c r="AC123" s="85"/>
      <c r="AD123" s="222"/>
      <c r="AE123" s="223"/>
      <c r="AF123" s="222"/>
      <c r="AG123" s="88">
        <f t="shared" si="7"/>
        <v>0</v>
      </c>
      <c r="AH123" s="93">
        <f t="shared" si="8"/>
        <v>0</v>
      </c>
      <c r="AI123" s="91"/>
      <c r="AJ123" s="96"/>
      <c r="AK123" s="94">
        <f t="shared" si="9"/>
        <v>0</v>
      </c>
    </row>
    <row r="124" spans="1:37" x14ac:dyDescent="0.2">
      <c r="A124" s="20">
        <f>+'SERVICIO FAENA'!A123</f>
        <v>0</v>
      </c>
      <c r="B124" s="18">
        <f>+'SERVICIO FAENA'!E123</f>
        <v>0</v>
      </c>
      <c r="C124" s="20">
        <f>+'SERVICIO FAENA'!C123</f>
        <v>0</v>
      </c>
      <c r="D124" s="87"/>
      <c r="E124" s="48"/>
      <c r="F124" s="48"/>
      <c r="G124" s="85"/>
      <c r="H124" s="48"/>
      <c r="I124" s="85"/>
      <c r="J124" s="48"/>
      <c r="K124" s="85"/>
      <c r="L124" s="48"/>
      <c r="M124" s="85"/>
      <c r="N124" s="48"/>
      <c r="O124" s="85"/>
      <c r="P124" s="48"/>
      <c r="Q124" s="85"/>
      <c r="R124" s="48"/>
      <c r="S124" s="85"/>
      <c r="T124" s="48"/>
      <c r="U124" s="85"/>
      <c r="V124" s="48"/>
      <c r="W124" s="85"/>
      <c r="X124" s="48"/>
      <c r="Y124" s="85"/>
      <c r="Z124" s="48"/>
      <c r="AA124" s="85"/>
      <c r="AB124" s="48"/>
      <c r="AC124" s="85"/>
      <c r="AD124" s="224"/>
      <c r="AE124" s="225"/>
      <c r="AF124" s="222"/>
      <c r="AG124" s="88">
        <f t="shared" si="7"/>
        <v>0</v>
      </c>
      <c r="AH124" s="93">
        <f t="shared" si="8"/>
        <v>0</v>
      </c>
      <c r="AI124" s="90"/>
      <c r="AJ124" s="95"/>
      <c r="AK124" s="94">
        <f t="shared" si="9"/>
        <v>0</v>
      </c>
    </row>
    <row r="125" spans="1:37" x14ac:dyDescent="0.2">
      <c r="A125" s="20">
        <f>+'SERVICIO FAENA'!A124</f>
        <v>0</v>
      </c>
      <c r="B125" s="18">
        <f>+'SERVICIO FAENA'!E124</f>
        <v>0</v>
      </c>
      <c r="C125" s="20">
        <f>+'SERVICIO FAENA'!C124</f>
        <v>0</v>
      </c>
      <c r="D125" s="87"/>
      <c r="E125" s="48"/>
      <c r="F125" s="48"/>
      <c r="G125" s="85"/>
      <c r="H125" s="48"/>
      <c r="I125" s="85"/>
      <c r="J125" s="48"/>
      <c r="K125" s="85"/>
      <c r="L125" s="48"/>
      <c r="M125" s="85"/>
      <c r="N125" s="48"/>
      <c r="O125" s="85"/>
      <c r="P125" s="48"/>
      <c r="Q125" s="85"/>
      <c r="R125" s="48"/>
      <c r="S125" s="85"/>
      <c r="T125" s="48"/>
      <c r="U125" s="85"/>
      <c r="V125" s="48"/>
      <c r="W125" s="85"/>
      <c r="X125" s="48"/>
      <c r="Y125" s="85"/>
      <c r="Z125" s="48"/>
      <c r="AA125" s="85"/>
      <c r="AB125" s="48"/>
      <c r="AC125" s="85"/>
      <c r="AD125" s="224"/>
      <c r="AE125" s="225"/>
      <c r="AF125" s="222"/>
      <c r="AG125" s="88">
        <f t="shared" si="7"/>
        <v>0</v>
      </c>
      <c r="AH125" s="93">
        <f t="shared" si="8"/>
        <v>0</v>
      </c>
      <c r="AI125" s="90"/>
      <c r="AJ125" s="95"/>
      <c r="AK125" s="94">
        <f t="shared" si="9"/>
        <v>0</v>
      </c>
    </row>
    <row r="126" spans="1:37" x14ac:dyDescent="0.2">
      <c r="A126" s="20">
        <f>+'SERVICIO FAENA'!A125</f>
        <v>0</v>
      </c>
      <c r="B126" s="18">
        <f>+'SERVICIO FAENA'!E125</f>
        <v>0</v>
      </c>
      <c r="C126" s="20">
        <f>+'SERVICIO FAENA'!C125</f>
        <v>0</v>
      </c>
      <c r="D126" s="87"/>
      <c r="E126" s="48"/>
      <c r="F126" s="48"/>
      <c r="G126" s="85"/>
      <c r="H126" s="48"/>
      <c r="I126" s="85"/>
      <c r="J126" s="48"/>
      <c r="K126" s="85"/>
      <c r="L126" s="48"/>
      <c r="M126" s="85"/>
      <c r="N126" s="48"/>
      <c r="O126" s="85"/>
      <c r="P126" s="48"/>
      <c r="Q126" s="85"/>
      <c r="R126" s="48"/>
      <c r="S126" s="85"/>
      <c r="T126" s="48"/>
      <c r="U126" s="85"/>
      <c r="V126" s="48"/>
      <c r="W126" s="85"/>
      <c r="X126" s="48"/>
      <c r="Y126" s="85"/>
      <c r="Z126" s="48"/>
      <c r="AA126" s="85"/>
      <c r="AB126" s="48"/>
      <c r="AC126" s="85"/>
      <c r="AD126" s="222"/>
      <c r="AE126" s="223"/>
      <c r="AF126" s="222"/>
      <c r="AG126" s="88">
        <f t="shared" si="7"/>
        <v>0</v>
      </c>
      <c r="AH126" s="93">
        <f t="shared" si="8"/>
        <v>0</v>
      </c>
      <c r="AI126" s="91"/>
      <c r="AJ126" s="96"/>
      <c r="AK126" s="94">
        <f t="shared" si="9"/>
        <v>0</v>
      </c>
    </row>
    <row r="127" spans="1:37" x14ac:dyDescent="0.2">
      <c r="A127" s="20">
        <f>+'SERVICIO FAENA'!A126</f>
        <v>0</v>
      </c>
      <c r="B127" s="18">
        <f>+'SERVICIO FAENA'!E126</f>
        <v>0</v>
      </c>
      <c r="C127" s="20">
        <f>+'SERVICIO FAENA'!C126</f>
        <v>0</v>
      </c>
      <c r="D127" s="87"/>
      <c r="E127" s="48"/>
      <c r="F127" s="48"/>
      <c r="G127" s="85"/>
      <c r="H127" s="48"/>
      <c r="I127" s="85"/>
      <c r="J127" s="48"/>
      <c r="K127" s="85"/>
      <c r="L127" s="48"/>
      <c r="M127" s="85"/>
      <c r="N127" s="48"/>
      <c r="O127" s="85"/>
      <c r="P127" s="48"/>
      <c r="Q127" s="85"/>
      <c r="R127" s="48"/>
      <c r="S127" s="85"/>
      <c r="T127" s="48"/>
      <c r="U127" s="85"/>
      <c r="V127" s="48"/>
      <c r="W127" s="85"/>
      <c r="X127" s="48"/>
      <c r="Y127" s="85"/>
      <c r="Z127" s="48"/>
      <c r="AA127" s="85"/>
      <c r="AB127" s="48"/>
      <c r="AC127" s="85"/>
      <c r="AD127" s="224"/>
      <c r="AE127" s="225"/>
      <c r="AF127" s="222"/>
      <c r="AG127" s="88">
        <f t="shared" si="7"/>
        <v>0</v>
      </c>
      <c r="AH127" s="93">
        <f t="shared" si="8"/>
        <v>0</v>
      </c>
      <c r="AI127" s="90"/>
      <c r="AJ127" s="95"/>
      <c r="AK127" s="94">
        <f t="shared" si="9"/>
        <v>0</v>
      </c>
    </row>
    <row r="128" spans="1:37" x14ac:dyDescent="0.2">
      <c r="A128" s="20">
        <f>+'SERVICIO FAENA'!A127</f>
        <v>0</v>
      </c>
      <c r="B128" s="18">
        <f>+'SERVICIO FAENA'!E127</f>
        <v>0</v>
      </c>
      <c r="C128" s="20">
        <f>+'SERVICIO FAENA'!C127</f>
        <v>0</v>
      </c>
      <c r="D128" s="87"/>
      <c r="E128" s="48"/>
      <c r="F128" s="48"/>
      <c r="G128" s="85"/>
      <c r="H128" s="48"/>
      <c r="I128" s="85"/>
      <c r="J128" s="48"/>
      <c r="K128" s="85"/>
      <c r="L128" s="48"/>
      <c r="M128" s="85"/>
      <c r="N128" s="48"/>
      <c r="O128" s="85"/>
      <c r="P128" s="48"/>
      <c r="Q128" s="85"/>
      <c r="R128" s="48"/>
      <c r="S128" s="85"/>
      <c r="T128" s="48"/>
      <c r="U128" s="85"/>
      <c r="V128" s="48"/>
      <c r="W128" s="85"/>
      <c r="X128" s="48"/>
      <c r="Y128" s="85"/>
      <c r="Z128" s="48"/>
      <c r="AA128" s="85"/>
      <c r="AB128" s="48"/>
      <c r="AC128" s="85"/>
      <c r="AD128" s="224"/>
      <c r="AE128" s="225"/>
      <c r="AF128" s="222"/>
      <c r="AG128" s="88">
        <f t="shared" si="7"/>
        <v>0</v>
      </c>
      <c r="AH128" s="93">
        <f t="shared" si="8"/>
        <v>0</v>
      </c>
      <c r="AI128" s="90"/>
      <c r="AJ128" s="95"/>
      <c r="AK128" s="94">
        <f t="shared" si="9"/>
        <v>0</v>
      </c>
    </row>
    <row r="129" spans="1:37" x14ac:dyDescent="0.2">
      <c r="A129" s="20">
        <f>+'SERVICIO FAENA'!A128</f>
        <v>0</v>
      </c>
      <c r="B129" s="18">
        <f>+'SERVICIO FAENA'!E128</f>
        <v>0</v>
      </c>
      <c r="C129" s="20">
        <f>+'SERVICIO FAENA'!C128</f>
        <v>0</v>
      </c>
      <c r="D129" s="87"/>
      <c r="E129" s="48"/>
      <c r="F129" s="48"/>
      <c r="G129" s="85"/>
      <c r="H129" s="48"/>
      <c r="I129" s="85"/>
      <c r="J129" s="48"/>
      <c r="K129" s="85"/>
      <c r="L129" s="48"/>
      <c r="M129" s="85"/>
      <c r="N129" s="48"/>
      <c r="O129" s="85"/>
      <c r="P129" s="48"/>
      <c r="Q129" s="85"/>
      <c r="R129" s="48"/>
      <c r="S129" s="85"/>
      <c r="T129" s="48"/>
      <c r="U129" s="85"/>
      <c r="V129" s="48"/>
      <c r="W129" s="85"/>
      <c r="X129" s="48"/>
      <c r="Y129" s="85"/>
      <c r="Z129" s="48"/>
      <c r="AA129" s="85"/>
      <c r="AB129" s="48"/>
      <c r="AC129" s="85"/>
      <c r="AD129" s="222"/>
      <c r="AE129" s="223"/>
      <c r="AF129" s="222"/>
      <c r="AG129" s="88">
        <f t="shared" si="7"/>
        <v>0</v>
      </c>
      <c r="AH129" s="93">
        <f t="shared" si="8"/>
        <v>0</v>
      </c>
      <c r="AI129" s="91"/>
      <c r="AJ129" s="96"/>
      <c r="AK129" s="94">
        <f t="shared" si="9"/>
        <v>0</v>
      </c>
    </row>
    <row r="130" spans="1:37" x14ac:dyDescent="0.2">
      <c r="A130" s="20">
        <f>+'SERVICIO FAENA'!A129</f>
        <v>0</v>
      </c>
      <c r="B130" s="18">
        <f>+'SERVICIO FAENA'!E129</f>
        <v>0</v>
      </c>
      <c r="C130" s="20">
        <f>+'SERVICIO FAENA'!C129</f>
        <v>0</v>
      </c>
      <c r="D130" s="87"/>
      <c r="E130" s="48"/>
      <c r="F130" s="48"/>
      <c r="G130" s="85"/>
      <c r="H130" s="48"/>
      <c r="I130" s="85"/>
      <c r="J130" s="48"/>
      <c r="K130" s="85"/>
      <c r="L130" s="48"/>
      <c r="M130" s="85"/>
      <c r="N130" s="48"/>
      <c r="O130" s="85"/>
      <c r="P130" s="48"/>
      <c r="Q130" s="85"/>
      <c r="R130" s="48"/>
      <c r="S130" s="85"/>
      <c r="T130" s="48"/>
      <c r="U130" s="85"/>
      <c r="V130" s="48"/>
      <c r="W130" s="85"/>
      <c r="X130" s="48"/>
      <c r="Y130" s="85"/>
      <c r="Z130" s="48"/>
      <c r="AA130" s="85"/>
      <c r="AB130" s="48"/>
      <c r="AC130" s="85"/>
      <c r="AD130" s="224"/>
      <c r="AE130" s="225"/>
      <c r="AF130" s="222"/>
      <c r="AG130" s="88">
        <f t="shared" si="7"/>
        <v>0</v>
      </c>
      <c r="AH130" s="93">
        <f t="shared" si="8"/>
        <v>0</v>
      </c>
      <c r="AI130" s="90"/>
      <c r="AJ130" s="95"/>
      <c r="AK130" s="94">
        <f t="shared" si="9"/>
        <v>0</v>
      </c>
    </row>
    <row r="131" spans="1:37" x14ac:dyDescent="0.2">
      <c r="A131" s="20">
        <f>+'SERVICIO FAENA'!A130</f>
        <v>0</v>
      </c>
      <c r="B131" s="18">
        <f>+'SERVICIO FAENA'!E130</f>
        <v>0</v>
      </c>
      <c r="C131" s="20">
        <f>+'SERVICIO FAENA'!C130</f>
        <v>0</v>
      </c>
      <c r="D131" s="87"/>
      <c r="E131" s="48"/>
      <c r="F131" s="48"/>
      <c r="G131" s="85"/>
      <c r="H131" s="48"/>
      <c r="I131" s="85"/>
      <c r="J131" s="48"/>
      <c r="K131" s="85"/>
      <c r="L131" s="48"/>
      <c r="M131" s="85"/>
      <c r="N131" s="48"/>
      <c r="O131" s="85"/>
      <c r="P131" s="48"/>
      <c r="Q131" s="85"/>
      <c r="R131" s="48"/>
      <c r="S131" s="85"/>
      <c r="T131" s="48"/>
      <c r="U131" s="85"/>
      <c r="V131" s="48"/>
      <c r="W131" s="85"/>
      <c r="X131" s="48"/>
      <c r="Y131" s="85"/>
      <c r="Z131" s="48"/>
      <c r="AA131" s="85"/>
      <c r="AB131" s="48"/>
      <c r="AC131" s="85"/>
      <c r="AD131" s="224"/>
      <c r="AE131" s="225"/>
      <c r="AF131" s="222"/>
      <c r="AG131" s="88">
        <f t="shared" si="7"/>
        <v>0</v>
      </c>
      <c r="AH131" s="93">
        <f t="shared" si="8"/>
        <v>0</v>
      </c>
      <c r="AI131" s="90"/>
      <c r="AJ131" s="95"/>
      <c r="AK131" s="94">
        <f t="shared" si="9"/>
        <v>0</v>
      </c>
    </row>
    <row r="132" spans="1:37" x14ac:dyDescent="0.2">
      <c r="A132" s="20">
        <f>+'SERVICIO FAENA'!A131</f>
        <v>0</v>
      </c>
      <c r="B132" s="18">
        <f>+'SERVICIO FAENA'!E131</f>
        <v>0</v>
      </c>
      <c r="C132" s="20">
        <f>+'SERVICIO FAENA'!C131</f>
        <v>0</v>
      </c>
      <c r="D132" s="87"/>
      <c r="E132" s="48"/>
      <c r="F132" s="48"/>
      <c r="G132" s="85"/>
      <c r="H132" s="48"/>
      <c r="I132" s="85"/>
      <c r="J132" s="48"/>
      <c r="K132" s="85"/>
      <c r="L132" s="48"/>
      <c r="M132" s="85"/>
      <c r="N132" s="48"/>
      <c r="O132" s="85"/>
      <c r="P132" s="48"/>
      <c r="Q132" s="85"/>
      <c r="R132" s="48"/>
      <c r="S132" s="85"/>
      <c r="T132" s="48"/>
      <c r="U132" s="85"/>
      <c r="V132" s="48"/>
      <c r="W132" s="85"/>
      <c r="X132" s="48"/>
      <c r="Y132" s="85"/>
      <c r="Z132" s="48"/>
      <c r="AA132" s="85"/>
      <c r="AB132" s="48"/>
      <c r="AC132" s="85"/>
      <c r="AD132" s="222"/>
      <c r="AE132" s="223"/>
      <c r="AF132" s="222"/>
      <c r="AG132" s="88">
        <f t="shared" si="7"/>
        <v>0</v>
      </c>
      <c r="AH132" s="93">
        <f t="shared" si="8"/>
        <v>0</v>
      </c>
      <c r="AI132" s="91"/>
      <c r="AJ132" s="96"/>
      <c r="AK132" s="94">
        <f t="shared" si="9"/>
        <v>0</v>
      </c>
    </row>
    <row r="133" spans="1:37" x14ac:dyDescent="0.2">
      <c r="A133" s="20">
        <f>+'SERVICIO FAENA'!A132</f>
        <v>0</v>
      </c>
      <c r="B133" s="18">
        <f>+'SERVICIO FAENA'!E132</f>
        <v>0</v>
      </c>
      <c r="C133" s="20">
        <f>+'SERVICIO FAENA'!C132</f>
        <v>0</v>
      </c>
      <c r="D133" s="87"/>
      <c r="E133" s="48"/>
      <c r="F133" s="48"/>
      <c r="G133" s="85"/>
      <c r="H133" s="48"/>
      <c r="I133" s="85"/>
      <c r="J133" s="48"/>
      <c r="K133" s="85"/>
      <c r="L133" s="48"/>
      <c r="M133" s="85"/>
      <c r="N133" s="48"/>
      <c r="O133" s="85"/>
      <c r="P133" s="48"/>
      <c r="Q133" s="85"/>
      <c r="R133" s="48"/>
      <c r="S133" s="85"/>
      <c r="T133" s="48"/>
      <c r="U133" s="85"/>
      <c r="V133" s="48"/>
      <c r="W133" s="85"/>
      <c r="X133" s="48"/>
      <c r="Y133" s="85"/>
      <c r="Z133" s="48"/>
      <c r="AA133" s="85"/>
      <c r="AB133" s="48"/>
      <c r="AC133" s="85"/>
      <c r="AD133" s="224"/>
      <c r="AE133" s="225"/>
      <c r="AF133" s="222"/>
      <c r="AG133" s="88">
        <f t="shared" si="7"/>
        <v>0</v>
      </c>
      <c r="AH133" s="93">
        <f t="shared" si="8"/>
        <v>0</v>
      </c>
      <c r="AI133" s="90"/>
      <c r="AJ133" s="95"/>
      <c r="AK133" s="94">
        <f t="shared" si="9"/>
        <v>0</v>
      </c>
    </row>
    <row r="134" spans="1:37" x14ac:dyDescent="0.2">
      <c r="A134" s="20">
        <f>+'SERVICIO FAENA'!A133</f>
        <v>0</v>
      </c>
      <c r="B134" s="18">
        <f>+'SERVICIO FAENA'!E133</f>
        <v>0</v>
      </c>
      <c r="C134" s="20">
        <f>+'SERVICIO FAENA'!C133</f>
        <v>0</v>
      </c>
      <c r="D134" s="87"/>
      <c r="E134" s="48"/>
      <c r="F134" s="48"/>
      <c r="G134" s="85"/>
      <c r="H134" s="48"/>
      <c r="I134" s="85"/>
      <c r="J134" s="48"/>
      <c r="K134" s="85"/>
      <c r="L134" s="48"/>
      <c r="M134" s="85"/>
      <c r="N134" s="48"/>
      <c r="O134" s="85"/>
      <c r="P134" s="48"/>
      <c r="Q134" s="85"/>
      <c r="R134" s="48"/>
      <c r="S134" s="85"/>
      <c r="T134" s="48"/>
      <c r="U134" s="85"/>
      <c r="V134" s="48"/>
      <c r="W134" s="85"/>
      <c r="X134" s="48"/>
      <c r="Y134" s="85"/>
      <c r="Z134" s="48"/>
      <c r="AA134" s="85"/>
      <c r="AB134" s="48"/>
      <c r="AC134" s="85"/>
      <c r="AD134" s="224"/>
      <c r="AE134" s="225"/>
      <c r="AF134" s="222"/>
      <c r="AG134" s="88">
        <f t="shared" si="7"/>
        <v>0</v>
      </c>
      <c r="AH134" s="93">
        <f t="shared" si="8"/>
        <v>0</v>
      </c>
      <c r="AI134" s="90"/>
      <c r="AJ134" s="95"/>
      <c r="AK134" s="94">
        <f t="shared" si="9"/>
        <v>0</v>
      </c>
    </row>
    <row r="135" spans="1:37" x14ac:dyDescent="0.2">
      <c r="A135" s="20">
        <f>+'SERVICIO FAENA'!A134</f>
        <v>0</v>
      </c>
      <c r="B135" s="18">
        <f>+'SERVICIO FAENA'!E134</f>
        <v>0</v>
      </c>
      <c r="C135" s="20">
        <f>+'SERVICIO FAENA'!C134</f>
        <v>0</v>
      </c>
      <c r="D135" s="87"/>
      <c r="E135" s="48"/>
      <c r="F135" s="48"/>
      <c r="G135" s="85"/>
      <c r="H135" s="48"/>
      <c r="I135" s="85"/>
      <c r="J135" s="48"/>
      <c r="K135" s="85"/>
      <c r="L135" s="48"/>
      <c r="M135" s="85"/>
      <c r="N135" s="48"/>
      <c r="O135" s="85"/>
      <c r="P135" s="48"/>
      <c r="Q135" s="85"/>
      <c r="R135" s="48"/>
      <c r="S135" s="85"/>
      <c r="T135" s="48"/>
      <c r="U135" s="85"/>
      <c r="V135" s="48"/>
      <c r="W135" s="85"/>
      <c r="X135" s="48"/>
      <c r="Y135" s="85"/>
      <c r="Z135" s="48"/>
      <c r="AA135" s="85"/>
      <c r="AB135" s="48"/>
      <c r="AC135" s="85"/>
      <c r="AD135" s="222"/>
      <c r="AE135" s="223"/>
      <c r="AF135" s="222"/>
      <c r="AG135" s="88">
        <f t="shared" si="7"/>
        <v>0</v>
      </c>
      <c r="AH135" s="93">
        <f t="shared" si="8"/>
        <v>0</v>
      </c>
      <c r="AI135" s="91"/>
      <c r="AJ135" s="96"/>
      <c r="AK135" s="94">
        <f t="shared" si="9"/>
        <v>0</v>
      </c>
    </row>
    <row r="136" spans="1:37" x14ac:dyDescent="0.2">
      <c r="A136" s="20">
        <f>+'SERVICIO FAENA'!A135</f>
        <v>0</v>
      </c>
      <c r="B136" s="18">
        <f>+'SERVICIO FAENA'!E135</f>
        <v>0</v>
      </c>
      <c r="C136" s="20">
        <f>+'SERVICIO FAENA'!C135</f>
        <v>0</v>
      </c>
      <c r="D136" s="87"/>
      <c r="E136" s="48"/>
      <c r="F136" s="48"/>
      <c r="G136" s="85"/>
      <c r="H136" s="48"/>
      <c r="I136" s="85"/>
      <c r="J136" s="48"/>
      <c r="K136" s="85"/>
      <c r="L136" s="48"/>
      <c r="M136" s="85"/>
      <c r="N136" s="48"/>
      <c r="O136" s="85"/>
      <c r="P136" s="48"/>
      <c r="Q136" s="85"/>
      <c r="R136" s="48"/>
      <c r="S136" s="85"/>
      <c r="T136" s="48"/>
      <c r="U136" s="85"/>
      <c r="V136" s="48"/>
      <c r="W136" s="85"/>
      <c r="X136" s="48"/>
      <c r="Y136" s="85"/>
      <c r="Z136" s="48"/>
      <c r="AA136" s="85"/>
      <c r="AB136" s="48"/>
      <c r="AC136" s="85"/>
      <c r="AD136" s="224"/>
      <c r="AE136" s="225"/>
      <c r="AF136" s="222"/>
      <c r="AG136" s="88">
        <f t="shared" si="7"/>
        <v>0</v>
      </c>
      <c r="AH136" s="93">
        <f t="shared" si="8"/>
        <v>0</v>
      </c>
      <c r="AI136" s="90"/>
      <c r="AJ136" s="95"/>
      <c r="AK136" s="94">
        <f t="shared" si="9"/>
        <v>0</v>
      </c>
    </row>
    <row r="137" spans="1:37" x14ac:dyDescent="0.2">
      <c r="A137" s="20">
        <f>+'SERVICIO FAENA'!A136</f>
        <v>0</v>
      </c>
      <c r="B137" s="18">
        <f>+'SERVICIO FAENA'!E136</f>
        <v>0</v>
      </c>
      <c r="C137" s="20">
        <f>+'SERVICIO FAENA'!C136</f>
        <v>0</v>
      </c>
      <c r="D137" s="87"/>
      <c r="E137" s="48"/>
      <c r="F137" s="48"/>
      <c r="G137" s="85"/>
      <c r="H137" s="48"/>
      <c r="I137" s="85"/>
      <c r="J137" s="48"/>
      <c r="K137" s="85"/>
      <c r="L137" s="48"/>
      <c r="M137" s="85"/>
      <c r="N137" s="48"/>
      <c r="O137" s="85"/>
      <c r="P137" s="48"/>
      <c r="Q137" s="85"/>
      <c r="R137" s="48"/>
      <c r="S137" s="85"/>
      <c r="T137" s="48"/>
      <c r="U137" s="85"/>
      <c r="V137" s="48"/>
      <c r="W137" s="85"/>
      <c r="X137" s="48"/>
      <c r="Y137" s="85"/>
      <c r="Z137" s="48"/>
      <c r="AA137" s="85"/>
      <c r="AB137" s="48"/>
      <c r="AC137" s="85"/>
      <c r="AD137" s="224"/>
      <c r="AE137" s="225"/>
      <c r="AF137" s="222"/>
      <c r="AG137" s="88">
        <f t="shared" si="7"/>
        <v>0</v>
      </c>
      <c r="AH137" s="93">
        <f t="shared" si="8"/>
        <v>0</v>
      </c>
      <c r="AI137" s="90"/>
      <c r="AJ137" s="95"/>
      <c r="AK137" s="94">
        <f t="shared" si="9"/>
        <v>0</v>
      </c>
    </row>
    <row r="138" spans="1:37" x14ac:dyDescent="0.2">
      <c r="A138" s="20">
        <f>+'SERVICIO FAENA'!A137</f>
        <v>0</v>
      </c>
      <c r="B138" s="18">
        <f>+'SERVICIO FAENA'!E137</f>
        <v>0</v>
      </c>
      <c r="C138" s="20">
        <f>+'SERVICIO FAENA'!C137</f>
        <v>0</v>
      </c>
      <c r="D138" s="87"/>
      <c r="E138" s="48"/>
      <c r="F138" s="48"/>
      <c r="G138" s="85"/>
      <c r="H138" s="48"/>
      <c r="I138" s="85"/>
      <c r="J138" s="48"/>
      <c r="K138" s="85"/>
      <c r="L138" s="48"/>
      <c r="M138" s="85"/>
      <c r="N138" s="48"/>
      <c r="O138" s="85"/>
      <c r="P138" s="48"/>
      <c r="Q138" s="85"/>
      <c r="R138" s="48"/>
      <c r="S138" s="85"/>
      <c r="T138" s="48"/>
      <c r="U138" s="85"/>
      <c r="V138" s="48"/>
      <c r="W138" s="85"/>
      <c r="X138" s="48"/>
      <c r="Y138" s="85"/>
      <c r="Z138" s="48"/>
      <c r="AA138" s="85"/>
      <c r="AB138" s="48"/>
      <c r="AC138" s="85"/>
      <c r="AD138" s="222"/>
      <c r="AE138" s="223"/>
      <c r="AF138" s="222"/>
      <c r="AG138" s="88">
        <f t="shared" si="7"/>
        <v>0</v>
      </c>
      <c r="AH138" s="93">
        <f t="shared" si="8"/>
        <v>0</v>
      </c>
      <c r="AI138" s="91"/>
      <c r="AJ138" s="96"/>
      <c r="AK138" s="94">
        <f t="shared" si="9"/>
        <v>0</v>
      </c>
    </row>
    <row r="139" spans="1:37" x14ac:dyDescent="0.2">
      <c r="A139" s="20">
        <f>+'SERVICIO FAENA'!A138</f>
        <v>0</v>
      </c>
      <c r="B139" s="18">
        <f>+'SERVICIO FAENA'!E138</f>
        <v>0</v>
      </c>
      <c r="C139" s="20">
        <f>+'SERVICIO FAENA'!C138</f>
        <v>0</v>
      </c>
      <c r="D139" s="87"/>
      <c r="E139" s="48"/>
      <c r="F139" s="48"/>
      <c r="G139" s="85"/>
      <c r="H139" s="48"/>
      <c r="I139" s="85"/>
      <c r="J139" s="48"/>
      <c r="K139" s="85"/>
      <c r="L139" s="48"/>
      <c r="M139" s="85"/>
      <c r="N139" s="48"/>
      <c r="O139" s="85"/>
      <c r="P139" s="48"/>
      <c r="Q139" s="85"/>
      <c r="R139" s="48"/>
      <c r="S139" s="85"/>
      <c r="T139" s="48"/>
      <c r="U139" s="85"/>
      <c r="V139" s="48"/>
      <c r="W139" s="85"/>
      <c r="X139" s="48"/>
      <c r="Y139" s="85"/>
      <c r="Z139" s="48"/>
      <c r="AA139" s="85"/>
      <c r="AB139" s="48"/>
      <c r="AC139" s="85"/>
      <c r="AD139" s="224"/>
      <c r="AE139" s="225"/>
      <c r="AF139" s="222"/>
      <c r="AG139" s="88">
        <f t="shared" si="7"/>
        <v>0</v>
      </c>
      <c r="AH139" s="93">
        <f t="shared" si="8"/>
        <v>0</v>
      </c>
      <c r="AI139" s="90"/>
      <c r="AJ139" s="95"/>
      <c r="AK139" s="94">
        <f t="shared" si="9"/>
        <v>0</v>
      </c>
    </row>
    <row r="140" spans="1:37" x14ac:dyDescent="0.2">
      <c r="A140" s="20">
        <f>+'SERVICIO FAENA'!A139</f>
        <v>0</v>
      </c>
      <c r="B140" s="18">
        <f>+'SERVICIO FAENA'!E139</f>
        <v>0</v>
      </c>
      <c r="C140" s="20">
        <f>+'SERVICIO FAENA'!C139</f>
        <v>0</v>
      </c>
      <c r="D140" s="87"/>
      <c r="E140" s="48"/>
      <c r="F140" s="48"/>
      <c r="G140" s="85"/>
      <c r="H140" s="48"/>
      <c r="I140" s="85"/>
      <c r="J140" s="48"/>
      <c r="K140" s="85"/>
      <c r="L140" s="48"/>
      <c r="M140" s="85"/>
      <c r="N140" s="48"/>
      <c r="O140" s="85"/>
      <c r="P140" s="48"/>
      <c r="Q140" s="85"/>
      <c r="R140" s="48"/>
      <c r="S140" s="85"/>
      <c r="T140" s="48"/>
      <c r="U140" s="85"/>
      <c r="V140" s="48"/>
      <c r="W140" s="85"/>
      <c r="X140" s="48"/>
      <c r="Y140" s="85"/>
      <c r="Z140" s="48"/>
      <c r="AA140" s="85"/>
      <c r="AB140" s="48"/>
      <c r="AC140" s="85"/>
      <c r="AD140" s="224"/>
      <c r="AE140" s="225"/>
      <c r="AF140" s="222"/>
      <c r="AG140" s="88">
        <f t="shared" si="7"/>
        <v>0</v>
      </c>
      <c r="AH140" s="93">
        <f t="shared" si="8"/>
        <v>0</v>
      </c>
      <c r="AI140" s="90"/>
      <c r="AJ140" s="95"/>
      <c r="AK140" s="94">
        <f t="shared" si="9"/>
        <v>0</v>
      </c>
    </row>
    <row r="141" spans="1:37" x14ac:dyDescent="0.2">
      <c r="A141" s="20">
        <f>+'SERVICIO FAENA'!A140</f>
        <v>0</v>
      </c>
      <c r="B141" s="18">
        <f>+'SERVICIO FAENA'!E140</f>
        <v>0</v>
      </c>
      <c r="C141" s="20">
        <f>+'SERVICIO FAENA'!C140</f>
        <v>0</v>
      </c>
      <c r="D141" s="87"/>
      <c r="E141" s="48"/>
      <c r="F141" s="48"/>
      <c r="G141" s="85"/>
      <c r="H141" s="48"/>
      <c r="I141" s="85"/>
      <c r="J141" s="48"/>
      <c r="K141" s="85"/>
      <c r="L141" s="48"/>
      <c r="M141" s="85"/>
      <c r="N141" s="48"/>
      <c r="O141" s="85"/>
      <c r="P141" s="48"/>
      <c r="Q141" s="85"/>
      <c r="R141" s="48"/>
      <c r="S141" s="85"/>
      <c r="T141" s="48"/>
      <c r="U141" s="85"/>
      <c r="V141" s="48"/>
      <c r="W141" s="85"/>
      <c r="X141" s="48"/>
      <c r="Y141" s="85"/>
      <c r="Z141" s="48"/>
      <c r="AA141" s="85"/>
      <c r="AB141" s="48"/>
      <c r="AC141" s="85"/>
      <c r="AD141" s="222"/>
      <c r="AE141" s="223"/>
      <c r="AF141" s="222"/>
      <c r="AG141" s="88">
        <f t="shared" si="7"/>
        <v>0</v>
      </c>
      <c r="AH141" s="93">
        <f t="shared" si="8"/>
        <v>0</v>
      </c>
      <c r="AI141" s="91"/>
      <c r="AJ141" s="96"/>
      <c r="AK141" s="94">
        <f t="shared" si="9"/>
        <v>0</v>
      </c>
    </row>
    <row r="142" spans="1:37" x14ac:dyDescent="0.2">
      <c r="A142" s="20">
        <f>+'SERVICIO FAENA'!A141</f>
        <v>0</v>
      </c>
      <c r="B142" s="18">
        <f>+'SERVICIO FAENA'!E141</f>
        <v>0</v>
      </c>
      <c r="C142" s="20">
        <f>+'SERVICIO FAENA'!C141</f>
        <v>0</v>
      </c>
      <c r="D142" s="87"/>
      <c r="E142" s="48"/>
      <c r="F142" s="48"/>
      <c r="G142" s="85"/>
      <c r="H142" s="48"/>
      <c r="I142" s="85"/>
      <c r="J142" s="48"/>
      <c r="K142" s="85"/>
      <c r="L142" s="48"/>
      <c r="M142" s="85"/>
      <c r="N142" s="48"/>
      <c r="O142" s="85"/>
      <c r="P142" s="48"/>
      <c r="Q142" s="85"/>
      <c r="R142" s="48"/>
      <c r="S142" s="85"/>
      <c r="T142" s="48"/>
      <c r="U142" s="85"/>
      <c r="V142" s="48"/>
      <c r="W142" s="85"/>
      <c r="X142" s="48"/>
      <c r="Y142" s="85"/>
      <c r="Z142" s="48"/>
      <c r="AA142" s="85"/>
      <c r="AB142" s="48"/>
      <c r="AC142" s="85"/>
      <c r="AD142" s="224"/>
      <c r="AE142" s="225"/>
      <c r="AF142" s="222"/>
      <c r="AG142" s="88">
        <f t="shared" si="7"/>
        <v>0</v>
      </c>
      <c r="AH142" s="93">
        <f t="shared" si="8"/>
        <v>0</v>
      </c>
      <c r="AI142" s="90"/>
      <c r="AJ142" s="95"/>
      <c r="AK142" s="94">
        <f t="shared" si="9"/>
        <v>0</v>
      </c>
    </row>
    <row r="143" spans="1:37" x14ac:dyDescent="0.2">
      <c r="A143" s="20">
        <f>+'SERVICIO FAENA'!A142</f>
        <v>0</v>
      </c>
      <c r="B143" s="18">
        <f>+'SERVICIO FAENA'!E142</f>
        <v>0</v>
      </c>
      <c r="C143" s="20">
        <f>+'SERVICIO FAENA'!C142</f>
        <v>0</v>
      </c>
      <c r="D143" s="87"/>
      <c r="E143" s="48"/>
      <c r="F143" s="48"/>
      <c r="G143" s="85"/>
      <c r="H143" s="48"/>
      <c r="I143" s="85"/>
      <c r="J143" s="48"/>
      <c r="K143" s="85"/>
      <c r="L143" s="48"/>
      <c r="M143" s="85"/>
      <c r="N143" s="48"/>
      <c r="O143" s="85"/>
      <c r="P143" s="48"/>
      <c r="Q143" s="85"/>
      <c r="R143" s="48"/>
      <c r="S143" s="85"/>
      <c r="T143" s="48"/>
      <c r="U143" s="85"/>
      <c r="V143" s="48"/>
      <c r="W143" s="85"/>
      <c r="X143" s="48"/>
      <c r="Y143" s="85"/>
      <c r="Z143" s="48"/>
      <c r="AA143" s="85"/>
      <c r="AB143" s="48"/>
      <c r="AC143" s="85"/>
      <c r="AD143" s="224"/>
      <c r="AE143" s="225"/>
      <c r="AF143" s="222"/>
      <c r="AG143" s="88">
        <f t="shared" si="7"/>
        <v>0</v>
      </c>
      <c r="AH143" s="93">
        <f t="shared" si="8"/>
        <v>0</v>
      </c>
      <c r="AI143" s="90"/>
      <c r="AJ143" s="95"/>
      <c r="AK143" s="94">
        <f t="shared" si="9"/>
        <v>0</v>
      </c>
    </row>
    <row r="144" spans="1:37" x14ac:dyDescent="0.2">
      <c r="A144" s="20">
        <f>+'SERVICIO FAENA'!A143</f>
        <v>0</v>
      </c>
      <c r="B144" s="18">
        <f>+'SERVICIO FAENA'!E143</f>
        <v>0</v>
      </c>
      <c r="C144" s="20">
        <f>+'SERVICIO FAENA'!C143</f>
        <v>0</v>
      </c>
      <c r="D144" s="87"/>
      <c r="E144" s="48"/>
      <c r="F144" s="48"/>
      <c r="G144" s="85"/>
      <c r="H144" s="48"/>
      <c r="I144" s="85"/>
      <c r="J144" s="48"/>
      <c r="K144" s="85"/>
      <c r="L144" s="48"/>
      <c r="M144" s="85"/>
      <c r="N144" s="48"/>
      <c r="O144" s="85"/>
      <c r="P144" s="48"/>
      <c r="Q144" s="85"/>
      <c r="R144" s="48"/>
      <c r="S144" s="85"/>
      <c r="T144" s="48"/>
      <c r="U144" s="85"/>
      <c r="V144" s="48"/>
      <c r="W144" s="85"/>
      <c r="X144" s="48"/>
      <c r="Y144" s="85"/>
      <c r="Z144" s="48"/>
      <c r="AA144" s="85"/>
      <c r="AB144" s="48"/>
      <c r="AC144" s="85"/>
      <c r="AD144" s="222"/>
      <c r="AE144" s="223"/>
      <c r="AF144" s="222"/>
      <c r="AG144" s="88">
        <f t="shared" si="7"/>
        <v>0</v>
      </c>
      <c r="AH144" s="93">
        <f t="shared" si="8"/>
        <v>0</v>
      </c>
      <c r="AI144" s="91"/>
      <c r="AJ144" s="96"/>
      <c r="AK144" s="94">
        <f t="shared" si="9"/>
        <v>0</v>
      </c>
    </row>
    <row r="145" spans="1:37" x14ac:dyDescent="0.2">
      <c r="A145" s="20">
        <f>+'SERVICIO FAENA'!A144</f>
        <v>0</v>
      </c>
      <c r="B145" s="18">
        <f>+'SERVICIO FAENA'!E144</f>
        <v>0</v>
      </c>
      <c r="C145" s="20">
        <f>+'SERVICIO FAENA'!C144</f>
        <v>0</v>
      </c>
      <c r="D145" s="87"/>
      <c r="E145" s="48"/>
      <c r="F145" s="48"/>
      <c r="G145" s="85"/>
      <c r="H145" s="48"/>
      <c r="I145" s="85"/>
      <c r="J145" s="48"/>
      <c r="K145" s="85"/>
      <c r="L145" s="48"/>
      <c r="M145" s="85"/>
      <c r="N145" s="48"/>
      <c r="O145" s="85"/>
      <c r="P145" s="48"/>
      <c r="Q145" s="85"/>
      <c r="R145" s="48"/>
      <c r="S145" s="85"/>
      <c r="T145" s="48"/>
      <c r="U145" s="85"/>
      <c r="V145" s="48"/>
      <c r="W145" s="85"/>
      <c r="X145" s="48"/>
      <c r="Y145" s="85"/>
      <c r="Z145" s="48"/>
      <c r="AA145" s="85"/>
      <c r="AB145" s="48"/>
      <c r="AC145" s="85"/>
      <c r="AD145" s="224"/>
      <c r="AE145" s="225"/>
      <c r="AF145" s="222"/>
      <c r="AG145" s="88">
        <f t="shared" si="7"/>
        <v>0</v>
      </c>
      <c r="AH145" s="93">
        <f t="shared" si="8"/>
        <v>0</v>
      </c>
      <c r="AI145" s="90"/>
      <c r="AJ145" s="95"/>
      <c r="AK145" s="94">
        <f t="shared" si="9"/>
        <v>0</v>
      </c>
    </row>
    <row r="146" spans="1:37" x14ac:dyDescent="0.2">
      <c r="A146" s="20">
        <f>+'SERVICIO FAENA'!A145</f>
        <v>0</v>
      </c>
      <c r="B146" s="18">
        <f>+'SERVICIO FAENA'!E145</f>
        <v>0</v>
      </c>
      <c r="C146" s="20">
        <f>+'SERVICIO FAENA'!C145</f>
        <v>0</v>
      </c>
      <c r="D146" s="87"/>
      <c r="E146" s="48"/>
      <c r="F146" s="48"/>
      <c r="G146" s="85"/>
      <c r="H146" s="48"/>
      <c r="I146" s="85"/>
      <c r="J146" s="48"/>
      <c r="K146" s="85"/>
      <c r="L146" s="48"/>
      <c r="M146" s="85"/>
      <c r="N146" s="48"/>
      <c r="O146" s="85"/>
      <c r="P146" s="48"/>
      <c r="Q146" s="85"/>
      <c r="R146" s="48"/>
      <c r="S146" s="85"/>
      <c r="T146" s="48"/>
      <c r="U146" s="85"/>
      <c r="V146" s="48"/>
      <c r="W146" s="85"/>
      <c r="X146" s="48"/>
      <c r="Y146" s="85"/>
      <c r="Z146" s="48"/>
      <c r="AA146" s="85"/>
      <c r="AB146" s="48"/>
      <c r="AC146" s="85"/>
      <c r="AD146" s="224"/>
      <c r="AE146" s="225"/>
      <c r="AF146" s="222"/>
      <c r="AG146" s="88">
        <f t="shared" si="7"/>
        <v>0</v>
      </c>
      <c r="AH146" s="93">
        <f t="shared" si="8"/>
        <v>0</v>
      </c>
      <c r="AI146" s="90"/>
      <c r="AJ146" s="95"/>
      <c r="AK146" s="94">
        <f t="shared" si="9"/>
        <v>0</v>
      </c>
    </row>
    <row r="147" spans="1:37" x14ac:dyDescent="0.2">
      <c r="A147" s="20">
        <f>+'SERVICIO FAENA'!A146</f>
        <v>0</v>
      </c>
      <c r="B147" s="18">
        <f>+'SERVICIO FAENA'!E146</f>
        <v>0</v>
      </c>
      <c r="C147" s="20">
        <f>+'SERVICIO FAENA'!C146</f>
        <v>0</v>
      </c>
      <c r="D147" s="87"/>
      <c r="E147" s="48"/>
      <c r="F147" s="48"/>
      <c r="G147" s="85"/>
      <c r="H147" s="48"/>
      <c r="I147" s="85"/>
      <c r="J147" s="48"/>
      <c r="K147" s="85"/>
      <c r="L147" s="48"/>
      <c r="M147" s="85"/>
      <c r="N147" s="48"/>
      <c r="O147" s="85"/>
      <c r="P147" s="48"/>
      <c r="Q147" s="85"/>
      <c r="R147" s="48"/>
      <c r="S147" s="85"/>
      <c r="T147" s="48"/>
      <c r="U147" s="85"/>
      <c r="V147" s="48"/>
      <c r="W147" s="85"/>
      <c r="X147" s="48"/>
      <c r="Y147" s="85"/>
      <c r="Z147" s="48"/>
      <c r="AA147" s="85"/>
      <c r="AB147" s="48"/>
      <c r="AC147" s="85"/>
      <c r="AD147" s="222"/>
      <c r="AE147" s="223"/>
      <c r="AF147" s="222"/>
      <c r="AG147" s="88">
        <f t="shared" si="7"/>
        <v>0</v>
      </c>
      <c r="AH147" s="93">
        <f t="shared" si="8"/>
        <v>0</v>
      </c>
      <c r="AI147" s="91"/>
      <c r="AJ147" s="96"/>
      <c r="AK147" s="94">
        <f t="shared" si="9"/>
        <v>0</v>
      </c>
    </row>
    <row r="148" spans="1:37" x14ac:dyDescent="0.2">
      <c r="A148" s="20">
        <f>+'SERVICIO FAENA'!A147</f>
        <v>0</v>
      </c>
      <c r="B148" s="18">
        <f>+'SERVICIO FAENA'!E147</f>
        <v>0</v>
      </c>
      <c r="C148" s="20">
        <f>+'SERVICIO FAENA'!C147</f>
        <v>0</v>
      </c>
      <c r="D148" s="87"/>
      <c r="E148" s="48"/>
      <c r="F148" s="48"/>
      <c r="G148" s="85"/>
      <c r="H148" s="48"/>
      <c r="I148" s="85"/>
      <c r="J148" s="48"/>
      <c r="K148" s="85"/>
      <c r="L148" s="48"/>
      <c r="M148" s="85"/>
      <c r="N148" s="48"/>
      <c r="O148" s="85"/>
      <c r="P148" s="48"/>
      <c r="Q148" s="85"/>
      <c r="R148" s="48"/>
      <c r="S148" s="85"/>
      <c r="T148" s="48"/>
      <c r="U148" s="85"/>
      <c r="V148" s="48"/>
      <c r="W148" s="85"/>
      <c r="X148" s="48"/>
      <c r="Y148" s="85"/>
      <c r="Z148" s="48"/>
      <c r="AA148" s="85"/>
      <c r="AB148" s="48"/>
      <c r="AC148" s="85"/>
      <c r="AD148" s="224"/>
      <c r="AE148" s="225"/>
      <c r="AF148" s="222"/>
      <c r="AG148" s="88">
        <f t="shared" si="7"/>
        <v>0</v>
      </c>
      <c r="AH148" s="93">
        <f t="shared" si="8"/>
        <v>0</v>
      </c>
      <c r="AI148" s="90"/>
      <c r="AJ148" s="95"/>
      <c r="AK148" s="94">
        <f t="shared" si="9"/>
        <v>0</v>
      </c>
    </row>
    <row r="149" spans="1:37" x14ac:dyDescent="0.2">
      <c r="A149" s="20">
        <f>+'SERVICIO FAENA'!A148</f>
        <v>0</v>
      </c>
      <c r="B149" s="18">
        <f>+'SERVICIO FAENA'!E148</f>
        <v>0</v>
      </c>
      <c r="C149" s="20">
        <f>+'SERVICIO FAENA'!C148</f>
        <v>0</v>
      </c>
      <c r="D149" s="87"/>
      <c r="E149" s="48"/>
      <c r="F149" s="48"/>
      <c r="G149" s="85"/>
      <c r="H149" s="48"/>
      <c r="I149" s="85"/>
      <c r="J149" s="48"/>
      <c r="K149" s="85"/>
      <c r="L149" s="48"/>
      <c r="M149" s="85"/>
      <c r="N149" s="48"/>
      <c r="O149" s="85"/>
      <c r="P149" s="48"/>
      <c r="Q149" s="85"/>
      <c r="R149" s="48"/>
      <c r="S149" s="85"/>
      <c r="T149" s="48"/>
      <c r="U149" s="85"/>
      <c r="V149" s="48"/>
      <c r="W149" s="85"/>
      <c r="X149" s="48"/>
      <c r="Y149" s="85"/>
      <c r="Z149" s="48"/>
      <c r="AA149" s="85"/>
      <c r="AB149" s="48"/>
      <c r="AC149" s="85"/>
      <c r="AD149" s="224"/>
      <c r="AE149" s="225"/>
      <c r="AF149" s="222"/>
      <c r="AG149" s="88">
        <f t="shared" si="7"/>
        <v>0</v>
      </c>
      <c r="AH149" s="93">
        <f t="shared" si="8"/>
        <v>0</v>
      </c>
      <c r="AI149" s="90"/>
      <c r="AJ149" s="95"/>
      <c r="AK149" s="94">
        <f t="shared" si="9"/>
        <v>0</v>
      </c>
    </row>
    <row r="150" spans="1:37" x14ac:dyDescent="0.2">
      <c r="A150" s="20">
        <f>+'SERVICIO FAENA'!A149</f>
        <v>0</v>
      </c>
      <c r="B150" s="18">
        <f>+'SERVICIO FAENA'!E149</f>
        <v>0</v>
      </c>
      <c r="C150" s="20">
        <f>+'SERVICIO FAENA'!C149</f>
        <v>0</v>
      </c>
      <c r="D150" s="87"/>
      <c r="E150" s="48"/>
      <c r="F150" s="48"/>
      <c r="G150" s="85"/>
      <c r="H150" s="48"/>
      <c r="I150" s="85"/>
      <c r="J150" s="48"/>
      <c r="K150" s="85"/>
      <c r="L150" s="48"/>
      <c r="M150" s="85"/>
      <c r="N150" s="48"/>
      <c r="O150" s="85"/>
      <c r="P150" s="48"/>
      <c r="Q150" s="85"/>
      <c r="R150" s="48"/>
      <c r="S150" s="85"/>
      <c r="T150" s="48"/>
      <c r="U150" s="85"/>
      <c r="V150" s="48"/>
      <c r="W150" s="85"/>
      <c r="X150" s="48"/>
      <c r="Y150" s="85"/>
      <c r="Z150" s="48"/>
      <c r="AA150" s="85"/>
      <c r="AB150" s="48"/>
      <c r="AC150" s="85"/>
      <c r="AD150" s="222"/>
      <c r="AE150" s="223"/>
      <c r="AF150" s="222"/>
      <c r="AG150" s="88">
        <f t="shared" si="7"/>
        <v>0</v>
      </c>
      <c r="AH150" s="93">
        <f t="shared" si="8"/>
        <v>0</v>
      </c>
      <c r="AI150" s="91"/>
      <c r="AJ150" s="96"/>
      <c r="AK150" s="94">
        <f t="shared" si="9"/>
        <v>0</v>
      </c>
    </row>
    <row r="151" spans="1:37" x14ac:dyDescent="0.2">
      <c r="A151" s="20">
        <f>+'SERVICIO FAENA'!A150</f>
        <v>0</v>
      </c>
      <c r="B151" s="18">
        <f>+'SERVICIO FAENA'!E150</f>
        <v>0</v>
      </c>
      <c r="C151" s="20">
        <f>+'SERVICIO FAENA'!C150</f>
        <v>0</v>
      </c>
      <c r="D151" s="87"/>
      <c r="E151" s="48"/>
      <c r="F151" s="48"/>
      <c r="G151" s="85"/>
      <c r="H151" s="48"/>
      <c r="I151" s="85"/>
      <c r="J151" s="48"/>
      <c r="K151" s="85"/>
      <c r="L151" s="48"/>
      <c r="M151" s="85"/>
      <c r="N151" s="48"/>
      <c r="O151" s="85"/>
      <c r="P151" s="48"/>
      <c r="Q151" s="85"/>
      <c r="R151" s="48"/>
      <c r="S151" s="85"/>
      <c r="T151" s="48"/>
      <c r="U151" s="85"/>
      <c r="V151" s="48"/>
      <c r="W151" s="85"/>
      <c r="X151" s="48"/>
      <c r="Y151" s="85"/>
      <c r="Z151" s="48"/>
      <c r="AA151" s="85"/>
      <c r="AB151" s="48"/>
      <c r="AC151" s="85"/>
      <c r="AD151" s="224"/>
      <c r="AE151" s="225"/>
      <c r="AF151" s="222"/>
      <c r="AG151" s="88">
        <f t="shared" si="7"/>
        <v>0</v>
      </c>
      <c r="AH151" s="93">
        <f t="shared" si="8"/>
        <v>0</v>
      </c>
      <c r="AI151" s="90"/>
      <c r="AJ151" s="95"/>
      <c r="AK151" s="94">
        <f t="shared" si="9"/>
        <v>0</v>
      </c>
    </row>
    <row r="152" spans="1:37" x14ac:dyDescent="0.2">
      <c r="A152" s="20">
        <f>+'SERVICIO FAENA'!A151</f>
        <v>0</v>
      </c>
      <c r="B152" s="18">
        <f>+'SERVICIO FAENA'!E151</f>
        <v>0</v>
      </c>
      <c r="C152" s="20">
        <f>+'SERVICIO FAENA'!C151</f>
        <v>0</v>
      </c>
      <c r="D152" s="87"/>
      <c r="E152" s="48"/>
      <c r="F152" s="48"/>
      <c r="G152" s="85"/>
      <c r="H152" s="48"/>
      <c r="I152" s="85"/>
      <c r="J152" s="48"/>
      <c r="K152" s="85"/>
      <c r="L152" s="48"/>
      <c r="M152" s="85"/>
      <c r="N152" s="48"/>
      <c r="O152" s="85"/>
      <c r="P152" s="48"/>
      <c r="Q152" s="85"/>
      <c r="R152" s="48"/>
      <c r="S152" s="85"/>
      <c r="T152" s="48"/>
      <c r="U152" s="85"/>
      <c r="V152" s="48"/>
      <c r="W152" s="85"/>
      <c r="X152" s="48"/>
      <c r="Y152" s="85"/>
      <c r="Z152" s="48"/>
      <c r="AA152" s="85"/>
      <c r="AB152" s="48"/>
      <c r="AC152" s="85"/>
      <c r="AD152" s="224"/>
      <c r="AE152" s="225"/>
      <c r="AF152" s="222"/>
      <c r="AG152" s="88">
        <f t="shared" si="7"/>
        <v>0</v>
      </c>
      <c r="AH152" s="93">
        <f t="shared" si="8"/>
        <v>0</v>
      </c>
      <c r="AI152" s="90"/>
      <c r="AJ152" s="95"/>
      <c r="AK152" s="94">
        <f t="shared" si="9"/>
        <v>0</v>
      </c>
    </row>
    <row r="153" spans="1:37" x14ac:dyDescent="0.2">
      <c r="A153" s="20">
        <f>+'SERVICIO FAENA'!A152</f>
        <v>0</v>
      </c>
      <c r="B153" s="18">
        <f>+'SERVICIO FAENA'!E152</f>
        <v>0</v>
      </c>
      <c r="C153" s="20">
        <f>+'SERVICIO FAENA'!C152</f>
        <v>0</v>
      </c>
      <c r="D153" s="87"/>
      <c r="E153" s="48"/>
      <c r="F153" s="48"/>
      <c r="G153" s="85"/>
      <c r="H153" s="48"/>
      <c r="I153" s="85"/>
      <c r="J153" s="48"/>
      <c r="K153" s="85"/>
      <c r="L153" s="48"/>
      <c r="M153" s="85"/>
      <c r="N153" s="48"/>
      <c r="O153" s="85"/>
      <c r="P153" s="48"/>
      <c r="Q153" s="85"/>
      <c r="R153" s="48"/>
      <c r="S153" s="85"/>
      <c r="T153" s="48"/>
      <c r="U153" s="85"/>
      <c r="V153" s="48"/>
      <c r="W153" s="85"/>
      <c r="X153" s="48"/>
      <c r="Y153" s="85"/>
      <c r="Z153" s="48"/>
      <c r="AA153" s="85"/>
      <c r="AB153" s="48"/>
      <c r="AC153" s="85"/>
      <c r="AD153" s="222"/>
      <c r="AE153" s="223"/>
      <c r="AF153" s="222"/>
      <c r="AG153" s="88">
        <f t="shared" si="7"/>
        <v>0</v>
      </c>
      <c r="AH153" s="93">
        <f t="shared" si="8"/>
        <v>0</v>
      </c>
      <c r="AI153" s="91"/>
      <c r="AJ153" s="96"/>
      <c r="AK153" s="94">
        <f t="shared" si="9"/>
        <v>0</v>
      </c>
    </row>
    <row r="154" spans="1:37" x14ac:dyDescent="0.2">
      <c r="A154" s="20">
        <f>+'SERVICIO FAENA'!A153</f>
        <v>0</v>
      </c>
      <c r="B154" s="18">
        <f>+'SERVICIO FAENA'!E153</f>
        <v>0</v>
      </c>
      <c r="C154" s="20">
        <f>+'SERVICIO FAENA'!C153</f>
        <v>0</v>
      </c>
      <c r="D154" s="87"/>
      <c r="E154" s="48"/>
      <c r="F154" s="48"/>
      <c r="G154" s="85"/>
      <c r="H154" s="48"/>
      <c r="I154" s="85"/>
      <c r="J154" s="48"/>
      <c r="K154" s="85"/>
      <c r="L154" s="48"/>
      <c r="M154" s="85"/>
      <c r="N154" s="48"/>
      <c r="O154" s="85"/>
      <c r="P154" s="48"/>
      <c r="Q154" s="85"/>
      <c r="R154" s="48"/>
      <c r="S154" s="85"/>
      <c r="T154" s="48"/>
      <c r="U154" s="85"/>
      <c r="V154" s="48"/>
      <c r="W154" s="85"/>
      <c r="X154" s="48"/>
      <c r="Y154" s="85"/>
      <c r="Z154" s="48"/>
      <c r="AA154" s="85"/>
      <c r="AB154" s="48"/>
      <c r="AC154" s="85"/>
      <c r="AD154" s="224"/>
      <c r="AE154" s="225"/>
      <c r="AF154" s="222"/>
      <c r="AG154" s="88">
        <f t="shared" si="7"/>
        <v>0</v>
      </c>
      <c r="AH154" s="93">
        <f t="shared" si="8"/>
        <v>0</v>
      </c>
      <c r="AI154" s="90"/>
      <c r="AJ154" s="95"/>
      <c r="AK154" s="94">
        <f t="shared" si="9"/>
        <v>0</v>
      </c>
    </row>
    <row r="155" spans="1:37" x14ac:dyDescent="0.2">
      <c r="A155" s="20">
        <f>+'SERVICIO FAENA'!A154</f>
        <v>0</v>
      </c>
      <c r="B155" s="18">
        <f>+'SERVICIO FAENA'!E154</f>
        <v>0</v>
      </c>
      <c r="C155" s="20">
        <f>+'SERVICIO FAENA'!C154</f>
        <v>0</v>
      </c>
      <c r="D155" s="87"/>
      <c r="E155" s="48"/>
      <c r="F155" s="48"/>
      <c r="G155" s="85"/>
      <c r="H155" s="48"/>
      <c r="I155" s="85"/>
      <c r="J155" s="48"/>
      <c r="K155" s="85"/>
      <c r="L155" s="48"/>
      <c r="M155" s="85"/>
      <c r="N155" s="48"/>
      <c r="O155" s="85"/>
      <c r="P155" s="48"/>
      <c r="Q155" s="85"/>
      <c r="R155" s="48"/>
      <c r="S155" s="85"/>
      <c r="T155" s="48"/>
      <c r="U155" s="85"/>
      <c r="V155" s="48"/>
      <c r="W155" s="85"/>
      <c r="X155" s="48"/>
      <c r="Y155" s="85"/>
      <c r="Z155" s="48"/>
      <c r="AA155" s="85"/>
      <c r="AB155" s="48"/>
      <c r="AC155" s="85"/>
      <c r="AD155" s="224"/>
      <c r="AE155" s="225"/>
      <c r="AF155" s="222"/>
      <c r="AG155" s="88">
        <f t="shared" si="7"/>
        <v>0</v>
      </c>
      <c r="AH155" s="93">
        <f t="shared" si="8"/>
        <v>0</v>
      </c>
      <c r="AI155" s="90"/>
      <c r="AJ155" s="95"/>
      <c r="AK155" s="94">
        <f t="shared" si="9"/>
        <v>0</v>
      </c>
    </row>
    <row r="156" spans="1:37" x14ac:dyDescent="0.2">
      <c r="A156" s="20">
        <f>+'SERVICIO FAENA'!A155</f>
        <v>0</v>
      </c>
      <c r="B156" s="18">
        <f>+'SERVICIO FAENA'!E155</f>
        <v>0</v>
      </c>
      <c r="C156" s="20">
        <f>+'SERVICIO FAENA'!C155</f>
        <v>0</v>
      </c>
      <c r="D156" s="87"/>
      <c r="E156" s="48"/>
      <c r="F156" s="48"/>
      <c r="G156" s="85"/>
      <c r="H156" s="48"/>
      <c r="I156" s="85"/>
      <c r="J156" s="48"/>
      <c r="K156" s="85"/>
      <c r="L156" s="48"/>
      <c r="M156" s="85"/>
      <c r="N156" s="48"/>
      <c r="O156" s="85"/>
      <c r="P156" s="48"/>
      <c r="Q156" s="85"/>
      <c r="R156" s="48"/>
      <c r="S156" s="85"/>
      <c r="T156" s="48"/>
      <c r="U156" s="85"/>
      <c r="V156" s="48"/>
      <c r="W156" s="85"/>
      <c r="X156" s="48"/>
      <c r="Y156" s="85"/>
      <c r="Z156" s="48"/>
      <c r="AA156" s="85"/>
      <c r="AB156" s="48"/>
      <c r="AC156" s="85"/>
      <c r="AD156" s="222"/>
      <c r="AE156" s="223"/>
      <c r="AF156" s="222"/>
      <c r="AG156" s="88">
        <f t="shared" si="7"/>
        <v>0</v>
      </c>
      <c r="AH156" s="93">
        <f t="shared" si="8"/>
        <v>0</v>
      </c>
      <c r="AI156" s="91"/>
      <c r="AJ156" s="96"/>
      <c r="AK156" s="94">
        <f t="shared" si="9"/>
        <v>0</v>
      </c>
    </row>
    <row r="157" spans="1:37" x14ac:dyDescent="0.2">
      <c r="A157" s="20">
        <f>+'SERVICIO FAENA'!A156</f>
        <v>0</v>
      </c>
      <c r="B157" s="18">
        <f>+'SERVICIO FAENA'!E156</f>
        <v>0</v>
      </c>
      <c r="C157" s="20">
        <f>+'SERVICIO FAENA'!C156</f>
        <v>0</v>
      </c>
      <c r="D157" s="87"/>
      <c r="E157" s="48"/>
      <c r="F157" s="48"/>
      <c r="G157" s="85"/>
      <c r="H157" s="48"/>
      <c r="I157" s="85"/>
      <c r="J157" s="48"/>
      <c r="K157" s="85"/>
      <c r="L157" s="48"/>
      <c r="M157" s="85"/>
      <c r="N157" s="48"/>
      <c r="O157" s="85"/>
      <c r="P157" s="48"/>
      <c r="Q157" s="85"/>
      <c r="R157" s="48"/>
      <c r="S157" s="85"/>
      <c r="T157" s="48"/>
      <c r="U157" s="85"/>
      <c r="V157" s="48"/>
      <c r="W157" s="85"/>
      <c r="X157" s="48"/>
      <c r="Y157" s="85"/>
      <c r="Z157" s="48"/>
      <c r="AA157" s="85"/>
      <c r="AB157" s="48"/>
      <c r="AC157" s="85"/>
      <c r="AD157" s="224"/>
      <c r="AE157" s="225"/>
      <c r="AF157" s="222"/>
      <c r="AG157" s="88">
        <f t="shared" si="7"/>
        <v>0</v>
      </c>
      <c r="AH157" s="93">
        <f t="shared" si="8"/>
        <v>0</v>
      </c>
      <c r="AI157" s="90"/>
      <c r="AJ157" s="95"/>
      <c r="AK157" s="94">
        <f t="shared" si="9"/>
        <v>0</v>
      </c>
    </row>
    <row r="158" spans="1:37" x14ac:dyDescent="0.2">
      <c r="A158" s="20">
        <f>+'SERVICIO FAENA'!A157</f>
        <v>0</v>
      </c>
      <c r="B158" s="18">
        <f>+'SERVICIO FAENA'!E157</f>
        <v>0</v>
      </c>
      <c r="C158" s="20">
        <f>+'SERVICIO FAENA'!C157</f>
        <v>0</v>
      </c>
      <c r="D158" s="87"/>
      <c r="E158" s="48"/>
      <c r="F158" s="48"/>
      <c r="G158" s="85"/>
      <c r="H158" s="48"/>
      <c r="I158" s="85"/>
      <c r="J158" s="48"/>
      <c r="K158" s="85"/>
      <c r="L158" s="48"/>
      <c r="M158" s="85"/>
      <c r="N158" s="48"/>
      <c r="O158" s="85"/>
      <c r="P158" s="48"/>
      <c r="Q158" s="85"/>
      <c r="R158" s="48"/>
      <c r="S158" s="85"/>
      <c r="T158" s="48"/>
      <c r="U158" s="85"/>
      <c r="V158" s="48"/>
      <c r="W158" s="85"/>
      <c r="X158" s="48"/>
      <c r="Y158" s="85"/>
      <c r="Z158" s="48"/>
      <c r="AA158" s="85"/>
      <c r="AB158" s="48"/>
      <c r="AC158" s="85"/>
      <c r="AD158" s="224"/>
      <c r="AE158" s="225"/>
      <c r="AF158" s="222"/>
      <c r="AG158" s="88">
        <f t="shared" si="7"/>
        <v>0</v>
      </c>
      <c r="AH158" s="93">
        <f t="shared" si="8"/>
        <v>0</v>
      </c>
      <c r="AI158" s="90"/>
      <c r="AJ158" s="95"/>
      <c r="AK158" s="94">
        <f t="shared" si="9"/>
        <v>0</v>
      </c>
    </row>
    <row r="159" spans="1:37" x14ac:dyDescent="0.2">
      <c r="A159" s="20">
        <f>+'SERVICIO FAENA'!A158</f>
        <v>0</v>
      </c>
      <c r="B159" s="18">
        <f>+'SERVICIO FAENA'!E158</f>
        <v>0</v>
      </c>
      <c r="C159" s="20">
        <f>+'SERVICIO FAENA'!C158</f>
        <v>0</v>
      </c>
      <c r="D159" s="87"/>
      <c r="E159" s="48"/>
      <c r="F159" s="48"/>
      <c r="G159" s="85"/>
      <c r="H159" s="48"/>
      <c r="I159" s="85"/>
      <c r="J159" s="48"/>
      <c r="K159" s="85"/>
      <c r="L159" s="48"/>
      <c r="M159" s="85"/>
      <c r="N159" s="48"/>
      <c r="O159" s="85"/>
      <c r="P159" s="48"/>
      <c r="Q159" s="85"/>
      <c r="R159" s="48"/>
      <c r="S159" s="85"/>
      <c r="T159" s="48"/>
      <c r="U159" s="85"/>
      <c r="V159" s="48"/>
      <c r="W159" s="85"/>
      <c r="X159" s="48"/>
      <c r="Y159" s="85"/>
      <c r="Z159" s="48"/>
      <c r="AA159" s="85"/>
      <c r="AB159" s="48"/>
      <c r="AC159" s="85"/>
      <c r="AD159" s="222"/>
      <c r="AE159" s="223"/>
      <c r="AF159" s="222"/>
      <c r="AG159" s="88">
        <f t="shared" si="7"/>
        <v>0</v>
      </c>
      <c r="AH159" s="93">
        <f t="shared" si="8"/>
        <v>0</v>
      </c>
      <c r="AI159" s="91"/>
      <c r="AJ159" s="96"/>
      <c r="AK159" s="94">
        <f t="shared" si="9"/>
        <v>0</v>
      </c>
    </row>
    <row r="160" spans="1:37" x14ac:dyDescent="0.2">
      <c r="A160" s="20">
        <f>+'SERVICIO FAENA'!A159</f>
        <v>0</v>
      </c>
      <c r="B160" s="18">
        <f>+'SERVICIO FAENA'!E159</f>
        <v>0</v>
      </c>
      <c r="C160" s="20">
        <f>+'SERVICIO FAENA'!C159</f>
        <v>0</v>
      </c>
      <c r="D160" s="87"/>
      <c r="E160" s="48"/>
      <c r="F160" s="48"/>
      <c r="G160" s="85"/>
      <c r="H160" s="48"/>
      <c r="I160" s="85"/>
      <c r="J160" s="48"/>
      <c r="K160" s="85"/>
      <c r="L160" s="48"/>
      <c r="M160" s="85"/>
      <c r="N160" s="48"/>
      <c r="O160" s="85"/>
      <c r="P160" s="48"/>
      <c r="Q160" s="85"/>
      <c r="R160" s="48"/>
      <c r="S160" s="85"/>
      <c r="T160" s="48"/>
      <c r="U160" s="85"/>
      <c r="V160" s="48"/>
      <c r="W160" s="85"/>
      <c r="X160" s="48"/>
      <c r="Y160" s="85"/>
      <c r="Z160" s="48"/>
      <c r="AA160" s="85"/>
      <c r="AB160" s="48"/>
      <c r="AC160" s="85"/>
      <c r="AD160" s="224"/>
      <c r="AE160" s="225"/>
      <c r="AF160" s="222"/>
      <c r="AG160" s="88">
        <f t="shared" si="7"/>
        <v>0</v>
      </c>
      <c r="AH160" s="93">
        <f t="shared" si="8"/>
        <v>0</v>
      </c>
      <c r="AI160" s="90"/>
      <c r="AJ160" s="95"/>
      <c r="AK160" s="94">
        <f t="shared" si="9"/>
        <v>0</v>
      </c>
    </row>
    <row r="161" spans="1:37" x14ac:dyDescent="0.2">
      <c r="A161" s="20">
        <f>+'SERVICIO FAENA'!A160</f>
        <v>0</v>
      </c>
      <c r="B161" s="18">
        <f>+'SERVICIO FAENA'!E160</f>
        <v>0</v>
      </c>
      <c r="C161" s="20">
        <f>+'SERVICIO FAENA'!C160</f>
        <v>0</v>
      </c>
      <c r="D161" s="87"/>
      <c r="E161" s="48"/>
      <c r="F161" s="48"/>
      <c r="G161" s="85"/>
      <c r="H161" s="48"/>
      <c r="I161" s="85"/>
      <c r="J161" s="48"/>
      <c r="K161" s="85"/>
      <c r="L161" s="48"/>
      <c r="M161" s="85"/>
      <c r="N161" s="48"/>
      <c r="O161" s="85"/>
      <c r="P161" s="48"/>
      <c r="Q161" s="85"/>
      <c r="R161" s="48"/>
      <c r="S161" s="85"/>
      <c r="T161" s="48"/>
      <c r="U161" s="85"/>
      <c r="V161" s="48"/>
      <c r="W161" s="85"/>
      <c r="X161" s="48"/>
      <c r="Y161" s="85"/>
      <c r="Z161" s="48"/>
      <c r="AA161" s="85"/>
      <c r="AB161" s="48"/>
      <c r="AC161" s="85"/>
      <c r="AD161" s="224"/>
      <c r="AE161" s="225"/>
      <c r="AF161" s="222"/>
      <c r="AG161" s="88">
        <f t="shared" si="7"/>
        <v>0</v>
      </c>
      <c r="AH161" s="93">
        <f t="shared" si="8"/>
        <v>0</v>
      </c>
      <c r="AI161" s="90"/>
      <c r="AJ161" s="95"/>
      <c r="AK161" s="94">
        <f t="shared" si="9"/>
        <v>0</v>
      </c>
    </row>
    <row r="162" spans="1:37" x14ac:dyDescent="0.2">
      <c r="A162" s="20">
        <f>+'SERVICIO FAENA'!A161</f>
        <v>0</v>
      </c>
      <c r="B162" s="18">
        <f>+'SERVICIO FAENA'!E161</f>
        <v>0</v>
      </c>
      <c r="C162" s="20">
        <f>+'SERVICIO FAENA'!C161</f>
        <v>0</v>
      </c>
      <c r="D162" s="87"/>
      <c r="E162" s="48"/>
      <c r="F162" s="48"/>
      <c r="G162" s="85"/>
      <c r="H162" s="48"/>
      <c r="I162" s="85"/>
      <c r="J162" s="48"/>
      <c r="K162" s="85"/>
      <c r="L162" s="48"/>
      <c r="M162" s="85"/>
      <c r="N162" s="48"/>
      <c r="O162" s="85"/>
      <c r="P162" s="48"/>
      <c r="Q162" s="85"/>
      <c r="R162" s="48"/>
      <c r="S162" s="85"/>
      <c r="T162" s="48"/>
      <c r="U162" s="85"/>
      <c r="V162" s="48"/>
      <c r="W162" s="85"/>
      <c r="X162" s="48"/>
      <c r="Y162" s="85"/>
      <c r="Z162" s="48"/>
      <c r="AA162" s="85"/>
      <c r="AB162" s="48"/>
      <c r="AC162" s="85"/>
      <c r="AD162" s="222"/>
      <c r="AE162" s="223"/>
      <c r="AF162" s="222"/>
      <c r="AG162" s="88">
        <f t="shared" si="7"/>
        <v>0</v>
      </c>
      <c r="AH162" s="93">
        <f t="shared" si="8"/>
        <v>0</v>
      </c>
      <c r="AI162" s="91"/>
      <c r="AJ162" s="96"/>
      <c r="AK162" s="94">
        <f t="shared" si="9"/>
        <v>0</v>
      </c>
    </row>
    <row r="163" spans="1:37" x14ac:dyDescent="0.2">
      <c r="A163" s="20">
        <f>+'SERVICIO FAENA'!A162</f>
        <v>0</v>
      </c>
      <c r="B163" s="18">
        <f>+'SERVICIO FAENA'!E162</f>
        <v>0</v>
      </c>
      <c r="C163" s="20">
        <f>+'SERVICIO FAENA'!C162</f>
        <v>0</v>
      </c>
      <c r="D163" s="87"/>
      <c r="E163" s="48"/>
      <c r="F163" s="48"/>
      <c r="G163" s="85"/>
      <c r="H163" s="48"/>
      <c r="I163" s="85"/>
      <c r="J163" s="48"/>
      <c r="K163" s="85"/>
      <c r="L163" s="48"/>
      <c r="M163" s="85"/>
      <c r="N163" s="48"/>
      <c r="O163" s="85"/>
      <c r="P163" s="48"/>
      <c r="Q163" s="85"/>
      <c r="R163" s="48"/>
      <c r="S163" s="85"/>
      <c r="T163" s="48"/>
      <c r="U163" s="85"/>
      <c r="V163" s="48"/>
      <c r="W163" s="85"/>
      <c r="X163" s="48"/>
      <c r="Y163" s="85"/>
      <c r="Z163" s="48"/>
      <c r="AA163" s="85"/>
      <c r="AB163" s="48"/>
      <c r="AC163" s="85"/>
      <c r="AD163" s="224"/>
      <c r="AE163" s="225"/>
      <c r="AF163" s="222"/>
      <c r="AG163" s="88">
        <f t="shared" si="7"/>
        <v>0</v>
      </c>
      <c r="AH163" s="93">
        <f t="shared" si="8"/>
        <v>0</v>
      </c>
      <c r="AI163" s="90"/>
      <c r="AJ163" s="95"/>
      <c r="AK163" s="94">
        <f t="shared" si="9"/>
        <v>0</v>
      </c>
    </row>
    <row r="164" spans="1:37" x14ac:dyDescent="0.2">
      <c r="A164" s="20">
        <f>+'SERVICIO FAENA'!A163</f>
        <v>0</v>
      </c>
      <c r="B164" s="18">
        <f>+'SERVICIO FAENA'!E163</f>
        <v>0</v>
      </c>
      <c r="C164" s="20">
        <f>+'SERVICIO FAENA'!C163</f>
        <v>0</v>
      </c>
      <c r="D164" s="87"/>
      <c r="E164" s="48"/>
      <c r="F164" s="48"/>
      <c r="G164" s="85"/>
      <c r="H164" s="48"/>
      <c r="I164" s="85"/>
      <c r="J164" s="48"/>
      <c r="K164" s="85"/>
      <c r="L164" s="48"/>
      <c r="M164" s="85"/>
      <c r="N164" s="48"/>
      <c r="O164" s="85"/>
      <c r="P164" s="48"/>
      <c r="Q164" s="85"/>
      <c r="R164" s="48"/>
      <c r="S164" s="85"/>
      <c r="T164" s="48"/>
      <c r="U164" s="85"/>
      <c r="V164" s="48"/>
      <c r="W164" s="85"/>
      <c r="X164" s="48"/>
      <c r="Y164" s="85"/>
      <c r="Z164" s="48"/>
      <c r="AA164" s="85"/>
      <c r="AB164" s="48"/>
      <c r="AC164" s="85"/>
      <c r="AD164" s="224"/>
      <c r="AE164" s="225"/>
      <c r="AF164" s="222"/>
      <c r="AG164" s="88">
        <f t="shared" si="7"/>
        <v>0</v>
      </c>
      <c r="AH164" s="93">
        <f t="shared" si="8"/>
        <v>0</v>
      </c>
      <c r="AI164" s="90"/>
      <c r="AJ164" s="95"/>
      <c r="AK164" s="94">
        <f t="shared" si="9"/>
        <v>0</v>
      </c>
    </row>
    <row r="165" spans="1:37" x14ac:dyDescent="0.2">
      <c r="A165" s="20">
        <f>+'SERVICIO FAENA'!A164</f>
        <v>0</v>
      </c>
      <c r="B165" s="18">
        <f>+'SERVICIO FAENA'!E164</f>
        <v>0</v>
      </c>
      <c r="C165" s="20">
        <f>+'SERVICIO FAENA'!C164</f>
        <v>0</v>
      </c>
      <c r="D165" s="87"/>
      <c r="E165" s="48"/>
      <c r="F165" s="48"/>
      <c r="G165" s="85"/>
      <c r="H165" s="48"/>
      <c r="I165" s="85"/>
      <c r="J165" s="48"/>
      <c r="K165" s="85"/>
      <c r="L165" s="48"/>
      <c r="M165" s="85"/>
      <c r="N165" s="48"/>
      <c r="O165" s="85"/>
      <c r="P165" s="48"/>
      <c r="Q165" s="85"/>
      <c r="R165" s="48"/>
      <c r="S165" s="85"/>
      <c r="T165" s="48"/>
      <c r="U165" s="85"/>
      <c r="V165" s="48"/>
      <c r="W165" s="85"/>
      <c r="X165" s="48"/>
      <c r="Y165" s="85"/>
      <c r="Z165" s="48"/>
      <c r="AA165" s="85"/>
      <c r="AB165" s="48"/>
      <c r="AC165" s="85"/>
      <c r="AD165" s="222"/>
      <c r="AE165" s="223"/>
      <c r="AF165" s="222"/>
      <c r="AG165" s="88">
        <f t="shared" si="7"/>
        <v>0</v>
      </c>
      <c r="AH165" s="93">
        <f t="shared" si="8"/>
        <v>0</v>
      </c>
      <c r="AI165" s="91"/>
      <c r="AJ165" s="96"/>
      <c r="AK165" s="94">
        <f t="shared" si="9"/>
        <v>0</v>
      </c>
    </row>
    <row r="166" spans="1:37" x14ac:dyDescent="0.2">
      <c r="A166" s="20">
        <f>+'SERVICIO FAENA'!A165</f>
        <v>0</v>
      </c>
      <c r="B166" s="18">
        <f>+'SERVICIO FAENA'!E165</f>
        <v>0</v>
      </c>
      <c r="C166" s="20">
        <f>+'SERVICIO FAENA'!C165</f>
        <v>0</v>
      </c>
      <c r="D166" s="87"/>
      <c r="E166" s="48"/>
      <c r="F166" s="48"/>
      <c r="G166" s="85"/>
      <c r="H166" s="48"/>
      <c r="I166" s="85"/>
      <c r="J166" s="48"/>
      <c r="K166" s="85"/>
      <c r="L166" s="48"/>
      <c r="M166" s="85"/>
      <c r="N166" s="48"/>
      <c r="O166" s="85"/>
      <c r="P166" s="48"/>
      <c r="Q166" s="85"/>
      <c r="R166" s="48"/>
      <c r="S166" s="85"/>
      <c r="T166" s="48"/>
      <c r="U166" s="85"/>
      <c r="V166" s="48"/>
      <c r="W166" s="85"/>
      <c r="X166" s="48"/>
      <c r="Y166" s="85"/>
      <c r="Z166" s="48"/>
      <c r="AA166" s="85"/>
      <c r="AB166" s="48"/>
      <c r="AC166" s="85"/>
      <c r="AD166" s="224"/>
      <c r="AE166" s="225"/>
      <c r="AF166" s="222"/>
      <c r="AG166" s="88">
        <f t="shared" ref="AG166:AG229" si="10">+D166*E166</f>
        <v>0</v>
      </c>
      <c r="AH166" s="93">
        <f t="shared" ref="AH166:AH229" si="11">+AG166*1.105</f>
        <v>0</v>
      </c>
      <c r="AI166" s="90"/>
      <c r="AJ166" s="95"/>
      <c r="AK166" s="94">
        <f t="shared" ref="AK166:AK229" si="12">+AJ166-AH166</f>
        <v>0</v>
      </c>
    </row>
    <row r="167" spans="1:37" x14ac:dyDescent="0.2">
      <c r="A167" s="20">
        <f>+'SERVICIO FAENA'!A166</f>
        <v>0</v>
      </c>
      <c r="B167" s="18">
        <f>+'SERVICIO FAENA'!E166</f>
        <v>0</v>
      </c>
      <c r="C167" s="20">
        <f>+'SERVICIO FAENA'!C166</f>
        <v>0</v>
      </c>
      <c r="D167" s="87"/>
      <c r="E167" s="48"/>
      <c r="F167" s="48"/>
      <c r="G167" s="85"/>
      <c r="H167" s="48"/>
      <c r="I167" s="85"/>
      <c r="J167" s="48"/>
      <c r="K167" s="85"/>
      <c r="L167" s="48"/>
      <c r="M167" s="85"/>
      <c r="N167" s="48"/>
      <c r="O167" s="85"/>
      <c r="P167" s="48"/>
      <c r="Q167" s="85"/>
      <c r="R167" s="48"/>
      <c r="S167" s="85"/>
      <c r="T167" s="48"/>
      <c r="U167" s="85"/>
      <c r="V167" s="48"/>
      <c r="W167" s="85"/>
      <c r="X167" s="48"/>
      <c r="Y167" s="85"/>
      <c r="Z167" s="48"/>
      <c r="AA167" s="85"/>
      <c r="AB167" s="48"/>
      <c r="AC167" s="85"/>
      <c r="AD167" s="224"/>
      <c r="AE167" s="225"/>
      <c r="AF167" s="222"/>
      <c r="AG167" s="88">
        <f t="shared" si="10"/>
        <v>0</v>
      </c>
      <c r="AH167" s="93">
        <f t="shared" si="11"/>
        <v>0</v>
      </c>
      <c r="AI167" s="90"/>
      <c r="AJ167" s="95"/>
      <c r="AK167" s="94">
        <f t="shared" si="12"/>
        <v>0</v>
      </c>
    </row>
    <row r="168" spans="1:37" x14ac:dyDescent="0.2">
      <c r="A168" s="20">
        <f>+'SERVICIO FAENA'!A167</f>
        <v>0</v>
      </c>
      <c r="B168" s="18">
        <f>+'SERVICIO FAENA'!E167</f>
        <v>0</v>
      </c>
      <c r="C168" s="20">
        <f>+'SERVICIO FAENA'!C167</f>
        <v>0</v>
      </c>
      <c r="D168" s="87"/>
      <c r="E168" s="48"/>
      <c r="F168" s="48"/>
      <c r="G168" s="85"/>
      <c r="H168" s="48"/>
      <c r="I168" s="85"/>
      <c r="J168" s="48"/>
      <c r="K168" s="85"/>
      <c r="L168" s="48"/>
      <c r="M168" s="85"/>
      <c r="N168" s="48"/>
      <c r="O168" s="85"/>
      <c r="P168" s="48"/>
      <c r="Q168" s="85"/>
      <c r="R168" s="48"/>
      <c r="S168" s="85"/>
      <c r="T168" s="48"/>
      <c r="U168" s="85"/>
      <c r="V168" s="48"/>
      <c r="W168" s="85"/>
      <c r="X168" s="48"/>
      <c r="Y168" s="85"/>
      <c r="Z168" s="48"/>
      <c r="AA168" s="85"/>
      <c r="AB168" s="48"/>
      <c r="AC168" s="85"/>
      <c r="AD168" s="222"/>
      <c r="AE168" s="223"/>
      <c r="AF168" s="222"/>
      <c r="AG168" s="88">
        <f t="shared" si="10"/>
        <v>0</v>
      </c>
      <c r="AH168" s="93">
        <f t="shared" si="11"/>
        <v>0</v>
      </c>
      <c r="AI168" s="91"/>
      <c r="AJ168" s="96"/>
      <c r="AK168" s="94">
        <f t="shared" si="12"/>
        <v>0</v>
      </c>
    </row>
    <row r="169" spans="1:37" x14ac:dyDescent="0.2">
      <c r="A169" s="20">
        <f>+'SERVICIO FAENA'!A168</f>
        <v>0</v>
      </c>
      <c r="B169" s="18">
        <f>+'SERVICIO FAENA'!E168</f>
        <v>0</v>
      </c>
      <c r="C169" s="20">
        <f>+'SERVICIO FAENA'!C168</f>
        <v>0</v>
      </c>
      <c r="D169" s="87"/>
      <c r="E169" s="48"/>
      <c r="F169" s="48"/>
      <c r="G169" s="85"/>
      <c r="H169" s="48"/>
      <c r="I169" s="85"/>
      <c r="J169" s="48"/>
      <c r="K169" s="85"/>
      <c r="L169" s="48"/>
      <c r="M169" s="85"/>
      <c r="N169" s="48"/>
      <c r="O169" s="85"/>
      <c r="P169" s="48"/>
      <c r="Q169" s="85"/>
      <c r="R169" s="48"/>
      <c r="S169" s="85"/>
      <c r="T169" s="48"/>
      <c r="U169" s="85"/>
      <c r="V169" s="48"/>
      <c r="W169" s="85"/>
      <c r="X169" s="48"/>
      <c r="Y169" s="85"/>
      <c r="Z169" s="48"/>
      <c r="AA169" s="85"/>
      <c r="AB169" s="48"/>
      <c r="AC169" s="85"/>
      <c r="AD169" s="224"/>
      <c r="AE169" s="225"/>
      <c r="AF169" s="222"/>
      <c r="AG169" s="88">
        <f t="shared" si="10"/>
        <v>0</v>
      </c>
      <c r="AH169" s="93">
        <f t="shared" si="11"/>
        <v>0</v>
      </c>
      <c r="AI169" s="90"/>
      <c r="AJ169" s="95"/>
      <c r="AK169" s="94">
        <f t="shared" si="12"/>
        <v>0</v>
      </c>
    </row>
    <row r="170" spans="1:37" x14ac:dyDescent="0.2">
      <c r="A170" s="20">
        <f>+'SERVICIO FAENA'!A169</f>
        <v>0</v>
      </c>
      <c r="B170" s="18">
        <f>+'SERVICIO FAENA'!E169</f>
        <v>0</v>
      </c>
      <c r="C170" s="20">
        <f>+'SERVICIO FAENA'!C169</f>
        <v>0</v>
      </c>
      <c r="D170" s="87"/>
      <c r="E170" s="48"/>
      <c r="F170" s="48"/>
      <c r="G170" s="85"/>
      <c r="H170" s="48"/>
      <c r="I170" s="85"/>
      <c r="J170" s="48"/>
      <c r="K170" s="85"/>
      <c r="L170" s="48"/>
      <c r="M170" s="85"/>
      <c r="N170" s="48"/>
      <c r="O170" s="85"/>
      <c r="P170" s="48"/>
      <c r="Q170" s="85"/>
      <c r="R170" s="48"/>
      <c r="S170" s="85"/>
      <c r="T170" s="48"/>
      <c r="U170" s="85"/>
      <c r="V170" s="48"/>
      <c r="W170" s="85"/>
      <c r="X170" s="48"/>
      <c r="Y170" s="85"/>
      <c r="Z170" s="48"/>
      <c r="AA170" s="85"/>
      <c r="AB170" s="48"/>
      <c r="AC170" s="85"/>
      <c r="AD170" s="224"/>
      <c r="AE170" s="225"/>
      <c r="AF170" s="222"/>
      <c r="AG170" s="88">
        <f t="shared" si="10"/>
        <v>0</v>
      </c>
      <c r="AH170" s="93">
        <f t="shared" si="11"/>
        <v>0</v>
      </c>
      <c r="AI170" s="90"/>
      <c r="AJ170" s="95"/>
      <c r="AK170" s="94">
        <f t="shared" si="12"/>
        <v>0</v>
      </c>
    </row>
    <row r="171" spans="1:37" x14ac:dyDescent="0.2">
      <c r="A171" s="20">
        <f>+'SERVICIO FAENA'!A170</f>
        <v>0</v>
      </c>
      <c r="B171" s="18">
        <f>+'SERVICIO FAENA'!E170</f>
        <v>0</v>
      </c>
      <c r="C171" s="20">
        <f>+'SERVICIO FAENA'!C170</f>
        <v>0</v>
      </c>
      <c r="D171" s="87"/>
      <c r="E171" s="48"/>
      <c r="F171" s="48"/>
      <c r="G171" s="85"/>
      <c r="H171" s="48"/>
      <c r="I171" s="85"/>
      <c r="J171" s="48"/>
      <c r="K171" s="85"/>
      <c r="L171" s="48"/>
      <c r="M171" s="85"/>
      <c r="N171" s="48"/>
      <c r="O171" s="85"/>
      <c r="P171" s="48"/>
      <c r="Q171" s="85"/>
      <c r="R171" s="48"/>
      <c r="S171" s="85"/>
      <c r="T171" s="48"/>
      <c r="U171" s="85"/>
      <c r="V171" s="48"/>
      <c r="W171" s="85"/>
      <c r="X171" s="48"/>
      <c r="Y171" s="85"/>
      <c r="Z171" s="48"/>
      <c r="AA171" s="85"/>
      <c r="AB171" s="48"/>
      <c r="AC171" s="85"/>
      <c r="AD171" s="222"/>
      <c r="AE171" s="223"/>
      <c r="AF171" s="222"/>
      <c r="AG171" s="88">
        <f t="shared" si="10"/>
        <v>0</v>
      </c>
      <c r="AH171" s="93">
        <f t="shared" si="11"/>
        <v>0</v>
      </c>
      <c r="AI171" s="91"/>
      <c r="AJ171" s="96"/>
      <c r="AK171" s="94">
        <f t="shared" si="12"/>
        <v>0</v>
      </c>
    </row>
    <row r="172" spans="1:37" x14ac:dyDescent="0.2">
      <c r="A172" s="20">
        <f>+'SERVICIO FAENA'!A171</f>
        <v>0</v>
      </c>
      <c r="B172" s="18">
        <f>+'SERVICIO FAENA'!E171</f>
        <v>0</v>
      </c>
      <c r="C172" s="20">
        <f>+'SERVICIO FAENA'!C171</f>
        <v>0</v>
      </c>
      <c r="D172" s="87"/>
      <c r="E172" s="48"/>
      <c r="F172" s="48"/>
      <c r="G172" s="85"/>
      <c r="H172" s="48"/>
      <c r="I172" s="85"/>
      <c r="J172" s="48"/>
      <c r="K172" s="85"/>
      <c r="L172" s="48"/>
      <c r="M172" s="85"/>
      <c r="N172" s="48"/>
      <c r="O172" s="85"/>
      <c r="P172" s="48"/>
      <c r="Q172" s="85"/>
      <c r="R172" s="48"/>
      <c r="S172" s="85"/>
      <c r="T172" s="48"/>
      <c r="U172" s="85"/>
      <c r="V172" s="48"/>
      <c r="W172" s="85"/>
      <c r="X172" s="48"/>
      <c r="Y172" s="85"/>
      <c r="Z172" s="48"/>
      <c r="AA172" s="85"/>
      <c r="AB172" s="48"/>
      <c r="AC172" s="85"/>
      <c r="AD172" s="224"/>
      <c r="AE172" s="225"/>
      <c r="AF172" s="222"/>
      <c r="AG172" s="88">
        <f t="shared" si="10"/>
        <v>0</v>
      </c>
      <c r="AH172" s="93">
        <f t="shared" si="11"/>
        <v>0</v>
      </c>
      <c r="AI172" s="90"/>
      <c r="AJ172" s="95"/>
      <c r="AK172" s="94">
        <f t="shared" si="12"/>
        <v>0</v>
      </c>
    </row>
    <row r="173" spans="1:37" x14ac:dyDescent="0.2">
      <c r="A173" s="20">
        <f>+'SERVICIO FAENA'!A172</f>
        <v>0</v>
      </c>
      <c r="B173" s="18">
        <f>+'SERVICIO FAENA'!E172</f>
        <v>0</v>
      </c>
      <c r="C173" s="20">
        <f>+'SERVICIO FAENA'!C172</f>
        <v>0</v>
      </c>
      <c r="D173" s="87"/>
      <c r="E173" s="48"/>
      <c r="F173" s="48"/>
      <c r="G173" s="85"/>
      <c r="H173" s="48"/>
      <c r="I173" s="85"/>
      <c r="J173" s="48"/>
      <c r="K173" s="85"/>
      <c r="L173" s="48"/>
      <c r="M173" s="85"/>
      <c r="N173" s="48"/>
      <c r="O173" s="85"/>
      <c r="P173" s="48"/>
      <c r="Q173" s="85"/>
      <c r="R173" s="48"/>
      <c r="S173" s="85"/>
      <c r="T173" s="48"/>
      <c r="U173" s="85"/>
      <c r="V173" s="48"/>
      <c r="W173" s="85"/>
      <c r="X173" s="48"/>
      <c r="Y173" s="85"/>
      <c r="Z173" s="48"/>
      <c r="AA173" s="85"/>
      <c r="AB173" s="48"/>
      <c r="AC173" s="85"/>
      <c r="AD173" s="224"/>
      <c r="AE173" s="225"/>
      <c r="AF173" s="222"/>
      <c r="AG173" s="88">
        <f t="shared" si="10"/>
        <v>0</v>
      </c>
      <c r="AH173" s="93">
        <f t="shared" si="11"/>
        <v>0</v>
      </c>
      <c r="AI173" s="90"/>
      <c r="AJ173" s="95"/>
      <c r="AK173" s="94">
        <f t="shared" si="12"/>
        <v>0</v>
      </c>
    </row>
    <row r="174" spans="1:37" x14ac:dyDescent="0.2">
      <c r="A174" s="20">
        <f>+'SERVICIO FAENA'!A173</f>
        <v>0</v>
      </c>
      <c r="B174" s="18">
        <f>+'SERVICIO FAENA'!E173</f>
        <v>0</v>
      </c>
      <c r="C174" s="20">
        <f>+'SERVICIO FAENA'!C173</f>
        <v>0</v>
      </c>
      <c r="D174" s="87"/>
      <c r="E174" s="48"/>
      <c r="F174" s="48"/>
      <c r="G174" s="85"/>
      <c r="H174" s="48"/>
      <c r="I174" s="85"/>
      <c r="J174" s="48"/>
      <c r="K174" s="85"/>
      <c r="L174" s="48"/>
      <c r="M174" s="85"/>
      <c r="N174" s="48"/>
      <c r="O174" s="85"/>
      <c r="P174" s="48"/>
      <c r="Q174" s="85"/>
      <c r="R174" s="48"/>
      <c r="S174" s="85"/>
      <c r="T174" s="48"/>
      <c r="U174" s="85"/>
      <c r="V174" s="48"/>
      <c r="W174" s="85"/>
      <c r="X174" s="48"/>
      <c r="Y174" s="85"/>
      <c r="Z174" s="48"/>
      <c r="AA174" s="85"/>
      <c r="AB174" s="48"/>
      <c r="AC174" s="85"/>
      <c r="AD174" s="222"/>
      <c r="AE174" s="223"/>
      <c r="AF174" s="222"/>
      <c r="AG174" s="88">
        <f t="shared" si="10"/>
        <v>0</v>
      </c>
      <c r="AH174" s="93">
        <f t="shared" si="11"/>
        <v>0</v>
      </c>
      <c r="AI174" s="91"/>
      <c r="AJ174" s="96"/>
      <c r="AK174" s="94">
        <f t="shared" si="12"/>
        <v>0</v>
      </c>
    </row>
    <row r="175" spans="1:37" x14ac:dyDescent="0.2">
      <c r="A175" s="20">
        <f>+'SERVICIO FAENA'!A174</f>
        <v>0</v>
      </c>
      <c r="B175" s="18">
        <f>+'SERVICIO FAENA'!E174</f>
        <v>0</v>
      </c>
      <c r="C175" s="20">
        <f>+'SERVICIO FAENA'!C174</f>
        <v>0</v>
      </c>
      <c r="D175" s="87"/>
      <c r="E175" s="48"/>
      <c r="F175" s="48"/>
      <c r="G175" s="85"/>
      <c r="H175" s="48"/>
      <c r="I175" s="85"/>
      <c r="J175" s="48"/>
      <c r="K175" s="85"/>
      <c r="L175" s="48"/>
      <c r="M175" s="85"/>
      <c r="N175" s="48"/>
      <c r="O175" s="85"/>
      <c r="P175" s="48"/>
      <c r="Q175" s="85"/>
      <c r="R175" s="48"/>
      <c r="S175" s="85"/>
      <c r="T175" s="48"/>
      <c r="U175" s="85"/>
      <c r="V175" s="48"/>
      <c r="W175" s="85"/>
      <c r="X175" s="48"/>
      <c r="Y175" s="85"/>
      <c r="Z175" s="48"/>
      <c r="AA175" s="85"/>
      <c r="AB175" s="48"/>
      <c r="AC175" s="85"/>
      <c r="AD175" s="224"/>
      <c r="AE175" s="225"/>
      <c r="AF175" s="222"/>
      <c r="AG175" s="88">
        <f t="shared" si="10"/>
        <v>0</v>
      </c>
      <c r="AH175" s="93">
        <f t="shared" si="11"/>
        <v>0</v>
      </c>
      <c r="AI175" s="90"/>
      <c r="AJ175" s="95"/>
      <c r="AK175" s="94">
        <f t="shared" si="12"/>
        <v>0</v>
      </c>
    </row>
    <row r="176" spans="1:37" x14ac:dyDescent="0.2">
      <c r="A176" s="20">
        <f>+'SERVICIO FAENA'!A175</f>
        <v>0</v>
      </c>
      <c r="B176" s="18">
        <f>+'SERVICIO FAENA'!E175</f>
        <v>0</v>
      </c>
      <c r="C176" s="20">
        <f>+'SERVICIO FAENA'!C175</f>
        <v>0</v>
      </c>
      <c r="D176" s="87"/>
      <c r="E176" s="48"/>
      <c r="F176" s="48"/>
      <c r="G176" s="85"/>
      <c r="H176" s="48"/>
      <c r="I176" s="85"/>
      <c r="J176" s="48"/>
      <c r="K176" s="85"/>
      <c r="L176" s="48"/>
      <c r="M176" s="85"/>
      <c r="N176" s="48"/>
      <c r="O176" s="85"/>
      <c r="P176" s="48"/>
      <c r="Q176" s="85"/>
      <c r="R176" s="48"/>
      <c r="S176" s="85"/>
      <c r="T176" s="48"/>
      <c r="U176" s="85"/>
      <c r="V176" s="48"/>
      <c r="W176" s="85"/>
      <c r="X176" s="48"/>
      <c r="Y176" s="85"/>
      <c r="Z176" s="48"/>
      <c r="AA176" s="85"/>
      <c r="AB176" s="48"/>
      <c r="AC176" s="85"/>
      <c r="AD176" s="224"/>
      <c r="AE176" s="225"/>
      <c r="AF176" s="222"/>
      <c r="AG176" s="88">
        <f t="shared" si="10"/>
        <v>0</v>
      </c>
      <c r="AH176" s="93">
        <f t="shared" si="11"/>
        <v>0</v>
      </c>
      <c r="AI176" s="90"/>
      <c r="AJ176" s="95"/>
      <c r="AK176" s="94">
        <f t="shared" si="12"/>
        <v>0</v>
      </c>
    </row>
    <row r="177" spans="1:37" x14ac:dyDescent="0.2">
      <c r="A177" s="20">
        <f>+'SERVICIO FAENA'!A176</f>
        <v>0</v>
      </c>
      <c r="B177" s="18">
        <f>+'SERVICIO FAENA'!E176</f>
        <v>0</v>
      </c>
      <c r="C177" s="20">
        <f>+'SERVICIO FAENA'!C176</f>
        <v>0</v>
      </c>
      <c r="D177" s="87"/>
      <c r="E177" s="48"/>
      <c r="F177" s="48"/>
      <c r="G177" s="85"/>
      <c r="H177" s="48"/>
      <c r="I177" s="85"/>
      <c r="J177" s="48"/>
      <c r="K177" s="85"/>
      <c r="L177" s="48"/>
      <c r="M177" s="85"/>
      <c r="N177" s="48"/>
      <c r="O177" s="85"/>
      <c r="P177" s="48"/>
      <c r="Q177" s="85"/>
      <c r="R177" s="48"/>
      <c r="S177" s="85"/>
      <c r="T177" s="48"/>
      <c r="U177" s="85"/>
      <c r="V177" s="48"/>
      <c r="W177" s="85"/>
      <c r="X177" s="48"/>
      <c r="Y177" s="85"/>
      <c r="Z177" s="48"/>
      <c r="AA177" s="85"/>
      <c r="AB177" s="48"/>
      <c r="AC177" s="85"/>
      <c r="AD177" s="222"/>
      <c r="AE177" s="223"/>
      <c r="AF177" s="222"/>
      <c r="AG177" s="88">
        <f t="shared" si="10"/>
        <v>0</v>
      </c>
      <c r="AH177" s="93">
        <f t="shared" si="11"/>
        <v>0</v>
      </c>
      <c r="AI177" s="91"/>
      <c r="AJ177" s="96"/>
      <c r="AK177" s="94">
        <f t="shared" si="12"/>
        <v>0</v>
      </c>
    </row>
    <row r="178" spans="1:37" x14ac:dyDescent="0.2">
      <c r="A178" s="20">
        <f>+'SERVICIO FAENA'!A177</f>
        <v>0</v>
      </c>
      <c r="B178" s="18">
        <f>+'SERVICIO FAENA'!E177</f>
        <v>0</v>
      </c>
      <c r="C178" s="20">
        <f>+'SERVICIO FAENA'!C177</f>
        <v>0</v>
      </c>
      <c r="D178" s="87"/>
      <c r="E178" s="48"/>
      <c r="F178" s="48"/>
      <c r="G178" s="85"/>
      <c r="H178" s="48"/>
      <c r="I178" s="85"/>
      <c r="J178" s="48"/>
      <c r="K178" s="85"/>
      <c r="L178" s="48"/>
      <c r="M178" s="85"/>
      <c r="N178" s="48"/>
      <c r="O178" s="85"/>
      <c r="P178" s="48"/>
      <c r="Q178" s="85"/>
      <c r="R178" s="48"/>
      <c r="S178" s="85"/>
      <c r="T178" s="48"/>
      <c r="U178" s="85"/>
      <c r="V178" s="48"/>
      <c r="W178" s="85"/>
      <c r="X178" s="48"/>
      <c r="Y178" s="85"/>
      <c r="Z178" s="48"/>
      <c r="AA178" s="85"/>
      <c r="AB178" s="48"/>
      <c r="AC178" s="85"/>
      <c r="AD178" s="224"/>
      <c r="AE178" s="225"/>
      <c r="AF178" s="222"/>
      <c r="AG178" s="88">
        <f t="shared" si="10"/>
        <v>0</v>
      </c>
      <c r="AH178" s="93">
        <f t="shared" si="11"/>
        <v>0</v>
      </c>
      <c r="AI178" s="90"/>
      <c r="AJ178" s="95"/>
      <c r="AK178" s="94">
        <f t="shared" si="12"/>
        <v>0</v>
      </c>
    </row>
    <row r="179" spans="1:37" x14ac:dyDescent="0.2">
      <c r="A179" s="20">
        <f>+'SERVICIO FAENA'!A178</f>
        <v>0</v>
      </c>
      <c r="B179" s="18">
        <f>+'SERVICIO FAENA'!E178</f>
        <v>0</v>
      </c>
      <c r="C179" s="20">
        <f>+'SERVICIO FAENA'!C178</f>
        <v>0</v>
      </c>
      <c r="D179" s="87"/>
      <c r="E179" s="48"/>
      <c r="F179" s="48"/>
      <c r="G179" s="85"/>
      <c r="H179" s="48"/>
      <c r="I179" s="85"/>
      <c r="J179" s="48"/>
      <c r="K179" s="85"/>
      <c r="L179" s="48"/>
      <c r="M179" s="85"/>
      <c r="N179" s="48"/>
      <c r="O179" s="85"/>
      <c r="P179" s="48"/>
      <c r="Q179" s="85"/>
      <c r="R179" s="48"/>
      <c r="S179" s="85"/>
      <c r="T179" s="48"/>
      <c r="U179" s="85"/>
      <c r="V179" s="48"/>
      <c r="W179" s="85"/>
      <c r="X179" s="48"/>
      <c r="Y179" s="85"/>
      <c r="Z179" s="48"/>
      <c r="AA179" s="85"/>
      <c r="AB179" s="48"/>
      <c r="AC179" s="85"/>
      <c r="AD179" s="224"/>
      <c r="AE179" s="225"/>
      <c r="AF179" s="222"/>
      <c r="AG179" s="88">
        <f t="shared" si="10"/>
        <v>0</v>
      </c>
      <c r="AH179" s="93">
        <f t="shared" si="11"/>
        <v>0</v>
      </c>
      <c r="AI179" s="90"/>
      <c r="AJ179" s="95"/>
      <c r="AK179" s="94">
        <f t="shared" si="12"/>
        <v>0</v>
      </c>
    </row>
    <row r="180" spans="1:37" x14ac:dyDescent="0.2">
      <c r="A180" s="20">
        <f>+'SERVICIO FAENA'!A179</f>
        <v>0</v>
      </c>
      <c r="B180" s="18">
        <f>+'SERVICIO FAENA'!E179</f>
        <v>0</v>
      </c>
      <c r="C180" s="20">
        <f>+'SERVICIO FAENA'!C179</f>
        <v>0</v>
      </c>
      <c r="D180" s="87"/>
      <c r="E180" s="48"/>
      <c r="F180" s="48"/>
      <c r="G180" s="85"/>
      <c r="H180" s="48"/>
      <c r="I180" s="85"/>
      <c r="J180" s="48"/>
      <c r="K180" s="85"/>
      <c r="L180" s="48"/>
      <c r="M180" s="85"/>
      <c r="N180" s="48"/>
      <c r="O180" s="85"/>
      <c r="P180" s="48"/>
      <c r="Q180" s="85"/>
      <c r="R180" s="48"/>
      <c r="S180" s="85"/>
      <c r="T180" s="48"/>
      <c r="U180" s="85"/>
      <c r="V180" s="48"/>
      <c r="W180" s="85"/>
      <c r="X180" s="48"/>
      <c r="Y180" s="85"/>
      <c r="Z180" s="48"/>
      <c r="AA180" s="85"/>
      <c r="AB180" s="48"/>
      <c r="AC180" s="85"/>
      <c r="AD180" s="222"/>
      <c r="AE180" s="223"/>
      <c r="AF180" s="222"/>
      <c r="AG180" s="88">
        <f t="shared" si="10"/>
        <v>0</v>
      </c>
      <c r="AH180" s="93">
        <f t="shared" si="11"/>
        <v>0</v>
      </c>
      <c r="AI180" s="91"/>
      <c r="AJ180" s="96"/>
      <c r="AK180" s="94">
        <f t="shared" si="12"/>
        <v>0</v>
      </c>
    </row>
    <row r="181" spans="1:37" x14ac:dyDescent="0.2">
      <c r="A181" s="20">
        <f>+'SERVICIO FAENA'!A180</f>
        <v>0</v>
      </c>
      <c r="B181" s="18">
        <f>+'SERVICIO FAENA'!E180</f>
        <v>0</v>
      </c>
      <c r="C181" s="20">
        <f>+'SERVICIO FAENA'!C180</f>
        <v>0</v>
      </c>
      <c r="D181" s="87"/>
      <c r="E181" s="48"/>
      <c r="F181" s="48"/>
      <c r="G181" s="85"/>
      <c r="H181" s="48"/>
      <c r="I181" s="85"/>
      <c r="J181" s="48"/>
      <c r="K181" s="85"/>
      <c r="L181" s="48"/>
      <c r="M181" s="85"/>
      <c r="N181" s="48"/>
      <c r="O181" s="85"/>
      <c r="P181" s="48"/>
      <c r="Q181" s="85"/>
      <c r="R181" s="48"/>
      <c r="S181" s="85"/>
      <c r="T181" s="48"/>
      <c r="U181" s="85"/>
      <c r="V181" s="48"/>
      <c r="W181" s="85"/>
      <c r="X181" s="48"/>
      <c r="Y181" s="85"/>
      <c r="Z181" s="48"/>
      <c r="AA181" s="85"/>
      <c r="AB181" s="48"/>
      <c r="AC181" s="85"/>
      <c r="AD181" s="224"/>
      <c r="AE181" s="225"/>
      <c r="AF181" s="222"/>
      <c r="AG181" s="88">
        <f t="shared" si="10"/>
        <v>0</v>
      </c>
      <c r="AH181" s="93">
        <f t="shared" si="11"/>
        <v>0</v>
      </c>
      <c r="AI181" s="90"/>
      <c r="AJ181" s="95"/>
      <c r="AK181" s="94">
        <f t="shared" si="12"/>
        <v>0</v>
      </c>
    </row>
    <row r="182" spans="1:37" x14ac:dyDescent="0.2">
      <c r="A182" s="20">
        <f>+'SERVICIO FAENA'!A181</f>
        <v>0</v>
      </c>
      <c r="B182" s="18">
        <f>+'SERVICIO FAENA'!E181</f>
        <v>0</v>
      </c>
      <c r="C182" s="20">
        <f>+'SERVICIO FAENA'!C181</f>
        <v>0</v>
      </c>
      <c r="D182" s="87"/>
      <c r="E182" s="48"/>
      <c r="F182" s="48"/>
      <c r="G182" s="85"/>
      <c r="H182" s="48"/>
      <c r="I182" s="85"/>
      <c r="J182" s="48"/>
      <c r="K182" s="85"/>
      <c r="L182" s="48"/>
      <c r="M182" s="85"/>
      <c r="N182" s="48"/>
      <c r="O182" s="85"/>
      <c r="P182" s="48"/>
      <c r="Q182" s="85"/>
      <c r="R182" s="48"/>
      <c r="S182" s="85"/>
      <c r="T182" s="48"/>
      <c r="U182" s="85"/>
      <c r="V182" s="48"/>
      <c r="W182" s="85"/>
      <c r="X182" s="48"/>
      <c r="Y182" s="85"/>
      <c r="Z182" s="48"/>
      <c r="AA182" s="85"/>
      <c r="AB182" s="48"/>
      <c r="AC182" s="85"/>
      <c r="AD182" s="224"/>
      <c r="AE182" s="225"/>
      <c r="AF182" s="222"/>
      <c r="AG182" s="88">
        <f t="shared" si="10"/>
        <v>0</v>
      </c>
      <c r="AH182" s="93">
        <f t="shared" si="11"/>
        <v>0</v>
      </c>
      <c r="AI182" s="90"/>
      <c r="AJ182" s="95"/>
      <c r="AK182" s="94">
        <f t="shared" si="12"/>
        <v>0</v>
      </c>
    </row>
    <row r="183" spans="1:37" x14ac:dyDescent="0.2">
      <c r="A183" s="20">
        <f>+'SERVICIO FAENA'!A182</f>
        <v>0</v>
      </c>
      <c r="B183" s="18">
        <f>+'SERVICIO FAENA'!E182</f>
        <v>0</v>
      </c>
      <c r="C183" s="20">
        <f>+'SERVICIO FAENA'!C182</f>
        <v>0</v>
      </c>
      <c r="D183" s="87"/>
      <c r="E183" s="48"/>
      <c r="F183" s="48"/>
      <c r="G183" s="85"/>
      <c r="H183" s="48"/>
      <c r="I183" s="85"/>
      <c r="J183" s="48"/>
      <c r="K183" s="85"/>
      <c r="L183" s="48"/>
      <c r="M183" s="85"/>
      <c r="N183" s="48"/>
      <c r="O183" s="85"/>
      <c r="P183" s="48"/>
      <c r="Q183" s="85"/>
      <c r="R183" s="48"/>
      <c r="S183" s="85"/>
      <c r="T183" s="48"/>
      <c r="U183" s="85"/>
      <c r="V183" s="48"/>
      <c r="W183" s="85"/>
      <c r="X183" s="48"/>
      <c r="Y183" s="85"/>
      <c r="Z183" s="48"/>
      <c r="AA183" s="85"/>
      <c r="AB183" s="48"/>
      <c r="AC183" s="85"/>
      <c r="AD183" s="222"/>
      <c r="AE183" s="223"/>
      <c r="AF183" s="222"/>
      <c r="AG183" s="88">
        <f t="shared" si="10"/>
        <v>0</v>
      </c>
      <c r="AH183" s="93">
        <f t="shared" si="11"/>
        <v>0</v>
      </c>
      <c r="AI183" s="91"/>
      <c r="AJ183" s="96"/>
      <c r="AK183" s="94">
        <f t="shared" si="12"/>
        <v>0</v>
      </c>
    </row>
    <row r="184" spans="1:37" x14ac:dyDescent="0.2">
      <c r="A184" s="20">
        <f>+'SERVICIO FAENA'!A183</f>
        <v>0</v>
      </c>
      <c r="B184" s="18">
        <f>+'SERVICIO FAENA'!E183</f>
        <v>0</v>
      </c>
      <c r="C184" s="20">
        <f>+'SERVICIO FAENA'!C183</f>
        <v>0</v>
      </c>
      <c r="D184" s="87"/>
      <c r="E184" s="48"/>
      <c r="F184" s="48"/>
      <c r="G184" s="85"/>
      <c r="H184" s="48"/>
      <c r="I184" s="85"/>
      <c r="J184" s="48"/>
      <c r="K184" s="85"/>
      <c r="L184" s="48"/>
      <c r="M184" s="85"/>
      <c r="N184" s="48"/>
      <c r="O184" s="85"/>
      <c r="P184" s="48"/>
      <c r="Q184" s="85"/>
      <c r="R184" s="48"/>
      <c r="S184" s="85"/>
      <c r="T184" s="48"/>
      <c r="U184" s="85"/>
      <c r="V184" s="48"/>
      <c r="W184" s="85"/>
      <c r="X184" s="48"/>
      <c r="Y184" s="85"/>
      <c r="Z184" s="48"/>
      <c r="AA184" s="85"/>
      <c r="AB184" s="48"/>
      <c r="AC184" s="85"/>
      <c r="AD184" s="224"/>
      <c r="AE184" s="225"/>
      <c r="AF184" s="222"/>
      <c r="AG184" s="88">
        <f t="shared" si="10"/>
        <v>0</v>
      </c>
      <c r="AH184" s="93">
        <f t="shared" si="11"/>
        <v>0</v>
      </c>
      <c r="AI184" s="90"/>
      <c r="AJ184" s="95"/>
      <c r="AK184" s="94">
        <f t="shared" si="12"/>
        <v>0</v>
      </c>
    </row>
    <row r="185" spans="1:37" x14ac:dyDescent="0.2">
      <c r="A185" s="20">
        <f>+'SERVICIO FAENA'!A184</f>
        <v>0</v>
      </c>
      <c r="B185" s="18">
        <f>+'SERVICIO FAENA'!E184</f>
        <v>0</v>
      </c>
      <c r="C185" s="20">
        <f>+'SERVICIO FAENA'!C184</f>
        <v>0</v>
      </c>
      <c r="D185" s="87"/>
      <c r="E185" s="48"/>
      <c r="F185" s="48"/>
      <c r="G185" s="85"/>
      <c r="H185" s="48"/>
      <c r="I185" s="85"/>
      <c r="J185" s="48"/>
      <c r="K185" s="85"/>
      <c r="L185" s="48"/>
      <c r="M185" s="85"/>
      <c r="N185" s="48"/>
      <c r="O185" s="85"/>
      <c r="P185" s="48"/>
      <c r="Q185" s="85"/>
      <c r="R185" s="48"/>
      <c r="S185" s="85"/>
      <c r="T185" s="48"/>
      <c r="U185" s="85"/>
      <c r="V185" s="48"/>
      <c r="W185" s="85"/>
      <c r="X185" s="48"/>
      <c r="Y185" s="85"/>
      <c r="Z185" s="48"/>
      <c r="AA185" s="85"/>
      <c r="AB185" s="48"/>
      <c r="AC185" s="85"/>
      <c r="AD185" s="224"/>
      <c r="AE185" s="225"/>
      <c r="AF185" s="222"/>
      <c r="AG185" s="88">
        <f t="shared" si="10"/>
        <v>0</v>
      </c>
      <c r="AH185" s="93">
        <f t="shared" si="11"/>
        <v>0</v>
      </c>
      <c r="AI185" s="90"/>
      <c r="AJ185" s="95"/>
      <c r="AK185" s="94">
        <f t="shared" si="12"/>
        <v>0</v>
      </c>
    </row>
    <row r="186" spans="1:37" x14ac:dyDescent="0.2">
      <c r="A186" s="20">
        <f>+'SERVICIO FAENA'!A185</f>
        <v>0</v>
      </c>
      <c r="B186" s="18">
        <f>+'SERVICIO FAENA'!E185</f>
        <v>0</v>
      </c>
      <c r="C186" s="20">
        <f>+'SERVICIO FAENA'!C185</f>
        <v>0</v>
      </c>
      <c r="D186" s="87"/>
      <c r="E186" s="48"/>
      <c r="F186" s="48"/>
      <c r="G186" s="85"/>
      <c r="H186" s="48"/>
      <c r="I186" s="85"/>
      <c r="J186" s="48"/>
      <c r="K186" s="85"/>
      <c r="L186" s="48"/>
      <c r="M186" s="85"/>
      <c r="N186" s="48"/>
      <c r="O186" s="85"/>
      <c r="P186" s="48"/>
      <c r="Q186" s="85"/>
      <c r="R186" s="48"/>
      <c r="S186" s="85"/>
      <c r="T186" s="48"/>
      <c r="U186" s="85"/>
      <c r="V186" s="48"/>
      <c r="W186" s="85"/>
      <c r="X186" s="48"/>
      <c r="Y186" s="85"/>
      <c r="Z186" s="48"/>
      <c r="AA186" s="85"/>
      <c r="AB186" s="48"/>
      <c r="AC186" s="85"/>
      <c r="AD186" s="222"/>
      <c r="AE186" s="223"/>
      <c r="AF186" s="222"/>
      <c r="AG186" s="88">
        <f t="shared" si="10"/>
        <v>0</v>
      </c>
      <c r="AH186" s="93">
        <f t="shared" si="11"/>
        <v>0</v>
      </c>
      <c r="AI186" s="91"/>
      <c r="AJ186" s="96"/>
      <c r="AK186" s="94">
        <f t="shared" si="12"/>
        <v>0</v>
      </c>
    </row>
    <row r="187" spans="1:37" x14ac:dyDescent="0.2">
      <c r="A187" s="20">
        <f>+'SERVICIO FAENA'!A186</f>
        <v>0</v>
      </c>
      <c r="B187" s="18">
        <f>+'SERVICIO FAENA'!E186</f>
        <v>0</v>
      </c>
      <c r="C187" s="20">
        <f>+'SERVICIO FAENA'!C186</f>
        <v>0</v>
      </c>
      <c r="D187" s="87"/>
      <c r="E187" s="48"/>
      <c r="F187" s="48"/>
      <c r="G187" s="85"/>
      <c r="H187" s="48"/>
      <c r="I187" s="85"/>
      <c r="J187" s="48"/>
      <c r="K187" s="85"/>
      <c r="L187" s="48"/>
      <c r="M187" s="85"/>
      <c r="N187" s="48"/>
      <c r="O187" s="85"/>
      <c r="P187" s="48"/>
      <c r="Q187" s="85"/>
      <c r="R187" s="48"/>
      <c r="S187" s="85"/>
      <c r="T187" s="48"/>
      <c r="U187" s="85"/>
      <c r="V187" s="48"/>
      <c r="W187" s="85"/>
      <c r="X187" s="48"/>
      <c r="Y187" s="85"/>
      <c r="Z187" s="48"/>
      <c r="AA187" s="85"/>
      <c r="AB187" s="48"/>
      <c r="AC187" s="85"/>
      <c r="AD187" s="224"/>
      <c r="AE187" s="225"/>
      <c r="AF187" s="222"/>
      <c r="AG187" s="88">
        <f t="shared" si="10"/>
        <v>0</v>
      </c>
      <c r="AH187" s="93">
        <f t="shared" si="11"/>
        <v>0</v>
      </c>
      <c r="AI187" s="90"/>
      <c r="AJ187" s="95"/>
      <c r="AK187" s="94">
        <f t="shared" si="12"/>
        <v>0</v>
      </c>
    </row>
    <row r="188" spans="1:37" x14ac:dyDescent="0.2">
      <c r="A188" s="20">
        <f>+'SERVICIO FAENA'!A187</f>
        <v>0</v>
      </c>
      <c r="B188" s="18">
        <f>+'SERVICIO FAENA'!E187</f>
        <v>0</v>
      </c>
      <c r="C188" s="20">
        <f>+'SERVICIO FAENA'!C187</f>
        <v>0</v>
      </c>
      <c r="D188" s="87"/>
      <c r="E188" s="48"/>
      <c r="F188" s="48"/>
      <c r="G188" s="85"/>
      <c r="H188" s="48"/>
      <c r="I188" s="85"/>
      <c r="J188" s="48"/>
      <c r="K188" s="85"/>
      <c r="L188" s="48"/>
      <c r="M188" s="85"/>
      <c r="N188" s="48"/>
      <c r="O188" s="85"/>
      <c r="P188" s="48"/>
      <c r="Q188" s="85"/>
      <c r="R188" s="48"/>
      <c r="S188" s="85"/>
      <c r="T188" s="48"/>
      <c r="U188" s="85"/>
      <c r="V188" s="48"/>
      <c r="W188" s="85"/>
      <c r="X188" s="48"/>
      <c r="Y188" s="85"/>
      <c r="Z188" s="48"/>
      <c r="AA188" s="85"/>
      <c r="AB188" s="48"/>
      <c r="AC188" s="85"/>
      <c r="AD188" s="224"/>
      <c r="AE188" s="225"/>
      <c r="AF188" s="222"/>
      <c r="AG188" s="88">
        <f t="shared" si="10"/>
        <v>0</v>
      </c>
      <c r="AH188" s="93">
        <f t="shared" si="11"/>
        <v>0</v>
      </c>
      <c r="AI188" s="90"/>
      <c r="AJ188" s="95"/>
      <c r="AK188" s="94">
        <f t="shared" si="12"/>
        <v>0</v>
      </c>
    </row>
    <row r="189" spans="1:37" x14ac:dyDescent="0.2">
      <c r="A189" s="20">
        <f>+'SERVICIO FAENA'!A188</f>
        <v>0</v>
      </c>
      <c r="B189" s="18">
        <f>+'SERVICIO FAENA'!E188</f>
        <v>0</v>
      </c>
      <c r="C189" s="20">
        <f>+'SERVICIO FAENA'!C188</f>
        <v>0</v>
      </c>
      <c r="D189" s="87"/>
      <c r="E189" s="48"/>
      <c r="F189" s="48"/>
      <c r="G189" s="85"/>
      <c r="H189" s="48"/>
      <c r="I189" s="85"/>
      <c r="J189" s="48"/>
      <c r="K189" s="85"/>
      <c r="L189" s="48"/>
      <c r="M189" s="85"/>
      <c r="N189" s="48"/>
      <c r="O189" s="85"/>
      <c r="P189" s="48"/>
      <c r="Q189" s="85"/>
      <c r="R189" s="48"/>
      <c r="S189" s="85"/>
      <c r="T189" s="48"/>
      <c r="U189" s="85"/>
      <c r="V189" s="48"/>
      <c r="W189" s="85"/>
      <c r="X189" s="48"/>
      <c r="Y189" s="85"/>
      <c r="Z189" s="48"/>
      <c r="AA189" s="85"/>
      <c r="AB189" s="48"/>
      <c r="AC189" s="85"/>
      <c r="AD189" s="222"/>
      <c r="AE189" s="223"/>
      <c r="AF189" s="222"/>
      <c r="AG189" s="88">
        <f t="shared" si="10"/>
        <v>0</v>
      </c>
      <c r="AH189" s="93">
        <f t="shared" si="11"/>
        <v>0</v>
      </c>
      <c r="AI189" s="91"/>
      <c r="AJ189" s="96"/>
      <c r="AK189" s="94">
        <f t="shared" si="12"/>
        <v>0</v>
      </c>
    </row>
    <row r="190" spans="1:37" x14ac:dyDescent="0.2">
      <c r="A190" s="20">
        <f>+'SERVICIO FAENA'!A189</f>
        <v>0</v>
      </c>
      <c r="B190" s="18">
        <f>+'SERVICIO FAENA'!E189</f>
        <v>0</v>
      </c>
      <c r="C190" s="20">
        <f>+'SERVICIO FAENA'!C189</f>
        <v>0</v>
      </c>
      <c r="D190" s="87"/>
      <c r="E190" s="48"/>
      <c r="F190" s="48"/>
      <c r="G190" s="85"/>
      <c r="H190" s="48"/>
      <c r="I190" s="85"/>
      <c r="J190" s="48"/>
      <c r="K190" s="85"/>
      <c r="L190" s="48"/>
      <c r="M190" s="85"/>
      <c r="N190" s="48"/>
      <c r="O190" s="85"/>
      <c r="P190" s="48"/>
      <c r="Q190" s="85"/>
      <c r="R190" s="48"/>
      <c r="S190" s="85"/>
      <c r="T190" s="48"/>
      <c r="U190" s="85"/>
      <c r="V190" s="48"/>
      <c r="W190" s="85"/>
      <c r="X190" s="48"/>
      <c r="Y190" s="85"/>
      <c r="Z190" s="48"/>
      <c r="AA190" s="85"/>
      <c r="AB190" s="48"/>
      <c r="AC190" s="85"/>
      <c r="AD190" s="224"/>
      <c r="AE190" s="225"/>
      <c r="AF190" s="222"/>
      <c r="AG190" s="88">
        <f t="shared" si="10"/>
        <v>0</v>
      </c>
      <c r="AH190" s="93">
        <f t="shared" si="11"/>
        <v>0</v>
      </c>
      <c r="AI190" s="90"/>
      <c r="AJ190" s="95"/>
      <c r="AK190" s="94">
        <f t="shared" si="12"/>
        <v>0</v>
      </c>
    </row>
    <row r="191" spans="1:37" x14ac:dyDescent="0.2">
      <c r="A191" s="20">
        <f>+'SERVICIO FAENA'!A190</f>
        <v>0</v>
      </c>
      <c r="B191" s="18">
        <f>+'SERVICIO FAENA'!E190</f>
        <v>0</v>
      </c>
      <c r="C191" s="20">
        <f>+'SERVICIO FAENA'!C190</f>
        <v>0</v>
      </c>
      <c r="D191" s="87"/>
      <c r="E191" s="48"/>
      <c r="F191" s="48"/>
      <c r="G191" s="85"/>
      <c r="H191" s="48"/>
      <c r="I191" s="85"/>
      <c r="J191" s="48"/>
      <c r="K191" s="85"/>
      <c r="L191" s="48"/>
      <c r="M191" s="85"/>
      <c r="N191" s="48"/>
      <c r="O191" s="85"/>
      <c r="P191" s="48"/>
      <c r="Q191" s="85"/>
      <c r="R191" s="48"/>
      <c r="S191" s="85"/>
      <c r="T191" s="48"/>
      <c r="U191" s="85"/>
      <c r="V191" s="48"/>
      <c r="W191" s="85"/>
      <c r="X191" s="48"/>
      <c r="Y191" s="85"/>
      <c r="Z191" s="48"/>
      <c r="AA191" s="85"/>
      <c r="AB191" s="48"/>
      <c r="AC191" s="85"/>
      <c r="AD191" s="224"/>
      <c r="AE191" s="225"/>
      <c r="AF191" s="222"/>
      <c r="AG191" s="88">
        <f t="shared" si="10"/>
        <v>0</v>
      </c>
      <c r="AH191" s="93">
        <f t="shared" si="11"/>
        <v>0</v>
      </c>
      <c r="AI191" s="90"/>
      <c r="AJ191" s="95"/>
      <c r="AK191" s="94">
        <f t="shared" si="12"/>
        <v>0</v>
      </c>
    </row>
    <row r="192" spans="1:37" x14ac:dyDescent="0.2">
      <c r="A192" s="20">
        <f>+'SERVICIO FAENA'!A191</f>
        <v>0</v>
      </c>
      <c r="B192" s="18">
        <f>+'SERVICIO FAENA'!E191</f>
        <v>0</v>
      </c>
      <c r="C192" s="20">
        <f>+'SERVICIO FAENA'!C191</f>
        <v>0</v>
      </c>
      <c r="D192" s="87"/>
      <c r="E192" s="48"/>
      <c r="F192" s="48"/>
      <c r="G192" s="85"/>
      <c r="H192" s="48"/>
      <c r="I192" s="85"/>
      <c r="J192" s="48"/>
      <c r="K192" s="85"/>
      <c r="L192" s="48"/>
      <c r="M192" s="85"/>
      <c r="N192" s="48"/>
      <c r="O192" s="85"/>
      <c r="P192" s="48"/>
      <c r="Q192" s="85"/>
      <c r="R192" s="48"/>
      <c r="S192" s="85"/>
      <c r="T192" s="48"/>
      <c r="U192" s="85"/>
      <c r="V192" s="48"/>
      <c r="W192" s="85"/>
      <c r="X192" s="48"/>
      <c r="Y192" s="85"/>
      <c r="Z192" s="48"/>
      <c r="AA192" s="85"/>
      <c r="AB192" s="48"/>
      <c r="AC192" s="85"/>
      <c r="AD192" s="222"/>
      <c r="AE192" s="223"/>
      <c r="AF192" s="222"/>
      <c r="AG192" s="88">
        <f t="shared" si="10"/>
        <v>0</v>
      </c>
      <c r="AH192" s="93">
        <f t="shared" si="11"/>
        <v>0</v>
      </c>
      <c r="AI192" s="91"/>
      <c r="AJ192" s="96"/>
      <c r="AK192" s="94">
        <f t="shared" si="12"/>
        <v>0</v>
      </c>
    </row>
    <row r="193" spans="1:37" x14ac:dyDescent="0.2">
      <c r="A193" s="20">
        <f>+'SERVICIO FAENA'!A192</f>
        <v>0</v>
      </c>
      <c r="B193" s="18">
        <f>+'SERVICIO FAENA'!E192</f>
        <v>0</v>
      </c>
      <c r="C193" s="20">
        <f>+'SERVICIO FAENA'!C192</f>
        <v>0</v>
      </c>
      <c r="D193" s="87"/>
      <c r="E193" s="48"/>
      <c r="F193" s="48"/>
      <c r="G193" s="85"/>
      <c r="H193" s="48"/>
      <c r="I193" s="85"/>
      <c r="J193" s="48"/>
      <c r="K193" s="85"/>
      <c r="L193" s="48"/>
      <c r="M193" s="85"/>
      <c r="N193" s="48"/>
      <c r="O193" s="85"/>
      <c r="P193" s="48"/>
      <c r="Q193" s="85"/>
      <c r="R193" s="48"/>
      <c r="S193" s="85"/>
      <c r="T193" s="48"/>
      <c r="U193" s="85"/>
      <c r="V193" s="48"/>
      <c r="W193" s="85"/>
      <c r="X193" s="48"/>
      <c r="Y193" s="85"/>
      <c r="Z193" s="48"/>
      <c r="AA193" s="85"/>
      <c r="AB193" s="48"/>
      <c r="AC193" s="85"/>
      <c r="AD193" s="224"/>
      <c r="AE193" s="225"/>
      <c r="AF193" s="222"/>
      <c r="AG193" s="88">
        <f t="shared" si="10"/>
        <v>0</v>
      </c>
      <c r="AH193" s="93">
        <f t="shared" si="11"/>
        <v>0</v>
      </c>
      <c r="AI193" s="90"/>
      <c r="AJ193" s="95"/>
      <c r="AK193" s="94">
        <f t="shared" si="12"/>
        <v>0</v>
      </c>
    </row>
    <row r="194" spans="1:37" x14ac:dyDescent="0.2">
      <c r="A194" s="20">
        <f>+'SERVICIO FAENA'!A193</f>
        <v>0</v>
      </c>
      <c r="B194" s="18">
        <f>+'SERVICIO FAENA'!E193</f>
        <v>0</v>
      </c>
      <c r="C194" s="20">
        <f>+'SERVICIO FAENA'!C193</f>
        <v>0</v>
      </c>
      <c r="D194" s="87"/>
      <c r="E194" s="48"/>
      <c r="F194" s="48"/>
      <c r="G194" s="85"/>
      <c r="H194" s="48"/>
      <c r="I194" s="85"/>
      <c r="J194" s="48"/>
      <c r="K194" s="85"/>
      <c r="L194" s="48"/>
      <c r="M194" s="85"/>
      <c r="N194" s="48"/>
      <c r="O194" s="85"/>
      <c r="P194" s="48"/>
      <c r="Q194" s="85"/>
      <c r="R194" s="48"/>
      <c r="S194" s="85"/>
      <c r="T194" s="48"/>
      <c r="U194" s="85"/>
      <c r="V194" s="48"/>
      <c r="W194" s="85"/>
      <c r="X194" s="48"/>
      <c r="Y194" s="85"/>
      <c r="Z194" s="48"/>
      <c r="AA194" s="85"/>
      <c r="AB194" s="48"/>
      <c r="AC194" s="85"/>
      <c r="AD194" s="224"/>
      <c r="AE194" s="225"/>
      <c r="AF194" s="222"/>
      <c r="AG194" s="88">
        <f t="shared" si="10"/>
        <v>0</v>
      </c>
      <c r="AH194" s="93">
        <f t="shared" si="11"/>
        <v>0</v>
      </c>
      <c r="AI194" s="90"/>
      <c r="AJ194" s="95"/>
      <c r="AK194" s="94">
        <f t="shared" si="12"/>
        <v>0</v>
      </c>
    </row>
    <row r="195" spans="1:37" x14ac:dyDescent="0.2">
      <c r="A195" s="20">
        <f>+'SERVICIO FAENA'!A194</f>
        <v>0</v>
      </c>
      <c r="B195" s="18">
        <f>+'SERVICIO FAENA'!E194</f>
        <v>0</v>
      </c>
      <c r="C195" s="20">
        <f>+'SERVICIO FAENA'!C194</f>
        <v>0</v>
      </c>
      <c r="D195" s="87"/>
      <c r="E195" s="48"/>
      <c r="F195" s="48"/>
      <c r="G195" s="85"/>
      <c r="H195" s="48"/>
      <c r="I195" s="85"/>
      <c r="J195" s="48"/>
      <c r="K195" s="85"/>
      <c r="L195" s="48"/>
      <c r="M195" s="85"/>
      <c r="N195" s="48"/>
      <c r="O195" s="85"/>
      <c r="P195" s="48"/>
      <c r="Q195" s="85"/>
      <c r="R195" s="48"/>
      <c r="S195" s="85"/>
      <c r="T195" s="48"/>
      <c r="U195" s="85"/>
      <c r="V195" s="48"/>
      <c r="W195" s="85"/>
      <c r="X195" s="48"/>
      <c r="Y195" s="85"/>
      <c r="Z195" s="48"/>
      <c r="AA195" s="85"/>
      <c r="AB195" s="48"/>
      <c r="AC195" s="85"/>
      <c r="AD195" s="222"/>
      <c r="AE195" s="223"/>
      <c r="AF195" s="222"/>
      <c r="AG195" s="88">
        <f t="shared" si="10"/>
        <v>0</v>
      </c>
      <c r="AH195" s="93">
        <f t="shared" si="11"/>
        <v>0</v>
      </c>
      <c r="AI195" s="91"/>
      <c r="AJ195" s="96"/>
      <c r="AK195" s="94">
        <f t="shared" si="12"/>
        <v>0</v>
      </c>
    </row>
    <row r="196" spans="1:37" x14ac:dyDescent="0.2">
      <c r="A196" s="20">
        <f>+'SERVICIO FAENA'!A195</f>
        <v>0</v>
      </c>
      <c r="B196" s="18">
        <f>+'SERVICIO FAENA'!E195</f>
        <v>0</v>
      </c>
      <c r="C196" s="20">
        <f>+'SERVICIO FAENA'!C195</f>
        <v>0</v>
      </c>
      <c r="D196" s="87"/>
      <c r="E196" s="48"/>
      <c r="F196" s="48"/>
      <c r="G196" s="85"/>
      <c r="H196" s="48"/>
      <c r="I196" s="85"/>
      <c r="J196" s="48"/>
      <c r="K196" s="85"/>
      <c r="L196" s="48"/>
      <c r="M196" s="85"/>
      <c r="N196" s="48"/>
      <c r="O196" s="85"/>
      <c r="P196" s="48"/>
      <c r="Q196" s="85"/>
      <c r="R196" s="48"/>
      <c r="S196" s="85"/>
      <c r="T196" s="48"/>
      <c r="U196" s="85"/>
      <c r="V196" s="48"/>
      <c r="W196" s="85"/>
      <c r="X196" s="48"/>
      <c r="Y196" s="85"/>
      <c r="Z196" s="48"/>
      <c r="AA196" s="85"/>
      <c r="AB196" s="48"/>
      <c r="AC196" s="85"/>
      <c r="AD196" s="224"/>
      <c r="AE196" s="225"/>
      <c r="AF196" s="222"/>
      <c r="AG196" s="88">
        <f t="shared" si="10"/>
        <v>0</v>
      </c>
      <c r="AH196" s="93">
        <f t="shared" si="11"/>
        <v>0</v>
      </c>
      <c r="AI196" s="90"/>
      <c r="AJ196" s="95"/>
      <c r="AK196" s="94">
        <f t="shared" si="12"/>
        <v>0</v>
      </c>
    </row>
    <row r="197" spans="1:37" x14ac:dyDescent="0.2">
      <c r="A197" s="20">
        <f>+'SERVICIO FAENA'!A196</f>
        <v>0</v>
      </c>
      <c r="B197" s="18">
        <f>+'SERVICIO FAENA'!E196</f>
        <v>0</v>
      </c>
      <c r="C197" s="20">
        <f>+'SERVICIO FAENA'!C196</f>
        <v>0</v>
      </c>
      <c r="D197" s="87"/>
      <c r="E197" s="48"/>
      <c r="F197" s="48"/>
      <c r="G197" s="85"/>
      <c r="H197" s="48"/>
      <c r="I197" s="85"/>
      <c r="J197" s="48"/>
      <c r="K197" s="85"/>
      <c r="L197" s="48"/>
      <c r="M197" s="85"/>
      <c r="N197" s="48"/>
      <c r="O197" s="85"/>
      <c r="P197" s="48"/>
      <c r="Q197" s="85"/>
      <c r="R197" s="48"/>
      <c r="S197" s="85"/>
      <c r="T197" s="48"/>
      <c r="U197" s="85"/>
      <c r="V197" s="48"/>
      <c r="W197" s="85"/>
      <c r="X197" s="48"/>
      <c r="Y197" s="85"/>
      <c r="Z197" s="48"/>
      <c r="AA197" s="85"/>
      <c r="AB197" s="48"/>
      <c r="AC197" s="85"/>
      <c r="AD197" s="224"/>
      <c r="AE197" s="225"/>
      <c r="AF197" s="222"/>
      <c r="AG197" s="88">
        <f t="shared" si="10"/>
        <v>0</v>
      </c>
      <c r="AH197" s="93">
        <f t="shared" si="11"/>
        <v>0</v>
      </c>
      <c r="AI197" s="90"/>
      <c r="AJ197" s="95"/>
      <c r="AK197" s="94">
        <f t="shared" si="12"/>
        <v>0</v>
      </c>
    </row>
    <row r="198" spans="1:37" x14ac:dyDescent="0.2">
      <c r="A198" s="20">
        <f>+'SERVICIO FAENA'!A197</f>
        <v>0</v>
      </c>
      <c r="B198" s="18">
        <f>+'SERVICIO FAENA'!E197</f>
        <v>0</v>
      </c>
      <c r="C198" s="20">
        <f>+'SERVICIO FAENA'!C197</f>
        <v>0</v>
      </c>
      <c r="D198" s="87"/>
      <c r="E198" s="48"/>
      <c r="F198" s="48"/>
      <c r="G198" s="85"/>
      <c r="H198" s="48"/>
      <c r="I198" s="85"/>
      <c r="J198" s="48"/>
      <c r="K198" s="85"/>
      <c r="L198" s="48"/>
      <c r="M198" s="85"/>
      <c r="N198" s="48"/>
      <c r="O198" s="85"/>
      <c r="P198" s="48"/>
      <c r="Q198" s="85"/>
      <c r="R198" s="48"/>
      <c r="S198" s="85"/>
      <c r="T198" s="48"/>
      <c r="U198" s="85"/>
      <c r="V198" s="48"/>
      <c r="W198" s="85"/>
      <c r="X198" s="48"/>
      <c r="Y198" s="85"/>
      <c r="Z198" s="48"/>
      <c r="AA198" s="85"/>
      <c r="AB198" s="48"/>
      <c r="AC198" s="85"/>
      <c r="AD198" s="222"/>
      <c r="AE198" s="223"/>
      <c r="AF198" s="222"/>
      <c r="AG198" s="88">
        <f t="shared" si="10"/>
        <v>0</v>
      </c>
      <c r="AH198" s="93">
        <f t="shared" si="11"/>
        <v>0</v>
      </c>
      <c r="AI198" s="91"/>
      <c r="AJ198" s="96"/>
      <c r="AK198" s="94">
        <f t="shared" si="12"/>
        <v>0</v>
      </c>
    </row>
    <row r="199" spans="1:37" x14ac:dyDescent="0.2">
      <c r="A199" s="20">
        <f>+'SERVICIO FAENA'!A198</f>
        <v>0</v>
      </c>
      <c r="B199" s="18">
        <f>+'SERVICIO FAENA'!E198</f>
        <v>0</v>
      </c>
      <c r="C199" s="20">
        <f>+'SERVICIO FAENA'!C198</f>
        <v>0</v>
      </c>
      <c r="D199" s="87"/>
      <c r="E199" s="48"/>
      <c r="F199" s="48"/>
      <c r="G199" s="85"/>
      <c r="H199" s="48"/>
      <c r="I199" s="85"/>
      <c r="J199" s="48"/>
      <c r="K199" s="85"/>
      <c r="L199" s="48"/>
      <c r="M199" s="85"/>
      <c r="N199" s="48"/>
      <c r="O199" s="85"/>
      <c r="P199" s="48"/>
      <c r="Q199" s="85"/>
      <c r="R199" s="48"/>
      <c r="S199" s="85"/>
      <c r="T199" s="48"/>
      <c r="U199" s="85"/>
      <c r="V199" s="48"/>
      <c r="W199" s="85"/>
      <c r="X199" s="48"/>
      <c r="Y199" s="85"/>
      <c r="Z199" s="48"/>
      <c r="AA199" s="85"/>
      <c r="AB199" s="48"/>
      <c r="AC199" s="85"/>
      <c r="AD199" s="224"/>
      <c r="AE199" s="225"/>
      <c r="AF199" s="222"/>
      <c r="AG199" s="88">
        <f t="shared" si="10"/>
        <v>0</v>
      </c>
      <c r="AH199" s="93">
        <f t="shared" si="11"/>
        <v>0</v>
      </c>
      <c r="AI199" s="90"/>
      <c r="AJ199" s="95"/>
      <c r="AK199" s="94">
        <f t="shared" si="12"/>
        <v>0</v>
      </c>
    </row>
    <row r="200" spans="1:37" x14ac:dyDescent="0.2">
      <c r="A200" s="20">
        <f>+'SERVICIO FAENA'!A199</f>
        <v>0</v>
      </c>
      <c r="B200" s="18">
        <f>+'SERVICIO FAENA'!E199</f>
        <v>0</v>
      </c>
      <c r="C200" s="20">
        <f>+'SERVICIO FAENA'!C199</f>
        <v>0</v>
      </c>
      <c r="D200" s="87"/>
      <c r="E200" s="48"/>
      <c r="F200" s="48"/>
      <c r="G200" s="85"/>
      <c r="H200" s="48"/>
      <c r="I200" s="85"/>
      <c r="J200" s="48"/>
      <c r="K200" s="85"/>
      <c r="L200" s="48"/>
      <c r="M200" s="85"/>
      <c r="N200" s="48"/>
      <c r="O200" s="85"/>
      <c r="P200" s="48"/>
      <c r="Q200" s="85"/>
      <c r="R200" s="48"/>
      <c r="S200" s="85"/>
      <c r="T200" s="48"/>
      <c r="U200" s="85"/>
      <c r="V200" s="48"/>
      <c r="W200" s="85"/>
      <c r="X200" s="48"/>
      <c r="Y200" s="85"/>
      <c r="Z200" s="48"/>
      <c r="AA200" s="85"/>
      <c r="AB200" s="48"/>
      <c r="AC200" s="85"/>
      <c r="AD200" s="224"/>
      <c r="AE200" s="225"/>
      <c r="AF200" s="222"/>
      <c r="AG200" s="88">
        <f t="shared" si="10"/>
        <v>0</v>
      </c>
      <c r="AH200" s="93">
        <f t="shared" si="11"/>
        <v>0</v>
      </c>
      <c r="AI200" s="90"/>
      <c r="AJ200" s="95"/>
      <c r="AK200" s="94">
        <f t="shared" si="12"/>
        <v>0</v>
      </c>
    </row>
    <row r="201" spans="1:37" x14ac:dyDescent="0.2">
      <c r="A201" s="20">
        <f>+'SERVICIO FAENA'!A200</f>
        <v>0</v>
      </c>
      <c r="B201" s="18">
        <f>+'SERVICIO FAENA'!E200</f>
        <v>0</v>
      </c>
      <c r="C201" s="20">
        <f>+'SERVICIO FAENA'!C200</f>
        <v>0</v>
      </c>
      <c r="D201" s="87"/>
      <c r="E201" s="48"/>
      <c r="F201" s="48"/>
      <c r="G201" s="85"/>
      <c r="H201" s="48"/>
      <c r="I201" s="85"/>
      <c r="J201" s="48"/>
      <c r="K201" s="85"/>
      <c r="L201" s="48"/>
      <c r="M201" s="85"/>
      <c r="N201" s="48"/>
      <c r="O201" s="85"/>
      <c r="P201" s="48"/>
      <c r="Q201" s="85"/>
      <c r="R201" s="48"/>
      <c r="S201" s="85"/>
      <c r="T201" s="48"/>
      <c r="U201" s="85"/>
      <c r="V201" s="48"/>
      <c r="W201" s="85"/>
      <c r="X201" s="48"/>
      <c r="Y201" s="85"/>
      <c r="Z201" s="48"/>
      <c r="AA201" s="85"/>
      <c r="AB201" s="48"/>
      <c r="AC201" s="85"/>
      <c r="AD201" s="222"/>
      <c r="AE201" s="223"/>
      <c r="AF201" s="222"/>
      <c r="AG201" s="88">
        <f t="shared" si="10"/>
        <v>0</v>
      </c>
      <c r="AH201" s="93">
        <f t="shared" si="11"/>
        <v>0</v>
      </c>
      <c r="AI201" s="91"/>
      <c r="AJ201" s="96"/>
      <c r="AK201" s="94">
        <f t="shared" si="12"/>
        <v>0</v>
      </c>
    </row>
    <row r="202" spans="1:37" x14ac:dyDescent="0.2">
      <c r="A202" s="20">
        <f>+'SERVICIO FAENA'!A201</f>
        <v>0</v>
      </c>
      <c r="B202" s="18">
        <f>+'SERVICIO FAENA'!E201</f>
        <v>0</v>
      </c>
      <c r="C202" s="20">
        <f>+'SERVICIO FAENA'!C201</f>
        <v>0</v>
      </c>
      <c r="D202" s="87"/>
      <c r="E202" s="48"/>
      <c r="F202" s="48"/>
      <c r="G202" s="85"/>
      <c r="H202" s="48"/>
      <c r="I202" s="85"/>
      <c r="J202" s="48"/>
      <c r="K202" s="85"/>
      <c r="L202" s="48"/>
      <c r="M202" s="85"/>
      <c r="N202" s="48"/>
      <c r="O202" s="85"/>
      <c r="P202" s="48"/>
      <c r="Q202" s="85"/>
      <c r="R202" s="48"/>
      <c r="S202" s="85"/>
      <c r="T202" s="48"/>
      <c r="U202" s="85"/>
      <c r="V202" s="48"/>
      <c r="W202" s="85"/>
      <c r="X202" s="48"/>
      <c r="Y202" s="85"/>
      <c r="Z202" s="48"/>
      <c r="AA202" s="85"/>
      <c r="AB202" s="48"/>
      <c r="AC202" s="85"/>
      <c r="AD202" s="224"/>
      <c r="AE202" s="225"/>
      <c r="AF202" s="222"/>
      <c r="AG202" s="88">
        <f t="shared" si="10"/>
        <v>0</v>
      </c>
      <c r="AH202" s="93">
        <f t="shared" si="11"/>
        <v>0</v>
      </c>
      <c r="AI202" s="90"/>
      <c r="AJ202" s="95"/>
      <c r="AK202" s="94">
        <f t="shared" si="12"/>
        <v>0</v>
      </c>
    </row>
    <row r="203" spans="1:37" x14ac:dyDescent="0.2">
      <c r="A203" s="20">
        <f>+'SERVICIO FAENA'!A202</f>
        <v>0</v>
      </c>
      <c r="B203" s="18">
        <f>+'SERVICIO FAENA'!E202</f>
        <v>0</v>
      </c>
      <c r="C203" s="20">
        <f>+'SERVICIO FAENA'!C202</f>
        <v>0</v>
      </c>
      <c r="D203" s="87"/>
      <c r="E203" s="48"/>
      <c r="F203" s="48"/>
      <c r="G203" s="85"/>
      <c r="H203" s="48"/>
      <c r="I203" s="85"/>
      <c r="J203" s="48"/>
      <c r="K203" s="85"/>
      <c r="L203" s="48"/>
      <c r="M203" s="85"/>
      <c r="N203" s="48"/>
      <c r="O203" s="85"/>
      <c r="P203" s="48"/>
      <c r="Q203" s="85"/>
      <c r="R203" s="48"/>
      <c r="S203" s="85"/>
      <c r="T203" s="48"/>
      <c r="U203" s="85"/>
      <c r="V203" s="48"/>
      <c r="W203" s="85"/>
      <c r="X203" s="48"/>
      <c r="Y203" s="85"/>
      <c r="Z203" s="48"/>
      <c r="AA203" s="85"/>
      <c r="AB203" s="48"/>
      <c r="AC203" s="85"/>
      <c r="AD203" s="224"/>
      <c r="AE203" s="225"/>
      <c r="AF203" s="222"/>
      <c r="AG203" s="88">
        <f t="shared" si="10"/>
        <v>0</v>
      </c>
      <c r="AH203" s="93">
        <f t="shared" si="11"/>
        <v>0</v>
      </c>
      <c r="AI203" s="90"/>
      <c r="AJ203" s="95"/>
      <c r="AK203" s="94">
        <f t="shared" si="12"/>
        <v>0</v>
      </c>
    </row>
    <row r="204" spans="1:37" x14ac:dyDescent="0.2">
      <c r="A204" s="20">
        <f>+'SERVICIO FAENA'!A203</f>
        <v>0</v>
      </c>
      <c r="B204" s="18">
        <f>+'SERVICIO FAENA'!E203</f>
        <v>0</v>
      </c>
      <c r="C204" s="20">
        <f>+'SERVICIO FAENA'!C203</f>
        <v>0</v>
      </c>
      <c r="D204" s="87"/>
      <c r="E204" s="48"/>
      <c r="F204" s="48"/>
      <c r="G204" s="85"/>
      <c r="H204" s="48"/>
      <c r="I204" s="85"/>
      <c r="J204" s="48"/>
      <c r="K204" s="85"/>
      <c r="L204" s="48"/>
      <c r="M204" s="85"/>
      <c r="N204" s="48"/>
      <c r="O204" s="85"/>
      <c r="P204" s="48"/>
      <c r="Q204" s="85"/>
      <c r="R204" s="48"/>
      <c r="S204" s="85"/>
      <c r="T204" s="48"/>
      <c r="U204" s="85"/>
      <c r="V204" s="48"/>
      <c r="W204" s="85"/>
      <c r="X204" s="48"/>
      <c r="Y204" s="85"/>
      <c r="Z204" s="48"/>
      <c r="AA204" s="85"/>
      <c r="AB204" s="48"/>
      <c r="AC204" s="85"/>
      <c r="AD204" s="222"/>
      <c r="AE204" s="223"/>
      <c r="AF204" s="222"/>
      <c r="AG204" s="88">
        <f t="shared" si="10"/>
        <v>0</v>
      </c>
      <c r="AH204" s="93">
        <f t="shared" si="11"/>
        <v>0</v>
      </c>
      <c r="AI204" s="91"/>
      <c r="AJ204" s="96"/>
      <c r="AK204" s="94">
        <f t="shared" si="12"/>
        <v>0</v>
      </c>
    </row>
    <row r="205" spans="1:37" x14ac:dyDescent="0.2">
      <c r="A205" s="20">
        <f>+'SERVICIO FAENA'!A204</f>
        <v>0</v>
      </c>
      <c r="B205" s="18">
        <f>+'SERVICIO FAENA'!E204</f>
        <v>0</v>
      </c>
      <c r="C205" s="20">
        <f>+'SERVICIO FAENA'!C204</f>
        <v>0</v>
      </c>
      <c r="D205" s="87"/>
      <c r="E205" s="48"/>
      <c r="F205" s="48"/>
      <c r="G205" s="85"/>
      <c r="H205" s="48"/>
      <c r="I205" s="85"/>
      <c r="J205" s="48"/>
      <c r="K205" s="85"/>
      <c r="L205" s="48"/>
      <c r="M205" s="85"/>
      <c r="N205" s="48"/>
      <c r="O205" s="85"/>
      <c r="P205" s="48"/>
      <c r="Q205" s="85"/>
      <c r="R205" s="48"/>
      <c r="S205" s="85"/>
      <c r="T205" s="48"/>
      <c r="U205" s="85"/>
      <c r="V205" s="48"/>
      <c r="W205" s="85"/>
      <c r="X205" s="48"/>
      <c r="Y205" s="85"/>
      <c r="Z205" s="48"/>
      <c r="AA205" s="85"/>
      <c r="AB205" s="48"/>
      <c r="AC205" s="85"/>
      <c r="AD205" s="224"/>
      <c r="AE205" s="225"/>
      <c r="AF205" s="222"/>
      <c r="AG205" s="88">
        <f t="shared" si="10"/>
        <v>0</v>
      </c>
      <c r="AH205" s="93">
        <f t="shared" si="11"/>
        <v>0</v>
      </c>
      <c r="AI205" s="90"/>
      <c r="AJ205" s="95"/>
      <c r="AK205" s="94">
        <f t="shared" si="12"/>
        <v>0</v>
      </c>
    </row>
    <row r="206" spans="1:37" x14ac:dyDescent="0.2">
      <c r="A206" s="20">
        <f>+'SERVICIO FAENA'!A205</f>
        <v>0</v>
      </c>
      <c r="B206" s="18">
        <f>+'SERVICIO FAENA'!E205</f>
        <v>0</v>
      </c>
      <c r="C206" s="20">
        <f>+'SERVICIO FAENA'!C205</f>
        <v>0</v>
      </c>
      <c r="D206" s="87"/>
      <c r="E206" s="48"/>
      <c r="F206" s="48"/>
      <c r="G206" s="85"/>
      <c r="H206" s="48"/>
      <c r="I206" s="85"/>
      <c r="J206" s="48"/>
      <c r="K206" s="85"/>
      <c r="L206" s="48"/>
      <c r="M206" s="85"/>
      <c r="N206" s="48"/>
      <c r="O206" s="85"/>
      <c r="P206" s="48"/>
      <c r="Q206" s="85"/>
      <c r="R206" s="48"/>
      <c r="S206" s="85"/>
      <c r="T206" s="48"/>
      <c r="U206" s="85"/>
      <c r="V206" s="48"/>
      <c r="W206" s="85"/>
      <c r="X206" s="48"/>
      <c r="Y206" s="85"/>
      <c r="Z206" s="48"/>
      <c r="AA206" s="85"/>
      <c r="AB206" s="48"/>
      <c r="AC206" s="85"/>
      <c r="AD206" s="224"/>
      <c r="AE206" s="225"/>
      <c r="AF206" s="222"/>
      <c r="AG206" s="88">
        <f t="shared" si="10"/>
        <v>0</v>
      </c>
      <c r="AH206" s="93">
        <f t="shared" si="11"/>
        <v>0</v>
      </c>
      <c r="AI206" s="90"/>
      <c r="AJ206" s="95"/>
      <c r="AK206" s="94">
        <f t="shared" si="12"/>
        <v>0</v>
      </c>
    </row>
    <row r="207" spans="1:37" x14ac:dyDescent="0.2">
      <c r="A207" s="20">
        <f>+'SERVICIO FAENA'!A206</f>
        <v>0</v>
      </c>
      <c r="B207" s="18">
        <f>+'SERVICIO FAENA'!E206</f>
        <v>0</v>
      </c>
      <c r="C207" s="20">
        <f>+'SERVICIO FAENA'!C206</f>
        <v>0</v>
      </c>
      <c r="D207" s="87"/>
      <c r="E207" s="48"/>
      <c r="F207" s="48"/>
      <c r="G207" s="85"/>
      <c r="H207" s="48"/>
      <c r="I207" s="85"/>
      <c r="J207" s="48"/>
      <c r="K207" s="85"/>
      <c r="L207" s="48"/>
      <c r="M207" s="85"/>
      <c r="N207" s="48"/>
      <c r="O207" s="85"/>
      <c r="P207" s="48"/>
      <c r="Q207" s="85"/>
      <c r="R207" s="48"/>
      <c r="S207" s="85"/>
      <c r="T207" s="48"/>
      <c r="U207" s="85"/>
      <c r="V207" s="48"/>
      <c r="W207" s="85"/>
      <c r="X207" s="48"/>
      <c r="Y207" s="85"/>
      <c r="Z207" s="48"/>
      <c r="AA207" s="85"/>
      <c r="AB207" s="48"/>
      <c r="AC207" s="85"/>
      <c r="AD207" s="222"/>
      <c r="AE207" s="223"/>
      <c r="AF207" s="222"/>
      <c r="AG207" s="88">
        <f t="shared" si="10"/>
        <v>0</v>
      </c>
      <c r="AH207" s="93">
        <f t="shared" si="11"/>
        <v>0</v>
      </c>
      <c r="AI207" s="91"/>
      <c r="AJ207" s="96"/>
      <c r="AK207" s="94">
        <f t="shared" si="12"/>
        <v>0</v>
      </c>
    </row>
    <row r="208" spans="1:37" x14ac:dyDescent="0.2">
      <c r="A208" s="20">
        <f>+'SERVICIO FAENA'!A207</f>
        <v>0</v>
      </c>
      <c r="B208" s="18">
        <f>+'SERVICIO FAENA'!E207</f>
        <v>0</v>
      </c>
      <c r="C208" s="20">
        <f>+'SERVICIO FAENA'!C207</f>
        <v>0</v>
      </c>
      <c r="D208" s="87"/>
      <c r="E208" s="48"/>
      <c r="F208" s="48"/>
      <c r="G208" s="85"/>
      <c r="H208" s="48"/>
      <c r="I208" s="85"/>
      <c r="J208" s="48"/>
      <c r="K208" s="85"/>
      <c r="L208" s="48"/>
      <c r="M208" s="85"/>
      <c r="N208" s="48"/>
      <c r="O208" s="85"/>
      <c r="P208" s="48"/>
      <c r="Q208" s="85"/>
      <c r="R208" s="48"/>
      <c r="S208" s="85"/>
      <c r="T208" s="48"/>
      <c r="U208" s="85"/>
      <c r="V208" s="48"/>
      <c r="W208" s="85"/>
      <c r="X208" s="48"/>
      <c r="Y208" s="85"/>
      <c r="Z208" s="48"/>
      <c r="AA208" s="85"/>
      <c r="AB208" s="48"/>
      <c r="AC208" s="85"/>
      <c r="AD208" s="224"/>
      <c r="AE208" s="225"/>
      <c r="AF208" s="222"/>
      <c r="AG208" s="88">
        <f t="shared" si="10"/>
        <v>0</v>
      </c>
      <c r="AH208" s="93">
        <f t="shared" si="11"/>
        <v>0</v>
      </c>
      <c r="AI208" s="90"/>
      <c r="AJ208" s="95"/>
      <c r="AK208" s="94">
        <f t="shared" si="12"/>
        <v>0</v>
      </c>
    </row>
    <row r="209" spans="1:37" x14ac:dyDescent="0.2">
      <c r="A209" s="20">
        <f>+'SERVICIO FAENA'!A208</f>
        <v>0</v>
      </c>
      <c r="B209" s="18">
        <f>+'SERVICIO FAENA'!E208</f>
        <v>0</v>
      </c>
      <c r="C209" s="20">
        <f>+'SERVICIO FAENA'!C208</f>
        <v>0</v>
      </c>
      <c r="D209" s="87"/>
      <c r="E209" s="48"/>
      <c r="F209" s="48"/>
      <c r="G209" s="85"/>
      <c r="H209" s="48"/>
      <c r="I209" s="85"/>
      <c r="J209" s="48"/>
      <c r="K209" s="85"/>
      <c r="L209" s="48"/>
      <c r="M209" s="85"/>
      <c r="N209" s="48"/>
      <c r="O209" s="85"/>
      <c r="P209" s="48"/>
      <c r="Q209" s="85"/>
      <c r="R209" s="48"/>
      <c r="S209" s="85"/>
      <c r="T209" s="48"/>
      <c r="U209" s="85"/>
      <c r="V209" s="48"/>
      <c r="W209" s="85"/>
      <c r="X209" s="48"/>
      <c r="Y209" s="85"/>
      <c r="Z209" s="48"/>
      <c r="AA209" s="85"/>
      <c r="AB209" s="48"/>
      <c r="AC209" s="85"/>
      <c r="AD209" s="224"/>
      <c r="AE209" s="225"/>
      <c r="AF209" s="222"/>
      <c r="AG209" s="88">
        <f t="shared" si="10"/>
        <v>0</v>
      </c>
      <c r="AH209" s="93">
        <f t="shared" si="11"/>
        <v>0</v>
      </c>
      <c r="AI209" s="90"/>
      <c r="AJ209" s="95"/>
      <c r="AK209" s="94">
        <f t="shared" si="12"/>
        <v>0</v>
      </c>
    </row>
    <row r="210" spans="1:37" x14ac:dyDescent="0.2">
      <c r="A210" s="20">
        <f>+'SERVICIO FAENA'!A209</f>
        <v>0</v>
      </c>
      <c r="B210" s="18">
        <f>+'SERVICIO FAENA'!E209</f>
        <v>0</v>
      </c>
      <c r="C210" s="20">
        <f>+'SERVICIO FAENA'!C209</f>
        <v>0</v>
      </c>
      <c r="D210" s="87"/>
      <c r="E210" s="48"/>
      <c r="F210" s="48"/>
      <c r="G210" s="85"/>
      <c r="H210" s="48"/>
      <c r="I210" s="85"/>
      <c r="J210" s="48"/>
      <c r="K210" s="85"/>
      <c r="L210" s="48"/>
      <c r="M210" s="85"/>
      <c r="N210" s="48"/>
      <c r="O210" s="85"/>
      <c r="P210" s="48"/>
      <c r="Q210" s="85"/>
      <c r="R210" s="48"/>
      <c r="S210" s="85"/>
      <c r="T210" s="48"/>
      <c r="U210" s="85"/>
      <c r="V210" s="48"/>
      <c r="W210" s="85"/>
      <c r="X210" s="48"/>
      <c r="Y210" s="85"/>
      <c r="Z210" s="48"/>
      <c r="AA210" s="85"/>
      <c r="AB210" s="48"/>
      <c r="AC210" s="85"/>
      <c r="AD210" s="222"/>
      <c r="AE210" s="223"/>
      <c r="AF210" s="222"/>
      <c r="AG210" s="88">
        <f t="shared" si="10"/>
        <v>0</v>
      </c>
      <c r="AH210" s="93">
        <f t="shared" si="11"/>
        <v>0</v>
      </c>
      <c r="AI210" s="91"/>
      <c r="AJ210" s="96"/>
      <c r="AK210" s="94">
        <f t="shared" si="12"/>
        <v>0</v>
      </c>
    </row>
    <row r="211" spans="1:37" x14ac:dyDescent="0.2">
      <c r="A211" s="20">
        <f>+'SERVICIO FAENA'!A210</f>
        <v>0</v>
      </c>
      <c r="B211" s="18">
        <f>+'SERVICIO FAENA'!E210</f>
        <v>0</v>
      </c>
      <c r="C211" s="20">
        <f>+'SERVICIO FAENA'!C210</f>
        <v>0</v>
      </c>
      <c r="D211" s="87"/>
      <c r="E211" s="48"/>
      <c r="F211" s="48"/>
      <c r="G211" s="85"/>
      <c r="H211" s="48"/>
      <c r="I211" s="85"/>
      <c r="J211" s="48"/>
      <c r="K211" s="85"/>
      <c r="L211" s="48"/>
      <c r="M211" s="85"/>
      <c r="N211" s="48"/>
      <c r="O211" s="85"/>
      <c r="P211" s="48"/>
      <c r="Q211" s="85"/>
      <c r="R211" s="48"/>
      <c r="S211" s="85"/>
      <c r="T211" s="48"/>
      <c r="U211" s="85"/>
      <c r="V211" s="48"/>
      <c r="W211" s="85"/>
      <c r="X211" s="48"/>
      <c r="Y211" s="85"/>
      <c r="Z211" s="48"/>
      <c r="AA211" s="85"/>
      <c r="AB211" s="48"/>
      <c r="AC211" s="85"/>
      <c r="AD211" s="224"/>
      <c r="AE211" s="225"/>
      <c r="AF211" s="222"/>
      <c r="AG211" s="88">
        <f t="shared" si="10"/>
        <v>0</v>
      </c>
      <c r="AH211" s="93">
        <f t="shared" si="11"/>
        <v>0</v>
      </c>
      <c r="AI211" s="90"/>
      <c r="AJ211" s="95"/>
      <c r="AK211" s="94">
        <f t="shared" si="12"/>
        <v>0</v>
      </c>
    </row>
    <row r="212" spans="1:37" x14ac:dyDescent="0.2">
      <c r="A212" s="20">
        <f>+'SERVICIO FAENA'!A211</f>
        <v>0</v>
      </c>
      <c r="B212" s="18">
        <f>+'SERVICIO FAENA'!E211</f>
        <v>0</v>
      </c>
      <c r="C212" s="20">
        <f>+'SERVICIO FAENA'!C211</f>
        <v>0</v>
      </c>
      <c r="D212" s="87"/>
      <c r="E212" s="48"/>
      <c r="F212" s="48"/>
      <c r="G212" s="85"/>
      <c r="H212" s="48"/>
      <c r="I212" s="85"/>
      <c r="J212" s="48"/>
      <c r="K212" s="85"/>
      <c r="L212" s="48"/>
      <c r="M212" s="85"/>
      <c r="N212" s="48"/>
      <c r="O212" s="85"/>
      <c r="P212" s="48"/>
      <c r="Q212" s="85"/>
      <c r="R212" s="48"/>
      <c r="S212" s="85"/>
      <c r="T212" s="48"/>
      <c r="U212" s="85"/>
      <c r="V212" s="48"/>
      <c r="W212" s="85"/>
      <c r="X212" s="48"/>
      <c r="Y212" s="85"/>
      <c r="Z212" s="48"/>
      <c r="AA212" s="85"/>
      <c r="AB212" s="48"/>
      <c r="AC212" s="85"/>
      <c r="AD212" s="224"/>
      <c r="AE212" s="225"/>
      <c r="AF212" s="222"/>
      <c r="AG212" s="88">
        <f t="shared" si="10"/>
        <v>0</v>
      </c>
      <c r="AH212" s="93">
        <f t="shared" si="11"/>
        <v>0</v>
      </c>
      <c r="AI212" s="90"/>
      <c r="AJ212" s="95"/>
      <c r="AK212" s="94">
        <f t="shared" si="12"/>
        <v>0</v>
      </c>
    </row>
    <row r="213" spans="1:37" x14ac:dyDescent="0.2">
      <c r="A213" s="20">
        <f>+'SERVICIO FAENA'!A212</f>
        <v>0</v>
      </c>
      <c r="B213" s="18">
        <f>+'SERVICIO FAENA'!E212</f>
        <v>0</v>
      </c>
      <c r="C213" s="20">
        <f>+'SERVICIO FAENA'!C212</f>
        <v>0</v>
      </c>
      <c r="D213" s="87"/>
      <c r="E213" s="48"/>
      <c r="F213" s="48"/>
      <c r="G213" s="85"/>
      <c r="H213" s="48"/>
      <c r="I213" s="85"/>
      <c r="J213" s="48"/>
      <c r="K213" s="85"/>
      <c r="L213" s="48"/>
      <c r="M213" s="85"/>
      <c r="N213" s="48"/>
      <c r="O213" s="85"/>
      <c r="P213" s="48"/>
      <c r="Q213" s="85"/>
      <c r="R213" s="48"/>
      <c r="S213" s="85"/>
      <c r="T213" s="48"/>
      <c r="U213" s="85"/>
      <c r="V213" s="48"/>
      <c r="W213" s="85"/>
      <c r="X213" s="48"/>
      <c r="Y213" s="85"/>
      <c r="Z213" s="48"/>
      <c r="AA213" s="85"/>
      <c r="AB213" s="48"/>
      <c r="AC213" s="85"/>
      <c r="AD213" s="222"/>
      <c r="AE213" s="223"/>
      <c r="AF213" s="222"/>
      <c r="AG213" s="88">
        <f t="shared" si="10"/>
        <v>0</v>
      </c>
      <c r="AH213" s="93">
        <f t="shared" si="11"/>
        <v>0</v>
      </c>
      <c r="AI213" s="91"/>
      <c r="AJ213" s="96"/>
      <c r="AK213" s="94">
        <f t="shared" si="12"/>
        <v>0</v>
      </c>
    </row>
    <row r="214" spans="1:37" x14ac:dyDescent="0.2">
      <c r="A214" s="20">
        <f>+'SERVICIO FAENA'!A213</f>
        <v>0</v>
      </c>
      <c r="B214" s="18">
        <f>+'SERVICIO FAENA'!E213</f>
        <v>0</v>
      </c>
      <c r="C214" s="20">
        <f>+'SERVICIO FAENA'!C213</f>
        <v>0</v>
      </c>
      <c r="D214" s="87"/>
      <c r="E214" s="48"/>
      <c r="F214" s="48"/>
      <c r="G214" s="85"/>
      <c r="H214" s="48"/>
      <c r="I214" s="85"/>
      <c r="J214" s="48"/>
      <c r="K214" s="85"/>
      <c r="L214" s="48"/>
      <c r="M214" s="85"/>
      <c r="N214" s="48"/>
      <c r="O214" s="85"/>
      <c r="P214" s="48"/>
      <c r="Q214" s="85"/>
      <c r="R214" s="48"/>
      <c r="S214" s="85"/>
      <c r="T214" s="48"/>
      <c r="U214" s="85"/>
      <c r="V214" s="48"/>
      <c r="W214" s="85"/>
      <c r="X214" s="48"/>
      <c r="Y214" s="85"/>
      <c r="Z214" s="48"/>
      <c r="AA214" s="85"/>
      <c r="AB214" s="48"/>
      <c r="AC214" s="85"/>
      <c r="AD214" s="224"/>
      <c r="AE214" s="225"/>
      <c r="AF214" s="222"/>
      <c r="AG214" s="88">
        <f t="shared" si="10"/>
        <v>0</v>
      </c>
      <c r="AH214" s="93">
        <f t="shared" si="11"/>
        <v>0</v>
      </c>
      <c r="AI214" s="90"/>
      <c r="AJ214" s="95"/>
      <c r="AK214" s="94">
        <f t="shared" si="12"/>
        <v>0</v>
      </c>
    </row>
    <row r="215" spans="1:37" x14ac:dyDescent="0.2">
      <c r="A215" s="20">
        <f>+'SERVICIO FAENA'!A214</f>
        <v>0</v>
      </c>
      <c r="B215" s="18">
        <f>+'SERVICIO FAENA'!E214</f>
        <v>0</v>
      </c>
      <c r="C215" s="20">
        <f>+'SERVICIO FAENA'!C214</f>
        <v>0</v>
      </c>
      <c r="D215" s="87"/>
      <c r="E215" s="48"/>
      <c r="F215" s="48"/>
      <c r="G215" s="85"/>
      <c r="H215" s="48"/>
      <c r="I215" s="85"/>
      <c r="J215" s="48"/>
      <c r="K215" s="85"/>
      <c r="L215" s="48"/>
      <c r="M215" s="85"/>
      <c r="N215" s="48"/>
      <c r="O215" s="85"/>
      <c r="P215" s="48"/>
      <c r="Q215" s="85"/>
      <c r="R215" s="48"/>
      <c r="S215" s="85"/>
      <c r="T215" s="48"/>
      <c r="U215" s="85"/>
      <c r="V215" s="48"/>
      <c r="W215" s="85"/>
      <c r="X215" s="48"/>
      <c r="Y215" s="85"/>
      <c r="Z215" s="48"/>
      <c r="AA215" s="85"/>
      <c r="AB215" s="48"/>
      <c r="AC215" s="85"/>
      <c r="AD215" s="224"/>
      <c r="AE215" s="225"/>
      <c r="AF215" s="222"/>
      <c r="AG215" s="88">
        <f t="shared" si="10"/>
        <v>0</v>
      </c>
      <c r="AH215" s="93">
        <f t="shared" si="11"/>
        <v>0</v>
      </c>
      <c r="AI215" s="90"/>
      <c r="AJ215" s="95"/>
      <c r="AK215" s="94">
        <f t="shared" si="12"/>
        <v>0</v>
      </c>
    </row>
    <row r="216" spans="1:37" x14ac:dyDescent="0.2">
      <c r="A216" s="20">
        <f>+'SERVICIO FAENA'!A215</f>
        <v>0</v>
      </c>
      <c r="B216" s="18">
        <f>+'SERVICIO FAENA'!E215</f>
        <v>0</v>
      </c>
      <c r="C216" s="20">
        <f>+'SERVICIO FAENA'!C215</f>
        <v>0</v>
      </c>
      <c r="D216" s="87"/>
      <c r="E216" s="48"/>
      <c r="F216" s="48"/>
      <c r="G216" s="85"/>
      <c r="H216" s="48"/>
      <c r="I216" s="85"/>
      <c r="J216" s="48"/>
      <c r="K216" s="85"/>
      <c r="L216" s="48"/>
      <c r="M216" s="85"/>
      <c r="N216" s="48"/>
      <c r="O216" s="85"/>
      <c r="P216" s="48"/>
      <c r="Q216" s="85"/>
      <c r="R216" s="48"/>
      <c r="S216" s="85"/>
      <c r="T216" s="48"/>
      <c r="U216" s="85"/>
      <c r="V216" s="48"/>
      <c r="W216" s="85"/>
      <c r="X216" s="48"/>
      <c r="Y216" s="85"/>
      <c r="Z216" s="48"/>
      <c r="AA216" s="85"/>
      <c r="AB216" s="48"/>
      <c r="AC216" s="85"/>
      <c r="AD216" s="222"/>
      <c r="AE216" s="223"/>
      <c r="AF216" s="222"/>
      <c r="AG216" s="88">
        <f t="shared" si="10"/>
        <v>0</v>
      </c>
      <c r="AH216" s="93">
        <f t="shared" si="11"/>
        <v>0</v>
      </c>
      <c r="AI216" s="91"/>
      <c r="AJ216" s="96"/>
      <c r="AK216" s="94">
        <f t="shared" si="12"/>
        <v>0</v>
      </c>
    </row>
    <row r="217" spans="1:37" x14ac:dyDescent="0.2">
      <c r="A217" s="20">
        <f>+'SERVICIO FAENA'!A216</f>
        <v>0</v>
      </c>
      <c r="B217" s="18">
        <f>+'SERVICIO FAENA'!E216</f>
        <v>0</v>
      </c>
      <c r="C217" s="20">
        <f>+'SERVICIO FAENA'!C216</f>
        <v>0</v>
      </c>
      <c r="D217" s="87"/>
      <c r="E217" s="48"/>
      <c r="F217" s="48"/>
      <c r="G217" s="85"/>
      <c r="H217" s="48"/>
      <c r="I217" s="85"/>
      <c r="J217" s="48"/>
      <c r="K217" s="85"/>
      <c r="L217" s="48"/>
      <c r="M217" s="85"/>
      <c r="N217" s="48"/>
      <c r="O217" s="85"/>
      <c r="P217" s="48"/>
      <c r="Q217" s="85"/>
      <c r="R217" s="48"/>
      <c r="S217" s="85"/>
      <c r="T217" s="48"/>
      <c r="U217" s="85"/>
      <c r="V217" s="48"/>
      <c r="W217" s="85"/>
      <c r="X217" s="48"/>
      <c r="Y217" s="85"/>
      <c r="Z217" s="48"/>
      <c r="AA217" s="85"/>
      <c r="AB217" s="48"/>
      <c r="AC217" s="85"/>
      <c r="AD217" s="224"/>
      <c r="AE217" s="225"/>
      <c r="AF217" s="222"/>
      <c r="AG217" s="88">
        <f t="shared" si="10"/>
        <v>0</v>
      </c>
      <c r="AH217" s="93">
        <f t="shared" si="11"/>
        <v>0</v>
      </c>
      <c r="AI217" s="90"/>
      <c r="AJ217" s="95"/>
      <c r="AK217" s="94">
        <f t="shared" si="12"/>
        <v>0</v>
      </c>
    </row>
    <row r="218" spans="1:37" x14ac:dyDescent="0.2">
      <c r="A218" s="20">
        <f>+'SERVICIO FAENA'!A217</f>
        <v>0</v>
      </c>
      <c r="B218" s="18">
        <f>+'SERVICIO FAENA'!E217</f>
        <v>0</v>
      </c>
      <c r="C218" s="20">
        <f>+'SERVICIO FAENA'!C217</f>
        <v>0</v>
      </c>
      <c r="D218" s="87"/>
      <c r="E218" s="48"/>
      <c r="F218" s="48"/>
      <c r="G218" s="85"/>
      <c r="H218" s="48"/>
      <c r="I218" s="85"/>
      <c r="J218" s="48"/>
      <c r="K218" s="85"/>
      <c r="L218" s="48"/>
      <c r="M218" s="85"/>
      <c r="N218" s="48"/>
      <c r="O218" s="85"/>
      <c r="P218" s="48"/>
      <c r="Q218" s="85"/>
      <c r="R218" s="48"/>
      <c r="S218" s="85"/>
      <c r="T218" s="48"/>
      <c r="U218" s="85"/>
      <c r="V218" s="48"/>
      <c r="W218" s="85"/>
      <c r="X218" s="48"/>
      <c r="Y218" s="85"/>
      <c r="Z218" s="48"/>
      <c r="AA218" s="85"/>
      <c r="AB218" s="48"/>
      <c r="AC218" s="85"/>
      <c r="AD218" s="224"/>
      <c r="AE218" s="225"/>
      <c r="AF218" s="222"/>
      <c r="AG218" s="88">
        <f t="shared" si="10"/>
        <v>0</v>
      </c>
      <c r="AH218" s="93">
        <f t="shared" si="11"/>
        <v>0</v>
      </c>
      <c r="AI218" s="90"/>
      <c r="AJ218" s="95"/>
      <c r="AK218" s="94">
        <f t="shared" si="12"/>
        <v>0</v>
      </c>
    </row>
    <row r="219" spans="1:37" x14ac:dyDescent="0.2">
      <c r="A219" s="20">
        <f>+'SERVICIO FAENA'!A218</f>
        <v>0</v>
      </c>
      <c r="B219" s="18">
        <f>+'SERVICIO FAENA'!E218</f>
        <v>0</v>
      </c>
      <c r="C219" s="20">
        <f>+'SERVICIO FAENA'!C218</f>
        <v>0</v>
      </c>
      <c r="D219" s="87"/>
      <c r="E219" s="48"/>
      <c r="F219" s="48"/>
      <c r="G219" s="85"/>
      <c r="H219" s="48"/>
      <c r="I219" s="85"/>
      <c r="J219" s="48"/>
      <c r="K219" s="85"/>
      <c r="L219" s="48"/>
      <c r="M219" s="85"/>
      <c r="N219" s="48"/>
      <c r="O219" s="85"/>
      <c r="P219" s="48"/>
      <c r="Q219" s="85"/>
      <c r="R219" s="48"/>
      <c r="S219" s="85"/>
      <c r="T219" s="48"/>
      <c r="U219" s="85"/>
      <c r="V219" s="48"/>
      <c r="W219" s="85"/>
      <c r="X219" s="48"/>
      <c r="Y219" s="85"/>
      <c r="Z219" s="48"/>
      <c r="AA219" s="85"/>
      <c r="AB219" s="48"/>
      <c r="AC219" s="85"/>
      <c r="AD219" s="222"/>
      <c r="AE219" s="223"/>
      <c r="AF219" s="222"/>
      <c r="AG219" s="88">
        <f t="shared" si="10"/>
        <v>0</v>
      </c>
      <c r="AH219" s="93">
        <f t="shared" si="11"/>
        <v>0</v>
      </c>
      <c r="AI219" s="91"/>
      <c r="AJ219" s="96"/>
      <c r="AK219" s="94">
        <f t="shared" si="12"/>
        <v>0</v>
      </c>
    </row>
    <row r="220" spans="1:37" x14ac:dyDescent="0.2">
      <c r="A220" s="20">
        <f>+'SERVICIO FAENA'!A219</f>
        <v>0</v>
      </c>
      <c r="B220" s="18">
        <f>+'SERVICIO FAENA'!E219</f>
        <v>0</v>
      </c>
      <c r="C220" s="20">
        <f>+'SERVICIO FAENA'!C219</f>
        <v>0</v>
      </c>
      <c r="D220" s="87"/>
      <c r="E220" s="48"/>
      <c r="F220" s="48"/>
      <c r="G220" s="85"/>
      <c r="H220" s="48"/>
      <c r="I220" s="85"/>
      <c r="J220" s="48"/>
      <c r="K220" s="85"/>
      <c r="L220" s="48"/>
      <c r="M220" s="85"/>
      <c r="N220" s="48"/>
      <c r="O220" s="85"/>
      <c r="P220" s="48"/>
      <c r="Q220" s="85"/>
      <c r="R220" s="48"/>
      <c r="S220" s="85"/>
      <c r="T220" s="48"/>
      <c r="U220" s="85"/>
      <c r="V220" s="48"/>
      <c r="W220" s="85"/>
      <c r="X220" s="48"/>
      <c r="Y220" s="85"/>
      <c r="Z220" s="48"/>
      <c r="AA220" s="85"/>
      <c r="AB220" s="48"/>
      <c r="AC220" s="85"/>
      <c r="AD220" s="224"/>
      <c r="AE220" s="225"/>
      <c r="AF220" s="222"/>
      <c r="AG220" s="88">
        <f t="shared" si="10"/>
        <v>0</v>
      </c>
      <c r="AH220" s="93">
        <f t="shared" si="11"/>
        <v>0</v>
      </c>
      <c r="AI220" s="90"/>
      <c r="AJ220" s="95"/>
      <c r="AK220" s="94">
        <f t="shared" si="12"/>
        <v>0</v>
      </c>
    </row>
    <row r="221" spans="1:37" x14ac:dyDescent="0.2">
      <c r="A221" s="20">
        <f>+'SERVICIO FAENA'!A220</f>
        <v>0</v>
      </c>
      <c r="B221" s="18">
        <f>+'SERVICIO FAENA'!E220</f>
        <v>0</v>
      </c>
      <c r="C221" s="20">
        <f>+'SERVICIO FAENA'!C220</f>
        <v>0</v>
      </c>
      <c r="D221" s="87"/>
      <c r="E221" s="48"/>
      <c r="F221" s="48"/>
      <c r="G221" s="85"/>
      <c r="H221" s="48"/>
      <c r="I221" s="85"/>
      <c r="J221" s="48"/>
      <c r="K221" s="85"/>
      <c r="L221" s="48"/>
      <c r="M221" s="85"/>
      <c r="N221" s="48"/>
      <c r="O221" s="85"/>
      <c r="P221" s="48"/>
      <c r="Q221" s="85"/>
      <c r="R221" s="48"/>
      <c r="S221" s="85"/>
      <c r="T221" s="48"/>
      <c r="U221" s="85"/>
      <c r="V221" s="48"/>
      <c r="W221" s="85"/>
      <c r="X221" s="48"/>
      <c r="Y221" s="85"/>
      <c r="Z221" s="48"/>
      <c r="AA221" s="85"/>
      <c r="AB221" s="48"/>
      <c r="AC221" s="85"/>
      <c r="AD221" s="224"/>
      <c r="AE221" s="225"/>
      <c r="AF221" s="222"/>
      <c r="AG221" s="88">
        <f t="shared" si="10"/>
        <v>0</v>
      </c>
      <c r="AH221" s="93">
        <f t="shared" si="11"/>
        <v>0</v>
      </c>
      <c r="AI221" s="90"/>
      <c r="AJ221" s="95"/>
      <c r="AK221" s="94">
        <f t="shared" si="12"/>
        <v>0</v>
      </c>
    </row>
    <row r="222" spans="1:37" x14ac:dyDescent="0.2">
      <c r="A222" s="20">
        <f>+'SERVICIO FAENA'!A221</f>
        <v>0</v>
      </c>
      <c r="B222" s="18">
        <f>+'SERVICIO FAENA'!E221</f>
        <v>0</v>
      </c>
      <c r="C222" s="20">
        <f>+'SERVICIO FAENA'!C221</f>
        <v>0</v>
      </c>
      <c r="D222" s="87"/>
      <c r="E222" s="48"/>
      <c r="F222" s="48"/>
      <c r="G222" s="85"/>
      <c r="H222" s="48"/>
      <c r="I222" s="85"/>
      <c r="J222" s="48"/>
      <c r="K222" s="85"/>
      <c r="L222" s="48"/>
      <c r="M222" s="85"/>
      <c r="N222" s="48"/>
      <c r="O222" s="85"/>
      <c r="P222" s="48"/>
      <c r="Q222" s="85"/>
      <c r="R222" s="48"/>
      <c r="S222" s="85"/>
      <c r="T222" s="48"/>
      <c r="U222" s="85"/>
      <c r="V222" s="48"/>
      <c r="W222" s="85"/>
      <c r="X222" s="48"/>
      <c r="Y222" s="85"/>
      <c r="Z222" s="48"/>
      <c r="AA222" s="85"/>
      <c r="AB222" s="48"/>
      <c r="AC222" s="85"/>
      <c r="AD222" s="222"/>
      <c r="AE222" s="223"/>
      <c r="AF222" s="222"/>
      <c r="AG222" s="88">
        <f t="shared" si="10"/>
        <v>0</v>
      </c>
      <c r="AH222" s="93">
        <f t="shared" si="11"/>
        <v>0</v>
      </c>
      <c r="AI222" s="91"/>
      <c r="AJ222" s="96"/>
      <c r="AK222" s="94">
        <f t="shared" si="12"/>
        <v>0</v>
      </c>
    </row>
    <row r="223" spans="1:37" x14ac:dyDescent="0.2">
      <c r="A223" s="20">
        <f>+'SERVICIO FAENA'!A222</f>
        <v>0</v>
      </c>
      <c r="B223" s="18">
        <f>+'SERVICIO FAENA'!E222</f>
        <v>0</v>
      </c>
      <c r="C223" s="20">
        <f>+'SERVICIO FAENA'!C222</f>
        <v>0</v>
      </c>
      <c r="D223" s="87"/>
      <c r="E223" s="48"/>
      <c r="F223" s="48"/>
      <c r="G223" s="85"/>
      <c r="H223" s="48"/>
      <c r="I223" s="85"/>
      <c r="J223" s="48"/>
      <c r="K223" s="85"/>
      <c r="L223" s="48"/>
      <c r="M223" s="85"/>
      <c r="N223" s="48"/>
      <c r="O223" s="85"/>
      <c r="P223" s="48"/>
      <c r="Q223" s="85"/>
      <c r="R223" s="48"/>
      <c r="S223" s="85"/>
      <c r="T223" s="48"/>
      <c r="U223" s="85"/>
      <c r="V223" s="48"/>
      <c r="W223" s="85"/>
      <c r="X223" s="48"/>
      <c r="Y223" s="85"/>
      <c r="Z223" s="48"/>
      <c r="AA223" s="85"/>
      <c r="AB223" s="48"/>
      <c r="AC223" s="85"/>
      <c r="AD223" s="224"/>
      <c r="AE223" s="225"/>
      <c r="AF223" s="222"/>
      <c r="AG223" s="88">
        <f t="shared" si="10"/>
        <v>0</v>
      </c>
      <c r="AH223" s="93">
        <f t="shared" si="11"/>
        <v>0</v>
      </c>
      <c r="AI223" s="90"/>
      <c r="AJ223" s="95"/>
      <c r="AK223" s="94">
        <f t="shared" si="12"/>
        <v>0</v>
      </c>
    </row>
    <row r="224" spans="1:37" x14ac:dyDescent="0.2">
      <c r="A224" s="20">
        <f>+'SERVICIO FAENA'!A223</f>
        <v>0</v>
      </c>
      <c r="B224" s="18">
        <f>+'SERVICIO FAENA'!E223</f>
        <v>0</v>
      </c>
      <c r="C224" s="20">
        <f>+'SERVICIO FAENA'!C223</f>
        <v>0</v>
      </c>
      <c r="D224" s="87"/>
      <c r="E224" s="48"/>
      <c r="F224" s="48"/>
      <c r="G224" s="85"/>
      <c r="H224" s="48"/>
      <c r="I224" s="85"/>
      <c r="J224" s="48"/>
      <c r="K224" s="85"/>
      <c r="L224" s="48"/>
      <c r="M224" s="85"/>
      <c r="N224" s="48"/>
      <c r="O224" s="85"/>
      <c r="P224" s="48"/>
      <c r="Q224" s="85"/>
      <c r="R224" s="48"/>
      <c r="S224" s="85"/>
      <c r="T224" s="48"/>
      <c r="U224" s="85"/>
      <c r="V224" s="48"/>
      <c r="W224" s="85"/>
      <c r="X224" s="48"/>
      <c r="Y224" s="85"/>
      <c r="Z224" s="48"/>
      <c r="AA224" s="85"/>
      <c r="AB224" s="48"/>
      <c r="AC224" s="85"/>
      <c r="AD224" s="224"/>
      <c r="AE224" s="225"/>
      <c r="AF224" s="222"/>
      <c r="AG224" s="88">
        <f t="shared" si="10"/>
        <v>0</v>
      </c>
      <c r="AH224" s="93">
        <f t="shared" si="11"/>
        <v>0</v>
      </c>
      <c r="AI224" s="90"/>
      <c r="AJ224" s="95"/>
      <c r="AK224" s="94">
        <f t="shared" si="12"/>
        <v>0</v>
      </c>
    </row>
    <row r="225" spans="1:37" x14ac:dyDescent="0.2">
      <c r="A225" s="20">
        <f>+'SERVICIO FAENA'!A224</f>
        <v>0</v>
      </c>
      <c r="B225" s="18">
        <f>+'SERVICIO FAENA'!E224</f>
        <v>0</v>
      </c>
      <c r="C225" s="20">
        <f>+'SERVICIO FAENA'!C224</f>
        <v>0</v>
      </c>
      <c r="D225" s="87"/>
      <c r="E225" s="48"/>
      <c r="F225" s="48"/>
      <c r="G225" s="85"/>
      <c r="H225" s="48"/>
      <c r="I225" s="85"/>
      <c r="J225" s="48"/>
      <c r="K225" s="85"/>
      <c r="L225" s="48"/>
      <c r="M225" s="85"/>
      <c r="N225" s="48"/>
      <c r="O225" s="85"/>
      <c r="P225" s="48"/>
      <c r="Q225" s="85"/>
      <c r="R225" s="48"/>
      <c r="S225" s="85"/>
      <c r="T225" s="48"/>
      <c r="U225" s="85"/>
      <c r="V225" s="48"/>
      <c r="W225" s="85"/>
      <c r="X225" s="48"/>
      <c r="Y225" s="85"/>
      <c r="Z225" s="48"/>
      <c r="AA225" s="85"/>
      <c r="AB225" s="48"/>
      <c r="AC225" s="85"/>
      <c r="AD225" s="222"/>
      <c r="AE225" s="223"/>
      <c r="AF225" s="222"/>
      <c r="AG225" s="88">
        <f t="shared" si="10"/>
        <v>0</v>
      </c>
      <c r="AH225" s="93">
        <f t="shared" si="11"/>
        <v>0</v>
      </c>
      <c r="AI225" s="91"/>
      <c r="AJ225" s="96"/>
      <c r="AK225" s="94">
        <f t="shared" si="12"/>
        <v>0</v>
      </c>
    </row>
    <row r="226" spans="1:37" x14ac:dyDescent="0.2">
      <c r="A226" s="20">
        <f>+'SERVICIO FAENA'!A225</f>
        <v>0</v>
      </c>
      <c r="B226" s="18">
        <f>+'SERVICIO FAENA'!E225</f>
        <v>0</v>
      </c>
      <c r="C226" s="20">
        <f>+'SERVICIO FAENA'!C225</f>
        <v>0</v>
      </c>
      <c r="D226" s="87"/>
      <c r="E226" s="48"/>
      <c r="F226" s="48"/>
      <c r="G226" s="85"/>
      <c r="H226" s="48"/>
      <c r="I226" s="85"/>
      <c r="J226" s="48"/>
      <c r="K226" s="85"/>
      <c r="L226" s="48"/>
      <c r="M226" s="85"/>
      <c r="N226" s="48"/>
      <c r="O226" s="85"/>
      <c r="P226" s="48"/>
      <c r="Q226" s="85"/>
      <c r="R226" s="48"/>
      <c r="S226" s="85"/>
      <c r="T226" s="48"/>
      <c r="U226" s="85"/>
      <c r="V226" s="48"/>
      <c r="W226" s="85"/>
      <c r="X226" s="48"/>
      <c r="Y226" s="85"/>
      <c r="Z226" s="48"/>
      <c r="AA226" s="85"/>
      <c r="AB226" s="48"/>
      <c r="AC226" s="85"/>
      <c r="AD226" s="224"/>
      <c r="AE226" s="225"/>
      <c r="AF226" s="222"/>
      <c r="AG226" s="88">
        <f t="shared" si="10"/>
        <v>0</v>
      </c>
      <c r="AH226" s="93">
        <f t="shared" si="11"/>
        <v>0</v>
      </c>
      <c r="AI226" s="90"/>
      <c r="AJ226" s="95"/>
      <c r="AK226" s="94">
        <f t="shared" si="12"/>
        <v>0</v>
      </c>
    </row>
    <row r="227" spans="1:37" x14ac:dyDescent="0.2">
      <c r="A227" s="20">
        <f>+'SERVICIO FAENA'!A226</f>
        <v>0</v>
      </c>
      <c r="B227" s="18">
        <f>+'SERVICIO FAENA'!E226</f>
        <v>0</v>
      </c>
      <c r="C227" s="20">
        <f>+'SERVICIO FAENA'!C226</f>
        <v>0</v>
      </c>
      <c r="D227" s="87"/>
      <c r="E227" s="48"/>
      <c r="F227" s="48"/>
      <c r="G227" s="85"/>
      <c r="H227" s="48"/>
      <c r="I227" s="85"/>
      <c r="J227" s="48"/>
      <c r="K227" s="85"/>
      <c r="L227" s="48"/>
      <c r="M227" s="85"/>
      <c r="N227" s="48"/>
      <c r="O227" s="85"/>
      <c r="P227" s="48"/>
      <c r="Q227" s="85"/>
      <c r="R227" s="48"/>
      <c r="S227" s="85"/>
      <c r="T227" s="48"/>
      <c r="U227" s="85"/>
      <c r="V227" s="48"/>
      <c r="W227" s="85"/>
      <c r="X227" s="48"/>
      <c r="Y227" s="85"/>
      <c r="Z227" s="48"/>
      <c r="AA227" s="85"/>
      <c r="AB227" s="48"/>
      <c r="AC227" s="85"/>
      <c r="AD227" s="224"/>
      <c r="AE227" s="225"/>
      <c r="AF227" s="222"/>
      <c r="AG227" s="88">
        <f t="shared" si="10"/>
        <v>0</v>
      </c>
      <c r="AH227" s="93">
        <f t="shared" si="11"/>
        <v>0</v>
      </c>
      <c r="AI227" s="90"/>
      <c r="AJ227" s="95"/>
      <c r="AK227" s="94">
        <f t="shared" si="12"/>
        <v>0</v>
      </c>
    </row>
    <row r="228" spans="1:37" x14ac:dyDescent="0.2">
      <c r="A228" s="20">
        <f>+'SERVICIO FAENA'!A227</f>
        <v>0</v>
      </c>
      <c r="B228" s="18">
        <f>+'SERVICIO FAENA'!E227</f>
        <v>0</v>
      </c>
      <c r="C228" s="20">
        <f>+'SERVICIO FAENA'!C227</f>
        <v>0</v>
      </c>
      <c r="D228" s="87"/>
      <c r="E228" s="48"/>
      <c r="F228" s="48"/>
      <c r="G228" s="85"/>
      <c r="H228" s="48"/>
      <c r="I228" s="85"/>
      <c r="J228" s="48"/>
      <c r="K228" s="85"/>
      <c r="L228" s="48"/>
      <c r="M228" s="85"/>
      <c r="N228" s="48"/>
      <c r="O228" s="85"/>
      <c r="P228" s="48"/>
      <c r="Q228" s="85"/>
      <c r="R228" s="48"/>
      <c r="S228" s="85"/>
      <c r="T228" s="48"/>
      <c r="U228" s="85"/>
      <c r="V228" s="48"/>
      <c r="W228" s="85"/>
      <c r="X228" s="48"/>
      <c r="Y228" s="85"/>
      <c r="Z228" s="48"/>
      <c r="AA228" s="85"/>
      <c r="AB228" s="48"/>
      <c r="AC228" s="85"/>
      <c r="AD228" s="222"/>
      <c r="AE228" s="223"/>
      <c r="AF228" s="222"/>
      <c r="AG228" s="88">
        <f t="shared" si="10"/>
        <v>0</v>
      </c>
      <c r="AH228" s="93">
        <f t="shared" si="11"/>
        <v>0</v>
      </c>
      <c r="AI228" s="91"/>
      <c r="AJ228" s="96"/>
      <c r="AK228" s="94">
        <f t="shared" si="12"/>
        <v>0</v>
      </c>
    </row>
    <row r="229" spans="1:37" x14ac:dyDescent="0.2">
      <c r="A229" s="20">
        <f>+'SERVICIO FAENA'!A228</f>
        <v>0</v>
      </c>
      <c r="B229" s="18">
        <f>+'SERVICIO FAENA'!E228</f>
        <v>0</v>
      </c>
      <c r="C229" s="20">
        <f>+'SERVICIO FAENA'!C228</f>
        <v>0</v>
      </c>
      <c r="D229" s="87"/>
      <c r="E229" s="48"/>
      <c r="F229" s="48"/>
      <c r="G229" s="85"/>
      <c r="H229" s="48"/>
      <c r="I229" s="85"/>
      <c r="J229" s="48"/>
      <c r="K229" s="85"/>
      <c r="L229" s="48"/>
      <c r="M229" s="85"/>
      <c r="N229" s="48"/>
      <c r="O229" s="85"/>
      <c r="P229" s="48"/>
      <c r="Q229" s="85"/>
      <c r="R229" s="48"/>
      <c r="S229" s="85"/>
      <c r="T229" s="48"/>
      <c r="U229" s="85"/>
      <c r="V229" s="48"/>
      <c r="W229" s="85"/>
      <c r="X229" s="48"/>
      <c r="Y229" s="85"/>
      <c r="Z229" s="48"/>
      <c r="AA229" s="85"/>
      <c r="AB229" s="48"/>
      <c r="AC229" s="85"/>
      <c r="AD229" s="224"/>
      <c r="AE229" s="225"/>
      <c r="AF229" s="222"/>
      <c r="AG229" s="88">
        <f t="shared" si="10"/>
        <v>0</v>
      </c>
      <c r="AH229" s="93">
        <f t="shared" si="11"/>
        <v>0</v>
      </c>
      <c r="AI229" s="90"/>
      <c r="AJ229" s="95"/>
      <c r="AK229" s="94">
        <f t="shared" si="12"/>
        <v>0</v>
      </c>
    </row>
    <row r="230" spans="1:37" x14ac:dyDescent="0.2">
      <c r="A230" s="20">
        <f>+'SERVICIO FAENA'!A229</f>
        <v>0</v>
      </c>
      <c r="B230" s="18">
        <f>+'SERVICIO FAENA'!E229</f>
        <v>0</v>
      </c>
      <c r="C230" s="20">
        <f>+'SERVICIO FAENA'!C229</f>
        <v>0</v>
      </c>
      <c r="D230" s="87"/>
      <c r="E230" s="48"/>
      <c r="F230" s="48"/>
      <c r="G230" s="85"/>
      <c r="H230" s="48"/>
      <c r="I230" s="85"/>
      <c r="J230" s="48"/>
      <c r="K230" s="85"/>
      <c r="L230" s="48"/>
      <c r="M230" s="85"/>
      <c r="N230" s="48"/>
      <c r="O230" s="85"/>
      <c r="P230" s="48"/>
      <c r="Q230" s="85"/>
      <c r="R230" s="48"/>
      <c r="S230" s="85"/>
      <c r="T230" s="48"/>
      <c r="U230" s="85"/>
      <c r="V230" s="48"/>
      <c r="W230" s="85"/>
      <c r="X230" s="48"/>
      <c r="Y230" s="85"/>
      <c r="Z230" s="48"/>
      <c r="AA230" s="85"/>
      <c r="AB230" s="48"/>
      <c r="AC230" s="85"/>
      <c r="AD230" s="224"/>
      <c r="AE230" s="225"/>
      <c r="AF230" s="222"/>
      <c r="AG230" s="88">
        <f t="shared" ref="AG230:AG293" si="13">+D230*E230</f>
        <v>0</v>
      </c>
      <c r="AH230" s="93">
        <f t="shared" ref="AH230:AH293" si="14">+AG230*1.105</f>
        <v>0</v>
      </c>
      <c r="AI230" s="90"/>
      <c r="AJ230" s="95"/>
      <c r="AK230" s="94">
        <f t="shared" ref="AK230:AK293" si="15">+AJ230-AH230</f>
        <v>0</v>
      </c>
    </row>
    <row r="231" spans="1:37" x14ac:dyDescent="0.2">
      <c r="A231" s="20">
        <f>+'SERVICIO FAENA'!A230</f>
        <v>0</v>
      </c>
      <c r="B231" s="18">
        <f>+'SERVICIO FAENA'!E230</f>
        <v>0</v>
      </c>
      <c r="C231" s="20">
        <f>+'SERVICIO FAENA'!C230</f>
        <v>0</v>
      </c>
      <c r="D231" s="87"/>
      <c r="E231" s="48"/>
      <c r="F231" s="48"/>
      <c r="G231" s="85"/>
      <c r="H231" s="48"/>
      <c r="I231" s="85"/>
      <c r="J231" s="48"/>
      <c r="K231" s="85"/>
      <c r="L231" s="48"/>
      <c r="M231" s="85"/>
      <c r="N231" s="48"/>
      <c r="O231" s="85"/>
      <c r="P231" s="48"/>
      <c r="Q231" s="85"/>
      <c r="R231" s="48"/>
      <c r="S231" s="85"/>
      <c r="T231" s="48"/>
      <c r="U231" s="85"/>
      <c r="V231" s="48"/>
      <c r="W231" s="85"/>
      <c r="X231" s="48"/>
      <c r="Y231" s="85"/>
      <c r="Z231" s="48"/>
      <c r="AA231" s="85"/>
      <c r="AB231" s="48"/>
      <c r="AC231" s="85"/>
      <c r="AD231" s="222"/>
      <c r="AE231" s="223"/>
      <c r="AF231" s="222"/>
      <c r="AG231" s="88">
        <f t="shared" si="13"/>
        <v>0</v>
      </c>
      <c r="AH231" s="93">
        <f t="shared" si="14"/>
        <v>0</v>
      </c>
      <c r="AI231" s="91"/>
      <c r="AJ231" s="96"/>
      <c r="AK231" s="94">
        <f t="shared" si="15"/>
        <v>0</v>
      </c>
    </row>
    <row r="232" spans="1:37" x14ac:dyDescent="0.2">
      <c r="A232" s="20">
        <f>+'SERVICIO FAENA'!A231</f>
        <v>0</v>
      </c>
      <c r="B232" s="18">
        <f>+'SERVICIO FAENA'!E231</f>
        <v>0</v>
      </c>
      <c r="C232" s="20">
        <f>+'SERVICIO FAENA'!C231</f>
        <v>0</v>
      </c>
      <c r="D232" s="87"/>
      <c r="E232" s="48"/>
      <c r="F232" s="48"/>
      <c r="G232" s="85"/>
      <c r="H232" s="48"/>
      <c r="I232" s="85"/>
      <c r="J232" s="48"/>
      <c r="K232" s="85"/>
      <c r="L232" s="48"/>
      <c r="M232" s="85"/>
      <c r="N232" s="48"/>
      <c r="O232" s="85"/>
      <c r="P232" s="48"/>
      <c r="Q232" s="85"/>
      <c r="R232" s="48"/>
      <c r="S232" s="85"/>
      <c r="T232" s="48"/>
      <c r="U232" s="85"/>
      <c r="V232" s="48"/>
      <c r="W232" s="85"/>
      <c r="X232" s="48"/>
      <c r="Y232" s="85"/>
      <c r="Z232" s="48"/>
      <c r="AA232" s="85"/>
      <c r="AB232" s="48"/>
      <c r="AC232" s="85"/>
      <c r="AD232" s="224"/>
      <c r="AE232" s="225"/>
      <c r="AF232" s="222"/>
      <c r="AG232" s="88">
        <f t="shared" si="13"/>
        <v>0</v>
      </c>
      <c r="AH232" s="93">
        <f t="shared" si="14"/>
        <v>0</v>
      </c>
      <c r="AI232" s="90"/>
      <c r="AJ232" s="95"/>
      <c r="AK232" s="94">
        <f t="shared" si="15"/>
        <v>0</v>
      </c>
    </row>
    <row r="233" spans="1:37" x14ac:dyDescent="0.2">
      <c r="A233" s="20">
        <f>+'SERVICIO FAENA'!A232</f>
        <v>0</v>
      </c>
      <c r="B233" s="18">
        <f>+'SERVICIO FAENA'!E232</f>
        <v>0</v>
      </c>
      <c r="C233" s="20">
        <f>+'SERVICIO FAENA'!C232</f>
        <v>0</v>
      </c>
      <c r="D233" s="87"/>
      <c r="E233" s="48"/>
      <c r="F233" s="48"/>
      <c r="G233" s="85"/>
      <c r="H233" s="48"/>
      <c r="I233" s="85"/>
      <c r="J233" s="48"/>
      <c r="K233" s="85"/>
      <c r="L233" s="48"/>
      <c r="M233" s="85"/>
      <c r="N233" s="48"/>
      <c r="O233" s="85"/>
      <c r="P233" s="48"/>
      <c r="Q233" s="85"/>
      <c r="R233" s="48"/>
      <c r="S233" s="85"/>
      <c r="T233" s="48"/>
      <c r="U233" s="85"/>
      <c r="V233" s="48"/>
      <c r="W233" s="85"/>
      <c r="X233" s="48"/>
      <c r="Y233" s="85"/>
      <c r="Z233" s="48"/>
      <c r="AA233" s="85"/>
      <c r="AB233" s="48"/>
      <c r="AC233" s="85"/>
      <c r="AD233" s="224"/>
      <c r="AE233" s="225"/>
      <c r="AF233" s="222"/>
      <c r="AG233" s="88">
        <f t="shared" si="13"/>
        <v>0</v>
      </c>
      <c r="AH233" s="93">
        <f t="shared" si="14"/>
        <v>0</v>
      </c>
      <c r="AI233" s="90"/>
      <c r="AJ233" s="95"/>
      <c r="AK233" s="94">
        <f t="shared" si="15"/>
        <v>0</v>
      </c>
    </row>
    <row r="234" spans="1:37" x14ac:dyDescent="0.2">
      <c r="A234" s="20">
        <f>+'SERVICIO FAENA'!A233</f>
        <v>0</v>
      </c>
      <c r="B234" s="18">
        <f>+'SERVICIO FAENA'!E233</f>
        <v>0</v>
      </c>
      <c r="C234" s="20">
        <f>+'SERVICIO FAENA'!C233</f>
        <v>0</v>
      </c>
      <c r="D234" s="87"/>
      <c r="E234" s="48"/>
      <c r="F234" s="48"/>
      <c r="G234" s="85"/>
      <c r="H234" s="48"/>
      <c r="I234" s="85"/>
      <c r="J234" s="48"/>
      <c r="K234" s="85"/>
      <c r="L234" s="48"/>
      <c r="M234" s="85"/>
      <c r="N234" s="48"/>
      <c r="O234" s="85"/>
      <c r="P234" s="48"/>
      <c r="Q234" s="85"/>
      <c r="R234" s="48"/>
      <c r="S234" s="85"/>
      <c r="T234" s="48"/>
      <c r="U234" s="85"/>
      <c r="V234" s="48"/>
      <c r="W234" s="85"/>
      <c r="X234" s="48"/>
      <c r="Y234" s="85"/>
      <c r="Z234" s="48"/>
      <c r="AA234" s="85"/>
      <c r="AB234" s="48"/>
      <c r="AC234" s="85"/>
      <c r="AD234" s="222"/>
      <c r="AE234" s="223"/>
      <c r="AF234" s="222"/>
      <c r="AG234" s="88">
        <f t="shared" si="13"/>
        <v>0</v>
      </c>
      <c r="AH234" s="93">
        <f t="shared" si="14"/>
        <v>0</v>
      </c>
      <c r="AI234" s="91"/>
      <c r="AJ234" s="96"/>
      <c r="AK234" s="94">
        <f t="shared" si="15"/>
        <v>0</v>
      </c>
    </row>
    <row r="235" spans="1:37" x14ac:dyDescent="0.2">
      <c r="A235" s="20">
        <f>+'SERVICIO FAENA'!A234</f>
        <v>0</v>
      </c>
      <c r="B235" s="18">
        <f>+'SERVICIO FAENA'!E234</f>
        <v>0</v>
      </c>
      <c r="C235" s="20">
        <f>+'SERVICIO FAENA'!C234</f>
        <v>0</v>
      </c>
      <c r="D235" s="87"/>
      <c r="E235" s="48"/>
      <c r="F235" s="48"/>
      <c r="G235" s="85"/>
      <c r="H235" s="48"/>
      <c r="I235" s="85"/>
      <c r="J235" s="48"/>
      <c r="K235" s="85"/>
      <c r="L235" s="48"/>
      <c r="M235" s="85"/>
      <c r="N235" s="48"/>
      <c r="O235" s="85"/>
      <c r="P235" s="48"/>
      <c r="Q235" s="85"/>
      <c r="R235" s="48"/>
      <c r="S235" s="85"/>
      <c r="T235" s="48"/>
      <c r="U235" s="85"/>
      <c r="V235" s="48"/>
      <c r="W235" s="85"/>
      <c r="X235" s="48"/>
      <c r="Y235" s="85"/>
      <c r="Z235" s="48"/>
      <c r="AA235" s="85"/>
      <c r="AB235" s="48"/>
      <c r="AC235" s="85"/>
      <c r="AD235" s="224"/>
      <c r="AE235" s="225"/>
      <c r="AF235" s="222"/>
      <c r="AG235" s="88">
        <f t="shared" si="13"/>
        <v>0</v>
      </c>
      <c r="AH235" s="93">
        <f t="shared" si="14"/>
        <v>0</v>
      </c>
      <c r="AI235" s="90"/>
      <c r="AJ235" s="95"/>
      <c r="AK235" s="94">
        <f t="shared" si="15"/>
        <v>0</v>
      </c>
    </row>
    <row r="236" spans="1:37" x14ac:dyDescent="0.2">
      <c r="A236" s="20">
        <f>+'SERVICIO FAENA'!A235</f>
        <v>0</v>
      </c>
      <c r="B236" s="18">
        <f>+'SERVICIO FAENA'!E235</f>
        <v>0</v>
      </c>
      <c r="C236" s="20">
        <f>+'SERVICIO FAENA'!C235</f>
        <v>0</v>
      </c>
      <c r="D236" s="87"/>
      <c r="E236" s="48"/>
      <c r="F236" s="48"/>
      <c r="G236" s="85"/>
      <c r="H236" s="48"/>
      <c r="I236" s="85"/>
      <c r="J236" s="48"/>
      <c r="K236" s="85"/>
      <c r="L236" s="48"/>
      <c r="M236" s="85"/>
      <c r="N236" s="48"/>
      <c r="O236" s="85"/>
      <c r="P236" s="48"/>
      <c r="Q236" s="85"/>
      <c r="R236" s="48"/>
      <c r="S236" s="85"/>
      <c r="T236" s="48"/>
      <c r="U236" s="85"/>
      <c r="V236" s="48"/>
      <c r="W236" s="85"/>
      <c r="X236" s="48"/>
      <c r="Y236" s="85"/>
      <c r="Z236" s="48"/>
      <c r="AA236" s="85"/>
      <c r="AB236" s="48"/>
      <c r="AC236" s="85"/>
      <c r="AD236" s="224"/>
      <c r="AE236" s="225"/>
      <c r="AF236" s="222"/>
      <c r="AG236" s="88">
        <f t="shared" si="13"/>
        <v>0</v>
      </c>
      <c r="AH236" s="93">
        <f t="shared" si="14"/>
        <v>0</v>
      </c>
      <c r="AI236" s="90"/>
      <c r="AJ236" s="95"/>
      <c r="AK236" s="94">
        <f t="shared" si="15"/>
        <v>0</v>
      </c>
    </row>
    <row r="237" spans="1:37" x14ac:dyDescent="0.2">
      <c r="A237" s="20">
        <f>+'SERVICIO FAENA'!A236</f>
        <v>0</v>
      </c>
      <c r="B237" s="18">
        <f>+'SERVICIO FAENA'!E236</f>
        <v>0</v>
      </c>
      <c r="C237" s="20">
        <f>+'SERVICIO FAENA'!C236</f>
        <v>0</v>
      </c>
      <c r="D237" s="87"/>
      <c r="E237" s="48"/>
      <c r="F237" s="48"/>
      <c r="G237" s="85"/>
      <c r="H237" s="48"/>
      <c r="I237" s="85"/>
      <c r="J237" s="48"/>
      <c r="K237" s="85"/>
      <c r="L237" s="48"/>
      <c r="M237" s="85"/>
      <c r="N237" s="48"/>
      <c r="O237" s="85"/>
      <c r="P237" s="48"/>
      <c r="Q237" s="85"/>
      <c r="R237" s="48"/>
      <c r="S237" s="85"/>
      <c r="T237" s="48"/>
      <c r="U237" s="85"/>
      <c r="V237" s="48"/>
      <c r="W237" s="85"/>
      <c r="X237" s="48"/>
      <c r="Y237" s="85"/>
      <c r="Z237" s="48"/>
      <c r="AA237" s="85"/>
      <c r="AB237" s="48"/>
      <c r="AC237" s="85"/>
      <c r="AD237" s="222"/>
      <c r="AE237" s="223"/>
      <c r="AF237" s="222"/>
      <c r="AG237" s="88">
        <f t="shared" si="13"/>
        <v>0</v>
      </c>
      <c r="AH237" s="93">
        <f t="shared" si="14"/>
        <v>0</v>
      </c>
      <c r="AI237" s="91"/>
      <c r="AJ237" s="96"/>
      <c r="AK237" s="94">
        <f t="shared" si="15"/>
        <v>0</v>
      </c>
    </row>
    <row r="238" spans="1:37" x14ac:dyDescent="0.2">
      <c r="A238" s="20">
        <f>+'SERVICIO FAENA'!A237</f>
        <v>0</v>
      </c>
      <c r="B238" s="18">
        <f>+'SERVICIO FAENA'!E237</f>
        <v>0</v>
      </c>
      <c r="C238" s="20">
        <f>+'SERVICIO FAENA'!C237</f>
        <v>0</v>
      </c>
      <c r="D238" s="87"/>
      <c r="E238" s="48"/>
      <c r="F238" s="48"/>
      <c r="G238" s="85"/>
      <c r="H238" s="48"/>
      <c r="I238" s="85"/>
      <c r="J238" s="48"/>
      <c r="K238" s="85"/>
      <c r="L238" s="48"/>
      <c r="M238" s="85"/>
      <c r="N238" s="48"/>
      <c r="O238" s="85"/>
      <c r="P238" s="48"/>
      <c r="Q238" s="85"/>
      <c r="R238" s="48"/>
      <c r="S238" s="85"/>
      <c r="T238" s="48"/>
      <c r="U238" s="85"/>
      <c r="V238" s="48"/>
      <c r="W238" s="85"/>
      <c r="X238" s="48"/>
      <c r="Y238" s="85"/>
      <c r="Z238" s="48"/>
      <c r="AA238" s="85"/>
      <c r="AB238" s="48"/>
      <c r="AC238" s="85"/>
      <c r="AD238" s="224"/>
      <c r="AE238" s="225"/>
      <c r="AF238" s="222"/>
      <c r="AG238" s="88">
        <f t="shared" si="13"/>
        <v>0</v>
      </c>
      <c r="AH238" s="93">
        <f t="shared" si="14"/>
        <v>0</v>
      </c>
      <c r="AI238" s="90"/>
      <c r="AJ238" s="95"/>
      <c r="AK238" s="94">
        <f t="shared" si="15"/>
        <v>0</v>
      </c>
    </row>
    <row r="239" spans="1:37" x14ac:dyDescent="0.2">
      <c r="A239" s="20">
        <f>+'SERVICIO FAENA'!A238</f>
        <v>0</v>
      </c>
      <c r="B239" s="18">
        <f>+'SERVICIO FAENA'!E238</f>
        <v>0</v>
      </c>
      <c r="C239" s="20">
        <f>+'SERVICIO FAENA'!C238</f>
        <v>0</v>
      </c>
      <c r="D239" s="87"/>
      <c r="E239" s="48"/>
      <c r="F239" s="48"/>
      <c r="G239" s="85"/>
      <c r="H239" s="48"/>
      <c r="I239" s="85"/>
      <c r="J239" s="48"/>
      <c r="K239" s="85"/>
      <c r="L239" s="48"/>
      <c r="M239" s="85"/>
      <c r="N239" s="48"/>
      <c r="O239" s="85"/>
      <c r="P239" s="48"/>
      <c r="Q239" s="85"/>
      <c r="R239" s="48"/>
      <c r="S239" s="85"/>
      <c r="T239" s="48"/>
      <c r="U239" s="85"/>
      <c r="V239" s="48"/>
      <c r="W239" s="85"/>
      <c r="X239" s="48"/>
      <c r="Y239" s="85"/>
      <c r="Z239" s="48"/>
      <c r="AA239" s="85"/>
      <c r="AB239" s="48"/>
      <c r="AC239" s="85"/>
      <c r="AD239" s="224"/>
      <c r="AE239" s="225"/>
      <c r="AF239" s="222"/>
      <c r="AG239" s="88">
        <f t="shared" si="13"/>
        <v>0</v>
      </c>
      <c r="AH239" s="93">
        <f t="shared" si="14"/>
        <v>0</v>
      </c>
      <c r="AI239" s="90"/>
      <c r="AJ239" s="95"/>
      <c r="AK239" s="94">
        <f t="shared" si="15"/>
        <v>0</v>
      </c>
    </row>
    <row r="240" spans="1:37" x14ac:dyDescent="0.2">
      <c r="A240" s="20">
        <f>+'SERVICIO FAENA'!A239</f>
        <v>0</v>
      </c>
      <c r="B240" s="18">
        <f>+'SERVICIO FAENA'!E239</f>
        <v>0</v>
      </c>
      <c r="C240" s="20">
        <f>+'SERVICIO FAENA'!C239</f>
        <v>0</v>
      </c>
      <c r="D240" s="87"/>
      <c r="E240" s="48"/>
      <c r="F240" s="48"/>
      <c r="G240" s="85"/>
      <c r="H240" s="48"/>
      <c r="I240" s="85"/>
      <c r="J240" s="48"/>
      <c r="K240" s="85"/>
      <c r="L240" s="48"/>
      <c r="M240" s="85"/>
      <c r="N240" s="48"/>
      <c r="O240" s="85"/>
      <c r="P240" s="48"/>
      <c r="Q240" s="85"/>
      <c r="R240" s="48"/>
      <c r="S240" s="85"/>
      <c r="T240" s="48"/>
      <c r="U240" s="85"/>
      <c r="V240" s="48"/>
      <c r="W240" s="85"/>
      <c r="X240" s="48"/>
      <c r="Y240" s="85"/>
      <c r="Z240" s="48"/>
      <c r="AA240" s="85"/>
      <c r="AB240" s="48"/>
      <c r="AC240" s="85"/>
      <c r="AD240" s="222"/>
      <c r="AE240" s="223"/>
      <c r="AF240" s="222"/>
      <c r="AG240" s="88">
        <f t="shared" si="13"/>
        <v>0</v>
      </c>
      <c r="AH240" s="93">
        <f t="shared" si="14"/>
        <v>0</v>
      </c>
      <c r="AI240" s="91"/>
      <c r="AJ240" s="96"/>
      <c r="AK240" s="94">
        <f t="shared" si="15"/>
        <v>0</v>
      </c>
    </row>
    <row r="241" spans="1:37" x14ac:dyDescent="0.2">
      <c r="A241" s="20">
        <f>+'SERVICIO FAENA'!A240</f>
        <v>0</v>
      </c>
      <c r="B241" s="18">
        <f>+'SERVICIO FAENA'!E240</f>
        <v>0</v>
      </c>
      <c r="C241" s="20">
        <f>+'SERVICIO FAENA'!C240</f>
        <v>0</v>
      </c>
      <c r="D241" s="87"/>
      <c r="E241" s="48"/>
      <c r="F241" s="48"/>
      <c r="G241" s="85"/>
      <c r="H241" s="48"/>
      <c r="I241" s="85"/>
      <c r="J241" s="48"/>
      <c r="K241" s="85"/>
      <c r="L241" s="48"/>
      <c r="M241" s="85"/>
      <c r="N241" s="48"/>
      <c r="O241" s="85"/>
      <c r="P241" s="48"/>
      <c r="Q241" s="85"/>
      <c r="R241" s="48"/>
      <c r="S241" s="85"/>
      <c r="T241" s="48"/>
      <c r="U241" s="85"/>
      <c r="V241" s="48"/>
      <c r="W241" s="85"/>
      <c r="X241" s="48"/>
      <c r="Y241" s="85"/>
      <c r="Z241" s="48"/>
      <c r="AA241" s="85"/>
      <c r="AB241" s="48"/>
      <c r="AC241" s="85"/>
      <c r="AD241" s="224"/>
      <c r="AE241" s="225"/>
      <c r="AF241" s="222"/>
      <c r="AG241" s="88">
        <f t="shared" si="13"/>
        <v>0</v>
      </c>
      <c r="AH241" s="93">
        <f t="shared" si="14"/>
        <v>0</v>
      </c>
      <c r="AI241" s="90"/>
      <c r="AJ241" s="95"/>
      <c r="AK241" s="94">
        <f t="shared" si="15"/>
        <v>0</v>
      </c>
    </row>
    <row r="242" spans="1:37" x14ac:dyDescent="0.2">
      <c r="A242" s="20">
        <f>+'SERVICIO FAENA'!A241</f>
        <v>0</v>
      </c>
      <c r="B242" s="18">
        <f>+'SERVICIO FAENA'!E241</f>
        <v>0</v>
      </c>
      <c r="C242" s="20">
        <f>+'SERVICIO FAENA'!C241</f>
        <v>0</v>
      </c>
      <c r="D242" s="87"/>
      <c r="E242" s="48"/>
      <c r="F242" s="48"/>
      <c r="G242" s="85"/>
      <c r="H242" s="48"/>
      <c r="I242" s="85"/>
      <c r="J242" s="48"/>
      <c r="K242" s="85"/>
      <c r="L242" s="48"/>
      <c r="M242" s="85"/>
      <c r="N242" s="48"/>
      <c r="O242" s="85"/>
      <c r="P242" s="48"/>
      <c r="Q242" s="85"/>
      <c r="R242" s="48"/>
      <c r="S242" s="85"/>
      <c r="T242" s="48"/>
      <c r="U242" s="85"/>
      <c r="V242" s="48"/>
      <c r="W242" s="85"/>
      <c r="X242" s="48"/>
      <c r="Y242" s="85"/>
      <c r="Z242" s="48"/>
      <c r="AA242" s="85"/>
      <c r="AB242" s="48"/>
      <c r="AC242" s="85"/>
      <c r="AD242" s="224"/>
      <c r="AE242" s="225"/>
      <c r="AF242" s="222"/>
      <c r="AG242" s="88">
        <f t="shared" si="13"/>
        <v>0</v>
      </c>
      <c r="AH242" s="93">
        <f t="shared" si="14"/>
        <v>0</v>
      </c>
      <c r="AI242" s="90"/>
      <c r="AJ242" s="95"/>
      <c r="AK242" s="94">
        <f t="shared" si="15"/>
        <v>0</v>
      </c>
    </row>
    <row r="243" spans="1:37" x14ac:dyDescent="0.2">
      <c r="A243" s="20">
        <f>+'SERVICIO FAENA'!A242</f>
        <v>0</v>
      </c>
      <c r="B243" s="18">
        <f>+'SERVICIO FAENA'!E242</f>
        <v>0</v>
      </c>
      <c r="C243" s="20">
        <f>+'SERVICIO FAENA'!C242</f>
        <v>0</v>
      </c>
      <c r="D243" s="87"/>
      <c r="E243" s="48"/>
      <c r="F243" s="48"/>
      <c r="G243" s="85"/>
      <c r="H243" s="48"/>
      <c r="I243" s="85"/>
      <c r="J243" s="48"/>
      <c r="K243" s="85"/>
      <c r="L243" s="48"/>
      <c r="M243" s="85"/>
      <c r="N243" s="48"/>
      <c r="O243" s="85"/>
      <c r="P243" s="48"/>
      <c r="Q243" s="85"/>
      <c r="R243" s="48"/>
      <c r="S243" s="85"/>
      <c r="T243" s="48"/>
      <c r="U243" s="85"/>
      <c r="V243" s="48"/>
      <c r="W243" s="85"/>
      <c r="X243" s="48"/>
      <c r="Y243" s="85"/>
      <c r="Z243" s="48"/>
      <c r="AA243" s="85"/>
      <c r="AB243" s="48"/>
      <c r="AC243" s="85"/>
      <c r="AD243" s="222"/>
      <c r="AE243" s="223"/>
      <c r="AF243" s="222"/>
      <c r="AG243" s="88">
        <f t="shared" si="13"/>
        <v>0</v>
      </c>
      <c r="AH243" s="93">
        <f t="shared" si="14"/>
        <v>0</v>
      </c>
      <c r="AI243" s="91"/>
      <c r="AJ243" s="96"/>
      <c r="AK243" s="94">
        <f t="shared" si="15"/>
        <v>0</v>
      </c>
    </row>
    <row r="244" spans="1:37" x14ac:dyDescent="0.2">
      <c r="A244" s="20">
        <f>+'SERVICIO FAENA'!A243</f>
        <v>0</v>
      </c>
      <c r="B244" s="18">
        <f>+'SERVICIO FAENA'!E243</f>
        <v>0</v>
      </c>
      <c r="C244" s="20">
        <f>+'SERVICIO FAENA'!C243</f>
        <v>0</v>
      </c>
      <c r="D244" s="87"/>
      <c r="E244" s="48"/>
      <c r="F244" s="48"/>
      <c r="G244" s="85"/>
      <c r="H244" s="48"/>
      <c r="I244" s="85"/>
      <c r="J244" s="48"/>
      <c r="K244" s="85"/>
      <c r="L244" s="48"/>
      <c r="M244" s="85"/>
      <c r="N244" s="48"/>
      <c r="O244" s="85"/>
      <c r="P244" s="48"/>
      <c r="Q244" s="85"/>
      <c r="R244" s="48"/>
      <c r="S244" s="85"/>
      <c r="T244" s="48"/>
      <c r="U244" s="85"/>
      <c r="V244" s="48"/>
      <c r="W244" s="85"/>
      <c r="X244" s="48"/>
      <c r="Y244" s="85"/>
      <c r="Z244" s="48"/>
      <c r="AA244" s="85"/>
      <c r="AB244" s="48"/>
      <c r="AC244" s="85"/>
      <c r="AD244" s="224"/>
      <c r="AE244" s="225"/>
      <c r="AF244" s="222"/>
      <c r="AG244" s="88">
        <f t="shared" si="13"/>
        <v>0</v>
      </c>
      <c r="AH244" s="93">
        <f t="shared" si="14"/>
        <v>0</v>
      </c>
      <c r="AI244" s="90"/>
      <c r="AJ244" s="95"/>
      <c r="AK244" s="94">
        <f t="shared" si="15"/>
        <v>0</v>
      </c>
    </row>
    <row r="245" spans="1:37" x14ac:dyDescent="0.2">
      <c r="A245" s="20">
        <f>+'SERVICIO FAENA'!A244</f>
        <v>0</v>
      </c>
      <c r="B245" s="18">
        <f>+'SERVICIO FAENA'!E244</f>
        <v>0</v>
      </c>
      <c r="C245" s="20">
        <f>+'SERVICIO FAENA'!C244</f>
        <v>0</v>
      </c>
      <c r="D245" s="87"/>
      <c r="E245" s="48"/>
      <c r="F245" s="48"/>
      <c r="G245" s="85"/>
      <c r="H245" s="48"/>
      <c r="I245" s="85"/>
      <c r="J245" s="48"/>
      <c r="K245" s="85"/>
      <c r="L245" s="48"/>
      <c r="M245" s="85"/>
      <c r="N245" s="48"/>
      <c r="O245" s="85"/>
      <c r="P245" s="48"/>
      <c r="Q245" s="85"/>
      <c r="R245" s="48"/>
      <c r="S245" s="85"/>
      <c r="T245" s="48"/>
      <c r="U245" s="85"/>
      <c r="V245" s="48"/>
      <c r="W245" s="85"/>
      <c r="X245" s="48"/>
      <c r="Y245" s="85"/>
      <c r="Z245" s="48"/>
      <c r="AA245" s="85"/>
      <c r="AB245" s="48"/>
      <c r="AC245" s="85"/>
      <c r="AD245" s="224"/>
      <c r="AE245" s="225"/>
      <c r="AF245" s="222"/>
      <c r="AG245" s="88">
        <f t="shared" si="13"/>
        <v>0</v>
      </c>
      <c r="AH245" s="93">
        <f t="shared" si="14"/>
        <v>0</v>
      </c>
      <c r="AI245" s="90"/>
      <c r="AJ245" s="95"/>
      <c r="AK245" s="94">
        <f t="shared" si="15"/>
        <v>0</v>
      </c>
    </row>
    <row r="246" spans="1:37" x14ac:dyDescent="0.2">
      <c r="A246" s="20">
        <f>+'SERVICIO FAENA'!A245</f>
        <v>0</v>
      </c>
      <c r="B246" s="18">
        <f>+'SERVICIO FAENA'!E245</f>
        <v>0</v>
      </c>
      <c r="C246" s="20">
        <f>+'SERVICIO FAENA'!C245</f>
        <v>0</v>
      </c>
      <c r="D246" s="87"/>
      <c r="E246" s="48"/>
      <c r="F246" s="48"/>
      <c r="G246" s="85"/>
      <c r="H246" s="48"/>
      <c r="I246" s="85"/>
      <c r="J246" s="48"/>
      <c r="K246" s="85"/>
      <c r="L246" s="48"/>
      <c r="M246" s="85"/>
      <c r="N246" s="48"/>
      <c r="O246" s="85"/>
      <c r="P246" s="48"/>
      <c r="Q246" s="85"/>
      <c r="R246" s="48"/>
      <c r="S246" s="85"/>
      <c r="T246" s="48"/>
      <c r="U246" s="85"/>
      <c r="V246" s="48"/>
      <c r="W246" s="85"/>
      <c r="X246" s="48"/>
      <c r="Y246" s="85"/>
      <c r="Z246" s="48"/>
      <c r="AA246" s="85"/>
      <c r="AB246" s="48"/>
      <c r="AC246" s="85"/>
      <c r="AD246" s="222"/>
      <c r="AE246" s="223"/>
      <c r="AF246" s="222"/>
      <c r="AG246" s="88">
        <f t="shared" si="13"/>
        <v>0</v>
      </c>
      <c r="AH246" s="93">
        <f t="shared" si="14"/>
        <v>0</v>
      </c>
      <c r="AI246" s="91"/>
      <c r="AJ246" s="96"/>
      <c r="AK246" s="94">
        <f t="shared" si="15"/>
        <v>0</v>
      </c>
    </row>
    <row r="247" spans="1:37" x14ac:dyDescent="0.2">
      <c r="A247" s="20">
        <f>+'SERVICIO FAENA'!A246</f>
        <v>0</v>
      </c>
      <c r="B247" s="18">
        <f>+'SERVICIO FAENA'!E246</f>
        <v>0</v>
      </c>
      <c r="C247" s="20">
        <f>+'SERVICIO FAENA'!C246</f>
        <v>0</v>
      </c>
      <c r="D247" s="87"/>
      <c r="E247" s="48"/>
      <c r="F247" s="48"/>
      <c r="G247" s="85"/>
      <c r="H247" s="48"/>
      <c r="I247" s="85"/>
      <c r="J247" s="48"/>
      <c r="K247" s="85"/>
      <c r="L247" s="48"/>
      <c r="M247" s="85"/>
      <c r="N247" s="48"/>
      <c r="O247" s="85"/>
      <c r="P247" s="48"/>
      <c r="Q247" s="85"/>
      <c r="R247" s="48"/>
      <c r="S247" s="85"/>
      <c r="T247" s="48"/>
      <c r="U247" s="85"/>
      <c r="V247" s="48"/>
      <c r="W247" s="85"/>
      <c r="X247" s="48"/>
      <c r="Y247" s="85"/>
      <c r="Z247" s="48"/>
      <c r="AA247" s="85"/>
      <c r="AB247" s="48"/>
      <c r="AC247" s="85"/>
      <c r="AD247" s="224"/>
      <c r="AE247" s="225"/>
      <c r="AF247" s="222"/>
      <c r="AG247" s="88">
        <f t="shared" si="13"/>
        <v>0</v>
      </c>
      <c r="AH247" s="93">
        <f t="shared" si="14"/>
        <v>0</v>
      </c>
      <c r="AI247" s="90"/>
      <c r="AJ247" s="95"/>
      <c r="AK247" s="94">
        <f t="shared" si="15"/>
        <v>0</v>
      </c>
    </row>
    <row r="248" spans="1:37" x14ac:dyDescent="0.2">
      <c r="A248" s="20">
        <f>+'SERVICIO FAENA'!A247</f>
        <v>0</v>
      </c>
      <c r="B248" s="18">
        <f>+'SERVICIO FAENA'!E247</f>
        <v>0</v>
      </c>
      <c r="C248" s="20">
        <f>+'SERVICIO FAENA'!C247</f>
        <v>0</v>
      </c>
      <c r="D248" s="87"/>
      <c r="E248" s="48"/>
      <c r="F248" s="48"/>
      <c r="G248" s="85"/>
      <c r="H248" s="48"/>
      <c r="I248" s="85"/>
      <c r="J248" s="48"/>
      <c r="K248" s="85"/>
      <c r="L248" s="48"/>
      <c r="M248" s="85"/>
      <c r="N248" s="48"/>
      <c r="O248" s="85"/>
      <c r="P248" s="48"/>
      <c r="Q248" s="85"/>
      <c r="R248" s="48"/>
      <c r="S248" s="85"/>
      <c r="T248" s="48"/>
      <c r="U248" s="85"/>
      <c r="V248" s="48"/>
      <c r="W248" s="85"/>
      <c r="X248" s="48"/>
      <c r="Y248" s="85"/>
      <c r="Z248" s="48"/>
      <c r="AA248" s="85"/>
      <c r="AB248" s="48"/>
      <c r="AC248" s="85"/>
      <c r="AD248" s="224"/>
      <c r="AE248" s="225"/>
      <c r="AF248" s="222"/>
      <c r="AG248" s="88">
        <f t="shared" si="13"/>
        <v>0</v>
      </c>
      <c r="AH248" s="93">
        <f t="shared" si="14"/>
        <v>0</v>
      </c>
      <c r="AI248" s="90"/>
      <c r="AJ248" s="95"/>
      <c r="AK248" s="94">
        <f t="shared" si="15"/>
        <v>0</v>
      </c>
    </row>
    <row r="249" spans="1:37" x14ac:dyDescent="0.2">
      <c r="A249" s="20">
        <f>+'SERVICIO FAENA'!A248</f>
        <v>0</v>
      </c>
      <c r="B249" s="18">
        <f>+'SERVICIO FAENA'!E248</f>
        <v>0</v>
      </c>
      <c r="C249" s="20">
        <f>+'SERVICIO FAENA'!C248</f>
        <v>0</v>
      </c>
      <c r="D249" s="87"/>
      <c r="E249" s="48"/>
      <c r="F249" s="48"/>
      <c r="G249" s="85"/>
      <c r="H249" s="48"/>
      <c r="I249" s="85"/>
      <c r="J249" s="48"/>
      <c r="K249" s="85"/>
      <c r="L249" s="48"/>
      <c r="M249" s="85"/>
      <c r="N249" s="48"/>
      <c r="O249" s="85"/>
      <c r="P249" s="48"/>
      <c r="Q249" s="85"/>
      <c r="R249" s="48"/>
      <c r="S249" s="85"/>
      <c r="T249" s="48"/>
      <c r="U249" s="85"/>
      <c r="V249" s="48"/>
      <c r="W249" s="85"/>
      <c r="X249" s="48"/>
      <c r="Y249" s="85"/>
      <c r="Z249" s="48"/>
      <c r="AA249" s="85"/>
      <c r="AB249" s="48"/>
      <c r="AC249" s="85"/>
      <c r="AD249" s="222"/>
      <c r="AE249" s="223"/>
      <c r="AF249" s="222"/>
      <c r="AG249" s="88">
        <f t="shared" si="13"/>
        <v>0</v>
      </c>
      <c r="AH249" s="93">
        <f t="shared" si="14"/>
        <v>0</v>
      </c>
      <c r="AI249" s="91"/>
      <c r="AJ249" s="96"/>
      <c r="AK249" s="94">
        <f t="shared" si="15"/>
        <v>0</v>
      </c>
    </row>
    <row r="250" spans="1:37" x14ac:dyDescent="0.2">
      <c r="A250" s="20">
        <f>+'SERVICIO FAENA'!A249</f>
        <v>0</v>
      </c>
      <c r="B250" s="18">
        <f>+'SERVICIO FAENA'!E249</f>
        <v>0</v>
      </c>
      <c r="C250" s="20">
        <f>+'SERVICIO FAENA'!C249</f>
        <v>0</v>
      </c>
      <c r="D250" s="87"/>
      <c r="E250" s="48"/>
      <c r="F250" s="48"/>
      <c r="G250" s="85"/>
      <c r="H250" s="48"/>
      <c r="I250" s="85"/>
      <c r="J250" s="48"/>
      <c r="K250" s="85"/>
      <c r="L250" s="48"/>
      <c r="M250" s="85"/>
      <c r="N250" s="48"/>
      <c r="O250" s="85"/>
      <c r="P250" s="48"/>
      <c r="Q250" s="85"/>
      <c r="R250" s="48"/>
      <c r="S250" s="85"/>
      <c r="T250" s="48"/>
      <c r="U250" s="85"/>
      <c r="V250" s="48"/>
      <c r="W250" s="85"/>
      <c r="X250" s="48"/>
      <c r="Y250" s="85"/>
      <c r="Z250" s="48"/>
      <c r="AA250" s="85"/>
      <c r="AB250" s="48"/>
      <c r="AC250" s="85"/>
      <c r="AD250" s="224"/>
      <c r="AE250" s="225"/>
      <c r="AF250" s="222"/>
      <c r="AG250" s="88">
        <f t="shared" si="13"/>
        <v>0</v>
      </c>
      <c r="AH250" s="93">
        <f t="shared" si="14"/>
        <v>0</v>
      </c>
      <c r="AI250" s="90"/>
      <c r="AJ250" s="95"/>
      <c r="AK250" s="94">
        <f t="shared" si="15"/>
        <v>0</v>
      </c>
    </row>
    <row r="251" spans="1:37" x14ac:dyDescent="0.2">
      <c r="A251" s="20">
        <f>+'SERVICIO FAENA'!A250</f>
        <v>0</v>
      </c>
      <c r="B251" s="18">
        <f>+'SERVICIO FAENA'!E250</f>
        <v>0</v>
      </c>
      <c r="C251" s="20">
        <f>+'SERVICIO FAENA'!C250</f>
        <v>0</v>
      </c>
      <c r="D251" s="87"/>
      <c r="E251" s="48"/>
      <c r="F251" s="48"/>
      <c r="G251" s="85"/>
      <c r="H251" s="48"/>
      <c r="I251" s="85"/>
      <c r="J251" s="48"/>
      <c r="K251" s="85"/>
      <c r="L251" s="48"/>
      <c r="M251" s="85"/>
      <c r="N251" s="48"/>
      <c r="O251" s="85"/>
      <c r="P251" s="48"/>
      <c r="Q251" s="85"/>
      <c r="R251" s="48"/>
      <c r="S251" s="85"/>
      <c r="T251" s="48"/>
      <c r="U251" s="85"/>
      <c r="V251" s="48"/>
      <c r="W251" s="85"/>
      <c r="X251" s="48"/>
      <c r="Y251" s="85"/>
      <c r="Z251" s="48"/>
      <c r="AA251" s="85"/>
      <c r="AB251" s="48"/>
      <c r="AC251" s="85"/>
      <c r="AD251" s="224"/>
      <c r="AE251" s="225"/>
      <c r="AF251" s="222"/>
      <c r="AG251" s="88">
        <f t="shared" si="13"/>
        <v>0</v>
      </c>
      <c r="AH251" s="93">
        <f t="shared" si="14"/>
        <v>0</v>
      </c>
      <c r="AI251" s="90"/>
      <c r="AJ251" s="95"/>
      <c r="AK251" s="94">
        <f t="shared" si="15"/>
        <v>0</v>
      </c>
    </row>
    <row r="252" spans="1:37" x14ac:dyDescent="0.2">
      <c r="A252" s="20">
        <f>+'SERVICIO FAENA'!A251</f>
        <v>0</v>
      </c>
      <c r="B252" s="18">
        <f>+'SERVICIO FAENA'!E251</f>
        <v>0</v>
      </c>
      <c r="C252" s="20">
        <f>+'SERVICIO FAENA'!C251</f>
        <v>0</v>
      </c>
      <c r="D252" s="87"/>
      <c r="E252" s="48"/>
      <c r="F252" s="48"/>
      <c r="G252" s="85"/>
      <c r="H252" s="48"/>
      <c r="I252" s="85"/>
      <c r="J252" s="48"/>
      <c r="K252" s="85"/>
      <c r="L252" s="48"/>
      <c r="M252" s="85"/>
      <c r="N252" s="48"/>
      <c r="O252" s="85"/>
      <c r="P252" s="48"/>
      <c r="Q252" s="85"/>
      <c r="R252" s="48"/>
      <c r="S252" s="85"/>
      <c r="T252" s="48"/>
      <c r="U252" s="85"/>
      <c r="V252" s="48"/>
      <c r="W252" s="85"/>
      <c r="X252" s="48"/>
      <c r="Y252" s="85"/>
      <c r="Z252" s="48"/>
      <c r="AA252" s="85"/>
      <c r="AB252" s="48"/>
      <c r="AC252" s="85"/>
      <c r="AD252" s="222"/>
      <c r="AE252" s="223"/>
      <c r="AF252" s="222"/>
      <c r="AG252" s="88">
        <f t="shared" si="13"/>
        <v>0</v>
      </c>
      <c r="AH252" s="93">
        <f t="shared" si="14"/>
        <v>0</v>
      </c>
      <c r="AI252" s="91"/>
      <c r="AJ252" s="96"/>
      <c r="AK252" s="94">
        <f t="shared" si="15"/>
        <v>0</v>
      </c>
    </row>
    <row r="253" spans="1:37" x14ac:dyDescent="0.2">
      <c r="A253" s="20">
        <f>+'SERVICIO FAENA'!A252</f>
        <v>0</v>
      </c>
      <c r="B253" s="18">
        <f>+'SERVICIO FAENA'!E252</f>
        <v>0</v>
      </c>
      <c r="C253" s="20">
        <f>+'SERVICIO FAENA'!C252</f>
        <v>0</v>
      </c>
      <c r="D253" s="87"/>
      <c r="E253" s="48"/>
      <c r="F253" s="48"/>
      <c r="G253" s="85"/>
      <c r="H253" s="48"/>
      <c r="I253" s="85"/>
      <c r="J253" s="48"/>
      <c r="K253" s="85"/>
      <c r="L253" s="48"/>
      <c r="M253" s="85"/>
      <c r="N253" s="48"/>
      <c r="O253" s="85"/>
      <c r="P253" s="48"/>
      <c r="Q253" s="85"/>
      <c r="R253" s="48"/>
      <c r="S253" s="85"/>
      <c r="T253" s="48"/>
      <c r="U253" s="85"/>
      <c r="V253" s="48"/>
      <c r="W253" s="85"/>
      <c r="X253" s="48"/>
      <c r="Y253" s="85"/>
      <c r="Z253" s="48"/>
      <c r="AA253" s="85"/>
      <c r="AB253" s="48"/>
      <c r="AC253" s="85"/>
      <c r="AD253" s="224"/>
      <c r="AE253" s="225"/>
      <c r="AF253" s="222"/>
      <c r="AG253" s="88">
        <f t="shared" si="13"/>
        <v>0</v>
      </c>
      <c r="AH253" s="93">
        <f t="shared" si="14"/>
        <v>0</v>
      </c>
      <c r="AI253" s="90"/>
      <c r="AJ253" s="95"/>
      <c r="AK253" s="94">
        <f t="shared" si="15"/>
        <v>0</v>
      </c>
    </row>
    <row r="254" spans="1:37" x14ac:dyDescent="0.2">
      <c r="A254" s="20">
        <f>+'SERVICIO FAENA'!A253</f>
        <v>0</v>
      </c>
      <c r="B254" s="18">
        <f>+'SERVICIO FAENA'!E253</f>
        <v>0</v>
      </c>
      <c r="C254" s="20">
        <f>+'SERVICIO FAENA'!C253</f>
        <v>0</v>
      </c>
      <c r="D254" s="87"/>
      <c r="E254" s="48"/>
      <c r="F254" s="48"/>
      <c r="G254" s="85"/>
      <c r="H254" s="48"/>
      <c r="I254" s="85"/>
      <c r="J254" s="48"/>
      <c r="K254" s="85"/>
      <c r="L254" s="48"/>
      <c r="M254" s="85"/>
      <c r="N254" s="48"/>
      <c r="O254" s="85"/>
      <c r="P254" s="48"/>
      <c r="Q254" s="85"/>
      <c r="R254" s="48"/>
      <c r="S254" s="85"/>
      <c r="T254" s="48"/>
      <c r="U254" s="85"/>
      <c r="V254" s="48"/>
      <c r="W254" s="85"/>
      <c r="X254" s="48"/>
      <c r="Y254" s="85"/>
      <c r="Z254" s="48"/>
      <c r="AA254" s="85"/>
      <c r="AB254" s="48"/>
      <c r="AC254" s="85"/>
      <c r="AD254" s="224"/>
      <c r="AE254" s="225"/>
      <c r="AF254" s="222"/>
      <c r="AG254" s="88">
        <f t="shared" si="13"/>
        <v>0</v>
      </c>
      <c r="AH254" s="93">
        <f t="shared" si="14"/>
        <v>0</v>
      </c>
      <c r="AI254" s="90"/>
      <c r="AJ254" s="95"/>
      <c r="AK254" s="94">
        <f t="shared" si="15"/>
        <v>0</v>
      </c>
    </row>
    <row r="255" spans="1:37" x14ac:dyDescent="0.2">
      <c r="A255" s="20">
        <f>+'SERVICIO FAENA'!A254</f>
        <v>0</v>
      </c>
      <c r="B255" s="18">
        <f>+'SERVICIO FAENA'!E254</f>
        <v>0</v>
      </c>
      <c r="C255" s="20">
        <f>+'SERVICIO FAENA'!C254</f>
        <v>0</v>
      </c>
      <c r="D255" s="87"/>
      <c r="E255" s="48"/>
      <c r="F255" s="48"/>
      <c r="G255" s="85"/>
      <c r="H255" s="48"/>
      <c r="I255" s="85"/>
      <c r="J255" s="48"/>
      <c r="K255" s="85"/>
      <c r="L255" s="48"/>
      <c r="M255" s="85"/>
      <c r="N255" s="48"/>
      <c r="O255" s="85"/>
      <c r="P255" s="48"/>
      <c r="Q255" s="85"/>
      <c r="R255" s="48"/>
      <c r="S255" s="85"/>
      <c r="T255" s="48"/>
      <c r="U255" s="85"/>
      <c r="V255" s="48"/>
      <c r="W255" s="85"/>
      <c r="X255" s="48"/>
      <c r="Y255" s="85"/>
      <c r="Z255" s="48"/>
      <c r="AA255" s="85"/>
      <c r="AB255" s="48"/>
      <c r="AC255" s="85"/>
      <c r="AD255" s="222"/>
      <c r="AE255" s="223"/>
      <c r="AF255" s="222"/>
      <c r="AG255" s="88">
        <f t="shared" si="13"/>
        <v>0</v>
      </c>
      <c r="AH255" s="93">
        <f t="shared" si="14"/>
        <v>0</v>
      </c>
      <c r="AI255" s="91"/>
      <c r="AJ255" s="96"/>
      <c r="AK255" s="94">
        <f t="shared" si="15"/>
        <v>0</v>
      </c>
    </row>
    <row r="256" spans="1:37" x14ac:dyDescent="0.2">
      <c r="A256" s="20">
        <f>+'SERVICIO FAENA'!A255</f>
        <v>0</v>
      </c>
      <c r="B256" s="18">
        <f>+'SERVICIO FAENA'!E255</f>
        <v>0</v>
      </c>
      <c r="C256" s="20">
        <f>+'SERVICIO FAENA'!C255</f>
        <v>0</v>
      </c>
      <c r="D256" s="87"/>
      <c r="E256" s="48"/>
      <c r="F256" s="48"/>
      <c r="G256" s="85"/>
      <c r="H256" s="48"/>
      <c r="I256" s="85"/>
      <c r="J256" s="48"/>
      <c r="K256" s="85"/>
      <c r="L256" s="48"/>
      <c r="M256" s="85"/>
      <c r="N256" s="48"/>
      <c r="O256" s="85"/>
      <c r="P256" s="48"/>
      <c r="Q256" s="85"/>
      <c r="R256" s="48"/>
      <c r="S256" s="85"/>
      <c r="T256" s="48"/>
      <c r="U256" s="85"/>
      <c r="V256" s="48"/>
      <c r="W256" s="85"/>
      <c r="X256" s="48"/>
      <c r="Y256" s="85"/>
      <c r="Z256" s="48"/>
      <c r="AA256" s="85"/>
      <c r="AB256" s="48"/>
      <c r="AC256" s="85"/>
      <c r="AD256" s="224"/>
      <c r="AE256" s="225"/>
      <c r="AF256" s="222"/>
      <c r="AG256" s="88">
        <f t="shared" si="13"/>
        <v>0</v>
      </c>
      <c r="AH256" s="93">
        <f t="shared" si="14"/>
        <v>0</v>
      </c>
      <c r="AI256" s="90"/>
      <c r="AJ256" s="95"/>
      <c r="AK256" s="94">
        <f t="shared" si="15"/>
        <v>0</v>
      </c>
    </row>
    <row r="257" spans="1:37" x14ac:dyDescent="0.2">
      <c r="A257" s="20">
        <f>+'SERVICIO FAENA'!A256</f>
        <v>0</v>
      </c>
      <c r="B257" s="18">
        <f>+'SERVICIO FAENA'!E256</f>
        <v>0</v>
      </c>
      <c r="C257" s="20">
        <f>+'SERVICIO FAENA'!C256</f>
        <v>0</v>
      </c>
      <c r="D257" s="87"/>
      <c r="E257" s="48"/>
      <c r="F257" s="48"/>
      <c r="G257" s="85"/>
      <c r="H257" s="48"/>
      <c r="I257" s="85"/>
      <c r="J257" s="48"/>
      <c r="K257" s="85"/>
      <c r="L257" s="48"/>
      <c r="M257" s="85"/>
      <c r="N257" s="48"/>
      <c r="O257" s="85"/>
      <c r="P257" s="48"/>
      <c r="Q257" s="85"/>
      <c r="R257" s="48"/>
      <c r="S257" s="85"/>
      <c r="T257" s="48"/>
      <c r="U257" s="85"/>
      <c r="V257" s="48"/>
      <c r="W257" s="85"/>
      <c r="X257" s="48"/>
      <c r="Y257" s="85"/>
      <c r="Z257" s="48"/>
      <c r="AA257" s="85"/>
      <c r="AB257" s="48"/>
      <c r="AC257" s="85"/>
      <c r="AD257" s="224"/>
      <c r="AE257" s="225"/>
      <c r="AF257" s="222"/>
      <c r="AG257" s="88">
        <f t="shared" si="13"/>
        <v>0</v>
      </c>
      <c r="AH257" s="93">
        <f t="shared" si="14"/>
        <v>0</v>
      </c>
      <c r="AI257" s="90"/>
      <c r="AJ257" s="95"/>
      <c r="AK257" s="94">
        <f t="shared" si="15"/>
        <v>0</v>
      </c>
    </row>
    <row r="258" spans="1:37" x14ac:dyDescent="0.2">
      <c r="A258" s="20">
        <f>+'SERVICIO FAENA'!A257</f>
        <v>0</v>
      </c>
      <c r="B258" s="18">
        <f>+'SERVICIO FAENA'!E257</f>
        <v>0</v>
      </c>
      <c r="C258" s="20">
        <f>+'SERVICIO FAENA'!C257</f>
        <v>0</v>
      </c>
      <c r="D258" s="87"/>
      <c r="E258" s="48"/>
      <c r="F258" s="48"/>
      <c r="G258" s="85"/>
      <c r="H258" s="48"/>
      <c r="I258" s="85"/>
      <c r="J258" s="48"/>
      <c r="K258" s="85"/>
      <c r="L258" s="48"/>
      <c r="M258" s="85"/>
      <c r="N258" s="48"/>
      <c r="O258" s="85"/>
      <c r="P258" s="48"/>
      <c r="Q258" s="85"/>
      <c r="R258" s="48"/>
      <c r="S258" s="85"/>
      <c r="T258" s="48"/>
      <c r="U258" s="85"/>
      <c r="V258" s="48"/>
      <c r="W258" s="85"/>
      <c r="X258" s="48"/>
      <c r="Y258" s="85"/>
      <c r="Z258" s="48"/>
      <c r="AA258" s="85"/>
      <c r="AB258" s="48"/>
      <c r="AC258" s="85"/>
      <c r="AD258" s="222"/>
      <c r="AE258" s="223"/>
      <c r="AF258" s="222"/>
      <c r="AG258" s="88">
        <f t="shared" si="13"/>
        <v>0</v>
      </c>
      <c r="AH258" s="93">
        <f t="shared" si="14"/>
        <v>0</v>
      </c>
      <c r="AI258" s="91"/>
      <c r="AJ258" s="96"/>
      <c r="AK258" s="94">
        <f t="shared" si="15"/>
        <v>0</v>
      </c>
    </row>
    <row r="259" spans="1:37" x14ac:dyDescent="0.2">
      <c r="A259" s="20">
        <f>+'SERVICIO FAENA'!A258</f>
        <v>0</v>
      </c>
      <c r="B259" s="18">
        <f>+'SERVICIO FAENA'!E258</f>
        <v>0</v>
      </c>
      <c r="C259" s="20">
        <f>+'SERVICIO FAENA'!C258</f>
        <v>0</v>
      </c>
      <c r="D259" s="87"/>
      <c r="E259" s="48"/>
      <c r="F259" s="48"/>
      <c r="G259" s="85"/>
      <c r="H259" s="48"/>
      <c r="I259" s="85"/>
      <c r="J259" s="48"/>
      <c r="K259" s="85"/>
      <c r="L259" s="48"/>
      <c r="M259" s="85"/>
      <c r="N259" s="48"/>
      <c r="O259" s="85"/>
      <c r="P259" s="48"/>
      <c r="Q259" s="85"/>
      <c r="R259" s="48"/>
      <c r="S259" s="85"/>
      <c r="T259" s="48"/>
      <c r="U259" s="85"/>
      <c r="V259" s="48"/>
      <c r="W259" s="85"/>
      <c r="X259" s="48"/>
      <c r="Y259" s="85"/>
      <c r="Z259" s="48"/>
      <c r="AA259" s="85"/>
      <c r="AB259" s="48"/>
      <c r="AC259" s="85"/>
      <c r="AD259" s="224"/>
      <c r="AE259" s="225"/>
      <c r="AF259" s="222"/>
      <c r="AG259" s="88">
        <f t="shared" si="13"/>
        <v>0</v>
      </c>
      <c r="AH259" s="93">
        <f t="shared" si="14"/>
        <v>0</v>
      </c>
      <c r="AI259" s="90"/>
      <c r="AJ259" s="95"/>
      <c r="AK259" s="94">
        <f t="shared" si="15"/>
        <v>0</v>
      </c>
    </row>
    <row r="260" spans="1:37" x14ac:dyDescent="0.2">
      <c r="A260" s="20">
        <f>+'SERVICIO FAENA'!A259</f>
        <v>0</v>
      </c>
      <c r="B260" s="18">
        <f>+'SERVICIO FAENA'!E259</f>
        <v>0</v>
      </c>
      <c r="C260" s="20">
        <f>+'SERVICIO FAENA'!C259</f>
        <v>0</v>
      </c>
      <c r="D260" s="87"/>
      <c r="E260" s="48"/>
      <c r="F260" s="48"/>
      <c r="G260" s="85"/>
      <c r="H260" s="48"/>
      <c r="I260" s="85"/>
      <c r="J260" s="48"/>
      <c r="K260" s="85"/>
      <c r="L260" s="48"/>
      <c r="M260" s="85"/>
      <c r="N260" s="48"/>
      <c r="O260" s="85"/>
      <c r="P260" s="48"/>
      <c r="Q260" s="85"/>
      <c r="R260" s="48"/>
      <c r="S260" s="85"/>
      <c r="T260" s="48"/>
      <c r="U260" s="85"/>
      <c r="V260" s="48"/>
      <c r="W260" s="85"/>
      <c r="X260" s="48"/>
      <c r="Y260" s="85"/>
      <c r="Z260" s="48"/>
      <c r="AA260" s="85"/>
      <c r="AB260" s="48"/>
      <c r="AC260" s="85"/>
      <c r="AD260" s="224"/>
      <c r="AE260" s="225"/>
      <c r="AF260" s="222"/>
      <c r="AG260" s="88">
        <f t="shared" si="13"/>
        <v>0</v>
      </c>
      <c r="AH260" s="93">
        <f t="shared" si="14"/>
        <v>0</v>
      </c>
      <c r="AI260" s="90"/>
      <c r="AJ260" s="95"/>
      <c r="AK260" s="94">
        <f t="shared" si="15"/>
        <v>0</v>
      </c>
    </row>
    <row r="261" spans="1:37" x14ac:dyDescent="0.2">
      <c r="A261" s="20">
        <f>+'SERVICIO FAENA'!A260</f>
        <v>0</v>
      </c>
      <c r="B261" s="18">
        <f>+'SERVICIO FAENA'!E260</f>
        <v>0</v>
      </c>
      <c r="C261" s="20">
        <f>+'SERVICIO FAENA'!C260</f>
        <v>0</v>
      </c>
      <c r="D261" s="87"/>
      <c r="E261" s="48"/>
      <c r="F261" s="48"/>
      <c r="G261" s="85"/>
      <c r="H261" s="48"/>
      <c r="I261" s="85"/>
      <c r="J261" s="48"/>
      <c r="K261" s="85"/>
      <c r="L261" s="48"/>
      <c r="M261" s="85"/>
      <c r="N261" s="48"/>
      <c r="O261" s="85"/>
      <c r="P261" s="48"/>
      <c r="Q261" s="85"/>
      <c r="R261" s="48"/>
      <c r="S261" s="85"/>
      <c r="T261" s="48"/>
      <c r="U261" s="85"/>
      <c r="V261" s="48"/>
      <c r="W261" s="85"/>
      <c r="X261" s="48"/>
      <c r="Y261" s="85"/>
      <c r="Z261" s="48"/>
      <c r="AA261" s="85"/>
      <c r="AB261" s="48"/>
      <c r="AC261" s="85"/>
      <c r="AD261" s="222"/>
      <c r="AE261" s="223"/>
      <c r="AF261" s="222"/>
      <c r="AG261" s="88">
        <f t="shared" si="13"/>
        <v>0</v>
      </c>
      <c r="AH261" s="93">
        <f t="shared" si="14"/>
        <v>0</v>
      </c>
      <c r="AI261" s="91"/>
      <c r="AJ261" s="96"/>
      <c r="AK261" s="94">
        <f t="shared" si="15"/>
        <v>0</v>
      </c>
    </row>
    <row r="262" spans="1:37" x14ac:dyDescent="0.2">
      <c r="A262" s="20">
        <f>+'SERVICIO FAENA'!A261</f>
        <v>0</v>
      </c>
      <c r="B262" s="18">
        <f>+'SERVICIO FAENA'!E261</f>
        <v>0</v>
      </c>
      <c r="C262" s="20">
        <f>+'SERVICIO FAENA'!C261</f>
        <v>0</v>
      </c>
      <c r="D262" s="87"/>
      <c r="E262" s="48"/>
      <c r="F262" s="48"/>
      <c r="G262" s="85"/>
      <c r="H262" s="48"/>
      <c r="I262" s="85"/>
      <c r="J262" s="48"/>
      <c r="K262" s="85"/>
      <c r="L262" s="48"/>
      <c r="M262" s="85"/>
      <c r="N262" s="48"/>
      <c r="O262" s="85"/>
      <c r="P262" s="48"/>
      <c r="Q262" s="85"/>
      <c r="R262" s="48"/>
      <c r="S262" s="85"/>
      <c r="T262" s="48"/>
      <c r="U262" s="85"/>
      <c r="V262" s="48"/>
      <c r="W262" s="85"/>
      <c r="X262" s="48"/>
      <c r="Y262" s="85"/>
      <c r="Z262" s="48"/>
      <c r="AA262" s="85"/>
      <c r="AB262" s="48"/>
      <c r="AC262" s="85"/>
      <c r="AD262" s="224"/>
      <c r="AE262" s="225"/>
      <c r="AF262" s="222"/>
      <c r="AG262" s="88">
        <f t="shared" si="13"/>
        <v>0</v>
      </c>
      <c r="AH262" s="93">
        <f t="shared" si="14"/>
        <v>0</v>
      </c>
      <c r="AI262" s="90"/>
      <c r="AJ262" s="95"/>
      <c r="AK262" s="94">
        <f t="shared" si="15"/>
        <v>0</v>
      </c>
    </row>
    <row r="263" spans="1:37" x14ac:dyDescent="0.2">
      <c r="A263" s="20">
        <f>+'SERVICIO FAENA'!A262</f>
        <v>0</v>
      </c>
      <c r="B263" s="18">
        <f>+'SERVICIO FAENA'!E262</f>
        <v>0</v>
      </c>
      <c r="C263" s="20">
        <f>+'SERVICIO FAENA'!C262</f>
        <v>0</v>
      </c>
      <c r="D263" s="87"/>
      <c r="E263" s="48"/>
      <c r="F263" s="48"/>
      <c r="G263" s="85"/>
      <c r="H263" s="48"/>
      <c r="I263" s="85"/>
      <c r="J263" s="48"/>
      <c r="K263" s="85"/>
      <c r="L263" s="48"/>
      <c r="M263" s="85"/>
      <c r="N263" s="48"/>
      <c r="O263" s="85"/>
      <c r="P263" s="48"/>
      <c r="Q263" s="85"/>
      <c r="R263" s="48"/>
      <c r="S263" s="85"/>
      <c r="T263" s="48"/>
      <c r="U263" s="85"/>
      <c r="V263" s="48"/>
      <c r="W263" s="85"/>
      <c r="X263" s="48"/>
      <c r="Y263" s="85"/>
      <c r="Z263" s="48"/>
      <c r="AA263" s="85"/>
      <c r="AB263" s="48"/>
      <c r="AC263" s="85"/>
      <c r="AD263" s="224"/>
      <c r="AE263" s="225"/>
      <c r="AF263" s="222"/>
      <c r="AG263" s="88">
        <f t="shared" si="13"/>
        <v>0</v>
      </c>
      <c r="AH263" s="93">
        <f t="shared" si="14"/>
        <v>0</v>
      </c>
      <c r="AI263" s="90"/>
      <c r="AJ263" s="95"/>
      <c r="AK263" s="94">
        <f t="shared" si="15"/>
        <v>0</v>
      </c>
    </row>
    <row r="264" spans="1:37" x14ac:dyDescent="0.2">
      <c r="A264" s="20">
        <f>+'SERVICIO FAENA'!A263</f>
        <v>0</v>
      </c>
      <c r="B264" s="18">
        <f>+'SERVICIO FAENA'!E263</f>
        <v>0</v>
      </c>
      <c r="C264" s="20">
        <f>+'SERVICIO FAENA'!C263</f>
        <v>0</v>
      </c>
      <c r="D264" s="87"/>
      <c r="E264" s="48"/>
      <c r="F264" s="48"/>
      <c r="G264" s="85"/>
      <c r="H264" s="48"/>
      <c r="I264" s="85"/>
      <c r="J264" s="48"/>
      <c r="K264" s="85"/>
      <c r="L264" s="48"/>
      <c r="M264" s="85"/>
      <c r="N264" s="48"/>
      <c r="O264" s="85"/>
      <c r="P264" s="48"/>
      <c r="Q264" s="85"/>
      <c r="R264" s="48"/>
      <c r="S264" s="85"/>
      <c r="T264" s="48"/>
      <c r="U264" s="85"/>
      <c r="V264" s="48"/>
      <c r="W264" s="85"/>
      <c r="X264" s="48"/>
      <c r="Y264" s="85"/>
      <c r="Z264" s="48"/>
      <c r="AA264" s="85"/>
      <c r="AB264" s="48"/>
      <c r="AC264" s="85"/>
      <c r="AD264" s="222"/>
      <c r="AE264" s="223"/>
      <c r="AF264" s="222"/>
      <c r="AG264" s="88">
        <f t="shared" si="13"/>
        <v>0</v>
      </c>
      <c r="AH264" s="93">
        <f t="shared" si="14"/>
        <v>0</v>
      </c>
      <c r="AI264" s="91"/>
      <c r="AJ264" s="96"/>
      <c r="AK264" s="94">
        <f t="shared" si="15"/>
        <v>0</v>
      </c>
    </row>
    <row r="265" spans="1:37" x14ac:dyDescent="0.2">
      <c r="A265" s="20">
        <f>+'SERVICIO FAENA'!A264</f>
        <v>0</v>
      </c>
      <c r="B265" s="18">
        <f>+'SERVICIO FAENA'!E264</f>
        <v>0</v>
      </c>
      <c r="C265" s="20">
        <f>+'SERVICIO FAENA'!C264</f>
        <v>0</v>
      </c>
      <c r="D265" s="87"/>
      <c r="E265" s="48"/>
      <c r="F265" s="48"/>
      <c r="G265" s="85"/>
      <c r="H265" s="48"/>
      <c r="I265" s="85"/>
      <c r="J265" s="48"/>
      <c r="K265" s="85"/>
      <c r="L265" s="48"/>
      <c r="M265" s="85"/>
      <c r="N265" s="48"/>
      <c r="O265" s="85"/>
      <c r="P265" s="48"/>
      <c r="Q265" s="85"/>
      <c r="R265" s="48"/>
      <c r="S265" s="85"/>
      <c r="T265" s="48"/>
      <c r="U265" s="85"/>
      <c r="V265" s="48"/>
      <c r="W265" s="85"/>
      <c r="X265" s="48"/>
      <c r="Y265" s="85"/>
      <c r="Z265" s="48"/>
      <c r="AA265" s="85"/>
      <c r="AB265" s="48"/>
      <c r="AC265" s="85"/>
      <c r="AD265" s="224"/>
      <c r="AE265" s="225"/>
      <c r="AF265" s="222"/>
      <c r="AG265" s="88">
        <f t="shared" si="13"/>
        <v>0</v>
      </c>
      <c r="AH265" s="93">
        <f t="shared" si="14"/>
        <v>0</v>
      </c>
      <c r="AI265" s="90"/>
      <c r="AJ265" s="95"/>
      <c r="AK265" s="94">
        <f t="shared" si="15"/>
        <v>0</v>
      </c>
    </row>
    <row r="266" spans="1:37" x14ac:dyDescent="0.2">
      <c r="A266" s="20">
        <f>+'SERVICIO FAENA'!A265</f>
        <v>0</v>
      </c>
      <c r="B266" s="18">
        <f>+'SERVICIO FAENA'!E265</f>
        <v>0</v>
      </c>
      <c r="C266" s="20">
        <f>+'SERVICIO FAENA'!C265</f>
        <v>0</v>
      </c>
      <c r="D266" s="87"/>
      <c r="E266" s="48"/>
      <c r="F266" s="48"/>
      <c r="G266" s="85"/>
      <c r="H266" s="48"/>
      <c r="I266" s="85"/>
      <c r="J266" s="48"/>
      <c r="K266" s="85"/>
      <c r="L266" s="48"/>
      <c r="M266" s="85"/>
      <c r="N266" s="48"/>
      <c r="O266" s="85"/>
      <c r="P266" s="48"/>
      <c r="Q266" s="85"/>
      <c r="R266" s="48"/>
      <c r="S266" s="85"/>
      <c r="T266" s="48"/>
      <c r="U266" s="85"/>
      <c r="V266" s="48"/>
      <c r="W266" s="85"/>
      <c r="X266" s="48"/>
      <c r="Y266" s="85"/>
      <c r="Z266" s="48"/>
      <c r="AA266" s="85"/>
      <c r="AB266" s="48"/>
      <c r="AC266" s="85"/>
      <c r="AD266" s="224"/>
      <c r="AE266" s="225"/>
      <c r="AF266" s="222"/>
      <c r="AG266" s="88">
        <f t="shared" si="13"/>
        <v>0</v>
      </c>
      <c r="AH266" s="93">
        <f t="shared" si="14"/>
        <v>0</v>
      </c>
      <c r="AI266" s="90"/>
      <c r="AJ266" s="95"/>
      <c r="AK266" s="94">
        <f t="shared" si="15"/>
        <v>0</v>
      </c>
    </row>
    <row r="267" spans="1:37" x14ac:dyDescent="0.2">
      <c r="A267" s="20">
        <f>+'SERVICIO FAENA'!A266</f>
        <v>0</v>
      </c>
      <c r="B267" s="18">
        <f>+'SERVICIO FAENA'!E266</f>
        <v>0</v>
      </c>
      <c r="C267" s="20">
        <f>+'SERVICIO FAENA'!C266</f>
        <v>0</v>
      </c>
      <c r="D267" s="87"/>
      <c r="E267" s="48"/>
      <c r="F267" s="48"/>
      <c r="G267" s="85"/>
      <c r="H267" s="48"/>
      <c r="I267" s="85"/>
      <c r="J267" s="48"/>
      <c r="K267" s="85"/>
      <c r="L267" s="48"/>
      <c r="M267" s="85"/>
      <c r="N267" s="48"/>
      <c r="O267" s="85"/>
      <c r="P267" s="48"/>
      <c r="Q267" s="85"/>
      <c r="R267" s="48"/>
      <c r="S267" s="85"/>
      <c r="T267" s="48"/>
      <c r="U267" s="85"/>
      <c r="V267" s="48"/>
      <c r="W267" s="85"/>
      <c r="X267" s="48"/>
      <c r="Y267" s="85"/>
      <c r="Z267" s="48"/>
      <c r="AA267" s="85"/>
      <c r="AB267" s="48"/>
      <c r="AC267" s="85"/>
      <c r="AD267" s="222"/>
      <c r="AE267" s="223"/>
      <c r="AF267" s="222"/>
      <c r="AG267" s="88">
        <f t="shared" si="13"/>
        <v>0</v>
      </c>
      <c r="AH267" s="93">
        <f t="shared" si="14"/>
        <v>0</v>
      </c>
      <c r="AI267" s="91"/>
      <c r="AJ267" s="96"/>
      <c r="AK267" s="94">
        <f t="shared" si="15"/>
        <v>0</v>
      </c>
    </row>
    <row r="268" spans="1:37" x14ac:dyDescent="0.2">
      <c r="A268" s="20">
        <f>+'SERVICIO FAENA'!A267</f>
        <v>0</v>
      </c>
      <c r="B268" s="18">
        <f>+'SERVICIO FAENA'!E267</f>
        <v>0</v>
      </c>
      <c r="C268" s="20">
        <f>+'SERVICIO FAENA'!C267</f>
        <v>0</v>
      </c>
      <c r="D268" s="87"/>
      <c r="E268" s="48"/>
      <c r="F268" s="48"/>
      <c r="G268" s="85"/>
      <c r="H268" s="48"/>
      <c r="I268" s="85"/>
      <c r="J268" s="48"/>
      <c r="K268" s="85"/>
      <c r="L268" s="48"/>
      <c r="M268" s="85"/>
      <c r="N268" s="48"/>
      <c r="O268" s="85"/>
      <c r="P268" s="48"/>
      <c r="Q268" s="85"/>
      <c r="R268" s="48"/>
      <c r="S268" s="85"/>
      <c r="T268" s="48"/>
      <c r="U268" s="85"/>
      <c r="V268" s="48"/>
      <c r="W268" s="85"/>
      <c r="X268" s="48"/>
      <c r="Y268" s="85"/>
      <c r="Z268" s="48"/>
      <c r="AA268" s="85"/>
      <c r="AB268" s="48"/>
      <c r="AC268" s="85"/>
      <c r="AD268" s="224"/>
      <c r="AE268" s="225"/>
      <c r="AF268" s="222"/>
      <c r="AG268" s="88">
        <f t="shared" si="13"/>
        <v>0</v>
      </c>
      <c r="AH268" s="93">
        <f t="shared" si="14"/>
        <v>0</v>
      </c>
      <c r="AI268" s="90"/>
      <c r="AJ268" s="95"/>
      <c r="AK268" s="94">
        <f t="shared" si="15"/>
        <v>0</v>
      </c>
    </row>
    <row r="269" spans="1:37" x14ac:dyDescent="0.2">
      <c r="A269" s="20">
        <f>+'SERVICIO FAENA'!A268</f>
        <v>0</v>
      </c>
      <c r="B269" s="18">
        <f>+'SERVICIO FAENA'!E268</f>
        <v>0</v>
      </c>
      <c r="C269" s="20">
        <f>+'SERVICIO FAENA'!C268</f>
        <v>0</v>
      </c>
      <c r="D269" s="87"/>
      <c r="E269" s="48"/>
      <c r="F269" s="48"/>
      <c r="G269" s="85"/>
      <c r="H269" s="48"/>
      <c r="I269" s="85"/>
      <c r="J269" s="48"/>
      <c r="K269" s="85"/>
      <c r="L269" s="48"/>
      <c r="M269" s="85"/>
      <c r="N269" s="48"/>
      <c r="O269" s="85"/>
      <c r="P269" s="48"/>
      <c r="Q269" s="85"/>
      <c r="R269" s="48"/>
      <c r="S269" s="85"/>
      <c r="T269" s="48"/>
      <c r="U269" s="85"/>
      <c r="V269" s="48"/>
      <c r="W269" s="85"/>
      <c r="X269" s="48"/>
      <c r="Y269" s="85"/>
      <c r="Z269" s="48"/>
      <c r="AA269" s="85"/>
      <c r="AB269" s="48"/>
      <c r="AC269" s="85"/>
      <c r="AD269" s="224"/>
      <c r="AE269" s="225"/>
      <c r="AF269" s="222"/>
      <c r="AG269" s="88">
        <f t="shared" si="13"/>
        <v>0</v>
      </c>
      <c r="AH269" s="93">
        <f t="shared" si="14"/>
        <v>0</v>
      </c>
      <c r="AI269" s="90"/>
      <c r="AJ269" s="95"/>
      <c r="AK269" s="94">
        <f t="shared" si="15"/>
        <v>0</v>
      </c>
    </row>
    <row r="270" spans="1:37" x14ac:dyDescent="0.2">
      <c r="A270" s="20">
        <f>+'SERVICIO FAENA'!A269</f>
        <v>0</v>
      </c>
      <c r="B270" s="18">
        <f>+'SERVICIO FAENA'!E269</f>
        <v>0</v>
      </c>
      <c r="C270" s="20">
        <f>+'SERVICIO FAENA'!C269</f>
        <v>0</v>
      </c>
      <c r="D270" s="87"/>
      <c r="E270" s="48"/>
      <c r="F270" s="48"/>
      <c r="G270" s="85"/>
      <c r="H270" s="48"/>
      <c r="I270" s="85"/>
      <c r="J270" s="48"/>
      <c r="K270" s="85"/>
      <c r="L270" s="48"/>
      <c r="M270" s="85"/>
      <c r="N270" s="48"/>
      <c r="O270" s="85"/>
      <c r="P270" s="48"/>
      <c r="Q270" s="85"/>
      <c r="R270" s="48"/>
      <c r="S270" s="85"/>
      <c r="T270" s="48"/>
      <c r="U270" s="85"/>
      <c r="V270" s="48"/>
      <c r="W270" s="85"/>
      <c r="X270" s="48"/>
      <c r="Y270" s="85"/>
      <c r="Z270" s="48"/>
      <c r="AA270" s="85"/>
      <c r="AB270" s="48"/>
      <c r="AC270" s="85"/>
      <c r="AD270" s="222"/>
      <c r="AE270" s="223"/>
      <c r="AF270" s="222"/>
      <c r="AG270" s="88">
        <f t="shared" si="13"/>
        <v>0</v>
      </c>
      <c r="AH270" s="93">
        <f t="shared" si="14"/>
        <v>0</v>
      </c>
      <c r="AI270" s="91"/>
      <c r="AJ270" s="96"/>
      <c r="AK270" s="94">
        <f t="shared" si="15"/>
        <v>0</v>
      </c>
    </row>
    <row r="271" spans="1:37" x14ac:dyDescent="0.2">
      <c r="A271" s="20">
        <f>+'SERVICIO FAENA'!A270</f>
        <v>0</v>
      </c>
      <c r="B271" s="18">
        <f>+'SERVICIO FAENA'!E270</f>
        <v>0</v>
      </c>
      <c r="C271" s="20">
        <f>+'SERVICIO FAENA'!C270</f>
        <v>0</v>
      </c>
      <c r="D271" s="87"/>
      <c r="E271" s="48"/>
      <c r="F271" s="48"/>
      <c r="G271" s="85"/>
      <c r="H271" s="48"/>
      <c r="I271" s="85"/>
      <c r="J271" s="48"/>
      <c r="K271" s="85"/>
      <c r="L271" s="48"/>
      <c r="M271" s="85"/>
      <c r="N271" s="48"/>
      <c r="O271" s="85"/>
      <c r="P271" s="48"/>
      <c r="Q271" s="85"/>
      <c r="R271" s="48"/>
      <c r="S271" s="85"/>
      <c r="T271" s="48"/>
      <c r="U271" s="85"/>
      <c r="V271" s="48"/>
      <c r="W271" s="85"/>
      <c r="X271" s="48"/>
      <c r="Y271" s="85"/>
      <c r="Z271" s="48"/>
      <c r="AA271" s="85"/>
      <c r="AB271" s="48"/>
      <c r="AC271" s="85"/>
      <c r="AD271" s="224"/>
      <c r="AE271" s="225"/>
      <c r="AF271" s="222"/>
      <c r="AG271" s="88">
        <f t="shared" si="13"/>
        <v>0</v>
      </c>
      <c r="AH271" s="93">
        <f t="shared" si="14"/>
        <v>0</v>
      </c>
      <c r="AI271" s="90"/>
      <c r="AJ271" s="95"/>
      <c r="AK271" s="94">
        <f t="shared" si="15"/>
        <v>0</v>
      </c>
    </row>
    <row r="272" spans="1:37" x14ac:dyDescent="0.2">
      <c r="A272" s="20">
        <f>+'SERVICIO FAENA'!A271</f>
        <v>0</v>
      </c>
      <c r="B272" s="18">
        <f>+'SERVICIO FAENA'!E271</f>
        <v>0</v>
      </c>
      <c r="C272" s="20">
        <f>+'SERVICIO FAENA'!C271</f>
        <v>0</v>
      </c>
      <c r="D272" s="87"/>
      <c r="E272" s="48"/>
      <c r="F272" s="48"/>
      <c r="G272" s="85"/>
      <c r="H272" s="48"/>
      <c r="I272" s="85"/>
      <c r="J272" s="48"/>
      <c r="K272" s="85"/>
      <c r="L272" s="48"/>
      <c r="M272" s="85"/>
      <c r="N272" s="48"/>
      <c r="O272" s="85"/>
      <c r="P272" s="48"/>
      <c r="Q272" s="85"/>
      <c r="R272" s="48"/>
      <c r="S272" s="85"/>
      <c r="T272" s="48"/>
      <c r="U272" s="85"/>
      <c r="V272" s="48"/>
      <c r="W272" s="85"/>
      <c r="X272" s="48"/>
      <c r="Y272" s="85"/>
      <c r="Z272" s="48"/>
      <c r="AA272" s="85"/>
      <c r="AB272" s="48"/>
      <c r="AC272" s="85"/>
      <c r="AD272" s="224"/>
      <c r="AE272" s="225"/>
      <c r="AF272" s="222"/>
      <c r="AG272" s="88">
        <f t="shared" si="13"/>
        <v>0</v>
      </c>
      <c r="AH272" s="93">
        <f t="shared" si="14"/>
        <v>0</v>
      </c>
      <c r="AI272" s="90"/>
      <c r="AJ272" s="95"/>
      <c r="AK272" s="94">
        <f t="shared" si="15"/>
        <v>0</v>
      </c>
    </row>
    <row r="273" spans="1:37" x14ac:dyDescent="0.2">
      <c r="A273" s="20">
        <f>+'SERVICIO FAENA'!A272</f>
        <v>0</v>
      </c>
      <c r="B273" s="18">
        <f>+'SERVICIO FAENA'!E272</f>
        <v>0</v>
      </c>
      <c r="C273" s="20">
        <f>+'SERVICIO FAENA'!C272</f>
        <v>0</v>
      </c>
      <c r="D273" s="87"/>
      <c r="E273" s="48"/>
      <c r="F273" s="48"/>
      <c r="G273" s="85"/>
      <c r="H273" s="48"/>
      <c r="I273" s="85"/>
      <c r="J273" s="48"/>
      <c r="K273" s="85"/>
      <c r="L273" s="48"/>
      <c r="M273" s="85"/>
      <c r="N273" s="48"/>
      <c r="O273" s="85"/>
      <c r="P273" s="48"/>
      <c r="Q273" s="85"/>
      <c r="R273" s="48"/>
      <c r="S273" s="85"/>
      <c r="T273" s="48"/>
      <c r="U273" s="85"/>
      <c r="V273" s="48"/>
      <c r="W273" s="85"/>
      <c r="X273" s="48"/>
      <c r="Y273" s="85"/>
      <c r="Z273" s="48"/>
      <c r="AA273" s="85"/>
      <c r="AB273" s="48"/>
      <c r="AC273" s="85"/>
      <c r="AD273" s="222"/>
      <c r="AE273" s="223"/>
      <c r="AF273" s="222"/>
      <c r="AG273" s="88">
        <f t="shared" si="13"/>
        <v>0</v>
      </c>
      <c r="AH273" s="93">
        <f t="shared" si="14"/>
        <v>0</v>
      </c>
      <c r="AI273" s="91"/>
      <c r="AJ273" s="96"/>
      <c r="AK273" s="94">
        <f t="shared" si="15"/>
        <v>0</v>
      </c>
    </row>
    <row r="274" spans="1:37" x14ac:dyDescent="0.2">
      <c r="A274" s="20">
        <f>+'SERVICIO FAENA'!A273</f>
        <v>0</v>
      </c>
      <c r="B274" s="18">
        <f>+'SERVICIO FAENA'!E273</f>
        <v>0</v>
      </c>
      <c r="C274" s="20">
        <f>+'SERVICIO FAENA'!C273</f>
        <v>0</v>
      </c>
      <c r="D274" s="87"/>
      <c r="E274" s="48"/>
      <c r="F274" s="48"/>
      <c r="G274" s="85"/>
      <c r="H274" s="48"/>
      <c r="I274" s="85"/>
      <c r="J274" s="48"/>
      <c r="K274" s="85"/>
      <c r="L274" s="48"/>
      <c r="M274" s="85"/>
      <c r="N274" s="48"/>
      <c r="O274" s="85"/>
      <c r="P274" s="48"/>
      <c r="Q274" s="85"/>
      <c r="R274" s="48"/>
      <c r="S274" s="85"/>
      <c r="T274" s="48"/>
      <c r="U274" s="85"/>
      <c r="V274" s="48"/>
      <c r="W274" s="85"/>
      <c r="X274" s="48"/>
      <c r="Y274" s="85"/>
      <c r="Z274" s="48"/>
      <c r="AA274" s="85"/>
      <c r="AB274" s="48"/>
      <c r="AC274" s="85"/>
      <c r="AD274" s="224"/>
      <c r="AE274" s="225"/>
      <c r="AF274" s="222"/>
      <c r="AG274" s="88">
        <f t="shared" si="13"/>
        <v>0</v>
      </c>
      <c r="AH274" s="93">
        <f t="shared" si="14"/>
        <v>0</v>
      </c>
      <c r="AI274" s="90"/>
      <c r="AJ274" s="95"/>
      <c r="AK274" s="94">
        <f t="shared" si="15"/>
        <v>0</v>
      </c>
    </row>
    <row r="275" spans="1:37" x14ac:dyDescent="0.2">
      <c r="A275" s="20">
        <f>+'SERVICIO FAENA'!A274</f>
        <v>0</v>
      </c>
      <c r="B275" s="18">
        <f>+'SERVICIO FAENA'!E274</f>
        <v>0</v>
      </c>
      <c r="C275" s="20">
        <f>+'SERVICIO FAENA'!C274</f>
        <v>0</v>
      </c>
      <c r="D275" s="87"/>
      <c r="E275" s="48"/>
      <c r="F275" s="48"/>
      <c r="G275" s="85"/>
      <c r="H275" s="48"/>
      <c r="I275" s="85"/>
      <c r="J275" s="48"/>
      <c r="K275" s="85"/>
      <c r="L275" s="48"/>
      <c r="M275" s="85"/>
      <c r="N275" s="48"/>
      <c r="O275" s="85"/>
      <c r="P275" s="48"/>
      <c r="Q275" s="85"/>
      <c r="R275" s="48"/>
      <c r="S275" s="85"/>
      <c r="T275" s="48"/>
      <c r="U275" s="85"/>
      <c r="V275" s="48"/>
      <c r="W275" s="85"/>
      <c r="X275" s="48"/>
      <c r="Y275" s="85"/>
      <c r="Z275" s="48"/>
      <c r="AA275" s="85"/>
      <c r="AB275" s="48"/>
      <c r="AC275" s="85"/>
      <c r="AD275" s="224"/>
      <c r="AE275" s="225"/>
      <c r="AF275" s="222"/>
      <c r="AG275" s="88">
        <f t="shared" si="13"/>
        <v>0</v>
      </c>
      <c r="AH275" s="93">
        <f t="shared" si="14"/>
        <v>0</v>
      </c>
      <c r="AI275" s="90"/>
      <c r="AJ275" s="95"/>
      <c r="AK275" s="94">
        <f t="shared" si="15"/>
        <v>0</v>
      </c>
    </row>
    <row r="276" spans="1:37" x14ac:dyDescent="0.2">
      <c r="A276" s="20">
        <f>+'SERVICIO FAENA'!A275</f>
        <v>0</v>
      </c>
      <c r="B276" s="18">
        <f>+'SERVICIO FAENA'!E275</f>
        <v>0</v>
      </c>
      <c r="C276" s="20">
        <f>+'SERVICIO FAENA'!C275</f>
        <v>0</v>
      </c>
      <c r="D276" s="87"/>
      <c r="E276" s="48"/>
      <c r="F276" s="48"/>
      <c r="G276" s="85"/>
      <c r="H276" s="48"/>
      <c r="I276" s="85"/>
      <c r="J276" s="48"/>
      <c r="K276" s="85"/>
      <c r="L276" s="48"/>
      <c r="M276" s="85"/>
      <c r="N276" s="48"/>
      <c r="O276" s="85"/>
      <c r="P276" s="48"/>
      <c r="Q276" s="85"/>
      <c r="R276" s="48"/>
      <c r="S276" s="85"/>
      <c r="T276" s="48"/>
      <c r="U276" s="85"/>
      <c r="V276" s="48"/>
      <c r="W276" s="85"/>
      <c r="X276" s="48"/>
      <c r="Y276" s="85"/>
      <c r="Z276" s="48"/>
      <c r="AA276" s="85"/>
      <c r="AB276" s="48"/>
      <c r="AC276" s="85"/>
      <c r="AD276" s="222"/>
      <c r="AE276" s="223"/>
      <c r="AF276" s="222"/>
      <c r="AG276" s="88">
        <f t="shared" si="13"/>
        <v>0</v>
      </c>
      <c r="AH276" s="93">
        <f t="shared" si="14"/>
        <v>0</v>
      </c>
      <c r="AI276" s="91"/>
      <c r="AJ276" s="96"/>
      <c r="AK276" s="94">
        <f t="shared" si="15"/>
        <v>0</v>
      </c>
    </row>
    <row r="277" spans="1:37" x14ac:dyDescent="0.2">
      <c r="A277" s="20">
        <f>+'SERVICIO FAENA'!A276</f>
        <v>0</v>
      </c>
      <c r="B277" s="18">
        <f>+'SERVICIO FAENA'!E276</f>
        <v>0</v>
      </c>
      <c r="C277" s="20">
        <f>+'SERVICIO FAENA'!C276</f>
        <v>0</v>
      </c>
      <c r="D277" s="87"/>
      <c r="E277" s="48"/>
      <c r="F277" s="48"/>
      <c r="G277" s="85"/>
      <c r="H277" s="48"/>
      <c r="I277" s="85"/>
      <c r="J277" s="48"/>
      <c r="K277" s="85"/>
      <c r="L277" s="48"/>
      <c r="M277" s="85"/>
      <c r="N277" s="48"/>
      <c r="O277" s="85"/>
      <c r="P277" s="48"/>
      <c r="Q277" s="85"/>
      <c r="R277" s="48"/>
      <c r="S277" s="85"/>
      <c r="T277" s="48"/>
      <c r="U277" s="85"/>
      <c r="V277" s="48"/>
      <c r="W277" s="85"/>
      <c r="X277" s="48"/>
      <c r="Y277" s="85"/>
      <c r="Z277" s="48"/>
      <c r="AA277" s="85"/>
      <c r="AB277" s="48"/>
      <c r="AC277" s="85"/>
      <c r="AD277" s="224"/>
      <c r="AE277" s="225"/>
      <c r="AF277" s="222"/>
      <c r="AG277" s="88">
        <f t="shared" si="13"/>
        <v>0</v>
      </c>
      <c r="AH277" s="93">
        <f t="shared" si="14"/>
        <v>0</v>
      </c>
      <c r="AI277" s="90"/>
      <c r="AJ277" s="95"/>
      <c r="AK277" s="94">
        <f t="shared" si="15"/>
        <v>0</v>
      </c>
    </row>
    <row r="278" spans="1:37" x14ac:dyDescent="0.2">
      <c r="A278" s="20">
        <f>+'SERVICIO FAENA'!A277</f>
        <v>0</v>
      </c>
      <c r="B278" s="18">
        <f>+'SERVICIO FAENA'!E277</f>
        <v>0</v>
      </c>
      <c r="C278" s="20">
        <f>+'SERVICIO FAENA'!C277</f>
        <v>0</v>
      </c>
      <c r="D278" s="87"/>
      <c r="E278" s="48"/>
      <c r="F278" s="48"/>
      <c r="G278" s="85"/>
      <c r="H278" s="48"/>
      <c r="I278" s="85"/>
      <c r="J278" s="48"/>
      <c r="K278" s="85"/>
      <c r="L278" s="48"/>
      <c r="M278" s="85"/>
      <c r="N278" s="48"/>
      <c r="O278" s="85"/>
      <c r="P278" s="48"/>
      <c r="Q278" s="85"/>
      <c r="R278" s="48"/>
      <c r="S278" s="85"/>
      <c r="T278" s="48"/>
      <c r="U278" s="85"/>
      <c r="V278" s="48"/>
      <c r="W278" s="85"/>
      <c r="X278" s="48"/>
      <c r="Y278" s="85"/>
      <c r="Z278" s="48"/>
      <c r="AA278" s="85"/>
      <c r="AB278" s="48"/>
      <c r="AC278" s="85"/>
      <c r="AD278" s="224"/>
      <c r="AE278" s="225"/>
      <c r="AF278" s="222"/>
      <c r="AG278" s="88">
        <f t="shared" si="13"/>
        <v>0</v>
      </c>
      <c r="AH278" s="93">
        <f t="shared" si="14"/>
        <v>0</v>
      </c>
      <c r="AI278" s="90"/>
      <c r="AJ278" s="95"/>
      <c r="AK278" s="94">
        <f t="shared" si="15"/>
        <v>0</v>
      </c>
    </row>
    <row r="279" spans="1:37" x14ac:dyDescent="0.2">
      <c r="A279" s="20">
        <f>+'SERVICIO FAENA'!A278</f>
        <v>0</v>
      </c>
      <c r="B279" s="18">
        <f>+'SERVICIO FAENA'!E278</f>
        <v>0</v>
      </c>
      <c r="C279" s="20">
        <f>+'SERVICIO FAENA'!C278</f>
        <v>0</v>
      </c>
      <c r="D279" s="87"/>
      <c r="E279" s="48"/>
      <c r="F279" s="48"/>
      <c r="G279" s="85"/>
      <c r="H279" s="48"/>
      <c r="I279" s="85"/>
      <c r="J279" s="48"/>
      <c r="K279" s="85"/>
      <c r="L279" s="48"/>
      <c r="M279" s="85"/>
      <c r="N279" s="48"/>
      <c r="O279" s="85"/>
      <c r="P279" s="48"/>
      <c r="Q279" s="85"/>
      <c r="R279" s="48"/>
      <c r="S279" s="85"/>
      <c r="T279" s="48"/>
      <c r="U279" s="85"/>
      <c r="V279" s="48"/>
      <c r="W279" s="85"/>
      <c r="X279" s="48"/>
      <c r="Y279" s="85"/>
      <c r="Z279" s="48"/>
      <c r="AA279" s="85"/>
      <c r="AB279" s="48"/>
      <c r="AC279" s="85"/>
      <c r="AD279" s="222"/>
      <c r="AE279" s="223"/>
      <c r="AF279" s="222"/>
      <c r="AG279" s="88">
        <f t="shared" si="13"/>
        <v>0</v>
      </c>
      <c r="AH279" s="93">
        <f t="shared" si="14"/>
        <v>0</v>
      </c>
      <c r="AI279" s="91"/>
      <c r="AJ279" s="96"/>
      <c r="AK279" s="94">
        <f t="shared" si="15"/>
        <v>0</v>
      </c>
    </row>
    <row r="280" spans="1:37" x14ac:dyDescent="0.2">
      <c r="A280" s="20">
        <f>+'SERVICIO FAENA'!A279</f>
        <v>0</v>
      </c>
      <c r="B280" s="18">
        <f>+'SERVICIO FAENA'!E279</f>
        <v>0</v>
      </c>
      <c r="C280" s="20">
        <f>+'SERVICIO FAENA'!C279</f>
        <v>0</v>
      </c>
      <c r="D280" s="87"/>
      <c r="E280" s="48"/>
      <c r="F280" s="48"/>
      <c r="G280" s="85"/>
      <c r="H280" s="48"/>
      <c r="I280" s="85"/>
      <c r="J280" s="48"/>
      <c r="K280" s="85"/>
      <c r="L280" s="48"/>
      <c r="M280" s="85"/>
      <c r="N280" s="48"/>
      <c r="O280" s="85"/>
      <c r="P280" s="48"/>
      <c r="Q280" s="85"/>
      <c r="R280" s="48"/>
      <c r="S280" s="85"/>
      <c r="T280" s="48"/>
      <c r="U280" s="85"/>
      <c r="V280" s="48"/>
      <c r="W280" s="85"/>
      <c r="X280" s="48"/>
      <c r="Y280" s="85"/>
      <c r="Z280" s="48"/>
      <c r="AA280" s="85"/>
      <c r="AB280" s="48"/>
      <c r="AC280" s="85"/>
      <c r="AD280" s="224"/>
      <c r="AE280" s="225"/>
      <c r="AF280" s="222"/>
      <c r="AG280" s="88">
        <f t="shared" si="13"/>
        <v>0</v>
      </c>
      <c r="AH280" s="93">
        <f t="shared" si="14"/>
        <v>0</v>
      </c>
      <c r="AI280" s="90"/>
      <c r="AJ280" s="95"/>
      <c r="AK280" s="94">
        <f t="shared" si="15"/>
        <v>0</v>
      </c>
    </row>
    <row r="281" spans="1:37" x14ac:dyDescent="0.2">
      <c r="A281" s="20">
        <f>+'SERVICIO FAENA'!A280</f>
        <v>0</v>
      </c>
      <c r="B281" s="18">
        <f>+'SERVICIO FAENA'!E280</f>
        <v>0</v>
      </c>
      <c r="C281" s="20">
        <f>+'SERVICIO FAENA'!C280</f>
        <v>0</v>
      </c>
      <c r="D281" s="87"/>
      <c r="E281" s="48"/>
      <c r="F281" s="48"/>
      <c r="G281" s="85"/>
      <c r="H281" s="48"/>
      <c r="I281" s="85"/>
      <c r="J281" s="48"/>
      <c r="K281" s="85"/>
      <c r="L281" s="48"/>
      <c r="M281" s="85"/>
      <c r="N281" s="48"/>
      <c r="O281" s="85"/>
      <c r="P281" s="48"/>
      <c r="Q281" s="85"/>
      <c r="R281" s="48"/>
      <c r="S281" s="85"/>
      <c r="T281" s="48"/>
      <c r="U281" s="85"/>
      <c r="V281" s="48"/>
      <c r="W281" s="85"/>
      <c r="X281" s="48"/>
      <c r="Y281" s="85"/>
      <c r="Z281" s="48"/>
      <c r="AA281" s="85"/>
      <c r="AB281" s="48"/>
      <c r="AC281" s="85"/>
      <c r="AD281" s="224"/>
      <c r="AE281" s="225"/>
      <c r="AF281" s="222"/>
      <c r="AG281" s="88">
        <f t="shared" si="13"/>
        <v>0</v>
      </c>
      <c r="AH281" s="93">
        <f t="shared" si="14"/>
        <v>0</v>
      </c>
      <c r="AI281" s="90"/>
      <c r="AJ281" s="95"/>
      <c r="AK281" s="94">
        <f t="shared" si="15"/>
        <v>0</v>
      </c>
    </row>
    <row r="282" spans="1:37" x14ac:dyDescent="0.2">
      <c r="A282" s="20">
        <f>+'SERVICIO FAENA'!A281</f>
        <v>0</v>
      </c>
      <c r="B282" s="18">
        <f>+'SERVICIO FAENA'!E281</f>
        <v>0</v>
      </c>
      <c r="C282" s="20">
        <f>+'SERVICIO FAENA'!C281</f>
        <v>0</v>
      </c>
      <c r="D282" s="87"/>
      <c r="E282" s="48"/>
      <c r="F282" s="48"/>
      <c r="G282" s="85"/>
      <c r="H282" s="48"/>
      <c r="I282" s="85"/>
      <c r="J282" s="48"/>
      <c r="K282" s="85"/>
      <c r="L282" s="48"/>
      <c r="M282" s="85"/>
      <c r="N282" s="48"/>
      <c r="O282" s="85"/>
      <c r="P282" s="48"/>
      <c r="Q282" s="85"/>
      <c r="R282" s="48"/>
      <c r="S282" s="85"/>
      <c r="T282" s="48"/>
      <c r="U282" s="85"/>
      <c r="V282" s="48"/>
      <c r="W282" s="85"/>
      <c r="X282" s="48"/>
      <c r="Y282" s="85"/>
      <c r="Z282" s="48"/>
      <c r="AA282" s="85"/>
      <c r="AB282" s="48"/>
      <c r="AC282" s="85"/>
      <c r="AD282" s="222"/>
      <c r="AE282" s="223"/>
      <c r="AF282" s="222"/>
      <c r="AG282" s="88">
        <f t="shared" si="13"/>
        <v>0</v>
      </c>
      <c r="AH282" s="93">
        <f t="shared" si="14"/>
        <v>0</v>
      </c>
      <c r="AI282" s="91"/>
      <c r="AJ282" s="96"/>
      <c r="AK282" s="94">
        <f t="shared" si="15"/>
        <v>0</v>
      </c>
    </row>
    <row r="283" spans="1:37" x14ac:dyDescent="0.2">
      <c r="A283" s="20">
        <f>+'SERVICIO FAENA'!A282</f>
        <v>0</v>
      </c>
      <c r="B283" s="18">
        <f>+'SERVICIO FAENA'!E282</f>
        <v>0</v>
      </c>
      <c r="C283" s="20">
        <f>+'SERVICIO FAENA'!C282</f>
        <v>0</v>
      </c>
      <c r="D283" s="87"/>
      <c r="E283" s="48"/>
      <c r="F283" s="48"/>
      <c r="G283" s="85"/>
      <c r="H283" s="48"/>
      <c r="I283" s="85"/>
      <c r="J283" s="48"/>
      <c r="K283" s="85"/>
      <c r="L283" s="48"/>
      <c r="M283" s="85"/>
      <c r="N283" s="48"/>
      <c r="O283" s="85"/>
      <c r="P283" s="48"/>
      <c r="Q283" s="85"/>
      <c r="R283" s="48"/>
      <c r="S283" s="85"/>
      <c r="T283" s="48"/>
      <c r="U283" s="85"/>
      <c r="V283" s="48"/>
      <c r="W283" s="85"/>
      <c r="X283" s="48"/>
      <c r="Y283" s="85"/>
      <c r="Z283" s="48"/>
      <c r="AA283" s="85"/>
      <c r="AB283" s="48"/>
      <c r="AC283" s="85"/>
      <c r="AD283" s="224"/>
      <c r="AE283" s="225"/>
      <c r="AF283" s="222"/>
      <c r="AG283" s="88">
        <f t="shared" si="13"/>
        <v>0</v>
      </c>
      <c r="AH283" s="93">
        <f t="shared" si="14"/>
        <v>0</v>
      </c>
      <c r="AI283" s="90"/>
      <c r="AJ283" s="95"/>
      <c r="AK283" s="94">
        <f t="shared" si="15"/>
        <v>0</v>
      </c>
    </row>
    <row r="284" spans="1:37" x14ac:dyDescent="0.2">
      <c r="A284" s="20">
        <f>+'SERVICIO FAENA'!A283</f>
        <v>0</v>
      </c>
      <c r="B284" s="18">
        <f>+'SERVICIO FAENA'!E283</f>
        <v>0</v>
      </c>
      <c r="C284" s="20">
        <f>+'SERVICIO FAENA'!C283</f>
        <v>0</v>
      </c>
      <c r="D284" s="87"/>
      <c r="E284" s="48"/>
      <c r="F284" s="48"/>
      <c r="G284" s="85"/>
      <c r="H284" s="48"/>
      <c r="I284" s="85"/>
      <c r="J284" s="48"/>
      <c r="K284" s="85"/>
      <c r="L284" s="48"/>
      <c r="M284" s="85"/>
      <c r="N284" s="48"/>
      <c r="O284" s="85"/>
      <c r="P284" s="48"/>
      <c r="Q284" s="85"/>
      <c r="R284" s="48"/>
      <c r="S284" s="85"/>
      <c r="T284" s="48"/>
      <c r="U284" s="85"/>
      <c r="V284" s="48"/>
      <c r="W284" s="85"/>
      <c r="X284" s="48"/>
      <c r="Y284" s="85"/>
      <c r="Z284" s="48"/>
      <c r="AA284" s="85"/>
      <c r="AB284" s="48"/>
      <c r="AC284" s="85"/>
      <c r="AD284" s="224"/>
      <c r="AE284" s="225"/>
      <c r="AF284" s="222"/>
      <c r="AG284" s="88">
        <f t="shared" si="13"/>
        <v>0</v>
      </c>
      <c r="AH284" s="93">
        <f t="shared" si="14"/>
        <v>0</v>
      </c>
      <c r="AI284" s="90"/>
      <c r="AJ284" s="95"/>
      <c r="AK284" s="94">
        <f t="shared" si="15"/>
        <v>0</v>
      </c>
    </row>
    <row r="285" spans="1:37" x14ac:dyDescent="0.2">
      <c r="A285" s="20">
        <f>+'SERVICIO FAENA'!A284</f>
        <v>0</v>
      </c>
      <c r="B285" s="18">
        <f>+'SERVICIO FAENA'!E284</f>
        <v>0</v>
      </c>
      <c r="C285" s="20">
        <f>+'SERVICIO FAENA'!C284</f>
        <v>0</v>
      </c>
      <c r="D285" s="87"/>
      <c r="E285" s="48"/>
      <c r="F285" s="48"/>
      <c r="G285" s="85"/>
      <c r="H285" s="48"/>
      <c r="I285" s="85"/>
      <c r="J285" s="48"/>
      <c r="K285" s="85"/>
      <c r="L285" s="48"/>
      <c r="M285" s="85"/>
      <c r="N285" s="48"/>
      <c r="O285" s="85"/>
      <c r="P285" s="48"/>
      <c r="Q285" s="85"/>
      <c r="R285" s="48"/>
      <c r="S285" s="85"/>
      <c r="T285" s="48"/>
      <c r="U285" s="85"/>
      <c r="V285" s="48"/>
      <c r="W285" s="85"/>
      <c r="X285" s="48"/>
      <c r="Y285" s="85"/>
      <c r="Z285" s="48"/>
      <c r="AA285" s="85"/>
      <c r="AB285" s="48"/>
      <c r="AC285" s="85"/>
      <c r="AD285" s="222"/>
      <c r="AE285" s="223"/>
      <c r="AF285" s="222"/>
      <c r="AG285" s="88">
        <f t="shared" si="13"/>
        <v>0</v>
      </c>
      <c r="AH285" s="93">
        <f t="shared" si="14"/>
        <v>0</v>
      </c>
      <c r="AI285" s="91"/>
      <c r="AJ285" s="96"/>
      <c r="AK285" s="94">
        <f t="shared" si="15"/>
        <v>0</v>
      </c>
    </row>
    <row r="286" spans="1:37" x14ac:dyDescent="0.2">
      <c r="A286" s="20">
        <f>+'SERVICIO FAENA'!A285</f>
        <v>0</v>
      </c>
      <c r="B286" s="18">
        <f>+'SERVICIO FAENA'!E285</f>
        <v>0</v>
      </c>
      <c r="C286" s="20">
        <f>+'SERVICIO FAENA'!C285</f>
        <v>0</v>
      </c>
      <c r="D286" s="87"/>
      <c r="E286" s="48"/>
      <c r="F286" s="48"/>
      <c r="G286" s="85"/>
      <c r="H286" s="48"/>
      <c r="I286" s="85"/>
      <c r="J286" s="48"/>
      <c r="K286" s="85"/>
      <c r="L286" s="48"/>
      <c r="M286" s="85"/>
      <c r="N286" s="48"/>
      <c r="O286" s="85"/>
      <c r="P286" s="48"/>
      <c r="Q286" s="85"/>
      <c r="R286" s="48"/>
      <c r="S286" s="85"/>
      <c r="T286" s="48"/>
      <c r="U286" s="85"/>
      <c r="V286" s="48"/>
      <c r="W286" s="85"/>
      <c r="X286" s="48"/>
      <c r="Y286" s="85"/>
      <c r="Z286" s="48"/>
      <c r="AA286" s="85"/>
      <c r="AB286" s="48"/>
      <c r="AC286" s="85"/>
      <c r="AD286" s="224"/>
      <c r="AE286" s="225"/>
      <c r="AF286" s="222"/>
      <c r="AG286" s="88">
        <f t="shared" si="13"/>
        <v>0</v>
      </c>
      <c r="AH286" s="93">
        <f t="shared" si="14"/>
        <v>0</v>
      </c>
      <c r="AI286" s="90"/>
      <c r="AJ286" s="95"/>
      <c r="AK286" s="94">
        <f t="shared" si="15"/>
        <v>0</v>
      </c>
    </row>
    <row r="287" spans="1:37" x14ac:dyDescent="0.2">
      <c r="A287" s="20">
        <f>+'SERVICIO FAENA'!A286</f>
        <v>0</v>
      </c>
      <c r="B287" s="18">
        <f>+'SERVICIO FAENA'!E286</f>
        <v>0</v>
      </c>
      <c r="C287" s="20">
        <f>+'SERVICIO FAENA'!C286</f>
        <v>0</v>
      </c>
      <c r="D287" s="87"/>
      <c r="E287" s="48"/>
      <c r="F287" s="48"/>
      <c r="G287" s="85"/>
      <c r="H287" s="48"/>
      <c r="I287" s="85"/>
      <c r="J287" s="48"/>
      <c r="K287" s="85"/>
      <c r="L287" s="48"/>
      <c r="M287" s="85"/>
      <c r="N287" s="48"/>
      <c r="O287" s="85"/>
      <c r="P287" s="48"/>
      <c r="Q287" s="85"/>
      <c r="R287" s="48"/>
      <c r="S287" s="85"/>
      <c r="T287" s="48"/>
      <c r="U287" s="85"/>
      <c r="V287" s="48"/>
      <c r="W287" s="85"/>
      <c r="X287" s="48"/>
      <c r="Y287" s="85"/>
      <c r="Z287" s="48"/>
      <c r="AA287" s="85"/>
      <c r="AB287" s="48"/>
      <c r="AC287" s="85"/>
      <c r="AD287" s="224"/>
      <c r="AE287" s="225"/>
      <c r="AF287" s="222"/>
      <c r="AG287" s="88">
        <f t="shared" si="13"/>
        <v>0</v>
      </c>
      <c r="AH287" s="93">
        <f t="shared" si="14"/>
        <v>0</v>
      </c>
      <c r="AI287" s="90"/>
      <c r="AJ287" s="95"/>
      <c r="AK287" s="94">
        <f t="shared" si="15"/>
        <v>0</v>
      </c>
    </row>
    <row r="288" spans="1:37" x14ac:dyDescent="0.2">
      <c r="A288" s="20">
        <f>+'SERVICIO FAENA'!A287</f>
        <v>0</v>
      </c>
      <c r="B288" s="18">
        <f>+'SERVICIO FAENA'!E287</f>
        <v>0</v>
      </c>
      <c r="C288" s="20">
        <f>+'SERVICIO FAENA'!C287</f>
        <v>0</v>
      </c>
      <c r="D288" s="87"/>
      <c r="E288" s="48"/>
      <c r="F288" s="48"/>
      <c r="G288" s="85"/>
      <c r="H288" s="48"/>
      <c r="I288" s="85"/>
      <c r="J288" s="48"/>
      <c r="K288" s="85"/>
      <c r="L288" s="48"/>
      <c r="M288" s="85"/>
      <c r="N288" s="48"/>
      <c r="O288" s="85"/>
      <c r="P288" s="48"/>
      <c r="Q288" s="85"/>
      <c r="R288" s="48"/>
      <c r="S288" s="85"/>
      <c r="T288" s="48"/>
      <c r="U288" s="85"/>
      <c r="V288" s="48"/>
      <c r="W288" s="85"/>
      <c r="X288" s="48"/>
      <c r="Y288" s="85"/>
      <c r="Z288" s="48"/>
      <c r="AA288" s="85"/>
      <c r="AB288" s="48"/>
      <c r="AC288" s="85"/>
      <c r="AD288" s="222"/>
      <c r="AE288" s="223"/>
      <c r="AF288" s="222"/>
      <c r="AG288" s="88">
        <f t="shared" si="13"/>
        <v>0</v>
      </c>
      <c r="AH288" s="93">
        <f t="shared" si="14"/>
        <v>0</v>
      </c>
      <c r="AI288" s="91"/>
      <c r="AJ288" s="96"/>
      <c r="AK288" s="94">
        <f t="shared" si="15"/>
        <v>0</v>
      </c>
    </row>
    <row r="289" spans="1:37" x14ac:dyDescent="0.2">
      <c r="A289" s="20">
        <f>+'SERVICIO FAENA'!A288</f>
        <v>0</v>
      </c>
      <c r="B289" s="18">
        <f>+'SERVICIO FAENA'!E288</f>
        <v>0</v>
      </c>
      <c r="C289" s="20">
        <f>+'SERVICIO FAENA'!C288</f>
        <v>0</v>
      </c>
      <c r="D289" s="87"/>
      <c r="E289" s="48"/>
      <c r="F289" s="48"/>
      <c r="G289" s="85"/>
      <c r="H289" s="48"/>
      <c r="I289" s="85"/>
      <c r="J289" s="48"/>
      <c r="K289" s="85"/>
      <c r="L289" s="48"/>
      <c r="M289" s="85"/>
      <c r="N289" s="48"/>
      <c r="O289" s="85"/>
      <c r="P289" s="48"/>
      <c r="Q289" s="85"/>
      <c r="R289" s="48"/>
      <c r="S289" s="85"/>
      <c r="T289" s="48"/>
      <c r="U289" s="85"/>
      <c r="V289" s="48"/>
      <c r="W289" s="85"/>
      <c r="X289" s="48"/>
      <c r="Y289" s="85"/>
      <c r="Z289" s="48"/>
      <c r="AA289" s="85"/>
      <c r="AB289" s="48"/>
      <c r="AC289" s="85"/>
      <c r="AD289" s="224"/>
      <c r="AE289" s="225"/>
      <c r="AF289" s="222"/>
      <c r="AG289" s="88">
        <f t="shared" si="13"/>
        <v>0</v>
      </c>
      <c r="AH289" s="93">
        <f t="shared" si="14"/>
        <v>0</v>
      </c>
      <c r="AI289" s="90"/>
      <c r="AJ289" s="95"/>
      <c r="AK289" s="94">
        <f t="shared" si="15"/>
        <v>0</v>
      </c>
    </row>
    <row r="290" spans="1:37" x14ac:dyDescent="0.2">
      <c r="A290" s="20">
        <f>+'SERVICIO FAENA'!A289</f>
        <v>0</v>
      </c>
      <c r="B290" s="18">
        <f>+'SERVICIO FAENA'!E289</f>
        <v>0</v>
      </c>
      <c r="C290" s="20">
        <f>+'SERVICIO FAENA'!C289</f>
        <v>0</v>
      </c>
      <c r="D290" s="87"/>
      <c r="E290" s="48"/>
      <c r="F290" s="48"/>
      <c r="G290" s="85"/>
      <c r="H290" s="48"/>
      <c r="I290" s="85"/>
      <c r="J290" s="48"/>
      <c r="K290" s="85"/>
      <c r="L290" s="48"/>
      <c r="M290" s="85"/>
      <c r="N290" s="48"/>
      <c r="O290" s="85"/>
      <c r="P290" s="48"/>
      <c r="Q290" s="85"/>
      <c r="R290" s="48"/>
      <c r="S290" s="85"/>
      <c r="T290" s="48"/>
      <c r="U290" s="85"/>
      <c r="V290" s="48"/>
      <c r="W290" s="85"/>
      <c r="X290" s="48"/>
      <c r="Y290" s="85"/>
      <c r="Z290" s="48"/>
      <c r="AA290" s="85"/>
      <c r="AB290" s="48"/>
      <c r="AC290" s="85"/>
      <c r="AD290" s="224"/>
      <c r="AE290" s="225"/>
      <c r="AF290" s="222"/>
      <c r="AG290" s="88">
        <f t="shared" si="13"/>
        <v>0</v>
      </c>
      <c r="AH290" s="93">
        <f t="shared" si="14"/>
        <v>0</v>
      </c>
      <c r="AI290" s="90"/>
      <c r="AJ290" s="95"/>
      <c r="AK290" s="94">
        <f t="shared" si="15"/>
        <v>0</v>
      </c>
    </row>
    <row r="291" spans="1:37" x14ac:dyDescent="0.2">
      <c r="A291" s="20">
        <f>+'SERVICIO FAENA'!A290</f>
        <v>0</v>
      </c>
      <c r="B291" s="18">
        <f>+'SERVICIO FAENA'!E290</f>
        <v>0</v>
      </c>
      <c r="C291" s="20">
        <f>+'SERVICIO FAENA'!C290</f>
        <v>0</v>
      </c>
      <c r="D291" s="87"/>
      <c r="E291" s="48"/>
      <c r="F291" s="48"/>
      <c r="G291" s="85"/>
      <c r="H291" s="48"/>
      <c r="I291" s="85"/>
      <c r="J291" s="48"/>
      <c r="K291" s="85"/>
      <c r="L291" s="48"/>
      <c r="M291" s="85"/>
      <c r="N291" s="48"/>
      <c r="O291" s="85"/>
      <c r="P291" s="48"/>
      <c r="Q291" s="85"/>
      <c r="R291" s="48"/>
      <c r="S291" s="85"/>
      <c r="T291" s="48"/>
      <c r="U291" s="85"/>
      <c r="V291" s="48"/>
      <c r="W291" s="85"/>
      <c r="X291" s="48"/>
      <c r="Y291" s="85"/>
      <c r="Z291" s="48"/>
      <c r="AA291" s="85"/>
      <c r="AB291" s="48"/>
      <c r="AC291" s="85"/>
      <c r="AD291" s="222"/>
      <c r="AE291" s="223"/>
      <c r="AF291" s="222"/>
      <c r="AG291" s="88">
        <f t="shared" si="13"/>
        <v>0</v>
      </c>
      <c r="AH291" s="93">
        <f t="shared" si="14"/>
        <v>0</v>
      </c>
      <c r="AI291" s="91"/>
      <c r="AJ291" s="96"/>
      <c r="AK291" s="94">
        <f t="shared" si="15"/>
        <v>0</v>
      </c>
    </row>
    <row r="292" spans="1:37" x14ac:dyDescent="0.2">
      <c r="A292" s="20">
        <f>+'SERVICIO FAENA'!A291</f>
        <v>0</v>
      </c>
      <c r="B292" s="18">
        <f>+'SERVICIO FAENA'!E291</f>
        <v>0</v>
      </c>
      <c r="C292" s="20">
        <f>+'SERVICIO FAENA'!C291</f>
        <v>0</v>
      </c>
      <c r="D292" s="87"/>
      <c r="E292" s="48"/>
      <c r="F292" s="48"/>
      <c r="G292" s="85"/>
      <c r="H292" s="48"/>
      <c r="I292" s="85"/>
      <c r="J292" s="48"/>
      <c r="K292" s="85"/>
      <c r="L292" s="48"/>
      <c r="M292" s="85"/>
      <c r="N292" s="48"/>
      <c r="O292" s="85"/>
      <c r="P292" s="48"/>
      <c r="Q292" s="85"/>
      <c r="R292" s="48"/>
      <c r="S292" s="85"/>
      <c r="T292" s="48"/>
      <c r="U292" s="85"/>
      <c r="V292" s="48"/>
      <c r="W292" s="85"/>
      <c r="X292" s="48"/>
      <c r="Y292" s="85"/>
      <c r="Z292" s="48"/>
      <c r="AA292" s="85"/>
      <c r="AB292" s="48"/>
      <c r="AC292" s="85"/>
      <c r="AD292" s="224"/>
      <c r="AE292" s="225"/>
      <c r="AF292" s="222"/>
      <c r="AG292" s="88">
        <f t="shared" si="13"/>
        <v>0</v>
      </c>
      <c r="AH292" s="93">
        <f t="shared" si="14"/>
        <v>0</v>
      </c>
      <c r="AI292" s="90"/>
      <c r="AJ292" s="95"/>
      <c r="AK292" s="94">
        <f t="shared" si="15"/>
        <v>0</v>
      </c>
    </row>
    <row r="293" spans="1:37" x14ac:dyDescent="0.2">
      <c r="A293" s="20">
        <f>+'SERVICIO FAENA'!A292</f>
        <v>0</v>
      </c>
      <c r="B293" s="18">
        <f>+'SERVICIO FAENA'!E292</f>
        <v>0</v>
      </c>
      <c r="C293" s="20">
        <f>+'SERVICIO FAENA'!C292</f>
        <v>0</v>
      </c>
      <c r="D293" s="87"/>
      <c r="E293" s="48"/>
      <c r="F293" s="48"/>
      <c r="G293" s="85"/>
      <c r="H293" s="48"/>
      <c r="I293" s="85"/>
      <c r="J293" s="48"/>
      <c r="K293" s="85"/>
      <c r="L293" s="48"/>
      <c r="M293" s="85"/>
      <c r="N293" s="48"/>
      <c r="O293" s="85"/>
      <c r="P293" s="48"/>
      <c r="Q293" s="85"/>
      <c r="R293" s="48"/>
      <c r="S293" s="85"/>
      <c r="T293" s="48"/>
      <c r="U293" s="85"/>
      <c r="V293" s="48"/>
      <c r="W293" s="85"/>
      <c r="X293" s="48"/>
      <c r="Y293" s="85"/>
      <c r="Z293" s="48"/>
      <c r="AA293" s="85"/>
      <c r="AB293" s="48"/>
      <c r="AC293" s="85"/>
      <c r="AD293" s="224"/>
      <c r="AE293" s="225"/>
      <c r="AF293" s="222"/>
      <c r="AG293" s="88">
        <f t="shared" si="13"/>
        <v>0</v>
      </c>
      <c r="AH293" s="93">
        <f t="shared" si="14"/>
        <v>0</v>
      </c>
      <c r="AI293" s="90"/>
      <c r="AJ293" s="95"/>
      <c r="AK293" s="94">
        <f t="shared" si="15"/>
        <v>0</v>
      </c>
    </row>
    <row r="294" spans="1:37" x14ac:dyDescent="0.2">
      <c r="A294" s="20">
        <f>+'SERVICIO FAENA'!A293</f>
        <v>0</v>
      </c>
      <c r="B294" s="18">
        <f>+'SERVICIO FAENA'!E293</f>
        <v>0</v>
      </c>
      <c r="C294" s="20">
        <f>+'SERVICIO FAENA'!C293</f>
        <v>0</v>
      </c>
      <c r="D294" s="87"/>
      <c r="E294" s="48"/>
      <c r="F294" s="48"/>
      <c r="G294" s="85"/>
      <c r="H294" s="48"/>
      <c r="I294" s="85"/>
      <c r="J294" s="48"/>
      <c r="K294" s="85"/>
      <c r="L294" s="48"/>
      <c r="M294" s="85"/>
      <c r="N294" s="48"/>
      <c r="O294" s="85"/>
      <c r="P294" s="48"/>
      <c r="Q294" s="85"/>
      <c r="R294" s="48"/>
      <c r="S294" s="85"/>
      <c r="T294" s="48"/>
      <c r="U294" s="85"/>
      <c r="V294" s="48"/>
      <c r="W294" s="85"/>
      <c r="X294" s="48"/>
      <c r="Y294" s="85"/>
      <c r="Z294" s="48"/>
      <c r="AA294" s="85"/>
      <c r="AB294" s="48"/>
      <c r="AC294" s="85"/>
      <c r="AD294" s="222"/>
      <c r="AE294" s="223"/>
      <c r="AF294" s="222"/>
      <c r="AG294" s="88">
        <f t="shared" ref="AG294:AG343" si="16">+D294*E294</f>
        <v>0</v>
      </c>
      <c r="AH294" s="93">
        <f t="shared" ref="AH294:AH343" si="17">+AG294*1.105</f>
        <v>0</v>
      </c>
      <c r="AI294" s="91"/>
      <c r="AJ294" s="96"/>
      <c r="AK294" s="94">
        <f t="shared" ref="AK294:AK343" si="18">+AJ294-AH294</f>
        <v>0</v>
      </c>
    </row>
    <row r="295" spans="1:37" x14ac:dyDescent="0.2">
      <c r="A295" s="20">
        <f>+'SERVICIO FAENA'!A294</f>
        <v>0</v>
      </c>
      <c r="B295" s="18">
        <f>+'SERVICIO FAENA'!E294</f>
        <v>0</v>
      </c>
      <c r="C295" s="20">
        <f>+'SERVICIO FAENA'!C294</f>
        <v>0</v>
      </c>
      <c r="D295" s="87"/>
      <c r="E295" s="48"/>
      <c r="F295" s="48"/>
      <c r="G295" s="85"/>
      <c r="H295" s="48"/>
      <c r="I295" s="85"/>
      <c r="J295" s="48"/>
      <c r="K295" s="85"/>
      <c r="L295" s="48"/>
      <c r="M295" s="85"/>
      <c r="N295" s="48"/>
      <c r="O295" s="85"/>
      <c r="P295" s="48"/>
      <c r="Q295" s="85"/>
      <c r="R295" s="48"/>
      <c r="S295" s="85"/>
      <c r="T295" s="48"/>
      <c r="U295" s="85"/>
      <c r="V295" s="48"/>
      <c r="W295" s="85"/>
      <c r="X295" s="48"/>
      <c r="Y295" s="85"/>
      <c r="Z295" s="48"/>
      <c r="AA295" s="85"/>
      <c r="AB295" s="48"/>
      <c r="AC295" s="85"/>
      <c r="AD295" s="224"/>
      <c r="AE295" s="225"/>
      <c r="AF295" s="222"/>
      <c r="AG295" s="88">
        <f t="shared" si="16"/>
        <v>0</v>
      </c>
      <c r="AH295" s="93">
        <f t="shared" si="17"/>
        <v>0</v>
      </c>
      <c r="AI295" s="90"/>
      <c r="AJ295" s="95"/>
      <c r="AK295" s="94">
        <f t="shared" si="18"/>
        <v>0</v>
      </c>
    </row>
    <row r="296" spans="1:37" x14ac:dyDescent="0.2">
      <c r="A296" s="20">
        <f>+'SERVICIO FAENA'!A295</f>
        <v>0</v>
      </c>
      <c r="B296" s="18">
        <f>+'SERVICIO FAENA'!E295</f>
        <v>0</v>
      </c>
      <c r="C296" s="20">
        <f>+'SERVICIO FAENA'!C295</f>
        <v>0</v>
      </c>
      <c r="D296" s="87"/>
      <c r="E296" s="48"/>
      <c r="F296" s="48"/>
      <c r="G296" s="85"/>
      <c r="H296" s="48"/>
      <c r="I296" s="85"/>
      <c r="J296" s="48"/>
      <c r="K296" s="85"/>
      <c r="L296" s="48"/>
      <c r="M296" s="85"/>
      <c r="N296" s="48"/>
      <c r="O296" s="85"/>
      <c r="P296" s="48"/>
      <c r="Q296" s="85"/>
      <c r="R296" s="48"/>
      <c r="S296" s="85"/>
      <c r="T296" s="48"/>
      <c r="U296" s="85"/>
      <c r="V296" s="48"/>
      <c r="W296" s="85"/>
      <c r="X296" s="48"/>
      <c r="Y296" s="85"/>
      <c r="Z296" s="48"/>
      <c r="AA296" s="85"/>
      <c r="AB296" s="48"/>
      <c r="AC296" s="85"/>
      <c r="AD296" s="224"/>
      <c r="AE296" s="225"/>
      <c r="AF296" s="222"/>
      <c r="AG296" s="88">
        <f t="shared" si="16"/>
        <v>0</v>
      </c>
      <c r="AH296" s="93">
        <f t="shared" si="17"/>
        <v>0</v>
      </c>
      <c r="AI296" s="90"/>
      <c r="AJ296" s="95"/>
      <c r="AK296" s="94">
        <f t="shared" si="18"/>
        <v>0</v>
      </c>
    </row>
    <row r="297" spans="1:37" x14ac:dyDescent="0.2">
      <c r="A297" s="20">
        <f>+'SERVICIO FAENA'!A296</f>
        <v>0</v>
      </c>
      <c r="B297" s="18">
        <f>+'SERVICIO FAENA'!E296</f>
        <v>0</v>
      </c>
      <c r="C297" s="20">
        <f>+'SERVICIO FAENA'!C296</f>
        <v>0</v>
      </c>
      <c r="D297" s="87"/>
      <c r="E297" s="48"/>
      <c r="F297" s="48"/>
      <c r="G297" s="85"/>
      <c r="H297" s="48"/>
      <c r="I297" s="85"/>
      <c r="J297" s="48"/>
      <c r="K297" s="85"/>
      <c r="L297" s="48"/>
      <c r="M297" s="85"/>
      <c r="N297" s="48"/>
      <c r="O297" s="85"/>
      <c r="P297" s="48"/>
      <c r="Q297" s="85"/>
      <c r="R297" s="48"/>
      <c r="S297" s="85"/>
      <c r="T297" s="48"/>
      <c r="U297" s="85"/>
      <c r="V297" s="48"/>
      <c r="W297" s="85"/>
      <c r="X297" s="48"/>
      <c r="Y297" s="85"/>
      <c r="Z297" s="48"/>
      <c r="AA297" s="85"/>
      <c r="AB297" s="48"/>
      <c r="AC297" s="85"/>
      <c r="AD297" s="222"/>
      <c r="AE297" s="223"/>
      <c r="AF297" s="222"/>
      <c r="AG297" s="88">
        <f t="shared" si="16"/>
        <v>0</v>
      </c>
      <c r="AH297" s="93">
        <f t="shared" si="17"/>
        <v>0</v>
      </c>
      <c r="AI297" s="91"/>
      <c r="AJ297" s="96"/>
      <c r="AK297" s="94">
        <f t="shared" si="18"/>
        <v>0</v>
      </c>
    </row>
    <row r="298" spans="1:37" x14ac:dyDescent="0.2">
      <c r="A298" s="20">
        <f>+'SERVICIO FAENA'!A297</f>
        <v>0</v>
      </c>
      <c r="B298" s="18">
        <f>+'SERVICIO FAENA'!E297</f>
        <v>0</v>
      </c>
      <c r="C298" s="20">
        <f>+'SERVICIO FAENA'!C297</f>
        <v>0</v>
      </c>
      <c r="D298" s="87"/>
      <c r="E298" s="48"/>
      <c r="F298" s="48"/>
      <c r="G298" s="85"/>
      <c r="H298" s="48"/>
      <c r="I298" s="85"/>
      <c r="J298" s="48"/>
      <c r="K298" s="85"/>
      <c r="L298" s="48"/>
      <c r="M298" s="85"/>
      <c r="N298" s="48"/>
      <c r="O298" s="85"/>
      <c r="P298" s="48"/>
      <c r="Q298" s="85"/>
      <c r="R298" s="48"/>
      <c r="S298" s="85"/>
      <c r="T298" s="48"/>
      <c r="U298" s="85"/>
      <c r="V298" s="48"/>
      <c r="W298" s="85"/>
      <c r="X298" s="48"/>
      <c r="Y298" s="85"/>
      <c r="Z298" s="48"/>
      <c r="AA298" s="85"/>
      <c r="AB298" s="48"/>
      <c r="AC298" s="85"/>
      <c r="AD298" s="224"/>
      <c r="AE298" s="225"/>
      <c r="AF298" s="222"/>
      <c r="AG298" s="88">
        <f t="shared" si="16"/>
        <v>0</v>
      </c>
      <c r="AH298" s="93">
        <f t="shared" si="17"/>
        <v>0</v>
      </c>
      <c r="AI298" s="90"/>
      <c r="AJ298" s="95"/>
      <c r="AK298" s="94">
        <f t="shared" si="18"/>
        <v>0</v>
      </c>
    </row>
    <row r="299" spans="1:37" x14ac:dyDescent="0.2">
      <c r="A299" s="20">
        <f>+'SERVICIO FAENA'!A298</f>
        <v>0</v>
      </c>
      <c r="B299" s="18">
        <f>+'SERVICIO FAENA'!E298</f>
        <v>0</v>
      </c>
      <c r="C299" s="20">
        <f>+'SERVICIO FAENA'!C298</f>
        <v>0</v>
      </c>
      <c r="D299" s="87"/>
      <c r="E299" s="48"/>
      <c r="F299" s="48"/>
      <c r="G299" s="85"/>
      <c r="H299" s="48"/>
      <c r="I299" s="85"/>
      <c r="J299" s="48"/>
      <c r="K299" s="85"/>
      <c r="L299" s="48"/>
      <c r="M299" s="85"/>
      <c r="N299" s="48"/>
      <c r="O299" s="85"/>
      <c r="P299" s="48"/>
      <c r="Q299" s="85"/>
      <c r="R299" s="48"/>
      <c r="S299" s="85"/>
      <c r="T299" s="48"/>
      <c r="U299" s="85"/>
      <c r="V299" s="48"/>
      <c r="W299" s="85"/>
      <c r="X299" s="48"/>
      <c r="Y299" s="85"/>
      <c r="Z299" s="48"/>
      <c r="AA299" s="85"/>
      <c r="AB299" s="48"/>
      <c r="AC299" s="85"/>
      <c r="AD299" s="224"/>
      <c r="AE299" s="225"/>
      <c r="AF299" s="222"/>
      <c r="AG299" s="88">
        <f t="shared" si="16"/>
        <v>0</v>
      </c>
      <c r="AH299" s="93">
        <f t="shared" si="17"/>
        <v>0</v>
      </c>
      <c r="AI299" s="90"/>
      <c r="AJ299" s="95"/>
      <c r="AK299" s="94">
        <f t="shared" si="18"/>
        <v>0</v>
      </c>
    </row>
    <row r="300" spans="1:37" x14ac:dyDescent="0.2">
      <c r="A300" s="20">
        <f>+'SERVICIO FAENA'!A299</f>
        <v>0</v>
      </c>
      <c r="B300" s="18">
        <f>+'SERVICIO FAENA'!E299</f>
        <v>0</v>
      </c>
      <c r="C300" s="20">
        <f>+'SERVICIO FAENA'!C299</f>
        <v>0</v>
      </c>
      <c r="D300" s="87"/>
      <c r="E300" s="48"/>
      <c r="F300" s="48"/>
      <c r="G300" s="85"/>
      <c r="H300" s="48"/>
      <c r="I300" s="85"/>
      <c r="J300" s="48"/>
      <c r="K300" s="85"/>
      <c r="L300" s="48"/>
      <c r="M300" s="85"/>
      <c r="N300" s="48"/>
      <c r="O300" s="85"/>
      <c r="P300" s="48"/>
      <c r="Q300" s="85"/>
      <c r="R300" s="48"/>
      <c r="S300" s="85"/>
      <c r="T300" s="48"/>
      <c r="U300" s="85"/>
      <c r="V300" s="48"/>
      <c r="W300" s="85"/>
      <c r="X300" s="48"/>
      <c r="Y300" s="85"/>
      <c r="Z300" s="48"/>
      <c r="AA300" s="85"/>
      <c r="AB300" s="48"/>
      <c r="AC300" s="85"/>
      <c r="AD300" s="222"/>
      <c r="AE300" s="223"/>
      <c r="AF300" s="222"/>
      <c r="AG300" s="88">
        <f t="shared" si="16"/>
        <v>0</v>
      </c>
      <c r="AH300" s="93">
        <f t="shared" si="17"/>
        <v>0</v>
      </c>
      <c r="AI300" s="91"/>
      <c r="AJ300" s="96"/>
      <c r="AK300" s="94">
        <f t="shared" si="18"/>
        <v>0</v>
      </c>
    </row>
    <row r="301" spans="1:37" x14ac:dyDescent="0.2">
      <c r="A301" s="20">
        <f>+'SERVICIO FAENA'!A300</f>
        <v>0</v>
      </c>
      <c r="B301" s="18">
        <f>+'SERVICIO FAENA'!E300</f>
        <v>0</v>
      </c>
      <c r="C301" s="20">
        <f>+'SERVICIO FAENA'!C300</f>
        <v>0</v>
      </c>
      <c r="D301" s="87"/>
      <c r="E301" s="48"/>
      <c r="F301" s="48"/>
      <c r="G301" s="85"/>
      <c r="H301" s="48"/>
      <c r="I301" s="85"/>
      <c r="J301" s="48"/>
      <c r="K301" s="85"/>
      <c r="L301" s="48"/>
      <c r="M301" s="85"/>
      <c r="N301" s="48"/>
      <c r="O301" s="85"/>
      <c r="P301" s="48"/>
      <c r="Q301" s="85"/>
      <c r="R301" s="48"/>
      <c r="S301" s="85"/>
      <c r="T301" s="48"/>
      <c r="U301" s="85"/>
      <c r="V301" s="48"/>
      <c r="W301" s="85"/>
      <c r="X301" s="48"/>
      <c r="Y301" s="85"/>
      <c r="Z301" s="48"/>
      <c r="AA301" s="85"/>
      <c r="AB301" s="48"/>
      <c r="AC301" s="85"/>
      <c r="AD301" s="224"/>
      <c r="AE301" s="225"/>
      <c r="AF301" s="222"/>
      <c r="AG301" s="88">
        <f t="shared" si="16"/>
        <v>0</v>
      </c>
      <c r="AH301" s="93">
        <f t="shared" si="17"/>
        <v>0</v>
      </c>
      <c r="AI301" s="90"/>
      <c r="AJ301" s="95"/>
      <c r="AK301" s="94">
        <f t="shared" si="18"/>
        <v>0</v>
      </c>
    </row>
    <row r="302" spans="1:37" x14ac:dyDescent="0.2">
      <c r="A302" s="20">
        <f>+'SERVICIO FAENA'!A301</f>
        <v>0</v>
      </c>
      <c r="B302" s="18">
        <f>+'SERVICIO FAENA'!E301</f>
        <v>0</v>
      </c>
      <c r="C302" s="20">
        <f>+'SERVICIO FAENA'!C301</f>
        <v>0</v>
      </c>
      <c r="D302" s="87"/>
      <c r="E302" s="48"/>
      <c r="F302" s="48"/>
      <c r="G302" s="85"/>
      <c r="H302" s="48"/>
      <c r="I302" s="85"/>
      <c r="J302" s="48"/>
      <c r="K302" s="85"/>
      <c r="L302" s="48"/>
      <c r="M302" s="85"/>
      <c r="N302" s="48"/>
      <c r="O302" s="85"/>
      <c r="P302" s="48"/>
      <c r="Q302" s="85"/>
      <c r="R302" s="48"/>
      <c r="S302" s="85"/>
      <c r="T302" s="48"/>
      <c r="U302" s="85"/>
      <c r="V302" s="48"/>
      <c r="W302" s="85"/>
      <c r="X302" s="48"/>
      <c r="Y302" s="85"/>
      <c r="Z302" s="48"/>
      <c r="AA302" s="85"/>
      <c r="AB302" s="48"/>
      <c r="AC302" s="85"/>
      <c r="AD302" s="224"/>
      <c r="AE302" s="225"/>
      <c r="AF302" s="222"/>
      <c r="AG302" s="88">
        <f t="shared" si="16"/>
        <v>0</v>
      </c>
      <c r="AH302" s="93">
        <f t="shared" si="17"/>
        <v>0</v>
      </c>
      <c r="AI302" s="90"/>
      <c r="AJ302" s="95"/>
      <c r="AK302" s="94">
        <f t="shared" si="18"/>
        <v>0</v>
      </c>
    </row>
    <row r="303" spans="1:37" x14ac:dyDescent="0.2">
      <c r="A303" s="20">
        <f>+'SERVICIO FAENA'!A302</f>
        <v>0</v>
      </c>
      <c r="B303" s="18">
        <f>+'SERVICIO FAENA'!E302</f>
        <v>0</v>
      </c>
      <c r="C303" s="20">
        <f>+'SERVICIO FAENA'!C302</f>
        <v>0</v>
      </c>
      <c r="D303" s="87"/>
      <c r="E303" s="48"/>
      <c r="F303" s="48"/>
      <c r="G303" s="85"/>
      <c r="H303" s="48"/>
      <c r="I303" s="85"/>
      <c r="J303" s="48"/>
      <c r="K303" s="85"/>
      <c r="L303" s="48"/>
      <c r="M303" s="85"/>
      <c r="N303" s="48"/>
      <c r="O303" s="85"/>
      <c r="P303" s="48"/>
      <c r="Q303" s="85"/>
      <c r="R303" s="48"/>
      <c r="S303" s="85"/>
      <c r="T303" s="48"/>
      <c r="U303" s="85"/>
      <c r="V303" s="48"/>
      <c r="W303" s="85"/>
      <c r="X303" s="48"/>
      <c r="Y303" s="85"/>
      <c r="Z303" s="48"/>
      <c r="AA303" s="85"/>
      <c r="AB303" s="48"/>
      <c r="AC303" s="85"/>
      <c r="AD303" s="222"/>
      <c r="AE303" s="223"/>
      <c r="AF303" s="222"/>
      <c r="AG303" s="88">
        <f t="shared" si="16"/>
        <v>0</v>
      </c>
      <c r="AH303" s="93">
        <f t="shared" si="17"/>
        <v>0</v>
      </c>
      <c r="AI303" s="91"/>
      <c r="AJ303" s="96"/>
      <c r="AK303" s="94">
        <f t="shared" si="18"/>
        <v>0</v>
      </c>
    </row>
    <row r="304" spans="1:37" x14ac:dyDescent="0.2">
      <c r="A304" s="20">
        <f>+'SERVICIO FAENA'!A303</f>
        <v>0</v>
      </c>
      <c r="B304" s="18">
        <f>+'SERVICIO FAENA'!E303</f>
        <v>0</v>
      </c>
      <c r="C304" s="20">
        <f>+'SERVICIO FAENA'!C303</f>
        <v>0</v>
      </c>
      <c r="D304" s="87"/>
      <c r="E304" s="48"/>
      <c r="F304" s="48"/>
      <c r="G304" s="85"/>
      <c r="H304" s="48"/>
      <c r="I304" s="85"/>
      <c r="J304" s="48"/>
      <c r="K304" s="85"/>
      <c r="L304" s="48"/>
      <c r="M304" s="85"/>
      <c r="N304" s="48"/>
      <c r="O304" s="85"/>
      <c r="P304" s="48"/>
      <c r="Q304" s="85"/>
      <c r="R304" s="48"/>
      <c r="S304" s="85"/>
      <c r="T304" s="48"/>
      <c r="U304" s="85"/>
      <c r="V304" s="48"/>
      <c r="W304" s="85"/>
      <c r="X304" s="48"/>
      <c r="Y304" s="85"/>
      <c r="Z304" s="48"/>
      <c r="AA304" s="85"/>
      <c r="AB304" s="48"/>
      <c r="AC304" s="85"/>
      <c r="AD304" s="224"/>
      <c r="AE304" s="225"/>
      <c r="AF304" s="222"/>
      <c r="AG304" s="88">
        <f t="shared" si="16"/>
        <v>0</v>
      </c>
      <c r="AH304" s="93">
        <f t="shared" si="17"/>
        <v>0</v>
      </c>
      <c r="AI304" s="90"/>
      <c r="AJ304" s="95"/>
      <c r="AK304" s="94">
        <f t="shared" si="18"/>
        <v>0</v>
      </c>
    </row>
    <row r="305" spans="1:37" x14ac:dyDescent="0.2">
      <c r="A305" s="20">
        <f>+'SERVICIO FAENA'!A304</f>
        <v>0</v>
      </c>
      <c r="B305" s="18">
        <f>+'SERVICIO FAENA'!E304</f>
        <v>0</v>
      </c>
      <c r="C305" s="20">
        <f>+'SERVICIO FAENA'!C304</f>
        <v>0</v>
      </c>
      <c r="D305" s="87"/>
      <c r="E305" s="48"/>
      <c r="F305" s="48"/>
      <c r="G305" s="85"/>
      <c r="H305" s="48"/>
      <c r="I305" s="85"/>
      <c r="J305" s="48"/>
      <c r="K305" s="85"/>
      <c r="L305" s="48"/>
      <c r="M305" s="85"/>
      <c r="N305" s="48"/>
      <c r="O305" s="85"/>
      <c r="P305" s="48"/>
      <c r="Q305" s="85"/>
      <c r="R305" s="48"/>
      <c r="S305" s="85"/>
      <c r="T305" s="48"/>
      <c r="U305" s="85"/>
      <c r="V305" s="48"/>
      <c r="W305" s="85"/>
      <c r="X305" s="48"/>
      <c r="Y305" s="85"/>
      <c r="Z305" s="48"/>
      <c r="AA305" s="85"/>
      <c r="AB305" s="48"/>
      <c r="AC305" s="85"/>
      <c r="AD305" s="224"/>
      <c r="AE305" s="225"/>
      <c r="AF305" s="222"/>
      <c r="AG305" s="88">
        <f t="shared" si="16"/>
        <v>0</v>
      </c>
      <c r="AH305" s="93">
        <f t="shared" si="17"/>
        <v>0</v>
      </c>
      <c r="AI305" s="90"/>
      <c r="AJ305" s="95"/>
      <c r="AK305" s="94">
        <f t="shared" si="18"/>
        <v>0</v>
      </c>
    </row>
    <row r="306" spans="1:37" x14ac:dyDescent="0.2">
      <c r="A306" s="20">
        <f>+'SERVICIO FAENA'!A305</f>
        <v>0</v>
      </c>
      <c r="B306" s="18">
        <f>+'SERVICIO FAENA'!E305</f>
        <v>0</v>
      </c>
      <c r="C306" s="20">
        <f>+'SERVICIO FAENA'!C305</f>
        <v>0</v>
      </c>
      <c r="D306" s="87"/>
      <c r="E306" s="48"/>
      <c r="F306" s="48"/>
      <c r="G306" s="85"/>
      <c r="H306" s="48"/>
      <c r="I306" s="85"/>
      <c r="J306" s="48"/>
      <c r="K306" s="85"/>
      <c r="L306" s="48"/>
      <c r="M306" s="85"/>
      <c r="N306" s="48"/>
      <c r="O306" s="85"/>
      <c r="P306" s="48"/>
      <c r="Q306" s="85"/>
      <c r="R306" s="48"/>
      <c r="S306" s="85"/>
      <c r="T306" s="48"/>
      <c r="U306" s="85"/>
      <c r="V306" s="48"/>
      <c r="W306" s="85"/>
      <c r="X306" s="48"/>
      <c r="Y306" s="85"/>
      <c r="Z306" s="48"/>
      <c r="AA306" s="85"/>
      <c r="AB306" s="48"/>
      <c r="AC306" s="85"/>
      <c r="AD306" s="222"/>
      <c r="AE306" s="223"/>
      <c r="AF306" s="222"/>
      <c r="AG306" s="88">
        <f t="shared" si="16"/>
        <v>0</v>
      </c>
      <c r="AH306" s="93">
        <f t="shared" si="17"/>
        <v>0</v>
      </c>
      <c r="AI306" s="91"/>
      <c r="AJ306" s="96"/>
      <c r="AK306" s="94">
        <f t="shared" si="18"/>
        <v>0</v>
      </c>
    </row>
    <row r="307" spans="1:37" x14ac:dyDescent="0.2">
      <c r="A307" s="20">
        <f>+'SERVICIO FAENA'!A306</f>
        <v>0</v>
      </c>
      <c r="B307" s="18">
        <f>+'SERVICIO FAENA'!E306</f>
        <v>0</v>
      </c>
      <c r="C307" s="20">
        <f>+'SERVICIO FAENA'!C306</f>
        <v>0</v>
      </c>
      <c r="D307" s="87"/>
      <c r="E307" s="48"/>
      <c r="F307" s="48"/>
      <c r="G307" s="85"/>
      <c r="H307" s="48"/>
      <c r="I307" s="85"/>
      <c r="J307" s="48"/>
      <c r="K307" s="85"/>
      <c r="L307" s="48"/>
      <c r="M307" s="85"/>
      <c r="N307" s="48"/>
      <c r="O307" s="85"/>
      <c r="P307" s="48"/>
      <c r="Q307" s="85"/>
      <c r="R307" s="48"/>
      <c r="S307" s="85"/>
      <c r="T307" s="48"/>
      <c r="U307" s="85"/>
      <c r="V307" s="48"/>
      <c r="W307" s="85"/>
      <c r="X307" s="48"/>
      <c r="Y307" s="85"/>
      <c r="Z307" s="48"/>
      <c r="AA307" s="85"/>
      <c r="AB307" s="48"/>
      <c r="AC307" s="85"/>
      <c r="AD307" s="224"/>
      <c r="AE307" s="225"/>
      <c r="AF307" s="222"/>
      <c r="AG307" s="88">
        <f t="shared" si="16"/>
        <v>0</v>
      </c>
      <c r="AH307" s="93">
        <f t="shared" si="17"/>
        <v>0</v>
      </c>
      <c r="AI307" s="90"/>
      <c r="AJ307" s="95"/>
      <c r="AK307" s="94">
        <f t="shared" si="18"/>
        <v>0</v>
      </c>
    </row>
    <row r="308" spans="1:37" x14ac:dyDescent="0.2">
      <c r="A308" s="20">
        <f>+'SERVICIO FAENA'!A307</f>
        <v>0</v>
      </c>
      <c r="B308" s="18">
        <f>+'SERVICIO FAENA'!E307</f>
        <v>0</v>
      </c>
      <c r="C308" s="20">
        <f>+'SERVICIO FAENA'!C307</f>
        <v>0</v>
      </c>
      <c r="D308" s="87"/>
      <c r="E308" s="48"/>
      <c r="F308" s="48"/>
      <c r="G308" s="85"/>
      <c r="H308" s="48"/>
      <c r="I308" s="85"/>
      <c r="J308" s="48"/>
      <c r="K308" s="85"/>
      <c r="L308" s="48"/>
      <c r="M308" s="85"/>
      <c r="N308" s="48"/>
      <c r="O308" s="85"/>
      <c r="P308" s="48"/>
      <c r="Q308" s="85"/>
      <c r="R308" s="48"/>
      <c r="S308" s="85"/>
      <c r="T308" s="48"/>
      <c r="U308" s="85"/>
      <c r="V308" s="48"/>
      <c r="W308" s="85"/>
      <c r="X308" s="48"/>
      <c r="Y308" s="85"/>
      <c r="Z308" s="48"/>
      <c r="AA308" s="85"/>
      <c r="AB308" s="48"/>
      <c r="AC308" s="85"/>
      <c r="AD308" s="224"/>
      <c r="AE308" s="225"/>
      <c r="AF308" s="222"/>
      <c r="AG308" s="88">
        <f t="shared" si="16"/>
        <v>0</v>
      </c>
      <c r="AH308" s="93">
        <f t="shared" si="17"/>
        <v>0</v>
      </c>
      <c r="AI308" s="90"/>
      <c r="AJ308" s="95"/>
      <c r="AK308" s="94">
        <f t="shared" si="18"/>
        <v>0</v>
      </c>
    </row>
    <row r="309" spans="1:37" x14ac:dyDescent="0.2">
      <c r="A309" s="20">
        <f>+'SERVICIO FAENA'!A308</f>
        <v>0</v>
      </c>
      <c r="B309" s="18">
        <f>+'SERVICIO FAENA'!E308</f>
        <v>0</v>
      </c>
      <c r="C309" s="20">
        <f>+'SERVICIO FAENA'!C308</f>
        <v>0</v>
      </c>
      <c r="D309" s="87"/>
      <c r="E309" s="48"/>
      <c r="F309" s="48"/>
      <c r="G309" s="85"/>
      <c r="H309" s="48"/>
      <c r="I309" s="85"/>
      <c r="J309" s="48"/>
      <c r="K309" s="85"/>
      <c r="L309" s="48"/>
      <c r="M309" s="85"/>
      <c r="N309" s="48"/>
      <c r="O309" s="85"/>
      <c r="P309" s="48"/>
      <c r="Q309" s="85"/>
      <c r="R309" s="48"/>
      <c r="S309" s="85"/>
      <c r="T309" s="48"/>
      <c r="U309" s="85"/>
      <c r="V309" s="48"/>
      <c r="W309" s="85"/>
      <c r="X309" s="48"/>
      <c r="Y309" s="85"/>
      <c r="Z309" s="48"/>
      <c r="AA309" s="85"/>
      <c r="AB309" s="48"/>
      <c r="AC309" s="85"/>
      <c r="AD309" s="222"/>
      <c r="AE309" s="223"/>
      <c r="AF309" s="222"/>
      <c r="AG309" s="88">
        <f t="shared" si="16"/>
        <v>0</v>
      </c>
      <c r="AH309" s="93">
        <f t="shared" si="17"/>
        <v>0</v>
      </c>
      <c r="AI309" s="91"/>
      <c r="AJ309" s="96"/>
      <c r="AK309" s="94">
        <f t="shared" si="18"/>
        <v>0</v>
      </c>
    </row>
    <row r="310" spans="1:37" x14ac:dyDescent="0.2">
      <c r="A310" s="20">
        <f>+'SERVICIO FAENA'!A309</f>
        <v>0</v>
      </c>
      <c r="B310" s="18">
        <f>+'SERVICIO FAENA'!E309</f>
        <v>0</v>
      </c>
      <c r="C310" s="20">
        <f>+'SERVICIO FAENA'!C309</f>
        <v>0</v>
      </c>
      <c r="D310" s="87"/>
      <c r="E310" s="48"/>
      <c r="F310" s="48"/>
      <c r="G310" s="85"/>
      <c r="H310" s="48"/>
      <c r="I310" s="85"/>
      <c r="J310" s="48"/>
      <c r="K310" s="85"/>
      <c r="L310" s="48"/>
      <c r="M310" s="85"/>
      <c r="N310" s="48"/>
      <c r="O310" s="85"/>
      <c r="P310" s="48"/>
      <c r="Q310" s="85"/>
      <c r="R310" s="48"/>
      <c r="S310" s="85"/>
      <c r="T310" s="48"/>
      <c r="U310" s="85"/>
      <c r="V310" s="48"/>
      <c r="W310" s="85"/>
      <c r="X310" s="48"/>
      <c r="Y310" s="85"/>
      <c r="Z310" s="48"/>
      <c r="AA310" s="85"/>
      <c r="AB310" s="48"/>
      <c r="AC310" s="85"/>
      <c r="AD310" s="224"/>
      <c r="AE310" s="225"/>
      <c r="AF310" s="222"/>
      <c r="AG310" s="88">
        <f t="shared" si="16"/>
        <v>0</v>
      </c>
      <c r="AH310" s="93">
        <f t="shared" si="17"/>
        <v>0</v>
      </c>
      <c r="AI310" s="90"/>
      <c r="AJ310" s="95"/>
      <c r="AK310" s="94">
        <f t="shared" si="18"/>
        <v>0</v>
      </c>
    </row>
    <row r="311" spans="1:37" x14ac:dyDescent="0.2">
      <c r="A311" s="20">
        <f>+'SERVICIO FAENA'!A310</f>
        <v>0</v>
      </c>
      <c r="B311" s="18">
        <f>+'SERVICIO FAENA'!E310</f>
        <v>0</v>
      </c>
      <c r="C311" s="20">
        <f>+'SERVICIO FAENA'!C310</f>
        <v>0</v>
      </c>
      <c r="D311" s="87"/>
      <c r="E311" s="48"/>
      <c r="F311" s="48"/>
      <c r="G311" s="85"/>
      <c r="H311" s="48"/>
      <c r="I311" s="85"/>
      <c r="J311" s="48"/>
      <c r="K311" s="85"/>
      <c r="L311" s="48"/>
      <c r="M311" s="85"/>
      <c r="N311" s="48"/>
      <c r="O311" s="85"/>
      <c r="P311" s="48"/>
      <c r="Q311" s="85"/>
      <c r="R311" s="48"/>
      <c r="S311" s="85"/>
      <c r="T311" s="48"/>
      <c r="U311" s="85"/>
      <c r="V311" s="48"/>
      <c r="W311" s="85"/>
      <c r="X311" s="48"/>
      <c r="Y311" s="85"/>
      <c r="Z311" s="48"/>
      <c r="AA311" s="85"/>
      <c r="AB311" s="48"/>
      <c r="AC311" s="85"/>
      <c r="AD311" s="224"/>
      <c r="AE311" s="225"/>
      <c r="AF311" s="222"/>
      <c r="AG311" s="88">
        <f t="shared" si="16"/>
        <v>0</v>
      </c>
      <c r="AH311" s="93">
        <f t="shared" si="17"/>
        <v>0</v>
      </c>
      <c r="AI311" s="90"/>
      <c r="AJ311" s="95"/>
      <c r="AK311" s="94">
        <f t="shared" si="18"/>
        <v>0</v>
      </c>
    </row>
    <row r="312" spans="1:37" x14ac:dyDescent="0.2">
      <c r="A312" s="20">
        <f>+'SERVICIO FAENA'!A311</f>
        <v>0</v>
      </c>
      <c r="B312" s="18">
        <f>+'SERVICIO FAENA'!E311</f>
        <v>0</v>
      </c>
      <c r="C312" s="20">
        <f>+'SERVICIO FAENA'!C311</f>
        <v>0</v>
      </c>
      <c r="D312" s="87"/>
      <c r="E312" s="48"/>
      <c r="F312" s="48"/>
      <c r="G312" s="85"/>
      <c r="H312" s="48"/>
      <c r="I312" s="85"/>
      <c r="J312" s="48"/>
      <c r="K312" s="85"/>
      <c r="L312" s="48"/>
      <c r="M312" s="85"/>
      <c r="N312" s="48"/>
      <c r="O312" s="85"/>
      <c r="P312" s="48"/>
      <c r="Q312" s="85"/>
      <c r="R312" s="48"/>
      <c r="S312" s="85"/>
      <c r="T312" s="48"/>
      <c r="U312" s="85"/>
      <c r="V312" s="48"/>
      <c r="W312" s="85"/>
      <c r="X312" s="48"/>
      <c r="Y312" s="85"/>
      <c r="Z312" s="48"/>
      <c r="AA312" s="85"/>
      <c r="AB312" s="48"/>
      <c r="AC312" s="85"/>
      <c r="AD312" s="222"/>
      <c r="AE312" s="223"/>
      <c r="AF312" s="222"/>
      <c r="AG312" s="88">
        <f t="shared" si="16"/>
        <v>0</v>
      </c>
      <c r="AH312" s="93">
        <f t="shared" si="17"/>
        <v>0</v>
      </c>
      <c r="AI312" s="91"/>
      <c r="AJ312" s="96"/>
      <c r="AK312" s="94">
        <f t="shared" si="18"/>
        <v>0</v>
      </c>
    </row>
    <row r="313" spans="1:37" x14ac:dyDescent="0.2">
      <c r="A313" s="20">
        <f>+'SERVICIO FAENA'!A312</f>
        <v>0</v>
      </c>
      <c r="B313" s="18">
        <f>+'SERVICIO FAENA'!E312</f>
        <v>0</v>
      </c>
      <c r="C313" s="20">
        <f>+'SERVICIO FAENA'!C312</f>
        <v>0</v>
      </c>
      <c r="D313" s="87"/>
      <c r="E313" s="48"/>
      <c r="F313" s="48"/>
      <c r="G313" s="85"/>
      <c r="H313" s="48"/>
      <c r="I313" s="85"/>
      <c r="J313" s="48"/>
      <c r="K313" s="85"/>
      <c r="L313" s="48"/>
      <c r="M313" s="85"/>
      <c r="N313" s="48"/>
      <c r="O313" s="85"/>
      <c r="P313" s="48"/>
      <c r="Q313" s="85"/>
      <c r="R313" s="48"/>
      <c r="S313" s="85"/>
      <c r="T313" s="48"/>
      <c r="U313" s="85"/>
      <c r="V313" s="48"/>
      <c r="W313" s="85"/>
      <c r="X313" s="48"/>
      <c r="Y313" s="85"/>
      <c r="Z313" s="48"/>
      <c r="AA313" s="85"/>
      <c r="AB313" s="48"/>
      <c r="AC313" s="85"/>
      <c r="AD313" s="224"/>
      <c r="AE313" s="225"/>
      <c r="AF313" s="222"/>
      <c r="AG313" s="88">
        <f t="shared" si="16"/>
        <v>0</v>
      </c>
      <c r="AH313" s="93">
        <f t="shared" si="17"/>
        <v>0</v>
      </c>
      <c r="AI313" s="90"/>
      <c r="AJ313" s="95"/>
      <c r="AK313" s="94">
        <f t="shared" si="18"/>
        <v>0</v>
      </c>
    </row>
    <row r="314" spans="1:37" x14ac:dyDescent="0.2">
      <c r="A314" s="20">
        <f>+'SERVICIO FAENA'!A313</f>
        <v>0</v>
      </c>
      <c r="B314" s="18">
        <f>+'SERVICIO FAENA'!E313</f>
        <v>0</v>
      </c>
      <c r="C314" s="20">
        <f>+'SERVICIO FAENA'!C313</f>
        <v>0</v>
      </c>
      <c r="D314" s="87"/>
      <c r="E314" s="48"/>
      <c r="F314" s="48"/>
      <c r="G314" s="85"/>
      <c r="H314" s="48"/>
      <c r="I314" s="85"/>
      <c r="J314" s="48"/>
      <c r="K314" s="85"/>
      <c r="L314" s="48"/>
      <c r="M314" s="85"/>
      <c r="N314" s="48"/>
      <c r="O314" s="85"/>
      <c r="P314" s="48"/>
      <c r="Q314" s="85"/>
      <c r="R314" s="48"/>
      <c r="S314" s="85"/>
      <c r="T314" s="48"/>
      <c r="U314" s="85"/>
      <c r="V314" s="48"/>
      <c r="W314" s="85"/>
      <c r="X314" s="48"/>
      <c r="Y314" s="85"/>
      <c r="Z314" s="48"/>
      <c r="AA314" s="85"/>
      <c r="AB314" s="48"/>
      <c r="AC314" s="85"/>
      <c r="AD314" s="224"/>
      <c r="AE314" s="225"/>
      <c r="AF314" s="222"/>
      <c r="AG314" s="88">
        <f t="shared" si="16"/>
        <v>0</v>
      </c>
      <c r="AH314" s="93">
        <f t="shared" si="17"/>
        <v>0</v>
      </c>
      <c r="AI314" s="90"/>
      <c r="AJ314" s="95"/>
      <c r="AK314" s="94">
        <f t="shared" si="18"/>
        <v>0</v>
      </c>
    </row>
    <row r="315" spans="1:37" x14ac:dyDescent="0.2">
      <c r="A315" s="20">
        <f>+'SERVICIO FAENA'!A314</f>
        <v>0</v>
      </c>
      <c r="B315" s="18">
        <f>+'SERVICIO FAENA'!E314</f>
        <v>0</v>
      </c>
      <c r="C315" s="20">
        <f>+'SERVICIO FAENA'!C314</f>
        <v>0</v>
      </c>
      <c r="D315" s="87"/>
      <c r="E315" s="48"/>
      <c r="F315" s="48"/>
      <c r="G315" s="85"/>
      <c r="H315" s="48"/>
      <c r="I315" s="85"/>
      <c r="J315" s="48"/>
      <c r="K315" s="85"/>
      <c r="L315" s="48"/>
      <c r="M315" s="85"/>
      <c r="N315" s="48"/>
      <c r="O315" s="85"/>
      <c r="P315" s="48"/>
      <c r="Q315" s="85"/>
      <c r="R315" s="48"/>
      <c r="S315" s="85"/>
      <c r="T315" s="48"/>
      <c r="U315" s="85"/>
      <c r="V315" s="48"/>
      <c r="W315" s="85"/>
      <c r="X315" s="48"/>
      <c r="Y315" s="85"/>
      <c r="Z315" s="48"/>
      <c r="AA315" s="85"/>
      <c r="AB315" s="48"/>
      <c r="AC315" s="85"/>
      <c r="AD315" s="222"/>
      <c r="AE315" s="223"/>
      <c r="AF315" s="222"/>
      <c r="AG315" s="88">
        <f t="shared" si="16"/>
        <v>0</v>
      </c>
      <c r="AH315" s="93">
        <f t="shared" si="17"/>
        <v>0</v>
      </c>
      <c r="AI315" s="91"/>
      <c r="AJ315" s="96"/>
      <c r="AK315" s="94">
        <f t="shared" si="18"/>
        <v>0</v>
      </c>
    </row>
    <row r="316" spans="1:37" x14ac:dyDescent="0.2">
      <c r="A316" s="20">
        <f>+'SERVICIO FAENA'!A315</f>
        <v>0</v>
      </c>
      <c r="B316" s="18">
        <f>+'SERVICIO FAENA'!E315</f>
        <v>0</v>
      </c>
      <c r="C316" s="20">
        <f>+'SERVICIO FAENA'!C315</f>
        <v>0</v>
      </c>
      <c r="D316" s="87"/>
      <c r="E316" s="48"/>
      <c r="F316" s="48"/>
      <c r="G316" s="85"/>
      <c r="H316" s="48"/>
      <c r="I316" s="85"/>
      <c r="J316" s="48"/>
      <c r="K316" s="85"/>
      <c r="L316" s="48"/>
      <c r="M316" s="85"/>
      <c r="N316" s="48"/>
      <c r="O316" s="85"/>
      <c r="P316" s="48"/>
      <c r="Q316" s="85"/>
      <c r="R316" s="48"/>
      <c r="S316" s="85"/>
      <c r="T316" s="48"/>
      <c r="U316" s="85"/>
      <c r="V316" s="48"/>
      <c r="W316" s="85"/>
      <c r="X316" s="48"/>
      <c r="Y316" s="85"/>
      <c r="Z316" s="48"/>
      <c r="AA316" s="85"/>
      <c r="AB316" s="48"/>
      <c r="AC316" s="85"/>
      <c r="AD316" s="224"/>
      <c r="AE316" s="225"/>
      <c r="AF316" s="222"/>
      <c r="AG316" s="88">
        <f t="shared" si="16"/>
        <v>0</v>
      </c>
      <c r="AH316" s="93">
        <f t="shared" si="17"/>
        <v>0</v>
      </c>
      <c r="AI316" s="90"/>
      <c r="AJ316" s="95"/>
      <c r="AK316" s="94">
        <f t="shared" si="18"/>
        <v>0</v>
      </c>
    </row>
    <row r="317" spans="1:37" x14ac:dyDescent="0.2">
      <c r="A317" s="20">
        <f>+'SERVICIO FAENA'!A316</f>
        <v>0</v>
      </c>
      <c r="B317" s="18">
        <f>+'SERVICIO FAENA'!E316</f>
        <v>0</v>
      </c>
      <c r="C317" s="20">
        <f>+'SERVICIO FAENA'!C316</f>
        <v>0</v>
      </c>
      <c r="D317" s="87"/>
      <c r="E317" s="48"/>
      <c r="F317" s="48"/>
      <c r="G317" s="85"/>
      <c r="H317" s="48"/>
      <c r="I317" s="85"/>
      <c r="J317" s="48"/>
      <c r="K317" s="85"/>
      <c r="L317" s="48"/>
      <c r="M317" s="85"/>
      <c r="N317" s="48"/>
      <c r="O317" s="85"/>
      <c r="P317" s="48"/>
      <c r="Q317" s="85"/>
      <c r="R317" s="48"/>
      <c r="S317" s="85"/>
      <c r="T317" s="48"/>
      <c r="U317" s="85"/>
      <c r="V317" s="48"/>
      <c r="W317" s="85"/>
      <c r="X317" s="48"/>
      <c r="Y317" s="85"/>
      <c r="Z317" s="48"/>
      <c r="AA317" s="85"/>
      <c r="AB317" s="48"/>
      <c r="AC317" s="85"/>
      <c r="AD317" s="224"/>
      <c r="AE317" s="225"/>
      <c r="AF317" s="222"/>
      <c r="AG317" s="88">
        <f t="shared" si="16"/>
        <v>0</v>
      </c>
      <c r="AH317" s="93">
        <f t="shared" si="17"/>
        <v>0</v>
      </c>
      <c r="AI317" s="90"/>
      <c r="AJ317" s="95"/>
      <c r="AK317" s="94">
        <f t="shared" si="18"/>
        <v>0</v>
      </c>
    </row>
    <row r="318" spans="1:37" x14ac:dyDescent="0.2">
      <c r="A318" s="20">
        <f>+'SERVICIO FAENA'!A317</f>
        <v>0</v>
      </c>
      <c r="B318" s="18">
        <f>+'SERVICIO FAENA'!E317</f>
        <v>0</v>
      </c>
      <c r="C318" s="20">
        <f>+'SERVICIO FAENA'!C317</f>
        <v>0</v>
      </c>
      <c r="D318" s="87"/>
      <c r="E318" s="48"/>
      <c r="F318" s="48"/>
      <c r="G318" s="85"/>
      <c r="H318" s="48"/>
      <c r="I318" s="85"/>
      <c r="J318" s="48"/>
      <c r="K318" s="85"/>
      <c r="L318" s="48"/>
      <c r="M318" s="85"/>
      <c r="N318" s="48"/>
      <c r="O318" s="85"/>
      <c r="P318" s="48"/>
      <c r="Q318" s="85"/>
      <c r="R318" s="48"/>
      <c r="S318" s="85"/>
      <c r="T318" s="48"/>
      <c r="U318" s="85"/>
      <c r="V318" s="48"/>
      <c r="W318" s="85"/>
      <c r="X318" s="48"/>
      <c r="Y318" s="85"/>
      <c r="Z318" s="48"/>
      <c r="AA318" s="85"/>
      <c r="AB318" s="48"/>
      <c r="AC318" s="85"/>
      <c r="AD318" s="222"/>
      <c r="AE318" s="223"/>
      <c r="AF318" s="222"/>
      <c r="AG318" s="88">
        <f t="shared" si="16"/>
        <v>0</v>
      </c>
      <c r="AH318" s="93">
        <f t="shared" si="17"/>
        <v>0</v>
      </c>
      <c r="AI318" s="91"/>
      <c r="AJ318" s="96"/>
      <c r="AK318" s="94">
        <f t="shared" si="18"/>
        <v>0</v>
      </c>
    </row>
    <row r="319" spans="1:37" x14ac:dyDescent="0.2">
      <c r="A319" s="20">
        <f>+'SERVICIO FAENA'!A318</f>
        <v>0</v>
      </c>
      <c r="B319" s="18">
        <f>+'SERVICIO FAENA'!E318</f>
        <v>0</v>
      </c>
      <c r="C319" s="20">
        <f>+'SERVICIO FAENA'!C318</f>
        <v>0</v>
      </c>
      <c r="D319" s="87"/>
      <c r="E319" s="48"/>
      <c r="F319" s="48"/>
      <c r="G319" s="85"/>
      <c r="H319" s="48"/>
      <c r="I319" s="85"/>
      <c r="J319" s="48"/>
      <c r="K319" s="85"/>
      <c r="L319" s="48"/>
      <c r="M319" s="85"/>
      <c r="N319" s="48"/>
      <c r="O319" s="85"/>
      <c r="P319" s="48"/>
      <c r="Q319" s="85"/>
      <c r="R319" s="48"/>
      <c r="S319" s="85"/>
      <c r="T319" s="48"/>
      <c r="U319" s="85"/>
      <c r="V319" s="48"/>
      <c r="W319" s="85"/>
      <c r="X319" s="48"/>
      <c r="Y319" s="85"/>
      <c r="Z319" s="48"/>
      <c r="AA319" s="85"/>
      <c r="AB319" s="48"/>
      <c r="AC319" s="85"/>
      <c r="AD319" s="224"/>
      <c r="AE319" s="225"/>
      <c r="AF319" s="222"/>
      <c r="AG319" s="88">
        <f t="shared" si="16"/>
        <v>0</v>
      </c>
      <c r="AH319" s="93">
        <f t="shared" si="17"/>
        <v>0</v>
      </c>
      <c r="AI319" s="90"/>
      <c r="AJ319" s="95"/>
      <c r="AK319" s="94">
        <f t="shared" si="18"/>
        <v>0</v>
      </c>
    </row>
    <row r="320" spans="1:37" x14ac:dyDescent="0.2">
      <c r="A320" s="20">
        <f>+'SERVICIO FAENA'!A319</f>
        <v>0</v>
      </c>
      <c r="B320" s="18">
        <f>+'SERVICIO FAENA'!E319</f>
        <v>0</v>
      </c>
      <c r="C320" s="20">
        <f>+'SERVICIO FAENA'!C319</f>
        <v>0</v>
      </c>
      <c r="D320" s="87"/>
      <c r="E320" s="48"/>
      <c r="F320" s="48"/>
      <c r="G320" s="85"/>
      <c r="H320" s="48"/>
      <c r="I320" s="85"/>
      <c r="J320" s="48"/>
      <c r="K320" s="85"/>
      <c r="L320" s="48"/>
      <c r="M320" s="85"/>
      <c r="N320" s="48"/>
      <c r="O320" s="85"/>
      <c r="P320" s="48"/>
      <c r="Q320" s="85"/>
      <c r="R320" s="48"/>
      <c r="S320" s="85"/>
      <c r="T320" s="48"/>
      <c r="U320" s="85"/>
      <c r="V320" s="48"/>
      <c r="W320" s="85"/>
      <c r="X320" s="48"/>
      <c r="Y320" s="85"/>
      <c r="Z320" s="48"/>
      <c r="AA320" s="85"/>
      <c r="AB320" s="48"/>
      <c r="AC320" s="85"/>
      <c r="AD320" s="224"/>
      <c r="AE320" s="225"/>
      <c r="AF320" s="222"/>
      <c r="AG320" s="88">
        <f t="shared" si="16"/>
        <v>0</v>
      </c>
      <c r="AH320" s="93">
        <f t="shared" si="17"/>
        <v>0</v>
      </c>
      <c r="AI320" s="90"/>
      <c r="AJ320" s="95"/>
      <c r="AK320" s="94">
        <f t="shared" si="18"/>
        <v>0</v>
      </c>
    </row>
    <row r="321" spans="1:37" x14ac:dyDescent="0.2">
      <c r="A321" s="20">
        <f>+'SERVICIO FAENA'!A320</f>
        <v>0</v>
      </c>
      <c r="B321" s="18">
        <f>+'SERVICIO FAENA'!E320</f>
        <v>0</v>
      </c>
      <c r="C321" s="20">
        <f>+'SERVICIO FAENA'!C320</f>
        <v>0</v>
      </c>
      <c r="D321" s="87"/>
      <c r="E321" s="48"/>
      <c r="F321" s="48"/>
      <c r="G321" s="85"/>
      <c r="H321" s="48"/>
      <c r="I321" s="85"/>
      <c r="J321" s="48"/>
      <c r="K321" s="85"/>
      <c r="L321" s="48"/>
      <c r="M321" s="85"/>
      <c r="N321" s="48"/>
      <c r="O321" s="85"/>
      <c r="P321" s="48"/>
      <c r="Q321" s="85"/>
      <c r="R321" s="48"/>
      <c r="S321" s="85"/>
      <c r="T321" s="48"/>
      <c r="U321" s="85"/>
      <c r="V321" s="48"/>
      <c r="W321" s="85"/>
      <c r="X321" s="48"/>
      <c r="Y321" s="85"/>
      <c r="Z321" s="48"/>
      <c r="AA321" s="85"/>
      <c r="AB321" s="48"/>
      <c r="AC321" s="85"/>
      <c r="AD321" s="222"/>
      <c r="AE321" s="223"/>
      <c r="AF321" s="222"/>
      <c r="AG321" s="88">
        <f t="shared" si="16"/>
        <v>0</v>
      </c>
      <c r="AH321" s="93">
        <f t="shared" si="17"/>
        <v>0</v>
      </c>
      <c r="AI321" s="91"/>
      <c r="AJ321" s="96"/>
      <c r="AK321" s="94">
        <f t="shared" si="18"/>
        <v>0</v>
      </c>
    </row>
    <row r="322" spans="1:37" x14ac:dyDescent="0.2">
      <c r="A322" s="20">
        <f>+'SERVICIO FAENA'!A321</f>
        <v>0</v>
      </c>
      <c r="B322" s="18">
        <f>+'SERVICIO FAENA'!E321</f>
        <v>0</v>
      </c>
      <c r="C322" s="20">
        <f>+'SERVICIO FAENA'!C321</f>
        <v>0</v>
      </c>
      <c r="D322" s="87"/>
      <c r="E322" s="48"/>
      <c r="F322" s="48"/>
      <c r="G322" s="85"/>
      <c r="H322" s="48"/>
      <c r="I322" s="85"/>
      <c r="J322" s="48"/>
      <c r="K322" s="85"/>
      <c r="L322" s="48"/>
      <c r="M322" s="85"/>
      <c r="N322" s="48"/>
      <c r="O322" s="85"/>
      <c r="P322" s="48"/>
      <c r="Q322" s="85"/>
      <c r="R322" s="48"/>
      <c r="S322" s="85"/>
      <c r="T322" s="48"/>
      <c r="U322" s="85"/>
      <c r="V322" s="48"/>
      <c r="W322" s="85"/>
      <c r="X322" s="48"/>
      <c r="Y322" s="85"/>
      <c r="Z322" s="48"/>
      <c r="AA322" s="85"/>
      <c r="AB322" s="48"/>
      <c r="AC322" s="85"/>
      <c r="AD322" s="224"/>
      <c r="AE322" s="225"/>
      <c r="AF322" s="222"/>
      <c r="AG322" s="88">
        <f t="shared" si="16"/>
        <v>0</v>
      </c>
      <c r="AH322" s="93">
        <f t="shared" si="17"/>
        <v>0</v>
      </c>
      <c r="AI322" s="90"/>
      <c r="AJ322" s="95"/>
      <c r="AK322" s="94">
        <f t="shared" si="18"/>
        <v>0</v>
      </c>
    </row>
    <row r="323" spans="1:37" x14ac:dyDescent="0.2">
      <c r="A323" s="20">
        <f>+'SERVICIO FAENA'!A322</f>
        <v>0</v>
      </c>
      <c r="B323" s="18">
        <f>+'SERVICIO FAENA'!E322</f>
        <v>0</v>
      </c>
      <c r="C323" s="20">
        <f>+'SERVICIO FAENA'!C322</f>
        <v>0</v>
      </c>
      <c r="D323" s="87"/>
      <c r="E323" s="48"/>
      <c r="F323" s="48"/>
      <c r="G323" s="85"/>
      <c r="H323" s="48"/>
      <c r="I323" s="85"/>
      <c r="J323" s="48"/>
      <c r="K323" s="85"/>
      <c r="L323" s="48"/>
      <c r="M323" s="85"/>
      <c r="N323" s="48"/>
      <c r="O323" s="85"/>
      <c r="P323" s="48"/>
      <c r="Q323" s="85"/>
      <c r="R323" s="48"/>
      <c r="S323" s="85"/>
      <c r="T323" s="48"/>
      <c r="U323" s="85"/>
      <c r="V323" s="48"/>
      <c r="W323" s="85"/>
      <c r="X323" s="48"/>
      <c r="Y323" s="85"/>
      <c r="Z323" s="48"/>
      <c r="AA323" s="85"/>
      <c r="AB323" s="48"/>
      <c r="AC323" s="85"/>
      <c r="AD323" s="224"/>
      <c r="AE323" s="225"/>
      <c r="AF323" s="222"/>
      <c r="AG323" s="88">
        <f t="shared" si="16"/>
        <v>0</v>
      </c>
      <c r="AH323" s="93">
        <f t="shared" si="17"/>
        <v>0</v>
      </c>
      <c r="AI323" s="90"/>
      <c r="AJ323" s="95"/>
      <c r="AK323" s="94">
        <f t="shared" si="18"/>
        <v>0</v>
      </c>
    </row>
    <row r="324" spans="1:37" x14ac:dyDescent="0.2">
      <c r="A324" s="20">
        <f>+'SERVICIO FAENA'!A323</f>
        <v>0</v>
      </c>
      <c r="B324" s="18">
        <f>+'SERVICIO FAENA'!E323</f>
        <v>0</v>
      </c>
      <c r="C324" s="20">
        <f>+'SERVICIO FAENA'!C323</f>
        <v>0</v>
      </c>
      <c r="D324" s="87"/>
      <c r="E324" s="48"/>
      <c r="F324" s="48"/>
      <c r="G324" s="85"/>
      <c r="H324" s="48"/>
      <c r="I324" s="85"/>
      <c r="J324" s="48"/>
      <c r="K324" s="85"/>
      <c r="L324" s="48"/>
      <c r="M324" s="85"/>
      <c r="N324" s="48"/>
      <c r="O324" s="85"/>
      <c r="P324" s="48"/>
      <c r="Q324" s="85"/>
      <c r="R324" s="48"/>
      <c r="S324" s="85"/>
      <c r="T324" s="48"/>
      <c r="U324" s="85"/>
      <c r="V324" s="48"/>
      <c r="W324" s="85"/>
      <c r="X324" s="48"/>
      <c r="Y324" s="85"/>
      <c r="Z324" s="48"/>
      <c r="AA324" s="85"/>
      <c r="AB324" s="48"/>
      <c r="AC324" s="85"/>
      <c r="AD324" s="222"/>
      <c r="AE324" s="223"/>
      <c r="AF324" s="222"/>
      <c r="AG324" s="88">
        <f t="shared" si="16"/>
        <v>0</v>
      </c>
      <c r="AH324" s="93">
        <f t="shared" si="17"/>
        <v>0</v>
      </c>
      <c r="AI324" s="91"/>
      <c r="AJ324" s="96"/>
      <c r="AK324" s="94">
        <f t="shared" si="18"/>
        <v>0</v>
      </c>
    </row>
    <row r="325" spans="1:37" x14ac:dyDescent="0.2">
      <c r="A325" s="20">
        <f>+'SERVICIO FAENA'!A324</f>
        <v>0</v>
      </c>
      <c r="B325" s="18">
        <f>+'SERVICIO FAENA'!E324</f>
        <v>0</v>
      </c>
      <c r="C325" s="20">
        <f>+'SERVICIO FAENA'!C324</f>
        <v>0</v>
      </c>
      <c r="D325" s="87"/>
      <c r="E325" s="48"/>
      <c r="F325" s="48"/>
      <c r="G325" s="85"/>
      <c r="H325" s="48"/>
      <c r="I325" s="85"/>
      <c r="J325" s="48"/>
      <c r="K325" s="85"/>
      <c r="L325" s="48"/>
      <c r="M325" s="85"/>
      <c r="N325" s="48"/>
      <c r="O325" s="85"/>
      <c r="P325" s="48"/>
      <c r="Q325" s="85"/>
      <c r="R325" s="48"/>
      <c r="S325" s="85"/>
      <c r="T325" s="48"/>
      <c r="U325" s="85"/>
      <c r="V325" s="48"/>
      <c r="W325" s="85"/>
      <c r="X325" s="48"/>
      <c r="Y325" s="85"/>
      <c r="Z325" s="48"/>
      <c r="AA325" s="85"/>
      <c r="AB325" s="48"/>
      <c r="AC325" s="85"/>
      <c r="AD325" s="224"/>
      <c r="AE325" s="225"/>
      <c r="AF325" s="222"/>
      <c r="AG325" s="88">
        <f t="shared" si="16"/>
        <v>0</v>
      </c>
      <c r="AH325" s="93">
        <f t="shared" si="17"/>
        <v>0</v>
      </c>
      <c r="AI325" s="90"/>
      <c r="AJ325" s="95"/>
      <c r="AK325" s="94">
        <f t="shared" si="18"/>
        <v>0</v>
      </c>
    </row>
    <row r="326" spans="1:37" x14ac:dyDescent="0.2">
      <c r="A326" s="20">
        <f>+'SERVICIO FAENA'!A325</f>
        <v>0</v>
      </c>
      <c r="B326" s="18">
        <f>+'SERVICIO FAENA'!E325</f>
        <v>0</v>
      </c>
      <c r="C326" s="20">
        <f>+'SERVICIO FAENA'!C325</f>
        <v>0</v>
      </c>
      <c r="D326" s="87"/>
      <c r="E326" s="48"/>
      <c r="F326" s="48"/>
      <c r="G326" s="85"/>
      <c r="H326" s="48"/>
      <c r="I326" s="85"/>
      <c r="J326" s="48"/>
      <c r="K326" s="85"/>
      <c r="L326" s="48"/>
      <c r="M326" s="85"/>
      <c r="N326" s="48"/>
      <c r="O326" s="85"/>
      <c r="P326" s="48"/>
      <c r="Q326" s="85"/>
      <c r="R326" s="48"/>
      <c r="S326" s="85"/>
      <c r="T326" s="48"/>
      <c r="U326" s="85"/>
      <c r="V326" s="48"/>
      <c r="W326" s="85"/>
      <c r="X326" s="48"/>
      <c r="Y326" s="85"/>
      <c r="Z326" s="48"/>
      <c r="AA326" s="85"/>
      <c r="AB326" s="48"/>
      <c r="AC326" s="85"/>
      <c r="AD326" s="224"/>
      <c r="AE326" s="225"/>
      <c r="AF326" s="222"/>
      <c r="AG326" s="88">
        <f t="shared" si="16"/>
        <v>0</v>
      </c>
      <c r="AH326" s="93">
        <f t="shared" si="17"/>
        <v>0</v>
      </c>
      <c r="AI326" s="90"/>
      <c r="AJ326" s="95"/>
      <c r="AK326" s="94">
        <f t="shared" si="18"/>
        <v>0</v>
      </c>
    </row>
    <row r="327" spans="1:37" x14ac:dyDescent="0.2">
      <c r="A327" s="20">
        <f>+'SERVICIO FAENA'!A326</f>
        <v>0</v>
      </c>
      <c r="B327" s="18">
        <f>+'SERVICIO FAENA'!E326</f>
        <v>0</v>
      </c>
      <c r="C327" s="20">
        <f>+'SERVICIO FAENA'!C326</f>
        <v>0</v>
      </c>
      <c r="D327" s="87"/>
      <c r="E327" s="48"/>
      <c r="F327" s="48"/>
      <c r="G327" s="85"/>
      <c r="H327" s="48"/>
      <c r="I327" s="85"/>
      <c r="J327" s="48"/>
      <c r="K327" s="85"/>
      <c r="L327" s="48"/>
      <c r="M327" s="85"/>
      <c r="N327" s="48"/>
      <c r="O327" s="85"/>
      <c r="P327" s="48"/>
      <c r="Q327" s="85"/>
      <c r="R327" s="48"/>
      <c r="S327" s="85"/>
      <c r="T327" s="48"/>
      <c r="U327" s="85"/>
      <c r="V327" s="48"/>
      <c r="W327" s="85"/>
      <c r="X327" s="48"/>
      <c r="Y327" s="85"/>
      <c r="Z327" s="48"/>
      <c r="AA327" s="85"/>
      <c r="AB327" s="48"/>
      <c r="AC327" s="85"/>
      <c r="AD327" s="222"/>
      <c r="AE327" s="223"/>
      <c r="AF327" s="222"/>
      <c r="AG327" s="88">
        <f t="shared" si="16"/>
        <v>0</v>
      </c>
      <c r="AH327" s="93">
        <f t="shared" si="17"/>
        <v>0</v>
      </c>
      <c r="AI327" s="91"/>
      <c r="AJ327" s="96"/>
      <c r="AK327" s="94">
        <f t="shared" si="18"/>
        <v>0</v>
      </c>
    </row>
    <row r="328" spans="1:37" x14ac:dyDescent="0.2">
      <c r="A328" s="20">
        <f>+'SERVICIO FAENA'!A327</f>
        <v>0</v>
      </c>
      <c r="B328" s="18">
        <f>+'SERVICIO FAENA'!E327</f>
        <v>0</v>
      </c>
      <c r="C328" s="20">
        <f>+'SERVICIO FAENA'!C327</f>
        <v>0</v>
      </c>
      <c r="D328" s="87"/>
      <c r="E328" s="48"/>
      <c r="F328" s="48"/>
      <c r="G328" s="85"/>
      <c r="H328" s="48"/>
      <c r="I328" s="85"/>
      <c r="J328" s="48"/>
      <c r="K328" s="85"/>
      <c r="L328" s="48"/>
      <c r="M328" s="85"/>
      <c r="N328" s="48"/>
      <c r="O328" s="85"/>
      <c r="P328" s="48"/>
      <c r="Q328" s="85"/>
      <c r="R328" s="48"/>
      <c r="S328" s="85"/>
      <c r="T328" s="48"/>
      <c r="U328" s="85"/>
      <c r="V328" s="48"/>
      <c r="W328" s="85"/>
      <c r="X328" s="48"/>
      <c r="Y328" s="85"/>
      <c r="Z328" s="48"/>
      <c r="AA328" s="85"/>
      <c r="AB328" s="48"/>
      <c r="AC328" s="85"/>
      <c r="AD328" s="224"/>
      <c r="AE328" s="225"/>
      <c r="AF328" s="222"/>
      <c r="AG328" s="88">
        <f t="shared" si="16"/>
        <v>0</v>
      </c>
      <c r="AH328" s="93">
        <f t="shared" si="17"/>
        <v>0</v>
      </c>
      <c r="AI328" s="90"/>
      <c r="AJ328" s="95"/>
      <c r="AK328" s="94">
        <f t="shared" si="18"/>
        <v>0</v>
      </c>
    </row>
    <row r="329" spans="1:37" x14ac:dyDescent="0.2">
      <c r="A329" s="20">
        <f>+'SERVICIO FAENA'!A328</f>
        <v>0</v>
      </c>
      <c r="B329" s="18">
        <f>+'SERVICIO FAENA'!E328</f>
        <v>0</v>
      </c>
      <c r="C329" s="20">
        <f>+'SERVICIO FAENA'!C328</f>
        <v>0</v>
      </c>
      <c r="D329" s="87"/>
      <c r="E329" s="48"/>
      <c r="F329" s="48"/>
      <c r="G329" s="85"/>
      <c r="H329" s="48"/>
      <c r="I329" s="85"/>
      <c r="J329" s="48"/>
      <c r="K329" s="85"/>
      <c r="L329" s="48"/>
      <c r="M329" s="85"/>
      <c r="N329" s="48"/>
      <c r="O329" s="85"/>
      <c r="P329" s="48"/>
      <c r="Q329" s="85"/>
      <c r="R329" s="48"/>
      <c r="S329" s="85"/>
      <c r="T329" s="48"/>
      <c r="U329" s="85"/>
      <c r="V329" s="48"/>
      <c r="W329" s="85"/>
      <c r="X329" s="48"/>
      <c r="Y329" s="85"/>
      <c r="Z329" s="48"/>
      <c r="AA329" s="85"/>
      <c r="AB329" s="48"/>
      <c r="AC329" s="85"/>
      <c r="AD329" s="224"/>
      <c r="AE329" s="225"/>
      <c r="AF329" s="222"/>
      <c r="AG329" s="88">
        <f t="shared" si="16"/>
        <v>0</v>
      </c>
      <c r="AH329" s="93">
        <f t="shared" si="17"/>
        <v>0</v>
      </c>
      <c r="AI329" s="90"/>
      <c r="AJ329" s="95"/>
      <c r="AK329" s="94">
        <f t="shared" si="18"/>
        <v>0</v>
      </c>
    </row>
    <row r="330" spans="1:37" x14ac:dyDescent="0.2">
      <c r="A330" s="20">
        <f>+'SERVICIO FAENA'!A329</f>
        <v>0</v>
      </c>
      <c r="B330" s="18">
        <f>+'SERVICIO FAENA'!E329</f>
        <v>0</v>
      </c>
      <c r="C330" s="20">
        <f>+'SERVICIO FAENA'!C329</f>
        <v>0</v>
      </c>
      <c r="D330" s="87"/>
      <c r="E330" s="48"/>
      <c r="F330" s="48"/>
      <c r="G330" s="85"/>
      <c r="H330" s="48"/>
      <c r="I330" s="85"/>
      <c r="J330" s="48"/>
      <c r="K330" s="85"/>
      <c r="L330" s="48"/>
      <c r="M330" s="85"/>
      <c r="N330" s="48"/>
      <c r="O330" s="85"/>
      <c r="P330" s="48"/>
      <c r="Q330" s="85"/>
      <c r="R330" s="48"/>
      <c r="S330" s="85"/>
      <c r="T330" s="48"/>
      <c r="U330" s="85"/>
      <c r="V330" s="48"/>
      <c r="W330" s="85"/>
      <c r="X330" s="48"/>
      <c r="Y330" s="85"/>
      <c r="Z330" s="48"/>
      <c r="AA330" s="85"/>
      <c r="AB330" s="48"/>
      <c r="AC330" s="85"/>
      <c r="AD330" s="222"/>
      <c r="AE330" s="223"/>
      <c r="AF330" s="222"/>
      <c r="AG330" s="88">
        <f t="shared" si="16"/>
        <v>0</v>
      </c>
      <c r="AH330" s="93">
        <f t="shared" si="17"/>
        <v>0</v>
      </c>
      <c r="AI330" s="91"/>
      <c r="AJ330" s="96"/>
      <c r="AK330" s="94">
        <f t="shared" si="18"/>
        <v>0</v>
      </c>
    </row>
    <row r="331" spans="1:37" x14ac:dyDescent="0.2">
      <c r="A331" s="20">
        <f>+'SERVICIO FAENA'!A330</f>
        <v>0</v>
      </c>
      <c r="B331" s="18">
        <f>+'SERVICIO FAENA'!E330</f>
        <v>0</v>
      </c>
      <c r="C331" s="20">
        <f>+'SERVICIO FAENA'!C330</f>
        <v>0</v>
      </c>
      <c r="D331" s="87"/>
      <c r="E331" s="48"/>
      <c r="F331" s="48"/>
      <c r="G331" s="85"/>
      <c r="H331" s="48"/>
      <c r="I331" s="85"/>
      <c r="J331" s="48"/>
      <c r="K331" s="85"/>
      <c r="L331" s="48"/>
      <c r="M331" s="85"/>
      <c r="N331" s="48"/>
      <c r="O331" s="85"/>
      <c r="P331" s="48"/>
      <c r="Q331" s="85"/>
      <c r="R331" s="48"/>
      <c r="S331" s="85"/>
      <c r="T331" s="48"/>
      <c r="U331" s="85"/>
      <c r="V331" s="48"/>
      <c r="W331" s="85"/>
      <c r="X331" s="48"/>
      <c r="Y331" s="85"/>
      <c r="Z331" s="48"/>
      <c r="AA331" s="85"/>
      <c r="AB331" s="48"/>
      <c r="AC331" s="85"/>
      <c r="AD331" s="224"/>
      <c r="AE331" s="225"/>
      <c r="AF331" s="222"/>
      <c r="AG331" s="88">
        <f t="shared" si="16"/>
        <v>0</v>
      </c>
      <c r="AH331" s="93">
        <f t="shared" si="17"/>
        <v>0</v>
      </c>
      <c r="AI331" s="90"/>
      <c r="AJ331" s="95"/>
      <c r="AK331" s="94">
        <f t="shared" si="18"/>
        <v>0</v>
      </c>
    </row>
    <row r="332" spans="1:37" x14ac:dyDescent="0.2">
      <c r="A332" s="20">
        <f>+'SERVICIO FAENA'!A331</f>
        <v>0</v>
      </c>
      <c r="B332" s="18">
        <f>+'SERVICIO FAENA'!E331</f>
        <v>0</v>
      </c>
      <c r="C332" s="20">
        <f>+'SERVICIO FAENA'!C331</f>
        <v>0</v>
      </c>
      <c r="D332" s="87"/>
      <c r="E332" s="48"/>
      <c r="F332" s="48"/>
      <c r="G332" s="85"/>
      <c r="H332" s="48"/>
      <c r="I332" s="85"/>
      <c r="J332" s="48"/>
      <c r="K332" s="85"/>
      <c r="L332" s="48"/>
      <c r="M332" s="85"/>
      <c r="N332" s="48"/>
      <c r="O332" s="85"/>
      <c r="P332" s="48"/>
      <c r="Q332" s="85"/>
      <c r="R332" s="48"/>
      <c r="S332" s="85"/>
      <c r="T332" s="48"/>
      <c r="U332" s="85"/>
      <c r="V332" s="48"/>
      <c r="W332" s="85"/>
      <c r="X332" s="48"/>
      <c r="Y332" s="85"/>
      <c r="Z332" s="48"/>
      <c r="AA332" s="85"/>
      <c r="AB332" s="48"/>
      <c r="AC332" s="85"/>
      <c r="AD332" s="224"/>
      <c r="AE332" s="225"/>
      <c r="AF332" s="222"/>
      <c r="AG332" s="88">
        <f t="shared" si="16"/>
        <v>0</v>
      </c>
      <c r="AH332" s="93">
        <f t="shared" si="17"/>
        <v>0</v>
      </c>
      <c r="AI332" s="90"/>
      <c r="AJ332" s="95"/>
      <c r="AK332" s="94">
        <f t="shared" si="18"/>
        <v>0</v>
      </c>
    </row>
    <row r="333" spans="1:37" x14ac:dyDescent="0.2">
      <c r="A333" s="20">
        <f>+'SERVICIO FAENA'!A332</f>
        <v>0</v>
      </c>
      <c r="B333" s="18">
        <f>+'SERVICIO FAENA'!E332</f>
        <v>0</v>
      </c>
      <c r="C333" s="20">
        <f>+'SERVICIO FAENA'!C332</f>
        <v>0</v>
      </c>
      <c r="D333" s="87"/>
      <c r="E333" s="48"/>
      <c r="F333" s="48"/>
      <c r="G333" s="85"/>
      <c r="H333" s="48"/>
      <c r="I333" s="85"/>
      <c r="J333" s="48"/>
      <c r="K333" s="85"/>
      <c r="L333" s="48"/>
      <c r="M333" s="85"/>
      <c r="N333" s="48"/>
      <c r="O333" s="85"/>
      <c r="P333" s="48"/>
      <c r="Q333" s="85"/>
      <c r="R333" s="48"/>
      <c r="S333" s="85"/>
      <c r="T333" s="48"/>
      <c r="U333" s="85"/>
      <c r="V333" s="48"/>
      <c r="W333" s="85"/>
      <c r="X333" s="48"/>
      <c r="Y333" s="85"/>
      <c r="Z333" s="48"/>
      <c r="AA333" s="85"/>
      <c r="AB333" s="48"/>
      <c r="AC333" s="85"/>
      <c r="AD333" s="222"/>
      <c r="AE333" s="223"/>
      <c r="AF333" s="222"/>
      <c r="AG333" s="88">
        <f t="shared" si="16"/>
        <v>0</v>
      </c>
      <c r="AH333" s="93">
        <f t="shared" si="17"/>
        <v>0</v>
      </c>
      <c r="AI333" s="91"/>
      <c r="AJ333" s="96"/>
      <c r="AK333" s="94">
        <f t="shared" si="18"/>
        <v>0</v>
      </c>
    </row>
    <row r="334" spans="1:37" x14ac:dyDescent="0.2">
      <c r="A334" s="20">
        <f>+'SERVICIO FAENA'!A333</f>
        <v>0</v>
      </c>
      <c r="B334" s="18">
        <f>+'SERVICIO FAENA'!E333</f>
        <v>0</v>
      </c>
      <c r="C334" s="20">
        <f>+'SERVICIO FAENA'!C333</f>
        <v>0</v>
      </c>
      <c r="D334" s="87"/>
      <c r="E334" s="48"/>
      <c r="F334" s="48"/>
      <c r="G334" s="85"/>
      <c r="H334" s="48"/>
      <c r="I334" s="85"/>
      <c r="J334" s="48"/>
      <c r="K334" s="85"/>
      <c r="L334" s="48"/>
      <c r="M334" s="85"/>
      <c r="N334" s="48"/>
      <c r="O334" s="85"/>
      <c r="P334" s="48"/>
      <c r="Q334" s="85"/>
      <c r="R334" s="48"/>
      <c r="S334" s="85"/>
      <c r="T334" s="48"/>
      <c r="U334" s="85"/>
      <c r="V334" s="48"/>
      <c r="W334" s="85"/>
      <c r="X334" s="48"/>
      <c r="Y334" s="85"/>
      <c r="Z334" s="48"/>
      <c r="AA334" s="85"/>
      <c r="AB334" s="48"/>
      <c r="AC334" s="85"/>
      <c r="AD334" s="224"/>
      <c r="AE334" s="225"/>
      <c r="AF334" s="222"/>
      <c r="AG334" s="88">
        <f t="shared" si="16"/>
        <v>0</v>
      </c>
      <c r="AH334" s="93">
        <f t="shared" si="17"/>
        <v>0</v>
      </c>
      <c r="AI334" s="90"/>
      <c r="AJ334" s="95"/>
      <c r="AK334" s="94">
        <f t="shared" si="18"/>
        <v>0</v>
      </c>
    </row>
    <row r="335" spans="1:37" x14ac:dyDescent="0.2">
      <c r="A335" s="20">
        <f>+'SERVICIO FAENA'!A334</f>
        <v>0</v>
      </c>
      <c r="B335" s="18">
        <f>+'SERVICIO FAENA'!E334</f>
        <v>0</v>
      </c>
      <c r="C335" s="20">
        <f>+'SERVICIO FAENA'!C334</f>
        <v>0</v>
      </c>
      <c r="D335" s="87"/>
      <c r="E335" s="48"/>
      <c r="F335" s="48"/>
      <c r="G335" s="85"/>
      <c r="H335" s="48"/>
      <c r="I335" s="85"/>
      <c r="J335" s="48"/>
      <c r="K335" s="85"/>
      <c r="L335" s="48"/>
      <c r="M335" s="85"/>
      <c r="N335" s="48"/>
      <c r="O335" s="85"/>
      <c r="P335" s="48"/>
      <c r="Q335" s="85"/>
      <c r="R335" s="48"/>
      <c r="S335" s="85"/>
      <c r="T335" s="48"/>
      <c r="U335" s="85"/>
      <c r="V335" s="48"/>
      <c r="W335" s="85"/>
      <c r="X335" s="48"/>
      <c r="Y335" s="85"/>
      <c r="Z335" s="48"/>
      <c r="AA335" s="85"/>
      <c r="AB335" s="48"/>
      <c r="AC335" s="85"/>
      <c r="AD335" s="224"/>
      <c r="AE335" s="225"/>
      <c r="AF335" s="222"/>
      <c r="AG335" s="88">
        <f t="shared" si="16"/>
        <v>0</v>
      </c>
      <c r="AH335" s="93">
        <f t="shared" si="17"/>
        <v>0</v>
      </c>
      <c r="AI335" s="90"/>
      <c r="AJ335" s="95"/>
      <c r="AK335" s="94">
        <f t="shared" si="18"/>
        <v>0</v>
      </c>
    </row>
    <row r="336" spans="1:37" x14ac:dyDescent="0.2">
      <c r="A336" s="20">
        <f>+'SERVICIO FAENA'!A335</f>
        <v>0</v>
      </c>
      <c r="B336" s="18">
        <f>+'SERVICIO FAENA'!E335</f>
        <v>0</v>
      </c>
      <c r="C336" s="20">
        <f>+'SERVICIO FAENA'!C335</f>
        <v>0</v>
      </c>
      <c r="D336" s="87"/>
      <c r="E336" s="48"/>
      <c r="F336" s="48"/>
      <c r="G336" s="85"/>
      <c r="H336" s="48"/>
      <c r="I336" s="85"/>
      <c r="J336" s="48"/>
      <c r="K336" s="85"/>
      <c r="L336" s="48"/>
      <c r="M336" s="85"/>
      <c r="N336" s="48"/>
      <c r="O336" s="85"/>
      <c r="P336" s="48"/>
      <c r="Q336" s="85"/>
      <c r="R336" s="48"/>
      <c r="S336" s="85"/>
      <c r="T336" s="48"/>
      <c r="U336" s="85"/>
      <c r="V336" s="48"/>
      <c r="W336" s="85"/>
      <c r="X336" s="48"/>
      <c r="Y336" s="85"/>
      <c r="Z336" s="48"/>
      <c r="AA336" s="85"/>
      <c r="AB336" s="48"/>
      <c r="AC336" s="85"/>
      <c r="AD336" s="222"/>
      <c r="AE336" s="223"/>
      <c r="AF336" s="222"/>
      <c r="AG336" s="88">
        <f t="shared" si="16"/>
        <v>0</v>
      </c>
      <c r="AH336" s="93">
        <f t="shared" si="17"/>
        <v>0</v>
      </c>
      <c r="AI336" s="91"/>
      <c r="AJ336" s="96"/>
      <c r="AK336" s="94">
        <f t="shared" si="18"/>
        <v>0</v>
      </c>
    </row>
    <row r="337" spans="1:37" x14ac:dyDescent="0.2">
      <c r="A337" s="20">
        <f>+'SERVICIO FAENA'!A336</f>
        <v>0</v>
      </c>
      <c r="B337" s="18">
        <f>+'SERVICIO FAENA'!E336</f>
        <v>0</v>
      </c>
      <c r="C337" s="20">
        <f>+'SERVICIO FAENA'!C336</f>
        <v>0</v>
      </c>
      <c r="D337" s="87"/>
      <c r="E337" s="48"/>
      <c r="F337" s="48"/>
      <c r="G337" s="85"/>
      <c r="H337" s="48"/>
      <c r="I337" s="85"/>
      <c r="J337" s="48"/>
      <c r="K337" s="85"/>
      <c r="L337" s="48"/>
      <c r="M337" s="85"/>
      <c r="N337" s="48"/>
      <c r="O337" s="85"/>
      <c r="P337" s="48"/>
      <c r="Q337" s="85"/>
      <c r="R337" s="48"/>
      <c r="S337" s="85"/>
      <c r="T337" s="48"/>
      <c r="U337" s="85"/>
      <c r="V337" s="48"/>
      <c r="W337" s="85"/>
      <c r="X337" s="48"/>
      <c r="Y337" s="85"/>
      <c r="Z337" s="48"/>
      <c r="AA337" s="85"/>
      <c r="AB337" s="48"/>
      <c r="AC337" s="85"/>
      <c r="AD337" s="224"/>
      <c r="AE337" s="225"/>
      <c r="AF337" s="222"/>
      <c r="AG337" s="88">
        <f t="shared" si="16"/>
        <v>0</v>
      </c>
      <c r="AH337" s="93">
        <f t="shared" si="17"/>
        <v>0</v>
      </c>
      <c r="AI337" s="90"/>
      <c r="AJ337" s="95"/>
      <c r="AK337" s="94">
        <f t="shared" si="18"/>
        <v>0</v>
      </c>
    </row>
    <row r="338" spans="1:37" x14ac:dyDescent="0.2">
      <c r="A338" s="20">
        <f>+'SERVICIO FAENA'!A337</f>
        <v>0</v>
      </c>
      <c r="B338" s="18">
        <f>+'SERVICIO FAENA'!E337</f>
        <v>0</v>
      </c>
      <c r="C338" s="20">
        <f>+'SERVICIO FAENA'!C337</f>
        <v>0</v>
      </c>
      <c r="D338" s="87"/>
      <c r="E338" s="48"/>
      <c r="F338" s="48"/>
      <c r="G338" s="85"/>
      <c r="H338" s="48"/>
      <c r="I338" s="85"/>
      <c r="J338" s="48"/>
      <c r="K338" s="85"/>
      <c r="L338" s="48"/>
      <c r="M338" s="85"/>
      <c r="N338" s="48"/>
      <c r="O338" s="85"/>
      <c r="P338" s="48"/>
      <c r="Q338" s="85"/>
      <c r="R338" s="48"/>
      <c r="S338" s="85"/>
      <c r="T338" s="48"/>
      <c r="U338" s="85"/>
      <c r="V338" s="48"/>
      <c r="W338" s="85"/>
      <c r="X338" s="48"/>
      <c r="Y338" s="85"/>
      <c r="Z338" s="48"/>
      <c r="AA338" s="85"/>
      <c r="AB338" s="48"/>
      <c r="AC338" s="85"/>
      <c r="AD338" s="224"/>
      <c r="AE338" s="225"/>
      <c r="AF338" s="222"/>
      <c r="AG338" s="88">
        <f t="shared" si="16"/>
        <v>0</v>
      </c>
      <c r="AH338" s="93">
        <f t="shared" si="17"/>
        <v>0</v>
      </c>
      <c r="AI338" s="90"/>
      <c r="AJ338" s="95"/>
      <c r="AK338" s="94">
        <f t="shared" si="18"/>
        <v>0</v>
      </c>
    </row>
    <row r="339" spans="1:37" x14ac:dyDescent="0.2">
      <c r="A339" s="20">
        <f>+'SERVICIO FAENA'!A338</f>
        <v>0</v>
      </c>
      <c r="B339" s="18">
        <f>+'SERVICIO FAENA'!E338</f>
        <v>0</v>
      </c>
      <c r="C339" s="20">
        <f>+'SERVICIO FAENA'!C338</f>
        <v>0</v>
      </c>
      <c r="D339" s="87"/>
      <c r="E339" s="48"/>
      <c r="F339" s="48"/>
      <c r="G339" s="85"/>
      <c r="H339" s="48"/>
      <c r="I339" s="85"/>
      <c r="J339" s="48"/>
      <c r="K339" s="85"/>
      <c r="L339" s="48"/>
      <c r="M339" s="85"/>
      <c r="N339" s="48"/>
      <c r="O339" s="85"/>
      <c r="P339" s="48"/>
      <c r="Q339" s="85"/>
      <c r="R339" s="48"/>
      <c r="S339" s="85"/>
      <c r="T339" s="48"/>
      <c r="U339" s="85"/>
      <c r="V339" s="48"/>
      <c r="W339" s="85"/>
      <c r="X339" s="48"/>
      <c r="Y339" s="85"/>
      <c r="Z339" s="48"/>
      <c r="AA339" s="85"/>
      <c r="AB339" s="48"/>
      <c r="AC339" s="85"/>
      <c r="AD339" s="222"/>
      <c r="AE339" s="223"/>
      <c r="AF339" s="222"/>
      <c r="AG339" s="88">
        <f t="shared" si="16"/>
        <v>0</v>
      </c>
      <c r="AH339" s="93">
        <f t="shared" si="17"/>
        <v>0</v>
      </c>
      <c r="AI339" s="91"/>
      <c r="AJ339" s="96"/>
      <c r="AK339" s="94">
        <f t="shared" si="18"/>
        <v>0</v>
      </c>
    </row>
    <row r="340" spans="1:37" x14ac:dyDescent="0.2">
      <c r="A340" s="20">
        <f>+'SERVICIO FAENA'!A339</f>
        <v>0</v>
      </c>
      <c r="B340" s="18">
        <f>+'SERVICIO FAENA'!E339</f>
        <v>0</v>
      </c>
      <c r="C340" s="20">
        <f>+'SERVICIO FAENA'!C339</f>
        <v>0</v>
      </c>
      <c r="D340" s="87"/>
      <c r="E340" s="48"/>
      <c r="F340" s="48"/>
      <c r="G340" s="85"/>
      <c r="H340" s="48"/>
      <c r="I340" s="85"/>
      <c r="J340" s="48"/>
      <c r="K340" s="85"/>
      <c r="L340" s="48"/>
      <c r="M340" s="85"/>
      <c r="N340" s="48"/>
      <c r="O340" s="85"/>
      <c r="P340" s="48"/>
      <c r="Q340" s="85"/>
      <c r="R340" s="48"/>
      <c r="S340" s="85"/>
      <c r="T340" s="48"/>
      <c r="U340" s="85"/>
      <c r="V340" s="48"/>
      <c r="W340" s="85"/>
      <c r="X340" s="48"/>
      <c r="Y340" s="85"/>
      <c r="Z340" s="48"/>
      <c r="AA340" s="85"/>
      <c r="AB340" s="48"/>
      <c r="AC340" s="85"/>
      <c r="AD340" s="224"/>
      <c r="AE340" s="225"/>
      <c r="AF340" s="222"/>
      <c r="AG340" s="88">
        <f t="shared" si="16"/>
        <v>0</v>
      </c>
      <c r="AH340" s="93">
        <f t="shared" si="17"/>
        <v>0</v>
      </c>
      <c r="AI340" s="90"/>
      <c r="AJ340" s="95"/>
      <c r="AK340" s="94">
        <f t="shared" si="18"/>
        <v>0</v>
      </c>
    </row>
    <row r="341" spans="1:37" x14ac:dyDescent="0.2">
      <c r="A341" s="20">
        <f>+'SERVICIO FAENA'!A340</f>
        <v>0</v>
      </c>
      <c r="B341" s="18">
        <f>+'SERVICIO FAENA'!E340</f>
        <v>0</v>
      </c>
      <c r="C341" s="20">
        <f>+'SERVICIO FAENA'!C340</f>
        <v>0</v>
      </c>
      <c r="D341" s="87"/>
      <c r="E341" s="48"/>
      <c r="F341" s="48"/>
      <c r="G341" s="85"/>
      <c r="H341" s="48"/>
      <c r="I341" s="85"/>
      <c r="J341" s="48"/>
      <c r="K341" s="85"/>
      <c r="L341" s="48"/>
      <c r="M341" s="85"/>
      <c r="N341" s="48"/>
      <c r="O341" s="85"/>
      <c r="P341" s="48"/>
      <c r="Q341" s="85"/>
      <c r="R341" s="48"/>
      <c r="S341" s="85"/>
      <c r="T341" s="48"/>
      <c r="U341" s="85"/>
      <c r="V341" s="48"/>
      <c r="W341" s="85"/>
      <c r="X341" s="48"/>
      <c r="Y341" s="85"/>
      <c r="Z341" s="48"/>
      <c r="AA341" s="85"/>
      <c r="AB341" s="48"/>
      <c r="AC341" s="85"/>
      <c r="AD341" s="224"/>
      <c r="AE341" s="225"/>
      <c r="AF341" s="222"/>
      <c r="AG341" s="88">
        <f t="shared" si="16"/>
        <v>0</v>
      </c>
      <c r="AH341" s="93">
        <f t="shared" si="17"/>
        <v>0</v>
      </c>
      <c r="AI341" s="90"/>
      <c r="AJ341" s="95"/>
      <c r="AK341" s="94">
        <f t="shared" si="18"/>
        <v>0</v>
      </c>
    </row>
    <row r="342" spans="1:37" x14ac:dyDescent="0.2">
      <c r="A342" s="20">
        <f>+'SERVICIO FAENA'!A341</f>
        <v>0</v>
      </c>
      <c r="B342" s="18">
        <f>+'SERVICIO FAENA'!E341</f>
        <v>0</v>
      </c>
      <c r="C342" s="20">
        <f>+'SERVICIO FAENA'!C341</f>
        <v>0</v>
      </c>
      <c r="D342" s="87"/>
      <c r="E342" s="48"/>
      <c r="F342" s="48"/>
      <c r="G342" s="85"/>
      <c r="H342" s="48"/>
      <c r="I342" s="85"/>
      <c r="J342" s="48"/>
      <c r="K342" s="85"/>
      <c r="L342" s="48"/>
      <c r="M342" s="85"/>
      <c r="N342" s="48"/>
      <c r="O342" s="85"/>
      <c r="P342" s="48"/>
      <c r="Q342" s="85"/>
      <c r="R342" s="48"/>
      <c r="S342" s="85"/>
      <c r="T342" s="48"/>
      <c r="U342" s="85"/>
      <c r="V342" s="48"/>
      <c r="W342" s="85"/>
      <c r="X342" s="48"/>
      <c r="Y342" s="85"/>
      <c r="Z342" s="48"/>
      <c r="AA342" s="85"/>
      <c r="AB342" s="48"/>
      <c r="AC342" s="85"/>
      <c r="AD342" s="222"/>
      <c r="AE342" s="223"/>
      <c r="AF342" s="222"/>
      <c r="AG342" s="88">
        <f t="shared" si="16"/>
        <v>0</v>
      </c>
      <c r="AH342" s="93">
        <f t="shared" si="17"/>
        <v>0</v>
      </c>
      <c r="AI342" s="91"/>
      <c r="AJ342" s="96"/>
      <c r="AK342" s="94">
        <f t="shared" si="18"/>
        <v>0</v>
      </c>
    </row>
    <row r="343" spans="1:37" x14ac:dyDescent="0.2">
      <c r="A343" s="20">
        <f>+'SERVICIO FAENA'!A342</f>
        <v>0</v>
      </c>
      <c r="B343" s="18">
        <f>+'SERVICIO FAENA'!E342</f>
        <v>0</v>
      </c>
      <c r="C343" s="20">
        <f>+'SERVICIO FAENA'!C342</f>
        <v>0</v>
      </c>
      <c r="D343" s="87"/>
      <c r="E343" s="48"/>
      <c r="F343" s="48"/>
      <c r="G343" s="85"/>
      <c r="H343" s="48"/>
      <c r="I343" s="85"/>
      <c r="J343" s="48"/>
      <c r="K343" s="85"/>
      <c r="L343" s="48"/>
      <c r="M343" s="85"/>
      <c r="N343" s="48"/>
      <c r="O343" s="85"/>
      <c r="P343" s="48"/>
      <c r="Q343" s="85"/>
      <c r="R343" s="48"/>
      <c r="S343" s="85"/>
      <c r="T343" s="48"/>
      <c r="U343" s="85"/>
      <c r="V343" s="48"/>
      <c r="W343" s="85"/>
      <c r="X343" s="48"/>
      <c r="Y343" s="85"/>
      <c r="Z343" s="48"/>
      <c r="AA343" s="85"/>
      <c r="AB343" s="48"/>
      <c r="AC343" s="85"/>
      <c r="AD343" s="224"/>
      <c r="AE343" s="224"/>
      <c r="AF343" s="222"/>
      <c r="AG343" s="88">
        <f t="shared" si="16"/>
        <v>0</v>
      </c>
      <c r="AH343" s="93">
        <f t="shared" si="17"/>
        <v>0</v>
      </c>
      <c r="AI343" s="90"/>
      <c r="AJ343" s="95"/>
      <c r="AK343" s="94">
        <f t="shared" si="18"/>
        <v>0</v>
      </c>
    </row>
  </sheetData>
  <autoFilter ref="D3:AC37"/>
  <mergeCells count="24">
    <mergeCell ref="L2:M2"/>
    <mergeCell ref="N2:O2"/>
    <mergeCell ref="P2:Q2"/>
    <mergeCell ref="A2:A3"/>
    <mergeCell ref="B2:B3"/>
    <mergeCell ref="C2:C3"/>
    <mergeCell ref="D2:E2"/>
    <mergeCell ref="F2:G2"/>
    <mergeCell ref="AD2:AF2"/>
    <mergeCell ref="D1:AC1"/>
    <mergeCell ref="AD1:AK1"/>
    <mergeCell ref="AJ2:AJ3"/>
    <mergeCell ref="AI2:AI3"/>
    <mergeCell ref="AH2:AH3"/>
    <mergeCell ref="AG2:AG3"/>
    <mergeCell ref="AK2:AK3"/>
    <mergeCell ref="R2:S2"/>
    <mergeCell ref="T2:U2"/>
    <mergeCell ref="V2:W2"/>
    <mergeCell ref="X2:Y2"/>
    <mergeCell ref="Z2:AA2"/>
    <mergeCell ref="AB2:AC2"/>
    <mergeCell ref="H2:I2"/>
    <mergeCell ref="J2:K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</vt:i4>
      </vt:variant>
    </vt:vector>
  </HeadingPairs>
  <TitlesOfParts>
    <vt:vector size="10" baseType="lpstr">
      <vt:lpstr>RESUMEN 2026</vt:lpstr>
      <vt:lpstr>DETALLE</vt:lpstr>
      <vt:lpstr>SERVICIO FAENA</vt:lpstr>
      <vt:lpstr>SERVICIO DESPOSTE</vt:lpstr>
      <vt:lpstr>MENUDENCIAS</vt:lpstr>
      <vt:lpstr>RENDERING</vt:lpstr>
      <vt:lpstr>CUEROS</vt:lpstr>
      <vt:lpstr>GRASA DREASING</vt:lpstr>
      <vt:lpstr>MERCADO INTERNO</vt:lpstr>
      <vt:lpstr>RENDERING!Área_de_impresión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Coordinacion Solemar</cp:lastModifiedBy>
  <cp:lastPrinted>2025-10-15T09:23:13Z</cp:lastPrinted>
  <dcterms:created xsi:type="dcterms:W3CDTF">2025-06-30T14:40:58Z</dcterms:created>
  <dcterms:modified xsi:type="dcterms:W3CDTF">2026-03-04T22:22:45Z</dcterms:modified>
</cp:coreProperties>
</file>