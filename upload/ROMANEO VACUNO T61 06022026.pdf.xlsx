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5" yWindow="30" windowWidth="10080" windowHeight="7980" tabRatio="940" activeTab="2"/>
  </bookViews>
  <sheets>
    <sheet name="TROPA 59 " sheetId="13" r:id="rId1"/>
    <sheet name="TROPA 60" sheetId="27" r:id="rId2"/>
    <sheet name="TROPA 61" sheetId="26" r:id="rId3"/>
    <sheet name="TROPA 62" sheetId="25" r:id="rId4"/>
    <sheet name="ROMANEO 1" sheetId="1" r:id="rId5"/>
    <sheet name="ROMANEO (2)" sheetId="17" r:id="rId6"/>
    <sheet name="ROMANEO (3)" sheetId="18" r:id="rId7"/>
    <sheet name="denticion 1" sheetId="16" r:id="rId8"/>
    <sheet name="denticion(2)" sheetId="19" r:id="rId9"/>
    <sheet name="denticion(3)" sheetId="20" r:id="rId10"/>
    <sheet name="menudencias (3)" sheetId="23" r:id="rId11"/>
    <sheet name="menudencias" sheetId="10" r:id="rId12"/>
  </sheets>
  <definedNames>
    <definedName name="_xlnm.Print_Area" localSheetId="11">menudencias!$B$1:$F$28</definedName>
    <definedName name="_xlnm.Print_Area" localSheetId="10">'menudencias (3)'!$B$1:$F$28</definedName>
    <definedName name="_xlnm.Print_Area" localSheetId="0">'TROPA 59 '!$B$2:$N$44</definedName>
    <definedName name="_xlnm.Print_Area" localSheetId="1">'TROPA 60'!$B$2:$N$52</definedName>
    <definedName name="_xlnm.Print_Area" localSheetId="2">'TROPA 61'!$B$2:$N$44</definedName>
    <definedName name="_xlnm.Print_Area" localSheetId="3">'TROPA 62'!$B$2:$N$25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" i="10" l="1"/>
  <c r="E7" i="10"/>
  <c r="E6" i="10"/>
  <c r="E5" i="10"/>
  <c r="E16" i="23"/>
  <c r="E15" i="23"/>
  <c r="E14" i="23"/>
  <c r="E13" i="23"/>
  <c r="E12" i="23"/>
  <c r="E11" i="23"/>
  <c r="E10" i="23"/>
  <c r="E9" i="23"/>
  <c r="E8" i="23"/>
  <c r="E7" i="23"/>
  <c r="E6" i="23"/>
  <c r="E5" i="23"/>
  <c r="D5" i="10" l="1"/>
  <c r="D10" i="23"/>
  <c r="D11" i="23"/>
  <c r="D14" i="23"/>
  <c r="D5" i="23"/>
  <c r="K51" i="27"/>
  <c r="J51" i="27"/>
  <c r="I51" i="27"/>
  <c r="E15" i="27" s="1"/>
  <c r="D51" i="27"/>
  <c r="L30" i="27"/>
  <c r="M30" i="27" s="1"/>
  <c r="L29" i="27"/>
  <c r="M29" i="27" s="1"/>
  <c r="L28" i="27"/>
  <c r="M28" i="27" s="1"/>
  <c r="L26" i="27"/>
  <c r="M26" i="27" s="1"/>
  <c r="L40" i="27"/>
  <c r="M40" i="27" s="1"/>
  <c r="L47" i="27"/>
  <c r="M47" i="27" s="1"/>
  <c r="L49" i="27"/>
  <c r="M49" i="27" s="1"/>
  <c r="L44" i="27"/>
  <c r="M44" i="27" s="1"/>
  <c r="L45" i="27"/>
  <c r="M45" i="27" s="1"/>
  <c r="L32" i="27"/>
  <c r="M32" i="27" s="1"/>
  <c r="L31" i="27"/>
  <c r="M31" i="27" s="1"/>
  <c r="L36" i="27"/>
  <c r="M36" i="27" s="1"/>
  <c r="L43" i="27"/>
  <c r="M43" i="27" s="1"/>
  <c r="L46" i="27"/>
  <c r="M46" i="27" s="1"/>
  <c r="L41" i="27"/>
  <c r="M41" i="27" s="1"/>
  <c r="L42" i="27"/>
  <c r="M42" i="27" s="1"/>
  <c r="L33" i="27"/>
  <c r="M33" i="27" s="1"/>
  <c r="L24" i="27"/>
  <c r="M24" i="27" s="1"/>
  <c r="L37" i="27"/>
  <c r="M37" i="27" s="1"/>
  <c r="L34" i="27"/>
  <c r="M34" i="27" s="1"/>
  <c r="L50" i="27"/>
  <c r="M50" i="27" s="1"/>
  <c r="L48" i="27"/>
  <c r="L18" i="27" s="1"/>
  <c r="L39" i="27"/>
  <c r="M39" i="27" s="1"/>
  <c r="L23" i="27"/>
  <c r="M23" i="27" s="1"/>
  <c r="L27" i="27"/>
  <c r="M27" i="27" s="1"/>
  <c r="L38" i="27"/>
  <c r="L13" i="27" s="1"/>
  <c r="L35" i="27"/>
  <c r="M35" i="27" s="1"/>
  <c r="L25" i="27"/>
  <c r="K18" i="27"/>
  <c r="L17" i="27"/>
  <c r="K17" i="27"/>
  <c r="L16" i="27"/>
  <c r="K16" i="27"/>
  <c r="L15" i="27"/>
  <c r="K15" i="27"/>
  <c r="L14" i="27"/>
  <c r="K14" i="27"/>
  <c r="K13" i="27"/>
  <c r="K43" i="26"/>
  <c r="J43" i="26"/>
  <c r="I43" i="26"/>
  <c r="E15" i="26" s="1"/>
  <c r="D43" i="26"/>
  <c r="L39" i="26"/>
  <c r="M39" i="26" s="1"/>
  <c r="L26" i="26"/>
  <c r="M26" i="26" s="1"/>
  <c r="L37" i="26"/>
  <c r="M37" i="26" s="1"/>
  <c r="L27" i="26"/>
  <c r="M27" i="26" s="1"/>
  <c r="L42" i="26"/>
  <c r="M42" i="26" s="1"/>
  <c r="L33" i="26"/>
  <c r="M33" i="26" s="1"/>
  <c r="L24" i="26"/>
  <c r="M24" i="26" s="1"/>
  <c r="L34" i="26"/>
  <c r="M34" i="26" s="1"/>
  <c r="L36" i="26"/>
  <c r="M36" i="26" s="1"/>
  <c r="L30" i="26"/>
  <c r="M30" i="26" s="1"/>
  <c r="L35" i="26"/>
  <c r="M35" i="26" s="1"/>
  <c r="L28" i="26"/>
  <c r="M28" i="26" s="1"/>
  <c r="L41" i="26"/>
  <c r="M41" i="26" s="1"/>
  <c r="L23" i="26"/>
  <c r="M23" i="26" s="1"/>
  <c r="L38" i="26"/>
  <c r="M38" i="26" s="1"/>
  <c r="L32" i="26"/>
  <c r="M32" i="26" s="1"/>
  <c r="L31" i="26"/>
  <c r="M31" i="26" s="1"/>
  <c r="L40" i="26"/>
  <c r="M40" i="26" s="1"/>
  <c r="L25" i="26"/>
  <c r="M25" i="26" s="1"/>
  <c r="L29" i="26"/>
  <c r="L13" i="26" s="1"/>
  <c r="K18" i="26"/>
  <c r="L17" i="26"/>
  <c r="K17" i="26"/>
  <c r="L16" i="26"/>
  <c r="K16" i="26"/>
  <c r="L15" i="26"/>
  <c r="K15" i="26"/>
  <c r="L14" i="26"/>
  <c r="K14" i="26"/>
  <c r="K13" i="26"/>
  <c r="K24" i="25"/>
  <c r="J24" i="25"/>
  <c r="I24" i="25"/>
  <c r="E15" i="25" s="1"/>
  <c r="D24" i="25"/>
  <c r="L23" i="25"/>
  <c r="M23" i="25" s="1"/>
  <c r="K18" i="25"/>
  <c r="L17" i="25"/>
  <c r="K17" i="25"/>
  <c r="L16" i="25"/>
  <c r="K16" i="25"/>
  <c r="L15" i="25"/>
  <c r="K15" i="25"/>
  <c r="L14" i="25"/>
  <c r="K14" i="25"/>
  <c r="L13" i="25"/>
  <c r="K13" i="25"/>
  <c r="L24" i="25" l="1"/>
  <c r="L4" i="25" s="1"/>
  <c r="L43" i="26"/>
  <c r="L4" i="26" s="1"/>
  <c r="L51" i="27"/>
  <c r="L4" i="27" s="1"/>
  <c r="M38" i="27"/>
  <c r="M48" i="27"/>
  <c r="M25" i="27"/>
  <c r="L18" i="26"/>
  <c r="M29" i="26"/>
  <c r="L18" i="25"/>
  <c r="K18" i="13"/>
  <c r="K17" i="13"/>
  <c r="K16" i="13"/>
  <c r="K15" i="13"/>
  <c r="K14" i="13"/>
  <c r="K13" i="13"/>
  <c r="E16" i="25" l="1"/>
  <c r="M24" i="25"/>
  <c r="L3" i="25" s="1"/>
  <c r="E18" i="25"/>
  <c r="E16" i="26"/>
  <c r="M43" i="26"/>
  <c r="E17" i="26" s="1"/>
  <c r="E18" i="26"/>
  <c r="E16" i="27"/>
  <c r="M51" i="27"/>
  <c r="E18" i="27"/>
  <c r="E17" i="27"/>
  <c r="L3" i="27"/>
  <c r="E17" i="25"/>
  <c r="K43" i="13"/>
  <c r="J43" i="13"/>
  <c r="I43" i="13"/>
  <c r="E15" i="13" s="1"/>
  <c r="D43" i="13"/>
  <c r="L31" i="13"/>
  <c r="M31" i="13" s="1"/>
  <c r="L41" i="13"/>
  <c r="M41" i="13" s="1"/>
  <c r="L34" i="13"/>
  <c r="M34" i="13" s="1"/>
  <c r="L39" i="13"/>
  <c r="M39" i="13" s="1"/>
  <c r="L23" i="13"/>
  <c r="M23" i="13" s="1"/>
  <c r="L25" i="13"/>
  <c r="M25" i="13" s="1"/>
  <c r="L38" i="13"/>
  <c r="M38" i="13" s="1"/>
  <c r="L37" i="13"/>
  <c r="M37" i="13" s="1"/>
  <c r="L24" i="13"/>
  <c r="M24" i="13" s="1"/>
  <c r="L35" i="13"/>
  <c r="M35" i="13" s="1"/>
  <c r="L28" i="13"/>
  <c r="M28" i="13" s="1"/>
  <c r="L36" i="13"/>
  <c r="M36" i="13" s="1"/>
  <c r="L32" i="13"/>
  <c r="M32" i="13" s="1"/>
  <c r="L29" i="13"/>
  <c r="M29" i="13" s="1"/>
  <c r="L33" i="13"/>
  <c r="M33" i="13" s="1"/>
  <c r="L30" i="13"/>
  <c r="M30" i="13" s="1"/>
  <c r="L40" i="13"/>
  <c r="M40" i="13" s="1"/>
  <c r="L27" i="13"/>
  <c r="M27" i="13" s="1"/>
  <c r="L26" i="13"/>
  <c r="M26" i="13" s="1"/>
  <c r="L42" i="13"/>
  <c r="M42" i="13" s="1"/>
  <c r="L17" i="13"/>
  <c r="L16" i="13"/>
  <c r="L15" i="13"/>
  <c r="L14" i="13"/>
  <c r="L3" i="26" l="1"/>
  <c r="L18" i="13"/>
  <c r="L13" i="13"/>
  <c r="L43" i="13"/>
  <c r="F18" i="23"/>
  <c r="E18" i="23"/>
  <c r="M43" i="13" l="1"/>
  <c r="E18" i="13"/>
  <c r="E16" i="13"/>
  <c r="L4" i="13"/>
  <c r="F3" i="17"/>
  <c r="F3" i="18" s="1"/>
  <c r="F18" i="10"/>
  <c r="E18" i="10"/>
  <c r="B6" i="18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6" i="17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L3" i="13" l="1"/>
  <c r="E17" i="13"/>
  <c r="B6" i="20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6" i="19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</calcChain>
</file>

<file path=xl/sharedStrings.xml><?xml version="1.0" encoding="utf-8"?>
<sst xmlns="http://schemas.openxmlformats.org/spreadsheetml/2006/main" count="678" uniqueCount="150">
  <si>
    <t>N° GARRON</t>
  </si>
  <si>
    <t>TROPA</t>
  </si>
  <si>
    <t>KG 1/2 A</t>
  </si>
  <si>
    <t>KG 1/2 B</t>
  </si>
  <si>
    <t>ROMANEO FAENA BOVINA</t>
  </si>
  <si>
    <t>RIÑON</t>
  </si>
  <si>
    <t>HIGADO</t>
  </si>
  <si>
    <t>CORAZON</t>
  </si>
  <si>
    <t>TRIPA GORDA</t>
  </si>
  <si>
    <t>RABO</t>
  </si>
  <si>
    <t>LENGUA</t>
  </si>
  <si>
    <t>total</t>
  </si>
  <si>
    <t>KG 1/2 izq</t>
  </si>
  <si>
    <t>KG 1/2 der</t>
  </si>
  <si>
    <t>TIPIFICACION</t>
  </si>
  <si>
    <t>ARTICULO</t>
  </si>
  <si>
    <t>USUARIO</t>
  </si>
  <si>
    <t>GUARDADO EN CAMARA</t>
  </si>
  <si>
    <t>ELABORADO KG</t>
  </si>
  <si>
    <t>BOLSAS</t>
  </si>
  <si>
    <t>CHINCHULIN (KG)</t>
  </si>
  <si>
    <t>MOLLEJAS (KG)</t>
  </si>
  <si>
    <t>TENDON</t>
  </si>
  <si>
    <t>CENTRO DE ENTRAÑA</t>
  </si>
  <si>
    <t>SESOS</t>
  </si>
  <si>
    <t>RINDE</t>
  </si>
  <si>
    <t>PROM.</t>
  </si>
  <si>
    <t>Nº 
GARRON</t>
  </si>
  <si>
    <t>Nº
 ANIMAL</t>
  </si>
  <si>
    <t>TIPO DE ANIMAL</t>
  </si>
  <si>
    <t>Nº CARAVANA</t>
  </si>
  <si>
    <t>KG ENTRADA</t>
  </si>
  <si>
    <t>TOTAL KG</t>
  </si>
  <si>
    <t xml:space="preserve">RINDE
FAENA </t>
  </si>
  <si>
    <t>CANTIDAD</t>
  </si>
  <si>
    <t>HUESO</t>
  </si>
  <si>
    <t>QUIJADA (KG)</t>
  </si>
  <si>
    <t>CARNE DE CABEZA (KG)</t>
  </si>
  <si>
    <t>GRASA</t>
  </si>
  <si>
    <t>DESPOJO</t>
  </si>
  <si>
    <t>BOLSA AZUL</t>
  </si>
  <si>
    <t>PESAJE INTERNO</t>
  </si>
  <si>
    <t>N° CABEZA</t>
  </si>
  <si>
    <t>DIENTES</t>
  </si>
  <si>
    <t>PESAJE BASCULA - MANITOU</t>
  </si>
  <si>
    <t xml:space="preserve">FECHA:     </t>
  </si>
  <si>
    <t>FECHA:</t>
  </si>
  <si>
    <t>TROPA:</t>
  </si>
  <si>
    <t>LAVADITO</t>
  </si>
  <si>
    <t>TROPA Nº</t>
  </si>
  <si>
    <t>TIPO</t>
  </si>
  <si>
    <t>LOTE:</t>
  </si>
  <si>
    <t>RAZA</t>
  </si>
  <si>
    <t>FECHA:           10  /     12    /2025</t>
  </si>
  <si>
    <t>Estab. Faenador: Solemar Alimentaria S.A.</t>
  </si>
  <si>
    <t>Matricula: 300</t>
  </si>
  <si>
    <t>Nº SENASA: 3986</t>
  </si>
  <si>
    <t xml:space="preserve">Usuario/Matarife: </t>
  </si>
  <si>
    <t>Productor:</t>
  </si>
  <si>
    <t xml:space="preserve">Matricula: </t>
  </si>
  <si>
    <t>Nº DTE:</t>
  </si>
  <si>
    <t>Nº Guia:</t>
  </si>
  <si>
    <t>Cuartos</t>
  </si>
  <si>
    <t>Kg</t>
  </si>
  <si>
    <t>Nº Tropa:</t>
  </si>
  <si>
    <t>VQ</t>
  </si>
  <si>
    <t>Cantidad Cabeza:</t>
  </si>
  <si>
    <t>NT</t>
  </si>
  <si>
    <t>Kg Vivo entrada:</t>
  </si>
  <si>
    <t>NO</t>
  </si>
  <si>
    <t>Kg 1/2 Res</t>
  </si>
  <si>
    <t>TO</t>
  </si>
  <si>
    <t>Rinde:</t>
  </si>
  <si>
    <t>VA</t>
  </si>
  <si>
    <t>Promedio:</t>
  </si>
  <si>
    <t>MEJ</t>
  </si>
  <si>
    <t>Denticion</t>
  </si>
  <si>
    <t>Clasificacion</t>
  </si>
  <si>
    <t>Fecha Faena:</t>
  </si>
  <si>
    <t>Vaquillona</t>
  </si>
  <si>
    <t>Torito MEJ</t>
  </si>
  <si>
    <t>Novillo</t>
  </si>
  <si>
    <t>Vaquilllona</t>
  </si>
  <si>
    <t>Novillito</t>
  </si>
  <si>
    <t>FECHA:          06/02/2026</t>
  </si>
  <si>
    <t>FECHA:      06/02/2026</t>
  </si>
  <si>
    <t>59-60</t>
  </si>
  <si>
    <t>Frigorifico de la Patagonia srl</t>
  </si>
  <si>
    <t>Maizales de la Patagonia srl</t>
  </si>
  <si>
    <t>Bellocchio Juan Ignacio</t>
  </si>
  <si>
    <t>31135397-7</t>
  </si>
  <si>
    <t>G-CHO26-00658</t>
  </si>
  <si>
    <t>CA</t>
  </si>
  <si>
    <t>HE</t>
  </si>
  <si>
    <t>E016</t>
  </si>
  <si>
    <t>A036</t>
  </si>
  <si>
    <t>A024</t>
  </si>
  <si>
    <t>D969</t>
  </si>
  <si>
    <t>E588</t>
  </si>
  <si>
    <t>S/C</t>
  </si>
  <si>
    <t>E023</t>
  </si>
  <si>
    <t>D657</t>
  </si>
  <si>
    <t>D905</t>
  </si>
  <si>
    <t>R579</t>
  </si>
  <si>
    <t>A038</t>
  </si>
  <si>
    <t>S983</t>
  </si>
  <si>
    <t>E024</t>
  </si>
  <si>
    <t>A020</t>
  </si>
  <si>
    <t>A033</t>
  </si>
  <si>
    <t>L503</t>
  </si>
  <si>
    <t>B287</t>
  </si>
  <si>
    <t>D973</t>
  </si>
  <si>
    <t>A004</t>
  </si>
  <si>
    <t>a011</t>
  </si>
  <si>
    <t>AA</t>
  </si>
  <si>
    <t>KEDINGE ELSA OTILIA</t>
  </si>
  <si>
    <t>031134465-5</t>
  </si>
  <si>
    <t>G-CHO26-00647</t>
  </si>
  <si>
    <t>031148564-4</t>
  </si>
  <si>
    <t>G-CHO26-00689</t>
  </si>
  <si>
    <t>MAIZALES DE LA PATAGONIA S.R.L</t>
  </si>
  <si>
    <t>LOGINPET SRL</t>
  </si>
  <si>
    <t>G-CHO26-00676</t>
  </si>
  <si>
    <t>D991</t>
  </si>
  <si>
    <t>A473</t>
  </si>
  <si>
    <t>D134</t>
  </si>
  <si>
    <t>F582</t>
  </si>
  <si>
    <t>C720</t>
  </si>
  <si>
    <t>G708</t>
  </si>
  <si>
    <t>A671</t>
  </si>
  <si>
    <t>G398</t>
  </si>
  <si>
    <t>F252</t>
  </si>
  <si>
    <t>E309</t>
  </si>
  <si>
    <t>M916</t>
  </si>
  <si>
    <t>A261</t>
  </si>
  <si>
    <t>B102</t>
  </si>
  <si>
    <t>B734</t>
  </si>
  <si>
    <t>O425</t>
  </si>
  <si>
    <t>A778</t>
  </si>
  <si>
    <t>F422</t>
  </si>
  <si>
    <t>F394</t>
  </si>
  <si>
    <t>D288</t>
  </si>
  <si>
    <t>D561</t>
  </si>
  <si>
    <t>2D - VQ</t>
  </si>
  <si>
    <t>2D - MEJ</t>
  </si>
  <si>
    <t>47 -- 2DEC. 8.26KG</t>
  </si>
  <si>
    <t>19 - 1 DEC. 4.92 KG</t>
  </si>
  <si>
    <t>2D - NT</t>
  </si>
  <si>
    <t>6D - NO</t>
  </si>
  <si>
    <t>031143601-5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</si>
</sst>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0" fillId="0" borderId="0" xfId="0" applyFont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" fillId="0" borderId="1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8" xfId="0" applyFont="1" applyBorder="1"/>
    <xf numFmtId="0" fontId="1" fillId="0" borderId="5" xfId="0" applyFont="1" applyBorder="1"/>
    <xf numFmtId="0" fontId="1" fillId="0" borderId="6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2" xfId="0" applyFont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14" fontId="1" fillId="0" borderId="32" xfId="0" applyNumberFormat="1" applyFont="1" applyBorder="1" applyAlignment="1">
      <alignment horizontal="right"/>
    </xf>
    <xf numFmtId="0" fontId="1" fillId="0" borderId="33" xfId="0" applyFont="1" applyFill="1" applyBorder="1" applyAlignment="1">
      <alignment horizontal="right" vertical="center"/>
    </xf>
    <xf numFmtId="0" fontId="0" fillId="0" borderId="33" xfId="0" applyBorder="1"/>
    <xf numFmtId="0" fontId="2" fillId="0" borderId="32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/>
    </xf>
    <xf numFmtId="0" fontId="0" fillId="0" borderId="32" xfId="0" applyBorder="1" applyAlignment="1">
      <alignment horizontal="left" vertical="center"/>
    </xf>
    <xf numFmtId="0" fontId="0" fillId="2" borderId="32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" xfId="0" applyFont="1" applyBorder="1" applyAlignment="1">
      <alignment horizontal="right" vertical="center"/>
    </xf>
    <xf numFmtId="0" fontId="0" fillId="0" borderId="15" xfId="0" applyFont="1" applyBorder="1" applyAlignment="1">
      <alignment horizontal="right" vertical="center"/>
    </xf>
    <xf numFmtId="14" fontId="0" fillId="0" borderId="25" xfId="0" applyNumberFormat="1" applyFont="1" applyBorder="1" applyAlignment="1">
      <alignment horizontal="left" vertical="center"/>
    </xf>
    <xf numFmtId="0" fontId="0" fillId="0" borderId="41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6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25" xfId="0" applyNumberFormat="1" applyFont="1" applyBorder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6" fillId="0" borderId="20" xfId="0" applyFont="1" applyBorder="1"/>
    <xf numFmtId="0" fontId="6" fillId="0" borderId="21" xfId="0" applyFont="1" applyBorder="1"/>
    <xf numFmtId="2" fontId="6" fillId="0" borderId="21" xfId="0" applyNumberFormat="1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0" xfId="0" applyFont="1" applyBorder="1"/>
    <xf numFmtId="0" fontId="7" fillId="0" borderId="44" xfId="0" applyFont="1" applyBorder="1" applyAlignment="1">
      <alignment horizontal="center" vertical="center"/>
    </xf>
    <xf numFmtId="10" fontId="7" fillId="0" borderId="44" xfId="0" applyNumberFormat="1" applyFont="1" applyBorder="1" applyAlignment="1">
      <alignment vertical="center"/>
    </xf>
    <xf numFmtId="0" fontId="6" fillId="0" borderId="24" xfId="0" applyFont="1" applyBorder="1"/>
    <xf numFmtId="2" fontId="6" fillId="0" borderId="0" xfId="0" applyNumberFormat="1" applyFont="1" applyBorder="1"/>
    <xf numFmtId="2" fontId="7" fillId="0" borderId="44" xfId="0" applyNumberFormat="1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6" xfId="0" applyFont="1" applyBorder="1"/>
    <xf numFmtId="0" fontId="6" fillId="0" borderId="27" xfId="0" applyFont="1" applyBorder="1"/>
    <xf numFmtId="2" fontId="6" fillId="0" borderId="27" xfId="0" applyNumberFormat="1" applyFont="1" applyBorder="1"/>
    <xf numFmtId="0" fontId="6" fillId="0" borderId="28" xfId="0" applyFont="1" applyBorder="1"/>
    <xf numFmtId="0" fontId="6" fillId="0" borderId="23" xfId="0" applyFont="1" applyBorder="1" applyAlignment="1">
      <alignment horizontal="right"/>
    </xf>
    <xf numFmtId="2" fontId="7" fillId="0" borderId="0" xfId="0" applyNumberFormat="1" applyFont="1" applyBorder="1" applyAlignment="1"/>
    <xf numFmtId="0" fontId="6" fillId="0" borderId="0" xfId="0" applyFont="1" applyBorder="1" applyAlignment="1">
      <alignment horizontal="right"/>
    </xf>
    <xf numFmtId="2" fontId="6" fillId="0" borderId="27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vertical="center"/>
    </xf>
    <xf numFmtId="1" fontId="7" fillId="0" borderId="0" xfId="0" applyNumberFormat="1" applyFont="1" applyBorder="1" applyAlignment="1">
      <alignment vertical="center"/>
    </xf>
    <xf numFmtId="0" fontId="6" fillId="0" borderId="27" xfId="0" applyFont="1" applyBorder="1" applyAlignment="1">
      <alignment horizontal="right"/>
    </xf>
    <xf numFmtId="0" fontId="7" fillId="0" borderId="27" xfId="0" applyFont="1" applyBorder="1" applyAlignment="1">
      <alignment vertical="center"/>
    </xf>
    <xf numFmtId="1" fontId="7" fillId="0" borderId="27" xfId="0" applyNumberFormat="1" applyFont="1" applyBorder="1" applyAlignment="1">
      <alignment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1" fontId="11" fillId="0" borderId="33" xfId="1" applyNumberFormat="1" applyFont="1" applyFill="1" applyBorder="1" applyAlignment="1">
      <alignment horizontal="center" vertical="center"/>
    </xf>
    <xf numFmtId="4" fontId="11" fillId="0" borderId="33" xfId="0" applyNumberFormat="1" applyFont="1" applyBorder="1" applyAlignment="1">
      <alignment horizontal="center"/>
    </xf>
    <xf numFmtId="0" fontId="9" fillId="0" borderId="33" xfId="1" applyNumberFormat="1" applyFont="1" applyBorder="1" applyAlignment="1">
      <alignment horizontal="center" vertical="center"/>
    </xf>
    <xf numFmtId="4" fontId="9" fillId="0" borderId="33" xfId="0" applyNumberFormat="1" applyFont="1" applyBorder="1"/>
    <xf numFmtId="10" fontId="10" fillId="0" borderId="33" xfId="1" applyNumberFormat="1" applyFont="1" applyBorder="1" applyAlignment="1">
      <alignment horizontal="right"/>
    </xf>
    <xf numFmtId="0" fontId="9" fillId="0" borderId="42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1" fontId="11" fillId="0" borderId="42" xfId="1" applyNumberFormat="1" applyFont="1" applyFill="1" applyBorder="1" applyAlignment="1">
      <alignment horizontal="center" vertical="center"/>
    </xf>
    <xf numFmtId="4" fontId="11" fillId="0" borderId="42" xfId="0" applyNumberFormat="1" applyFont="1" applyBorder="1" applyAlignment="1">
      <alignment horizontal="center"/>
    </xf>
    <xf numFmtId="0" fontId="9" fillId="0" borderId="42" xfId="1" applyNumberFormat="1" applyFont="1" applyBorder="1" applyAlignment="1">
      <alignment horizontal="center" vertical="center"/>
    </xf>
    <xf numFmtId="4" fontId="9" fillId="0" borderId="42" xfId="0" applyNumberFormat="1" applyFont="1" applyBorder="1"/>
    <xf numFmtId="10" fontId="10" fillId="0" borderId="42" xfId="1" applyNumberFormat="1" applyFont="1" applyBorder="1" applyAlignment="1">
      <alignment horizontal="right"/>
    </xf>
    <xf numFmtId="0" fontId="9" fillId="0" borderId="42" xfId="1" applyNumberFormat="1" applyFont="1" applyFill="1" applyBorder="1" applyAlignment="1">
      <alignment horizontal="center" vertical="center"/>
    </xf>
    <xf numFmtId="10" fontId="10" fillId="0" borderId="42" xfId="1" applyNumberFormat="1" applyFont="1" applyFill="1" applyBorder="1" applyAlignment="1">
      <alignment horizontal="right"/>
    </xf>
    <xf numFmtId="1" fontId="9" fillId="0" borderId="42" xfId="1" applyNumberFormat="1" applyFont="1" applyBorder="1" applyAlignment="1">
      <alignment horizontal="center" vertical="center"/>
    </xf>
    <xf numFmtId="4" fontId="9" fillId="0" borderId="42" xfId="0" applyNumberFormat="1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1" fontId="9" fillId="0" borderId="32" xfId="1" applyNumberFormat="1" applyFont="1" applyBorder="1" applyAlignment="1">
      <alignment horizontal="center" vertical="center"/>
    </xf>
    <xf numFmtId="4" fontId="9" fillId="0" borderId="32" xfId="0" applyNumberFormat="1" applyFont="1" applyBorder="1"/>
    <xf numFmtId="4" fontId="9" fillId="0" borderId="32" xfId="0" applyNumberFormat="1" applyFont="1" applyBorder="1" applyAlignment="1">
      <alignment horizontal="center"/>
    </xf>
    <xf numFmtId="4" fontId="9" fillId="0" borderId="32" xfId="1" applyNumberFormat="1" applyFont="1" applyBorder="1" applyAlignment="1">
      <alignment horizontal="center" vertical="center"/>
    </xf>
    <xf numFmtId="10" fontId="10" fillId="0" borderId="32" xfId="1" applyNumberFormat="1" applyFont="1" applyBorder="1"/>
    <xf numFmtId="10" fontId="6" fillId="0" borderId="0" xfId="0" applyNumberFormat="1" applyFont="1"/>
    <xf numFmtId="0" fontId="0" fillId="0" borderId="9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9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0" borderId="32" xfId="0" applyFont="1" applyBorder="1" applyAlignment="1">
      <alignment horizontal="center"/>
    </xf>
    <xf numFmtId="1" fontId="9" fillId="0" borderId="33" xfId="1" applyNumberFormat="1" applyFont="1" applyBorder="1" applyAlignment="1">
      <alignment horizontal="center" vertical="center"/>
    </xf>
    <xf numFmtId="4" fontId="9" fillId="0" borderId="33" xfId="0" applyNumberFormat="1" applyFont="1" applyBorder="1" applyAlignment="1">
      <alignment horizontal="center"/>
    </xf>
    <xf numFmtId="0" fontId="9" fillId="0" borderId="42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9" fillId="0" borderId="48" xfId="0" applyFont="1" applyFill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2" fontId="7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9" fillId="0" borderId="3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4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2" fontId="9" fillId="0" borderId="33" xfId="0" applyNumberFormat="1" applyFont="1" applyBorder="1" applyAlignment="1">
      <alignment horizontal="center" vertical="center" wrapText="1"/>
    </xf>
    <xf numFmtId="2" fontId="9" fillId="0" borderId="43" xfId="0" applyNumberFormat="1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Normal" xfId="0" builtinId="0"/>
    <cellStyle name="Porcentaj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611966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611966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611966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611966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611966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611966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514475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5" name="4 Imagen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N45"/>
  <sheetViews>
    <sheetView zoomScale="80" zoomScaleNormal="80" workbookViewId="0">
      <selection activeCell="E49" sqref="E49"/>
    </sheetView>
  </sheetViews>
  <sheetFormatPr baseColWidth="10" defaultColWidth="12.42578125" defaultRowHeight="15.75" x14ac:dyDescent="0.25"/>
  <cols>
    <col min="1" max="1" width="4" style="65" customWidth="1"/>
    <col min="2" max="2" width="3.7109375" style="65" customWidth="1"/>
    <col min="3" max="3" width="9.5703125" style="65" customWidth="1"/>
    <col min="4" max="4" width="9.7109375" style="65" customWidth="1"/>
    <col min="5" max="5" width="7.42578125" style="65" customWidth="1"/>
    <col min="6" max="7" width="12.7109375" style="65" customWidth="1"/>
    <col min="8" max="8" width="17.42578125" style="66" customWidth="1"/>
    <col min="9" max="9" width="12.7109375" style="65" customWidth="1"/>
    <col min="10" max="10" width="14.42578125" style="66" bestFit="1" customWidth="1"/>
    <col min="11" max="12" width="12.7109375" style="65" customWidth="1"/>
    <col min="13" max="13" width="12.42578125" style="65"/>
    <col min="14" max="14" width="3.7109375" style="65" customWidth="1"/>
    <col min="15" max="16384" width="12.42578125" style="65"/>
  </cols>
  <sheetData>
    <row r="1" spans="2:14" ht="16.5" thickBot="1" x14ac:dyDescent="0.3"/>
    <row r="2" spans="2:14" ht="17.25" thickTop="1" thickBot="1" x14ac:dyDescent="0.3">
      <c r="B2" s="67"/>
      <c r="C2" s="68"/>
      <c r="D2" s="68"/>
      <c r="E2" s="68"/>
      <c r="F2" s="68"/>
      <c r="G2" s="68"/>
      <c r="H2" s="69"/>
      <c r="I2" s="68"/>
      <c r="J2" s="69"/>
      <c r="K2" s="68"/>
      <c r="L2" s="68"/>
      <c r="M2" s="68"/>
      <c r="N2" s="70"/>
    </row>
    <row r="3" spans="2:14" ht="17.25" thickTop="1" thickBot="1" x14ac:dyDescent="0.3">
      <c r="B3" s="71"/>
      <c r="D3" s="72"/>
      <c r="E3" s="72"/>
      <c r="F3" s="72"/>
      <c r="G3" s="72" t="s">
        <v>54</v>
      </c>
      <c r="H3" s="72"/>
      <c r="I3" s="72"/>
      <c r="J3" s="72"/>
      <c r="K3" s="73" t="s">
        <v>25</v>
      </c>
      <c r="L3" s="74">
        <f>+M43</f>
        <v>0.55168972158991436</v>
      </c>
      <c r="M3" s="72"/>
      <c r="N3" s="75"/>
    </row>
    <row r="4" spans="2:14" ht="17.25" thickTop="1" thickBot="1" x14ac:dyDescent="0.3">
      <c r="B4" s="71"/>
      <c r="D4" s="72"/>
      <c r="E4" s="72"/>
      <c r="F4" s="72"/>
      <c r="G4" s="76" t="s">
        <v>55</v>
      </c>
      <c r="H4" s="76"/>
      <c r="I4" s="72"/>
      <c r="J4" s="76"/>
      <c r="K4" s="73" t="s">
        <v>26</v>
      </c>
      <c r="L4" s="77">
        <f>+L43/D43</f>
        <v>157.53500000000003</v>
      </c>
      <c r="M4" s="72"/>
      <c r="N4" s="75"/>
    </row>
    <row r="5" spans="2:14" ht="16.5" thickTop="1" x14ac:dyDescent="0.25">
      <c r="B5" s="71"/>
      <c r="D5" s="72"/>
      <c r="E5" s="72"/>
      <c r="F5" s="72"/>
      <c r="G5" s="76" t="s">
        <v>56</v>
      </c>
      <c r="I5" s="72"/>
      <c r="K5" s="78"/>
      <c r="L5" s="79"/>
      <c r="M5" s="72"/>
      <c r="N5" s="75"/>
    </row>
    <row r="6" spans="2:14" ht="16.5" thickBot="1" x14ac:dyDescent="0.3">
      <c r="B6" s="80"/>
      <c r="C6" s="81"/>
      <c r="D6" s="81"/>
      <c r="E6" s="81"/>
      <c r="F6" s="81"/>
      <c r="G6" s="81"/>
      <c r="H6" s="82"/>
      <c r="I6" s="81"/>
      <c r="J6" s="82"/>
      <c r="K6" s="81"/>
      <c r="L6" s="81"/>
      <c r="M6" s="81"/>
      <c r="N6" s="83"/>
    </row>
    <row r="7" spans="2:14" ht="12" customHeight="1" thickTop="1" x14ac:dyDescent="0.25">
      <c r="B7" s="67"/>
      <c r="C7" s="68"/>
      <c r="D7" s="68"/>
      <c r="E7" s="68"/>
      <c r="F7" s="68"/>
      <c r="G7" s="68"/>
      <c r="H7" s="69"/>
      <c r="I7" s="67"/>
      <c r="J7" s="69"/>
      <c r="K7" s="68"/>
      <c r="L7" s="68"/>
      <c r="M7" s="68"/>
      <c r="N7" s="70"/>
    </row>
    <row r="8" spans="2:14" x14ac:dyDescent="0.25">
      <c r="B8" s="71"/>
      <c r="C8" s="156" t="s">
        <v>57</v>
      </c>
      <c r="D8" s="156"/>
      <c r="E8" s="157" t="s">
        <v>87</v>
      </c>
      <c r="F8" s="157"/>
      <c r="G8" s="157"/>
      <c r="H8" s="158"/>
      <c r="I8" s="84" t="s">
        <v>58</v>
      </c>
      <c r="J8" s="159" t="s">
        <v>89</v>
      </c>
      <c r="K8" s="159"/>
      <c r="L8" s="72"/>
      <c r="M8" s="72"/>
      <c r="N8" s="75"/>
    </row>
    <row r="9" spans="2:14" x14ac:dyDescent="0.25">
      <c r="B9" s="71"/>
      <c r="C9" s="162" t="s">
        <v>59</v>
      </c>
      <c r="D9" s="162"/>
      <c r="E9" s="157">
        <v>69057</v>
      </c>
      <c r="F9" s="157"/>
      <c r="G9" s="157"/>
      <c r="H9" s="158"/>
      <c r="I9" s="84" t="s">
        <v>60</v>
      </c>
      <c r="J9" s="85" t="s">
        <v>90</v>
      </c>
      <c r="K9" s="86" t="s">
        <v>61</v>
      </c>
      <c r="L9" s="163" t="s">
        <v>91</v>
      </c>
      <c r="M9" s="163"/>
      <c r="N9" s="75"/>
    </row>
    <row r="10" spans="2:14" ht="12" customHeight="1" thickBot="1" x14ac:dyDescent="0.3">
      <c r="B10" s="80"/>
      <c r="C10" s="87"/>
      <c r="D10" s="87"/>
      <c r="E10" s="81"/>
      <c r="F10" s="81"/>
      <c r="G10" s="81"/>
      <c r="H10" s="82"/>
      <c r="I10" s="80"/>
      <c r="J10" s="82"/>
      <c r="K10" s="81"/>
      <c r="L10" s="81"/>
      <c r="M10" s="81"/>
      <c r="N10" s="83"/>
    </row>
    <row r="11" spans="2:14" ht="12" customHeight="1" thickTop="1" x14ac:dyDescent="0.25">
      <c r="B11" s="71"/>
      <c r="C11" s="88"/>
      <c r="D11" s="88"/>
      <c r="E11" s="72"/>
      <c r="F11" s="72"/>
      <c r="G11" s="72"/>
      <c r="H11" s="76"/>
      <c r="I11" s="72"/>
      <c r="J11" s="76"/>
      <c r="K11" s="72"/>
      <c r="L11" s="72"/>
      <c r="M11" s="72"/>
      <c r="N11" s="75"/>
    </row>
    <row r="12" spans="2:14" x14ac:dyDescent="0.25">
      <c r="B12" s="71"/>
      <c r="D12" s="91" t="s">
        <v>78</v>
      </c>
      <c r="E12" s="160">
        <v>46059</v>
      </c>
      <c r="F12" s="161"/>
      <c r="H12" s="65"/>
      <c r="I12" s="89"/>
      <c r="J12" s="65"/>
      <c r="K12" s="90" t="s">
        <v>62</v>
      </c>
      <c r="L12" s="90" t="s">
        <v>63</v>
      </c>
      <c r="N12" s="75"/>
    </row>
    <row r="13" spans="2:14" x14ac:dyDescent="0.25">
      <c r="B13" s="71"/>
      <c r="C13" s="164" t="s">
        <v>64</v>
      </c>
      <c r="D13" s="164"/>
      <c r="E13" s="165">
        <v>59</v>
      </c>
      <c r="F13" s="165"/>
      <c r="H13" s="65"/>
      <c r="I13" s="89"/>
      <c r="J13" s="90" t="s">
        <v>65</v>
      </c>
      <c r="K13" s="92">
        <f>+COUNTIF($G$22:$G$43,"VQ")*2</f>
        <v>30</v>
      </c>
      <c r="L13" s="92">
        <f>+SUMIF($G$23:$G$42,"VQ",$L$23:$L$42)</f>
        <v>2335.6999999999998</v>
      </c>
      <c r="N13" s="75"/>
    </row>
    <row r="14" spans="2:14" x14ac:dyDescent="0.25">
      <c r="B14" s="71"/>
      <c r="C14" s="164" t="s">
        <v>66</v>
      </c>
      <c r="D14" s="164"/>
      <c r="E14" s="166">
        <v>20</v>
      </c>
      <c r="F14" s="166"/>
      <c r="H14" s="65"/>
      <c r="I14" s="89"/>
      <c r="J14" s="90" t="s">
        <v>67</v>
      </c>
      <c r="K14" s="92">
        <f>+COUNTIF($G$22:$G$43,"NT")*2</f>
        <v>0</v>
      </c>
      <c r="L14" s="92">
        <f>+SUMIF($G$23:$G$42,"NT",$L$23:$L$42)</f>
        <v>0</v>
      </c>
      <c r="N14" s="75"/>
    </row>
    <row r="15" spans="2:14" x14ac:dyDescent="0.25">
      <c r="B15" s="71"/>
      <c r="C15" s="164" t="s">
        <v>68</v>
      </c>
      <c r="D15" s="164"/>
      <c r="E15" s="167">
        <f>+I43</f>
        <v>5711</v>
      </c>
      <c r="F15" s="166"/>
      <c r="H15" s="65"/>
      <c r="I15" s="89"/>
      <c r="J15" s="90" t="s">
        <v>69</v>
      </c>
      <c r="K15" s="92">
        <f>+COUNTIF($G$22:$G$43,"NO")*2</f>
        <v>0</v>
      </c>
      <c r="L15" s="92">
        <f>+SUMIF($G$23:$G$42,"NO",$L$23:$L$42)</f>
        <v>0</v>
      </c>
      <c r="N15" s="75"/>
    </row>
    <row r="16" spans="2:14" x14ac:dyDescent="0.25">
      <c r="B16" s="71"/>
      <c r="C16" s="164" t="s">
        <v>70</v>
      </c>
      <c r="D16" s="164"/>
      <c r="E16" s="167">
        <f>+L43</f>
        <v>3150.7000000000007</v>
      </c>
      <c r="F16" s="166"/>
      <c r="H16" s="65"/>
      <c r="I16" s="89"/>
      <c r="J16" s="90" t="s">
        <v>71</v>
      </c>
      <c r="K16" s="92">
        <f>+COUNTIF($G$22:$G$43,"TO")*2</f>
        <v>0</v>
      </c>
      <c r="L16" s="92">
        <f>+SUMIF($G$23:$G$42,"TO",$L$23:$L$42)</f>
        <v>0</v>
      </c>
      <c r="N16" s="75"/>
    </row>
    <row r="17" spans="2:14" x14ac:dyDescent="0.25">
      <c r="B17" s="71"/>
      <c r="C17" s="164" t="s">
        <v>72</v>
      </c>
      <c r="D17" s="164"/>
      <c r="E17" s="168">
        <f>+M43</f>
        <v>0.55168972158991436</v>
      </c>
      <c r="F17" s="166"/>
      <c r="G17" s="93"/>
      <c r="H17" s="94"/>
      <c r="I17" s="89"/>
      <c r="J17" s="90" t="s">
        <v>73</v>
      </c>
      <c r="K17" s="92">
        <f>+COUNTIF($G$22:$G$43,"VA")*2</f>
        <v>0</v>
      </c>
      <c r="L17" s="92">
        <f>+SUMIF($G$23:$G$42,"VA",$L$23:$L$42)</f>
        <v>0</v>
      </c>
      <c r="N17" s="75"/>
    </row>
    <row r="18" spans="2:14" x14ac:dyDescent="0.25">
      <c r="B18" s="71"/>
      <c r="C18" s="164" t="s">
        <v>74</v>
      </c>
      <c r="D18" s="164"/>
      <c r="E18" s="169">
        <f>+L43/D43</f>
        <v>157.53500000000003</v>
      </c>
      <c r="F18" s="169"/>
      <c r="G18" s="93"/>
      <c r="H18" s="94"/>
      <c r="I18" s="89"/>
      <c r="J18" s="90" t="s">
        <v>75</v>
      </c>
      <c r="K18" s="92">
        <f>+COUNTIF($G$22:$G$43,"MEJ")*2</f>
        <v>10</v>
      </c>
      <c r="L18" s="92">
        <f>+SUMIF($G$23:$G$42,"MEJ",$L$23:$L$42)</f>
        <v>815</v>
      </c>
      <c r="N18" s="75"/>
    </row>
    <row r="19" spans="2:14" ht="9.9499999999999993" customHeight="1" thickBot="1" x14ac:dyDescent="0.3">
      <c r="B19" s="80"/>
      <c r="C19" s="95"/>
      <c r="D19" s="95"/>
      <c r="E19" s="81"/>
      <c r="F19" s="81"/>
      <c r="G19" s="96"/>
      <c r="H19" s="97"/>
      <c r="I19" s="96"/>
      <c r="J19" s="81"/>
      <c r="K19" s="81"/>
      <c r="L19" s="81"/>
      <c r="M19" s="81"/>
      <c r="N19" s="83"/>
    </row>
    <row r="20" spans="2:14" ht="9.9499999999999993" customHeight="1" thickTop="1" x14ac:dyDescent="0.25">
      <c r="B20" s="71"/>
      <c r="N20" s="75"/>
    </row>
    <row r="21" spans="2:14" s="100" customFormat="1" ht="26.25" customHeight="1" x14ac:dyDescent="0.25">
      <c r="B21" s="98"/>
      <c r="C21" s="170" t="s">
        <v>27</v>
      </c>
      <c r="D21" s="170" t="s">
        <v>28</v>
      </c>
      <c r="E21" s="173" t="s">
        <v>52</v>
      </c>
      <c r="F21" s="175" t="s">
        <v>29</v>
      </c>
      <c r="G21" s="176"/>
      <c r="H21" s="181" t="s">
        <v>30</v>
      </c>
      <c r="I21" s="183" t="s">
        <v>31</v>
      </c>
      <c r="J21" s="183" t="s">
        <v>2</v>
      </c>
      <c r="K21" s="173" t="s">
        <v>3</v>
      </c>
      <c r="L21" s="183" t="s">
        <v>32</v>
      </c>
      <c r="M21" s="177" t="s">
        <v>33</v>
      </c>
      <c r="N21" s="99"/>
    </row>
    <row r="22" spans="2:14" x14ac:dyDescent="0.25">
      <c r="B22" s="71"/>
      <c r="C22" s="171"/>
      <c r="D22" s="172"/>
      <c r="E22" s="174"/>
      <c r="F22" s="149" t="s">
        <v>76</v>
      </c>
      <c r="G22" s="102" t="s">
        <v>77</v>
      </c>
      <c r="H22" s="182"/>
      <c r="I22" s="184"/>
      <c r="J22" s="184"/>
      <c r="K22" s="174"/>
      <c r="L22" s="184"/>
      <c r="M22" s="178"/>
      <c r="N22" s="75"/>
    </row>
    <row r="23" spans="2:14" x14ac:dyDescent="0.25">
      <c r="B23" s="71"/>
      <c r="C23" s="103">
        <v>1</v>
      </c>
      <c r="D23" s="103">
        <v>16</v>
      </c>
      <c r="E23" s="143" t="s">
        <v>92</v>
      </c>
      <c r="F23" s="150" t="s">
        <v>144</v>
      </c>
      <c r="G23" s="147" t="s">
        <v>75</v>
      </c>
      <c r="H23" s="136" t="s">
        <v>108</v>
      </c>
      <c r="I23" s="137">
        <v>290</v>
      </c>
      <c r="J23" s="103">
        <v>80.8</v>
      </c>
      <c r="K23" s="107">
        <v>81.099999999999994</v>
      </c>
      <c r="L23" s="108">
        <f t="shared" ref="L23:L42" si="0">+J23+K23</f>
        <v>161.89999999999998</v>
      </c>
      <c r="M23" s="109">
        <f t="shared" ref="M23:M42" si="1">+L23/I23</f>
        <v>0.5582758620689654</v>
      </c>
      <c r="N23" s="75"/>
    </row>
    <row r="24" spans="2:14" x14ac:dyDescent="0.25">
      <c r="B24" s="71"/>
      <c r="C24" s="110">
        <v>2</v>
      </c>
      <c r="D24" s="110">
        <v>12</v>
      </c>
      <c r="E24" s="144" t="s">
        <v>93</v>
      </c>
      <c r="F24" s="151" t="s">
        <v>143</v>
      </c>
      <c r="G24" s="147" t="s">
        <v>65</v>
      </c>
      <c r="H24" s="112" t="s">
        <v>104</v>
      </c>
      <c r="I24" s="113">
        <v>292</v>
      </c>
      <c r="J24" s="110">
        <v>81.599999999999994</v>
      </c>
      <c r="K24" s="117">
        <v>82</v>
      </c>
      <c r="L24" s="115">
        <f t="shared" si="0"/>
        <v>163.6</v>
      </c>
      <c r="M24" s="118">
        <f t="shared" si="1"/>
        <v>0.5602739726027397</v>
      </c>
      <c r="N24" s="75"/>
    </row>
    <row r="25" spans="2:14" x14ac:dyDescent="0.25">
      <c r="B25" s="71"/>
      <c r="C25" s="110">
        <v>3</v>
      </c>
      <c r="D25" s="110">
        <v>15</v>
      </c>
      <c r="E25" s="144" t="s">
        <v>93</v>
      </c>
      <c r="F25" s="151" t="s">
        <v>144</v>
      </c>
      <c r="G25" s="147" t="s">
        <v>75</v>
      </c>
      <c r="H25" s="112" t="s">
        <v>107</v>
      </c>
      <c r="I25" s="113">
        <v>290</v>
      </c>
      <c r="J25" s="110">
        <v>80.2</v>
      </c>
      <c r="K25" s="114">
        <v>80.3</v>
      </c>
      <c r="L25" s="115">
        <f t="shared" si="0"/>
        <v>160.5</v>
      </c>
      <c r="M25" s="116">
        <f t="shared" si="1"/>
        <v>0.55344827586206902</v>
      </c>
      <c r="N25" s="75"/>
    </row>
    <row r="26" spans="2:14" x14ac:dyDescent="0.25">
      <c r="B26" s="71"/>
      <c r="C26" s="110">
        <v>4</v>
      </c>
      <c r="D26" s="110">
        <v>2</v>
      </c>
      <c r="E26" s="144" t="s">
        <v>93</v>
      </c>
      <c r="F26" s="151" t="s">
        <v>143</v>
      </c>
      <c r="G26" s="147" t="s">
        <v>65</v>
      </c>
      <c r="H26" s="112" t="s">
        <v>95</v>
      </c>
      <c r="I26" s="113">
        <v>242</v>
      </c>
      <c r="J26" s="110">
        <v>65.5</v>
      </c>
      <c r="K26" s="114">
        <v>63.2</v>
      </c>
      <c r="L26" s="115">
        <f t="shared" si="0"/>
        <v>128.69999999999999</v>
      </c>
      <c r="M26" s="116">
        <f t="shared" si="1"/>
        <v>0.53181818181818175</v>
      </c>
      <c r="N26" s="75"/>
    </row>
    <row r="27" spans="2:14" x14ac:dyDescent="0.25">
      <c r="B27" s="71"/>
      <c r="C27" s="110">
        <v>5</v>
      </c>
      <c r="D27" s="110">
        <v>3</v>
      </c>
      <c r="E27" s="144" t="s">
        <v>93</v>
      </c>
      <c r="F27" s="151" t="s">
        <v>143</v>
      </c>
      <c r="G27" s="147" t="s">
        <v>65</v>
      </c>
      <c r="H27" s="112" t="s">
        <v>96</v>
      </c>
      <c r="I27" s="113">
        <v>285</v>
      </c>
      <c r="J27" s="110">
        <v>74.900000000000006</v>
      </c>
      <c r="K27" s="114">
        <v>75</v>
      </c>
      <c r="L27" s="115">
        <f t="shared" si="0"/>
        <v>149.9</v>
      </c>
      <c r="M27" s="116">
        <f t="shared" si="1"/>
        <v>0.52596491228070175</v>
      </c>
      <c r="N27" s="75"/>
    </row>
    <row r="28" spans="2:14" x14ac:dyDescent="0.25">
      <c r="B28" s="71"/>
      <c r="C28" s="110">
        <v>6</v>
      </c>
      <c r="D28" s="110">
        <v>10</v>
      </c>
      <c r="E28" s="144" t="s">
        <v>93</v>
      </c>
      <c r="F28" s="151" t="s">
        <v>144</v>
      </c>
      <c r="G28" s="147" t="s">
        <v>75</v>
      </c>
      <c r="H28" s="112" t="s">
        <v>102</v>
      </c>
      <c r="I28" s="113">
        <v>321</v>
      </c>
      <c r="J28" s="110">
        <v>91.3</v>
      </c>
      <c r="K28" s="114">
        <v>91.9</v>
      </c>
      <c r="L28" s="115">
        <f t="shared" si="0"/>
        <v>183.2</v>
      </c>
      <c r="M28" s="116">
        <f t="shared" si="1"/>
        <v>0.57071651090342679</v>
      </c>
      <c r="N28" s="75"/>
    </row>
    <row r="29" spans="2:14" x14ac:dyDescent="0.25">
      <c r="B29" s="71"/>
      <c r="C29" s="111">
        <v>7</v>
      </c>
      <c r="D29" s="111">
        <v>7</v>
      </c>
      <c r="E29" s="145" t="s">
        <v>93</v>
      </c>
      <c r="F29" s="151" t="s">
        <v>144</v>
      </c>
      <c r="G29" s="147" t="s">
        <v>75</v>
      </c>
      <c r="H29" s="112" t="s">
        <v>100</v>
      </c>
      <c r="I29" s="113">
        <v>303</v>
      </c>
      <c r="J29" s="110">
        <v>85.1</v>
      </c>
      <c r="K29" s="114">
        <v>85.3</v>
      </c>
      <c r="L29" s="115">
        <f t="shared" si="0"/>
        <v>170.39999999999998</v>
      </c>
      <c r="M29" s="116">
        <f t="shared" si="1"/>
        <v>0.56237623762376232</v>
      </c>
      <c r="N29" s="75"/>
    </row>
    <row r="30" spans="2:14" x14ac:dyDescent="0.25">
      <c r="B30" s="71"/>
      <c r="C30" s="110">
        <v>8</v>
      </c>
      <c r="D30" s="110">
        <v>5</v>
      </c>
      <c r="E30" s="144" t="s">
        <v>93</v>
      </c>
      <c r="F30" s="151" t="s">
        <v>144</v>
      </c>
      <c r="G30" s="147" t="s">
        <v>75</v>
      </c>
      <c r="H30" s="112" t="s">
        <v>98</v>
      </c>
      <c r="I30" s="113">
        <v>256</v>
      </c>
      <c r="J30" s="110">
        <v>69.7</v>
      </c>
      <c r="K30" s="114">
        <v>69.3</v>
      </c>
      <c r="L30" s="115">
        <f t="shared" si="0"/>
        <v>139</v>
      </c>
      <c r="M30" s="116">
        <f t="shared" si="1"/>
        <v>0.54296875</v>
      </c>
      <c r="N30" s="75"/>
    </row>
    <row r="31" spans="2:14" x14ac:dyDescent="0.25">
      <c r="B31" s="71"/>
      <c r="C31" s="111">
        <v>9</v>
      </c>
      <c r="D31" s="111">
        <v>20</v>
      </c>
      <c r="E31" s="145" t="s">
        <v>92</v>
      </c>
      <c r="F31" s="151" t="s">
        <v>143</v>
      </c>
      <c r="G31" s="147" t="s">
        <v>65</v>
      </c>
      <c r="H31" s="112" t="s">
        <v>112</v>
      </c>
      <c r="I31" s="113">
        <v>268</v>
      </c>
      <c r="J31" s="110">
        <v>70.599999999999994</v>
      </c>
      <c r="K31" s="114">
        <v>70.8</v>
      </c>
      <c r="L31" s="115">
        <f t="shared" si="0"/>
        <v>141.39999999999998</v>
      </c>
      <c r="M31" s="116">
        <f t="shared" si="1"/>
        <v>0.52761194029850733</v>
      </c>
      <c r="N31" s="75"/>
    </row>
    <row r="32" spans="2:14" x14ac:dyDescent="0.25">
      <c r="B32" s="71"/>
      <c r="C32" s="111">
        <v>10</v>
      </c>
      <c r="D32" s="111">
        <v>8</v>
      </c>
      <c r="E32" s="145" t="s">
        <v>93</v>
      </c>
      <c r="F32" s="151" t="s">
        <v>143</v>
      </c>
      <c r="G32" s="147" t="s">
        <v>65</v>
      </c>
      <c r="H32" s="112">
        <v>7400</v>
      </c>
      <c r="I32" s="113">
        <v>355</v>
      </c>
      <c r="J32" s="110">
        <v>102</v>
      </c>
      <c r="K32" s="114">
        <v>100.8</v>
      </c>
      <c r="L32" s="115">
        <f t="shared" si="0"/>
        <v>202.8</v>
      </c>
      <c r="M32" s="116">
        <f t="shared" si="1"/>
        <v>0.57126760563380286</v>
      </c>
      <c r="N32" s="75"/>
    </row>
    <row r="33" spans="2:14" x14ac:dyDescent="0.25">
      <c r="B33" s="71"/>
      <c r="C33" s="138">
        <v>11</v>
      </c>
      <c r="D33" s="138">
        <v>6</v>
      </c>
      <c r="E33" s="146" t="s">
        <v>93</v>
      </c>
      <c r="F33" s="151" t="s">
        <v>143</v>
      </c>
      <c r="G33" s="148" t="s">
        <v>65</v>
      </c>
      <c r="H33" s="112" t="s">
        <v>99</v>
      </c>
      <c r="I33" s="113">
        <v>255</v>
      </c>
      <c r="J33" s="110">
        <v>70.5</v>
      </c>
      <c r="K33" s="114">
        <v>69.900000000000006</v>
      </c>
      <c r="L33" s="115">
        <f t="shared" si="0"/>
        <v>140.4</v>
      </c>
      <c r="M33" s="116">
        <f t="shared" si="1"/>
        <v>0.55058823529411771</v>
      </c>
      <c r="N33" s="75"/>
    </row>
    <row r="34" spans="2:14" x14ac:dyDescent="0.25">
      <c r="B34" s="71"/>
      <c r="C34" s="110">
        <v>12</v>
      </c>
      <c r="D34" s="110">
        <v>18</v>
      </c>
      <c r="E34" s="144" t="s">
        <v>92</v>
      </c>
      <c r="F34" s="151" t="s">
        <v>143</v>
      </c>
      <c r="G34" s="147" t="s">
        <v>65</v>
      </c>
      <c r="H34" s="112" t="s">
        <v>110</v>
      </c>
      <c r="I34" s="113">
        <v>286</v>
      </c>
      <c r="J34" s="110">
        <v>79.5</v>
      </c>
      <c r="K34" s="114">
        <v>79.400000000000006</v>
      </c>
      <c r="L34" s="115">
        <f t="shared" si="0"/>
        <v>158.9</v>
      </c>
      <c r="M34" s="116">
        <f t="shared" si="1"/>
        <v>0.55559440559440565</v>
      </c>
      <c r="N34" s="75"/>
    </row>
    <row r="35" spans="2:14" x14ac:dyDescent="0.25">
      <c r="B35" s="71"/>
      <c r="C35" s="111">
        <v>13</v>
      </c>
      <c r="D35" s="111">
        <v>11</v>
      </c>
      <c r="E35" s="145" t="s">
        <v>93</v>
      </c>
      <c r="F35" s="151" t="s">
        <v>143</v>
      </c>
      <c r="G35" s="147" t="s">
        <v>65</v>
      </c>
      <c r="H35" s="112" t="s">
        <v>103</v>
      </c>
      <c r="I35" s="113">
        <v>261</v>
      </c>
      <c r="J35" s="110">
        <v>71.8</v>
      </c>
      <c r="K35" s="114">
        <v>70.8</v>
      </c>
      <c r="L35" s="115">
        <f t="shared" si="0"/>
        <v>142.6</v>
      </c>
      <c r="M35" s="116">
        <f t="shared" si="1"/>
        <v>0.54636015325670495</v>
      </c>
      <c r="N35" s="75"/>
    </row>
    <row r="36" spans="2:14" x14ac:dyDescent="0.25">
      <c r="B36" s="71"/>
      <c r="C36" s="110">
        <v>14</v>
      </c>
      <c r="D36" s="110">
        <v>9</v>
      </c>
      <c r="E36" s="144" t="s">
        <v>92</v>
      </c>
      <c r="F36" s="151" t="s">
        <v>143</v>
      </c>
      <c r="G36" s="147" t="s">
        <v>65</v>
      </c>
      <c r="H36" s="112" t="s">
        <v>101</v>
      </c>
      <c r="I36" s="113">
        <v>265</v>
      </c>
      <c r="J36" s="110">
        <v>75.5</v>
      </c>
      <c r="K36" s="114">
        <v>76</v>
      </c>
      <c r="L36" s="115">
        <f t="shared" si="0"/>
        <v>151.5</v>
      </c>
      <c r="M36" s="116">
        <f t="shared" si="1"/>
        <v>0.57169811320754715</v>
      </c>
      <c r="N36" s="75"/>
    </row>
    <row r="37" spans="2:14" x14ac:dyDescent="0.25">
      <c r="B37" s="71"/>
      <c r="C37" s="110">
        <v>15</v>
      </c>
      <c r="D37" s="110">
        <v>13</v>
      </c>
      <c r="E37" s="144" t="s">
        <v>93</v>
      </c>
      <c r="F37" s="151" t="s">
        <v>143</v>
      </c>
      <c r="G37" s="147" t="s">
        <v>65</v>
      </c>
      <c r="H37" s="112" t="s">
        <v>105</v>
      </c>
      <c r="I37" s="113">
        <v>257</v>
      </c>
      <c r="J37" s="110">
        <v>68.099999999999994</v>
      </c>
      <c r="K37" s="114">
        <v>68.2</v>
      </c>
      <c r="L37" s="115">
        <f t="shared" si="0"/>
        <v>136.30000000000001</v>
      </c>
      <c r="M37" s="116">
        <f t="shared" si="1"/>
        <v>0.53035019455252919</v>
      </c>
      <c r="N37" s="75"/>
    </row>
    <row r="38" spans="2:14" x14ac:dyDescent="0.25">
      <c r="B38" s="71"/>
      <c r="C38" s="110">
        <v>16</v>
      </c>
      <c r="D38" s="110">
        <v>14</v>
      </c>
      <c r="E38" s="144" t="s">
        <v>92</v>
      </c>
      <c r="F38" s="151" t="s">
        <v>143</v>
      </c>
      <c r="G38" s="147" t="s">
        <v>65</v>
      </c>
      <c r="H38" s="112" t="s">
        <v>106</v>
      </c>
      <c r="I38" s="113">
        <v>296</v>
      </c>
      <c r="J38" s="110">
        <v>83</v>
      </c>
      <c r="K38" s="114">
        <v>82.3</v>
      </c>
      <c r="L38" s="115">
        <f t="shared" si="0"/>
        <v>165.3</v>
      </c>
      <c r="M38" s="116">
        <f t="shared" si="1"/>
        <v>0.55844594594594599</v>
      </c>
      <c r="N38" s="75"/>
    </row>
    <row r="39" spans="2:14" x14ac:dyDescent="0.25">
      <c r="B39" s="71"/>
      <c r="C39" s="110">
        <v>17</v>
      </c>
      <c r="D39" s="110">
        <v>17</v>
      </c>
      <c r="E39" s="144" t="s">
        <v>93</v>
      </c>
      <c r="F39" s="151" t="s">
        <v>143</v>
      </c>
      <c r="G39" s="147" t="s">
        <v>65</v>
      </c>
      <c r="H39" s="112" t="s">
        <v>109</v>
      </c>
      <c r="I39" s="113">
        <v>269</v>
      </c>
      <c r="J39" s="110">
        <v>73.3</v>
      </c>
      <c r="K39" s="114">
        <v>73.099999999999994</v>
      </c>
      <c r="L39" s="115">
        <f t="shared" si="0"/>
        <v>146.39999999999998</v>
      </c>
      <c r="M39" s="116">
        <f t="shared" si="1"/>
        <v>0.54423791821561329</v>
      </c>
      <c r="N39" s="75"/>
    </row>
    <row r="40" spans="2:14" x14ac:dyDescent="0.25">
      <c r="B40" s="71"/>
      <c r="C40" s="110">
        <v>18</v>
      </c>
      <c r="D40" s="110">
        <v>4</v>
      </c>
      <c r="E40" s="144" t="s">
        <v>92</v>
      </c>
      <c r="F40" s="151" t="s">
        <v>143</v>
      </c>
      <c r="G40" s="147" t="s">
        <v>65</v>
      </c>
      <c r="H40" s="112" t="s">
        <v>97</v>
      </c>
      <c r="I40" s="113">
        <v>306</v>
      </c>
      <c r="J40" s="110">
        <v>83.2</v>
      </c>
      <c r="K40" s="114">
        <v>82.8</v>
      </c>
      <c r="L40" s="115">
        <f t="shared" si="0"/>
        <v>166</v>
      </c>
      <c r="M40" s="116">
        <f t="shared" si="1"/>
        <v>0.54248366013071891</v>
      </c>
      <c r="N40" s="75"/>
    </row>
    <row r="41" spans="2:14" x14ac:dyDescent="0.25">
      <c r="B41" s="71"/>
      <c r="C41" s="110">
        <v>19</v>
      </c>
      <c r="D41" s="110">
        <v>19</v>
      </c>
      <c r="E41" s="144" t="s">
        <v>93</v>
      </c>
      <c r="F41" s="151" t="s">
        <v>143</v>
      </c>
      <c r="G41" s="147" t="s">
        <v>65</v>
      </c>
      <c r="H41" s="112" t="s">
        <v>111</v>
      </c>
      <c r="I41" s="113">
        <v>292</v>
      </c>
      <c r="J41" s="110">
        <v>81.900000000000006</v>
      </c>
      <c r="K41" s="114">
        <v>82.4</v>
      </c>
      <c r="L41" s="115">
        <f t="shared" si="0"/>
        <v>164.3</v>
      </c>
      <c r="M41" s="116">
        <f t="shared" si="1"/>
        <v>0.56267123287671239</v>
      </c>
      <c r="N41" s="75"/>
    </row>
    <row r="42" spans="2:14" x14ac:dyDescent="0.25">
      <c r="B42" s="71"/>
      <c r="C42" s="110">
        <v>20</v>
      </c>
      <c r="D42" s="110">
        <v>1</v>
      </c>
      <c r="E42" s="144" t="s">
        <v>92</v>
      </c>
      <c r="F42" s="152" t="s">
        <v>143</v>
      </c>
      <c r="G42" s="147" t="s">
        <v>65</v>
      </c>
      <c r="H42" s="112" t="s">
        <v>94</v>
      </c>
      <c r="I42" s="113">
        <v>322</v>
      </c>
      <c r="J42" s="110">
        <v>89.1</v>
      </c>
      <c r="K42" s="114">
        <v>88.5</v>
      </c>
      <c r="L42" s="115">
        <f t="shared" si="0"/>
        <v>177.6</v>
      </c>
      <c r="M42" s="116">
        <f t="shared" si="1"/>
        <v>0.55155279503105592</v>
      </c>
      <c r="N42" s="75"/>
    </row>
    <row r="43" spans="2:14" x14ac:dyDescent="0.25">
      <c r="B43" s="71"/>
      <c r="C43" s="121"/>
      <c r="D43" s="121">
        <f>+COUNT($D$22:$D$42)</f>
        <v>20</v>
      </c>
      <c r="E43" s="121"/>
      <c r="F43" s="179"/>
      <c r="G43" s="180"/>
      <c r="H43" s="122"/>
      <c r="I43" s="123">
        <f>SUM($I$22:$I$42)</f>
        <v>5711</v>
      </c>
      <c r="J43" s="124">
        <f>SUM($J$22:$J$42)</f>
        <v>1577.6</v>
      </c>
      <c r="K43" s="125">
        <f>SUM($K$22:$K$42)</f>
        <v>1573.0999999999997</v>
      </c>
      <c r="L43" s="123">
        <f>SUM($L$22:$L$42)</f>
        <v>3150.7000000000007</v>
      </c>
      <c r="M43" s="126">
        <f t="shared" ref="M43" si="2">+L43/I43</f>
        <v>0.55168972158991436</v>
      </c>
      <c r="N43" s="75"/>
    </row>
    <row r="44" spans="2:14" ht="16.5" thickBot="1" x14ac:dyDescent="0.3">
      <c r="B44" s="80"/>
      <c r="C44" s="81"/>
      <c r="D44" s="81"/>
      <c r="E44" s="81"/>
      <c r="F44" s="81"/>
      <c r="G44" s="81"/>
      <c r="H44" s="82"/>
      <c r="I44" s="81"/>
      <c r="J44" s="82"/>
      <c r="K44" s="81"/>
      <c r="L44" s="81"/>
      <c r="M44" s="81"/>
      <c r="N44" s="83"/>
    </row>
    <row r="45" spans="2:14" ht="16.5" thickTop="1" x14ac:dyDescent="0.25">
      <c r="I45" s="127"/>
    </row>
  </sheetData>
  <sortState ref="C23:M42">
    <sortCondition ref="C23"/>
  </sortState>
  <mergeCells count="30">
    <mergeCell ref="M21:M22"/>
    <mergeCell ref="F43:G43"/>
    <mergeCell ref="H21:H22"/>
    <mergeCell ref="I21:I22"/>
    <mergeCell ref="J21:J22"/>
    <mergeCell ref="K21:K22"/>
    <mergeCell ref="L21:L22"/>
    <mergeCell ref="C18:D18"/>
    <mergeCell ref="E18:F18"/>
    <mergeCell ref="C21:C22"/>
    <mergeCell ref="D21:D22"/>
    <mergeCell ref="E21:E22"/>
    <mergeCell ref="F21:G21"/>
    <mergeCell ref="C15:D15"/>
    <mergeCell ref="E15:F15"/>
    <mergeCell ref="C16:D16"/>
    <mergeCell ref="E16:F16"/>
    <mergeCell ref="C17:D17"/>
    <mergeCell ref="E17:F17"/>
    <mergeCell ref="L9:M9"/>
    <mergeCell ref="C13:D13"/>
    <mergeCell ref="E13:F13"/>
    <mergeCell ref="C14:D14"/>
    <mergeCell ref="E14:F14"/>
    <mergeCell ref="C8:D8"/>
    <mergeCell ref="E8:H8"/>
    <mergeCell ref="J8:K8"/>
    <mergeCell ref="E12:F12"/>
    <mergeCell ref="C9:D9"/>
    <mergeCell ref="E9:H9"/>
  </mergeCells>
  <conditionalFormatting sqref="M23:M42">
    <cfRule type="cellIs" dxfId="3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N53"/>
  <sheetViews>
    <sheetView topLeftCell="B5" zoomScaleNormal="100" workbookViewId="0">
      <selection activeCell="F23" sqref="F23"/>
    </sheetView>
  </sheetViews>
  <sheetFormatPr baseColWidth="10" defaultColWidth="12.42578125" defaultRowHeight="15.75" x14ac:dyDescent="0.25"/>
  <cols>
    <col min="1" max="1" width="4" style="65" customWidth="1"/>
    <col min="2" max="2" width="3.7109375" style="65" customWidth="1"/>
    <col min="3" max="3" width="9.5703125" style="65" customWidth="1"/>
    <col min="4" max="4" width="9.7109375" style="65" customWidth="1"/>
    <col min="5" max="5" width="7.42578125" style="65" customWidth="1"/>
    <col min="6" max="7" width="12.7109375" style="65" customWidth="1"/>
    <col min="8" max="8" width="17.42578125" style="66" customWidth="1"/>
    <col min="9" max="9" width="12.7109375" style="65" customWidth="1"/>
    <col min="10" max="10" width="14.42578125" style="66" bestFit="1" customWidth="1"/>
    <col min="11" max="12" width="12.7109375" style="65" customWidth="1"/>
    <col min="13" max="13" width="12.42578125" style="65"/>
    <col min="14" max="14" width="3.7109375" style="65" customWidth="1"/>
    <col min="15" max="16384" width="12.42578125" style="65"/>
  </cols>
  <sheetData>
    <row r="1" spans="2:14" ht="16.5" thickBot="1" x14ac:dyDescent="0.3"/>
    <row r="2" spans="2:14" ht="17.25" thickTop="1" thickBot="1" x14ac:dyDescent="0.3">
      <c r="B2" s="67"/>
      <c r="C2" s="68"/>
      <c r="D2" s="68"/>
      <c r="E2" s="68"/>
      <c r="F2" s="68"/>
      <c r="G2" s="68"/>
      <c r="H2" s="69"/>
      <c r="I2" s="68"/>
      <c r="J2" s="69"/>
      <c r="K2" s="68"/>
      <c r="L2" s="68"/>
      <c r="M2" s="68"/>
      <c r="N2" s="70"/>
    </row>
    <row r="3" spans="2:14" ht="17.25" thickTop="1" thickBot="1" x14ac:dyDescent="0.3">
      <c r="B3" s="71"/>
      <c r="D3" s="72"/>
      <c r="E3" s="72"/>
      <c r="F3" s="72"/>
      <c r="G3" s="72" t="s">
        <v>54</v>
      </c>
      <c r="H3" s="72"/>
      <c r="I3" s="72"/>
      <c r="J3" s="72"/>
      <c r="K3" s="73" t="s">
        <v>25</v>
      </c>
      <c r="L3" s="74">
        <f>+M51</f>
        <v>0.57358127967442918</v>
      </c>
      <c r="M3" s="72"/>
      <c r="N3" s="75"/>
    </row>
    <row r="4" spans="2:14" ht="17.25" thickTop="1" thickBot="1" x14ac:dyDescent="0.3">
      <c r="B4" s="71"/>
      <c r="D4" s="72"/>
      <c r="E4" s="72"/>
      <c r="F4" s="72"/>
      <c r="G4" s="76" t="s">
        <v>55</v>
      </c>
      <c r="H4" s="76"/>
      <c r="I4" s="72"/>
      <c r="J4" s="76"/>
      <c r="K4" s="73" t="s">
        <v>26</v>
      </c>
      <c r="L4" s="77">
        <f>+L51/D51</f>
        <v>181.21071428571432</v>
      </c>
      <c r="M4" s="72"/>
      <c r="N4" s="75"/>
    </row>
    <row r="5" spans="2:14" ht="16.5" thickTop="1" x14ac:dyDescent="0.25">
      <c r="B5" s="71"/>
      <c r="D5" s="72"/>
      <c r="E5" s="72"/>
      <c r="F5" s="72"/>
      <c r="G5" s="76" t="s">
        <v>56</v>
      </c>
      <c r="I5" s="72"/>
      <c r="K5" s="78"/>
      <c r="L5" s="79"/>
      <c r="M5" s="72"/>
      <c r="N5" s="75"/>
    </row>
    <row r="6" spans="2:14" ht="16.5" thickBot="1" x14ac:dyDescent="0.3">
      <c r="B6" s="80"/>
      <c r="C6" s="81"/>
      <c r="D6" s="81"/>
      <c r="E6" s="81"/>
      <c r="F6" s="81"/>
      <c r="G6" s="81"/>
      <c r="H6" s="82"/>
      <c r="I6" s="81"/>
      <c r="J6" s="82"/>
      <c r="K6" s="81"/>
      <c r="L6" s="81"/>
      <c r="M6" s="81"/>
      <c r="N6" s="83"/>
    </row>
    <row r="7" spans="2:14" ht="12" customHeight="1" thickTop="1" x14ac:dyDescent="0.25">
      <c r="B7" s="67"/>
      <c r="C7" s="68"/>
      <c r="D7" s="68"/>
      <c r="E7" s="68"/>
      <c r="F7" s="68"/>
      <c r="G7" s="68"/>
      <c r="H7" s="69"/>
      <c r="I7" s="67"/>
      <c r="J7" s="69"/>
      <c r="K7" s="68"/>
      <c r="L7" s="68"/>
      <c r="M7" s="68"/>
      <c r="N7" s="70"/>
    </row>
    <row r="8" spans="2:14" x14ac:dyDescent="0.25">
      <c r="B8" s="71"/>
      <c r="C8" s="156" t="s">
        <v>57</v>
      </c>
      <c r="D8" s="156"/>
      <c r="E8" s="157" t="s">
        <v>87</v>
      </c>
      <c r="F8" s="157"/>
      <c r="G8" s="157"/>
      <c r="H8" s="158"/>
      <c r="I8" s="84" t="s">
        <v>58</v>
      </c>
      <c r="J8" s="85" t="s">
        <v>115</v>
      </c>
      <c r="K8" s="85"/>
      <c r="L8" s="72"/>
      <c r="M8" s="72"/>
      <c r="N8" s="75"/>
    </row>
    <row r="9" spans="2:14" x14ac:dyDescent="0.25">
      <c r="B9" s="71"/>
      <c r="C9" s="162" t="s">
        <v>59</v>
      </c>
      <c r="D9" s="162"/>
      <c r="E9" s="157">
        <v>69057</v>
      </c>
      <c r="F9" s="157"/>
      <c r="G9" s="157"/>
      <c r="H9" s="158"/>
      <c r="I9" s="84" t="s">
        <v>60</v>
      </c>
      <c r="J9" s="85" t="s">
        <v>116</v>
      </c>
      <c r="K9" s="131" t="s">
        <v>61</v>
      </c>
      <c r="L9" s="163" t="s">
        <v>117</v>
      </c>
      <c r="M9" s="163"/>
      <c r="N9" s="75"/>
    </row>
    <row r="10" spans="2:14" ht="12" customHeight="1" thickBot="1" x14ac:dyDescent="0.3">
      <c r="B10" s="80"/>
      <c r="C10" s="87"/>
      <c r="D10" s="87"/>
      <c r="E10" s="81"/>
      <c r="F10" s="81"/>
      <c r="G10" s="81"/>
      <c r="H10" s="82"/>
      <c r="I10" s="80"/>
      <c r="J10" s="82"/>
      <c r="K10" s="81"/>
      <c r="L10" s="81"/>
      <c r="M10" s="81"/>
      <c r="N10" s="83"/>
    </row>
    <row r="11" spans="2:14" ht="12" customHeight="1" thickTop="1" x14ac:dyDescent="0.25">
      <c r="B11" s="71"/>
      <c r="C11" s="88"/>
      <c r="D11" s="88"/>
      <c r="E11" s="72"/>
      <c r="F11" s="72"/>
      <c r="G11" s="72"/>
      <c r="H11" s="76"/>
      <c r="I11" s="72"/>
      <c r="J11" s="76"/>
      <c r="K11" s="72"/>
      <c r="L11" s="72"/>
      <c r="M11" s="72"/>
      <c r="N11" s="75"/>
    </row>
    <row r="12" spans="2:14" x14ac:dyDescent="0.25">
      <c r="B12" s="71"/>
      <c r="D12" s="133" t="s">
        <v>78</v>
      </c>
      <c r="E12" s="160">
        <v>46059</v>
      </c>
      <c r="F12" s="161"/>
      <c r="H12" s="65"/>
      <c r="I12" s="89"/>
      <c r="J12" s="65"/>
      <c r="K12" s="132" t="s">
        <v>62</v>
      </c>
      <c r="L12" s="132" t="s">
        <v>63</v>
      </c>
      <c r="N12" s="75"/>
    </row>
    <row r="13" spans="2:14" x14ac:dyDescent="0.25">
      <c r="B13" s="71"/>
      <c r="C13" s="164" t="s">
        <v>64</v>
      </c>
      <c r="D13" s="164"/>
      <c r="E13" s="165">
        <v>60</v>
      </c>
      <c r="F13" s="165"/>
      <c r="H13" s="65"/>
      <c r="I13" s="89"/>
      <c r="J13" s="132" t="s">
        <v>65</v>
      </c>
      <c r="K13" s="134">
        <f>+COUNTIF($G$22:$G$51,"VQ")*2</f>
        <v>6</v>
      </c>
      <c r="L13" s="134">
        <f>+SUMIF($G$23:$G$50,"VQ",$L$23:$L$50)</f>
        <v>502.2</v>
      </c>
      <c r="N13" s="75"/>
    </row>
    <row r="14" spans="2:14" x14ac:dyDescent="0.25">
      <c r="B14" s="71"/>
      <c r="C14" s="164" t="s">
        <v>66</v>
      </c>
      <c r="D14" s="164"/>
      <c r="E14" s="166">
        <v>20</v>
      </c>
      <c r="F14" s="166"/>
      <c r="H14" s="65"/>
      <c r="I14" s="89"/>
      <c r="J14" s="132" t="s">
        <v>67</v>
      </c>
      <c r="K14" s="134">
        <f>+COUNTIF($G$22:$G$51,"NT")*2</f>
        <v>0</v>
      </c>
      <c r="L14" s="134">
        <f>+SUMIF($G$23:$G$50,"NT",$L$23:$L$50)</f>
        <v>0</v>
      </c>
      <c r="N14" s="75"/>
    </row>
    <row r="15" spans="2:14" x14ac:dyDescent="0.25">
      <c r="B15" s="71"/>
      <c r="C15" s="164" t="s">
        <v>68</v>
      </c>
      <c r="D15" s="164"/>
      <c r="E15" s="167">
        <f>+I51</f>
        <v>8846</v>
      </c>
      <c r="F15" s="166"/>
      <c r="H15" s="65"/>
      <c r="I15" s="89"/>
      <c r="J15" s="132" t="s">
        <v>69</v>
      </c>
      <c r="K15" s="134">
        <f>+COUNTIF($G$22:$G$51,"NO")*2</f>
        <v>50</v>
      </c>
      <c r="L15" s="134">
        <f>+SUMIF($G$23:$G$50,"NO",$L$23:$L$50)</f>
        <v>4571.7000000000007</v>
      </c>
      <c r="N15" s="75"/>
    </row>
    <row r="16" spans="2:14" x14ac:dyDescent="0.25">
      <c r="B16" s="71"/>
      <c r="C16" s="164" t="s">
        <v>70</v>
      </c>
      <c r="D16" s="164"/>
      <c r="E16" s="167">
        <f>+L51</f>
        <v>5073.9000000000005</v>
      </c>
      <c r="F16" s="166"/>
      <c r="H16" s="65"/>
      <c r="I16" s="89"/>
      <c r="J16" s="132" t="s">
        <v>71</v>
      </c>
      <c r="K16" s="134">
        <f>+COUNTIF($G$22:$G$51,"TO")*2</f>
        <v>0</v>
      </c>
      <c r="L16" s="134">
        <f>+SUMIF($G$23:$G$50,"TO",$L$23:$L$50)</f>
        <v>0</v>
      </c>
      <c r="N16" s="75"/>
    </row>
    <row r="17" spans="2:14" x14ac:dyDescent="0.25">
      <c r="B17" s="71"/>
      <c r="C17" s="164" t="s">
        <v>72</v>
      </c>
      <c r="D17" s="164"/>
      <c r="E17" s="168">
        <f>+M51</f>
        <v>0.57358127967442918</v>
      </c>
      <c r="F17" s="166"/>
      <c r="G17" s="93"/>
      <c r="H17" s="94"/>
      <c r="I17" s="89"/>
      <c r="J17" s="132" t="s">
        <v>73</v>
      </c>
      <c r="K17" s="134">
        <f>+COUNTIF($G$22:$G$51,"VA")*2</f>
        <v>0</v>
      </c>
      <c r="L17" s="134">
        <f>+SUMIF($G$23:$G$50,"VA",$L$23:$L$50)</f>
        <v>0</v>
      </c>
      <c r="N17" s="75"/>
    </row>
    <row r="18" spans="2:14" x14ac:dyDescent="0.25">
      <c r="B18" s="71"/>
      <c r="C18" s="164" t="s">
        <v>74</v>
      </c>
      <c r="D18" s="164"/>
      <c r="E18" s="169">
        <f>+L51/D51</f>
        <v>181.21071428571432</v>
      </c>
      <c r="F18" s="169"/>
      <c r="G18" s="93"/>
      <c r="H18" s="94"/>
      <c r="I18" s="89"/>
      <c r="J18" s="132" t="s">
        <v>75</v>
      </c>
      <c r="K18" s="134">
        <f>+COUNTIF($G$22:$G$51,"MEJ")*2</f>
        <v>0</v>
      </c>
      <c r="L18" s="134">
        <f>+SUMIF($G$23:$G$50,"MEJ",$L$23:$L$50)</f>
        <v>0</v>
      </c>
      <c r="N18" s="75"/>
    </row>
    <row r="19" spans="2:14" ht="9.9499999999999993" customHeight="1" thickBot="1" x14ac:dyDescent="0.3">
      <c r="B19" s="80"/>
      <c r="C19" s="95"/>
      <c r="D19" s="95"/>
      <c r="E19" s="81"/>
      <c r="F19" s="81"/>
      <c r="G19" s="96"/>
      <c r="H19" s="97"/>
      <c r="I19" s="96"/>
      <c r="J19" s="81"/>
      <c r="K19" s="81"/>
      <c r="L19" s="81"/>
      <c r="M19" s="81"/>
      <c r="N19" s="83"/>
    </row>
    <row r="20" spans="2:14" ht="9.9499999999999993" customHeight="1" thickTop="1" x14ac:dyDescent="0.25">
      <c r="B20" s="71"/>
      <c r="N20" s="75"/>
    </row>
    <row r="21" spans="2:14" s="100" customFormat="1" ht="26.25" customHeight="1" x14ac:dyDescent="0.25">
      <c r="B21" s="98"/>
      <c r="C21" s="170" t="s">
        <v>27</v>
      </c>
      <c r="D21" s="170" t="s">
        <v>28</v>
      </c>
      <c r="E21" s="173" t="s">
        <v>52</v>
      </c>
      <c r="F21" s="175" t="s">
        <v>29</v>
      </c>
      <c r="G21" s="176"/>
      <c r="H21" s="181" t="s">
        <v>30</v>
      </c>
      <c r="I21" s="183" t="s">
        <v>31</v>
      </c>
      <c r="J21" s="183" t="s">
        <v>2</v>
      </c>
      <c r="K21" s="173" t="s">
        <v>3</v>
      </c>
      <c r="L21" s="183" t="s">
        <v>32</v>
      </c>
      <c r="M21" s="177" t="s">
        <v>33</v>
      </c>
      <c r="N21" s="99"/>
    </row>
    <row r="22" spans="2:14" x14ac:dyDescent="0.25">
      <c r="B22" s="71"/>
      <c r="C22" s="171"/>
      <c r="D22" s="172"/>
      <c r="E22" s="174"/>
      <c r="F22" s="149" t="s">
        <v>76</v>
      </c>
      <c r="G22" s="102" t="s">
        <v>77</v>
      </c>
      <c r="H22" s="182"/>
      <c r="I22" s="184"/>
      <c r="J22" s="184"/>
      <c r="K22" s="174"/>
      <c r="L22" s="184"/>
      <c r="M22" s="178"/>
      <c r="N22" s="75"/>
    </row>
    <row r="23" spans="2:14" x14ac:dyDescent="0.25">
      <c r="B23" s="71"/>
      <c r="C23" s="103">
        <v>21</v>
      </c>
      <c r="D23" s="103">
        <v>5</v>
      </c>
      <c r="E23" s="143" t="s">
        <v>93</v>
      </c>
      <c r="F23" s="150" t="s">
        <v>148</v>
      </c>
      <c r="G23" s="153" t="s">
        <v>69</v>
      </c>
      <c r="H23" s="105">
        <v>7408</v>
      </c>
      <c r="I23" s="106">
        <v>397</v>
      </c>
      <c r="J23" s="103">
        <v>112.6</v>
      </c>
      <c r="K23" s="107">
        <v>114.4</v>
      </c>
      <c r="L23" s="108">
        <f t="shared" ref="L23:L50" si="0">+J23+K23</f>
        <v>227</v>
      </c>
      <c r="M23" s="109">
        <f t="shared" ref="M23:M50" si="1">+L23/I23</f>
        <v>0.5717884130982368</v>
      </c>
      <c r="N23" s="75"/>
    </row>
    <row r="24" spans="2:14" x14ac:dyDescent="0.25">
      <c r="B24" s="71"/>
      <c r="C24" s="111">
        <v>22</v>
      </c>
      <c r="D24" s="111">
        <v>11</v>
      </c>
      <c r="E24" s="145" t="s">
        <v>92</v>
      </c>
      <c r="F24" s="151" t="s">
        <v>143</v>
      </c>
      <c r="G24" s="147" t="s">
        <v>65</v>
      </c>
      <c r="H24" s="112">
        <v>7424</v>
      </c>
      <c r="I24" s="113">
        <v>333</v>
      </c>
      <c r="J24" s="110">
        <v>93.4</v>
      </c>
      <c r="K24" s="114">
        <v>94</v>
      </c>
      <c r="L24" s="115">
        <f t="shared" si="0"/>
        <v>187.4</v>
      </c>
      <c r="M24" s="116">
        <f t="shared" si="1"/>
        <v>0.56276276276276282</v>
      </c>
      <c r="N24" s="75"/>
    </row>
    <row r="25" spans="2:14" x14ac:dyDescent="0.25">
      <c r="B25" s="71"/>
      <c r="C25" s="110">
        <v>23</v>
      </c>
      <c r="D25" s="110">
        <v>1</v>
      </c>
      <c r="E25" s="144" t="s">
        <v>114</v>
      </c>
      <c r="F25" s="151" t="s">
        <v>148</v>
      </c>
      <c r="G25" s="147" t="s">
        <v>69</v>
      </c>
      <c r="H25" s="112">
        <v>7405</v>
      </c>
      <c r="I25" s="113">
        <v>358</v>
      </c>
      <c r="J25" s="110">
        <v>104.5</v>
      </c>
      <c r="K25" s="114">
        <v>103.9</v>
      </c>
      <c r="L25" s="115">
        <f t="shared" si="0"/>
        <v>208.4</v>
      </c>
      <c r="M25" s="116">
        <f t="shared" si="1"/>
        <v>0.58212290502793296</v>
      </c>
      <c r="N25" s="75"/>
    </row>
    <row r="26" spans="2:14" x14ac:dyDescent="0.25">
      <c r="B26" s="71"/>
      <c r="C26" s="111">
        <v>24</v>
      </c>
      <c r="D26" s="111">
        <v>25</v>
      </c>
      <c r="E26" s="145" t="s">
        <v>93</v>
      </c>
      <c r="F26" s="151" t="s">
        <v>148</v>
      </c>
      <c r="G26" s="147" t="s">
        <v>69</v>
      </c>
      <c r="H26" s="112">
        <v>7395</v>
      </c>
      <c r="I26" s="113">
        <v>240</v>
      </c>
      <c r="J26" s="110">
        <v>66.900000000000006</v>
      </c>
      <c r="K26" s="114">
        <v>67.099999999999994</v>
      </c>
      <c r="L26" s="115">
        <f t="shared" si="0"/>
        <v>134</v>
      </c>
      <c r="M26" s="116">
        <f t="shared" si="1"/>
        <v>0.55833333333333335</v>
      </c>
      <c r="N26" s="75"/>
    </row>
    <row r="27" spans="2:14" x14ac:dyDescent="0.25">
      <c r="B27" s="71"/>
      <c r="C27" s="110">
        <v>25</v>
      </c>
      <c r="D27" s="110">
        <v>4</v>
      </c>
      <c r="E27" s="144" t="s">
        <v>93</v>
      </c>
      <c r="F27" s="151" t="s">
        <v>148</v>
      </c>
      <c r="G27" s="147" t="s">
        <v>69</v>
      </c>
      <c r="H27" s="112">
        <v>7409</v>
      </c>
      <c r="I27" s="113">
        <v>375</v>
      </c>
      <c r="J27" s="110">
        <v>115.7</v>
      </c>
      <c r="K27" s="114">
        <v>115.7</v>
      </c>
      <c r="L27" s="115">
        <f t="shared" si="0"/>
        <v>231.4</v>
      </c>
      <c r="M27" s="116">
        <f t="shared" si="1"/>
        <v>0.61706666666666665</v>
      </c>
      <c r="N27" s="75"/>
    </row>
    <row r="28" spans="2:14" x14ac:dyDescent="0.25">
      <c r="B28" s="71"/>
      <c r="C28" s="111">
        <v>26</v>
      </c>
      <c r="D28" s="111">
        <v>26</v>
      </c>
      <c r="E28" s="145" t="s">
        <v>93</v>
      </c>
      <c r="F28" s="151" t="s">
        <v>148</v>
      </c>
      <c r="G28" s="147" t="s">
        <v>69</v>
      </c>
      <c r="H28" s="112">
        <v>7413</v>
      </c>
      <c r="I28" s="113">
        <v>287</v>
      </c>
      <c r="J28" s="110">
        <v>80.8</v>
      </c>
      <c r="K28" s="114">
        <v>80.5</v>
      </c>
      <c r="L28" s="115">
        <f t="shared" si="0"/>
        <v>161.30000000000001</v>
      </c>
      <c r="M28" s="116">
        <f t="shared" si="1"/>
        <v>0.56202090592334497</v>
      </c>
      <c r="N28" s="75"/>
    </row>
    <row r="29" spans="2:14" x14ac:dyDescent="0.25">
      <c r="B29" s="71"/>
      <c r="C29" s="111">
        <v>27</v>
      </c>
      <c r="D29" s="111">
        <v>27</v>
      </c>
      <c r="E29" s="145" t="s">
        <v>92</v>
      </c>
      <c r="F29" s="151" t="s">
        <v>143</v>
      </c>
      <c r="G29" s="147" t="s">
        <v>65</v>
      </c>
      <c r="H29" s="112">
        <v>7415</v>
      </c>
      <c r="I29" s="113">
        <v>286</v>
      </c>
      <c r="J29" s="110">
        <v>83.4</v>
      </c>
      <c r="K29" s="114">
        <v>83.1</v>
      </c>
      <c r="L29" s="115">
        <f t="shared" si="0"/>
        <v>166.5</v>
      </c>
      <c r="M29" s="116">
        <f t="shared" si="1"/>
        <v>0.58216783216783219</v>
      </c>
      <c r="N29" s="75"/>
    </row>
    <row r="30" spans="2:14" x14ac:dyDescent="0.25">
      <c r="B30" s="71"/>
      <c r="C30" s="110">
        <v>28</v>
      </c>
      <c r="D30" s="110">
        <v>28</v>
      </c>
      <c r="E30" s="144" t="s">
        <v>93</v>
      </c>
      <c r="F30" s="151" t="s">
        <v>148</v>
      </c>
      <c r="G30" s="147" t="s">
        <v>69</v>
      </c>
      <c r="H30" s="112">
        <v>7417</v>
      </c>
      <c r="I30" s="113">
        <v>276</v>
      </c>
      <c r="J30" s="110">
        <v>78.599999999999994</v>
      </c>
      <c r="K30" s="114">
        <v>79.400000000000006</v>
      </c>
      <c r="L30" s="115">
        <f t="shared" si="0"/>
        <v>158</v>
      </c>
      <c r="M30" s="116">
        <f t="shared" si="1"/>
        <v>0.57246376811594202</v>
      </c>
      <c r="N30" s="75"/>
    </row>
    <row r="31" spans="2:14" x14ac:dyDescent="0.25">
      <c r="B31" s="71"/>
      <c r="C31" s="110">
        <v>29</v>
      </c>
      <c r="D31" s="110">
        <v>18</v>
      </c>
      <c r="E31" s="144" t="s">
        <v>93</v>
      </c>
      <c r="F31" s="151" t="s">
        <v>148</v>
      </c>
      <c r="G31" s="147" t="s">
        <v>69</v>
      </c>
      <c r="H31" s="112">
        <v>7398</v>
      </c>
      <c r="I31" s="113">
        <v>320</v>
      </c>
      <c r="J31" s="110">
        <v>89.2</v>
      </c>
      <c r="K31" s="114">
        <v>91</v>
      </c>
      <c r="L31" s="115">
        <f t="shared" si="0"/>
        <v>180.2</v>
      </c>
      <c r="M31" s="116">
        <f t="shared" si="1"/>
        <v>0.56312499999999999</v>
      </c>
      <c r="N31" s="75"/>
    </row>
    <row r="32" spans="2:14" x14ac:dyDescent="0.25">
      <c r="B32" s="71"/>
      <c r="C32" s="110">
        <v>30</v>
      </c>
      <c r="D32" s="110">
        <v>19</v>
      </c>
      <c r="E32" s="144" t="s">
        <v>92</v>
      </c>
      <c r="F32" s="151" t="s">
        <v>143</v>
      </c>
      <c r="G32" s="147" t="s">
        <v>65</v>
      </c>
      <c r="H32" s="112">
        <v>7423</v>
      </c>
      <c r="I32" s="113">
        <v>259</v>
      </c>
      <c r="J32" s="110">
        <v>75.099999999999994</v>
      </c>
      <c r="K32" s="114">
        <v>73.2</v>
      </c>
      <c r="L32" s="115">
        <f t="shared" si="0"/>
        <v>148.30000000000001</v>
      </c>
      <c r="M32" s="116">
        <f t="shared" si="1"/>
        <v>0.57258687258687269</v>
      </c>
      <c r="N32" s="75"/>
    </row>
    <row r="33" spans="2:14" x14ac:dyDescent="0.25">
      <c r="B33" s="71"/>
      <c r="C33" s="110">
        <v>31</v>
      </c>
      <c r="D33" s="110">
        <v>12</v>
      </c>
      <c r="E33" s="144" t="s">
        <v>93</v>
      </c>
      <c r="F33" s="151" t="s">
        <v>148</v>
      </c>
      <c r="G33" s="147" t="s">
        <v>69</v>
      </c>
      <c r="H33" s="112">
        <v>7419</v>
      </c>
      <c r="I33" s="113">
        <v>372</v>
      </c>
      <c r="J33" s="110">
        <v>113.2</v>
      </c>
      <c r="K33" s="117">
        <v>111.4</v>
      </c>
      <c r="L33" s="115">
        <f t="shared" si="0"/>
        <v>224.60000000000002</v>
      </c>
      <c r="M33" s="118">
        <f t="shared" si="1"/>
        <v>0.60376344086021516</v>
      </c>
      <c r="N33" s="75"/>
    </row>
    <row r="34" spans="2:14" x14ac:dyDescent="0.25">
      <c r="B34" s="71"/>
      <c r="C34" s="110">
        <v>32</v>
      </c>
      <c r="D34" s="110">
        <v>9</v>
      </c>
      <c r="E34" s="144" t="s">
        <v>92</v>
      </c>
      <c r="F34" s="151" t="s">
        <v>148</v>
      </c>
      <c r="G34" s="147" t="s">
        <v>69</v>
      </c>
      <c r="H34" s="112">
        <v>7399</v>
      </c>
      <c r="I34" s="113">
        <v>393</v>
      </c>
      <c r="J34" s="110">
        <v>112.1</v>
      </c>
      <c r="K34" s="114">
        <v>113.6</v>
      </c>
      <c r="L34" s="115">
        <f t="shared" si="0"/>
        <v>225.7</v>
      </c>
      <c r="M34" s="116">
        <f t="shared" si="1"/>
        <v>0.57430025445292621</v>
      </c>
      <c r="N34" s="75"/>
    </row>
    <row r="35" spans="2:14" x14ac:dyDescent="0.25">
      <c r="B35" s="71"/>
      <c r="C35" s="110">
        <v>33</v>
      </c>
      <c r="D35" s="110">
        <v>2</v>
      </c>
      <c r="E35" s="144" t="s">
        <v>92</v>
      </c>
      <c r="F35" s="151" t="s">
        <v>148</v>
      </c>
      <c r="G35" s="147" t="s">
        <v>69</v>
      </c>
      <c r="H35" s="112">
        <v>7401</v>
      </c>
      <c r="I35" s="113">
        <v>311</v>
      </c>
      <c r="J35" s="110">
        <v>92.5</v>
      </c>
      <c r="K35" s="114">
        <v>91.6</v>
      </c>
      <c r="L35" s="115">
        <f t="shared" si="0"/>
        <v>184.1</v>
      </c>
      <c r="M35" s="116">
        <f t="shared" si="1"/>
        <v>0.59196141479099673</v>
      </c>
      <c r="N35" s="75"/>
    </row>
    <row r="36" spans="2:14" x14ac:dyDescent="0.25">
      <c r="B36" s="71"/>
      <c r="C36" s="110">
        <v>34</v>
      </c>
      <c r="D36" s="110">
        <v>17</v>
      </c>
      <c r="E36" s="144" t="s">
        <v>93</v>
      </c>
      <c r="F36" s="151" t="s">
        <v>148</v>
      </c>
      <c r="G36" s="147" t="s">
        <v>69</v>
      </c>
      <c r="H36" s="112">
        <v>7407</v>
      </c>
      <c r="I36" s="113">
        <v>224</v>
      </c>
      <c r="J36" s="110">
        <v>61.7</v>
      </c>
      <c r="K36" s="114">
        <v>62</v>
      </c>
      <c r="L36" s="115">
        <f t="shared" si="0"/>
        <v>123.7</v>
      </c>
      <c r="M36" s="116">
        <f t="shared" si="1"/>
        <v>0.55223214285714284</v>
      </c>
      <c r="N36" s="75"/>
    </row>
    <row r="37" spans="2:14" x14ac:dyDescent="0.25">
      <c r="B37" s="71"/>
      <c r="C37" s="110">
        <v>35</v>
      </c>
      <c r="D37" s="110">
        <v>10</v>
      </c>
      <c r="E37" s="144" t="s">
        <v>93</v>
      </c>
      <c r="F37" s="151" t="s">
        <v>148</v>
      </c>
      <c r="G37" s="147" t="s">
        <v>69</v>
      </c>
      <c r="H37" s="112">
        <v>7414</v>
      </c>
      <c r="I37" s="113">
        <v>348</v>
      </c>
      <c r="J37" s="110">
        <v>101.1</v>
      </c>
      <c r="K37" s="114">
        <v>100.5</v>
      </c>
      <c r="L37" s="115">
        <f t="shared" si="0"/>
        <v>201.6</v>
      </c>
      <c r="M37" s="116">
        <f t="shared" si="1"/>
        <v>0.57931034482758614</v>
      </c>
      <c r="N37" s="75"/>
    </row>
    <row r="38" spans="2:14" x14ac:dyDescent="0.25">
      <c r="B38" s="71"/>
      <c r="C38" s="110">
        <v>36</v>
      </c>
      <c r="D38" s="110">
        <v>3</v>
      </c>
      <c r="E38" s="144" t="s">
        <v>93</v>
      </c>
      <c r="F38" s="151" t="s">
        <v>148</v>
      </c>
      <c r="G38" s="147" t="s">
        <v>69</v>
      </c>
      <c r="H38" s="112" t="s">
        <v>113</v>
      </c>
      <c r="I38" s="113">
        <v>275</v>
      </c>
      <c r="J38" s="110">
        <v>71.8</v>
      </c>
      <c r="K38" s="114">
        <v>72.599999999999994</v>
      </c>
      <c r="L38" s="115">
        <f t="shared" si="0"/>
        <v>144.39999999999998</v>
      </c>
      <c r="M38" s="116">
        <f t="shared" si="1"/>
        <v>0.52509090909090905</v>
      </c>
      <c r="N38" s="75"/>
    </row>
    <row r="39" spans="2:14" x14ac:dyDescent="0.25">
      <c r="B39" s="71"/>
      <c r="C39" s="110">
        <v>37</v>
      </c>
      <c r="D39" s="110">
        <v>6</v>
      </c>
      <c r="E39" s="144" t="s">
        <v>93</v>
      </c>
      <c r="F39" s="151" t="s">
        <v>148</v>
      </c>
      <c r="G39" s="147" t="s">
        <v>69</v>
      </c>
      <c r="H39" s="112">
        <v>7403</v>
      </c>
      <c r="I39" s="113">
        <v>309</v>
      </c>
      <c r="J39" s="110">
        <v>87.4</v>
      </c>
      <c r="K39" s="114">
        <v>88.3</v>
      </c>
      <c r="L39" s="115">
        <f t="shared" si="0"/>
        <v>175.7</v>
      </c>
      <c r="M39" s="116">
        <f t="shared" si="1"/>
        <v>0.56860841423948216</v>
      </c>
      <c r="N39" s="75"/>
    </row>
    <row r="40" spans="2:14" x14ac:dyDescent="0.25">
      <c r="B40" s="71"/>
      <c r="C40" s="111">
        <v>38</v>
      </c>
      <c r="D40" s="111">
        <v>24</v>
      </c>
      <c r="E40" s="145" t="s">
        <v>93</v>
      </c>
      <c r="F40" s="151" t="s">
        <v>148</v>
      </c>
      <c r="G40" s="147" t="s">
        <v>69</v>
      </c>
      <c r="H40" s="112">
        <v>7406</v>
      </c>
      <c r="I40" s="113">
        <v>374</v>
      </c>
      <c r="J40" s="110">
        <v>107.7</v>
      </c>
      <c r="K40" s="114">
        <v>107.3</v>
      </c>
      <c r="L40" s="115">
        <f t="shared" si="0"/>
        <v>215</v>
      </c>
      <c r="M40" s="116">
        <f t="shared" si="1"/>
        <v>0.57486631016042777</v>
      </c>
      <c r="N40" s="75"/>
    </row>
    <row r="41" spans="2:14" x14ac:dyDescent="0.25">
      <c r="B41" s="71"/>
      <c r="C41" s="110">
        <v>39</v>
      </c>
      <c r="D41" s="110">
        <v>14</v>
      </c>
      <c r="E41" s="144" t="s">
        <v>93</v>
      </c>
      <c r="F41" s="151" t="s">
        <v>148</v>
      </c>
      <c r="G41" s="147" t="s">
        <v>69</v>
      </c>
      <c r="H41" s="112">
        <v>7418</v>
      </c>
      <c r="I41" s="113">
        <v>363</v>
      </c>
      <c r="J41" s="110">
        <v>106.5</v>
      </c>
      <c r="K41" s="114">
        <v>106.5</v>
      </c>
      <c r="L41" s="115">
        <f t="shared" si="0"/>
        <v>213</v>
      </c>
      <c r="M41" s="116">
        <f t="shared" si="1"/>
        <v>0.58677685950413228</v>
      </c>
      <c r="N41" s="75"/>
    </row>
    <row r="42" spans="2:14" x14ac:dyDescent="0.25">
      <c r="B42" s="71"/>
      <c r="C42" s="110">
        <v>40</v>
      </c>
      <c r="D42" s="110">
        <v>13</v>
      </c>
      <c r="E42" s="144" t="s">
        <v>93</v>
      </c>
      <c r="F42" s="151" t="s">
        <v>148</v>
      </c>
      <c r="G42" s="147" t="s">
        <v>69</v>
      </c>
      <c r="H42" s="112">
        <v>7411</v>
      </c>
      <c r="I42" s="113">
        <v>322</v>
      </c>
      <c r="J42" s="110">
        <v>90.2</v>
      </c>
      <c r="K42" s="114">
        <v>90.4</v>
      </c>
      <c r="L42" s="115">
        <f t="shared" si="0"/>
        <v>180.60000000000002</v>
      </c>
      <c r="M42" s="116">
        <f t="shared" si="1"/>
        <v>0.5608695652173914</v>
      </c>
      <c r="N42" s="75"/>
    </row>
    <row r="43" spans="2:14" x14ac:dyDescent="0.25">
      <c r="B43" s="71"/>
      <c r="C43" s="110">
        <v>41</v>
      </c>
      <c r="D43" s="110">
        <v>16</v>
      </c>
      <c r="E43" s="144" t="s">
        <v>93</v>
      </c>
      <c r="F43" s="151" t="s">
        <v>148</v>
      </c>
      <c r="G43" s="154" t="s">
        <v>69</v>
      </c>
      <c r="H43" s="119">
        <v>7410</v>
      </c>
      <c r="I43" s="120">
        <v>343</v>
      </c>
      <c r="J43" s="110">
        <v>101.2</v>
      </c>
      <c r="K43" s="114">
        <v>102.1</v>
      </c>
      <c r="L43" s="115">
        <f t="shared" si="0"/>
        <v>203.3</v>
      </c>
      <c r="M43" s="116">
        <f t="shared" si="1"/>
        <v>0.59271137026239074</v>
      </c>
      <c r="N43" s="75"/>
    </row>
    <row r="44" spans="2:14" x14ac:dyDescent="0.25">
      <c r="B44" s="71"/>
      <c r="C44" s="110">
        <v>42</v>
      </c>
      <c r="D44" s="110">
        <v>21</v>
      </c>
      <c r="E44" s="144" t="s">
        <v>92</v>
      </c>
      <c r="F44" s="151" t="s">
        <v>148</v>
      </c>
      <c r="G44" s="147" t="s">
        <v>69</v>
      </c>
      <c r="H44" s="112">
        <v>7420</v>
      </c>
      <c r="I44" s="113">
        <v>303</v>
      </c>
      <c r="J44" s="110">
        <v>83.8</v>
      </c>
      <c r="K44" s="114">
        <v>83</v>
      </c>
      <c r="L44" s="115">
        <f t="shared" si="0"/>
        <v>166.8</v>
      </c>
      <c r="M44" s="116">
        <f t="shared" si="1"/>
        <v>0.55049504950495054</v>
      </c>
      <c r="N44" s="75"/>
    </row>
    <row r="45" spans="2:14" x14ac:dyDescent="0.25">
      <c r="B45" s="71"/>
      <c r="C45" s="111">
        <v>43</v>
      </c>
      <c r="D45" s="111">
        <v>20</v>
      </c>
      <c r="E45" s="145" t="s">
        <v>93</v>
      </c>
      <c r="F45" s="151" t="s">
        <v>148</v>
      </c>
      <c r="G45" s="147" t="s">
        <v>69</v>
      </c>
      <c r="H45" s="112">
        <v>7425</v>
      </c>
      <c r="I45" s="113">
        <v>252</v>
      </c>
      <c r="J45" s="110">
        <v>71.400000000000006</v>
      </c>
      <c r="K45" s="114">
        <v>71.2</v>
      </c>
      <c r="L45" s="115">
        <f t="shared" si="0"/>
        <v>142.60000000000002</v>
      </c>
      <c r="M45" s="116">
        <f t="shared" si="1"/>
        <v>0.56587301587301597</v>
      </c>
      <c r="N45" s="75"/>
    </row>
    <row r="46" spans="2:14" x14ac:dyDescent="0.25">
      <c r="B46" s="71"/>
      <c r="C46" s="110">
        <v>44</v>
      </c>
      <c r="D46" s="110">
        <v>15</v>
      </c>
      <c r="E46" s="144" t="s">
        <v>93</v>
      </c>
      <c r="F46" s="151" t="s">
        <v>148</v>
      </c>
      <c r="G46" s="147" t="s">
        <v>69</v>
      </c>
      <c r="H46" s="112">
        <v>7412</v>
      </c>
      <c r="I46" s="113">
        <v>335</v>
      </c>
      <c r="J46" s="110">
        <v>95.2</v>
      </c>
      <c r="K46" s="114">
        <v>95.9</v>
      </c>
      <c r="L46" s="115">
        <f t="shared" si="0"/>
        <v>191.10000000000002</v>
      </c>
      <c r="M46" s="116">
        <f t="shared" si="1"/>
        <v>0.57044776119402996</v>
      </c>
      <c r="N46" s="75"/>
    </row>
    <row r="47" spans="2:14" x14ac:dyDescent="0.25">
      <c r="B47" s="71"/>
      <c r="C47" s="111">
        <v>45</v>
      </c>
      <c r="D47" s="111">
        <v>23</v>
      </c>
      <c r="E47" s="145" t="s">
        <v>93</v>
      </c>
      <c r="F47" s="151" t="s">
        <v>148</v>
      </c>
      <c r="G47" s="147" t="s">
        <v>69</v>
      </c>
      <c r="H47" s="112">
        <v>7422</v>
      </c>
      <c r="I47" s="113">
        <v>329</v>
      </c>
      <c r="J47" s="110">
        <v>95.5</v>
      </c>
      <c r="K47" s="114">
        <v>94.3</v>
      </c>
      <c r="L47" s="115">
        <f t="shared" si="0"/>
        <v>189.8</v>
      </c>
      <c r="M47" s="116">
        <f t="shared" si="1"/>
        <v>0.57689969604863223</v>
      </c>
      <c r="N47" s="75"/>
    </row>
    <row r="48" spans="2:14" x14ac:dyDescent="0.25">
      <c r="B48" s="71"/>
      <c r="C48" s="111">
        <v>46</v>
      </c>
      <c r="D48" s="111">
        <v>7</v>
      </c>
      <c r="E48" s="145" t="s">
        <v>92</v>
      </c>
      <c r="F48" s="151" t="s">
        <v>148</v>
      </c>
      <c r="G48" s="147" t="s">
        <v>69</v>
      </c>
      <c r="H48" s="112">
        <v>7416</v>
      </c>
      <c r="I48" s="113">
        <v>294</v>
      </c>
      <c r="J48" s="110">
        <v>83</v>
      </c>
      <c r="K48" s="114">
        <v>83.3</v>
      </c>
      <c r="L48" s="115">
        <f t="shared" si="0"/>
        <v>166.3</v>
      </c>
      <c r="M48" s="116">
        <f t="shared" si="1"/>
        <v>0.56564625850340144</v>
      </c>
      <c r="N48" s="75"/>
    </row>
    <row r="49" spans="2:14" x14ac:dyDescent="0.25">
      <c r="B49" s="71"/>
      <c r="C49" s="111">
        <v>47</v>
      </c>
      <c r="D49" s="111">
        <v>22</v>
      </c>
      <c r="E49" s="145" t="s">
        <v>114</v>
      </c>
      <c r="F49" s="151" t="s">
        <v>148</v>
      </c>
      <c r="G49" s="147" t="s">
        <v>69</v>
      </c>
      <c r="H49" s="112">
        <v>7421</v>
      </c>
      <c r="I49" s="113">
        <v>223</v>
      </c>
      <c r="J49" s="110">
        <v>62.4</v>
      </c>
      <c r="K49" s="114">
        <v>61.7</v>
      </c>
      <c r="L49" s="115">
        <f t="shared" si="0"/>
        <v>124.1</v>
      </c>
      <c r="M49" s="116">
        <f t="shared" si="1"/>
        <v>0.55650224215246635</v>
      </c>
      <c r="N49" s="75"/>
    </row>
    <row r="50" spans="2:14" x14ac:dyDescent="0.25">
      <c r="B50" s="71"/>
      <c r="C50" s="111">
        <v>48</v>
      </c>
      <c r="D50" s="111">
        <v>8</v>
      </c>
      <c r="E50" s="145" t="s">
        <v>92</v>
      </c>
      <c r="F50" s="152" t="s">
        <v>148</v>
      </c>
      <c r="G50" s="147" t="s">
        <v>69</v>
      </c>
      <c r="H50" s="112">
        <v>7402</v>
      </c>
      <c r="I50" s="113">
        <v>345</v>
      </c>
      <c r="J50" s="110">
        <v>98.8</v>
      </c>
      <c r="K50" s="114">
        <v>100.2</v>
      </c>
      <c r="L50" s="115">
        <f t="shared" si="0"/>
        <v>199</v>
      </c>
      <c r="M50" s="116">
        <f t="shared" si="1"/>
        <v>0.57681159420289851</v>
      </c>
      <c r="N50" s="75"/>
    </row>
    <row r="51" spans="2:14" x14ac:dyDescent="0.25">
      <c r="B51" s="71"/>
      <c r="C51" s="135"/>
      <c r="D51" s="135">
        <f>+COUNT($D$22:$D$50)</f>
        <v>28</v>
      </c>
      <c r="E51" s="135"/>
      <c r="F51" s="179"/>
      <c r="G51" s="180"/>
      <c r="H51" s="122"/>
      <c r="I51" s="123">
        <f>SUM($I$22:$I$50)</f>
        <v>8846</v>
      </c>
      <c r="J51" s="124">
        <f>SUM($J$22:$J$50)</f>
        <v>2535.7000000000003</v>
      </c>
      <c r="K51" s="125">
        <f>SUM($K$22:$K$50)</f>
        <v>2538.1999999999998</v>
      </c>
      <c r="L51" s="123">
        <f>SUM($L$22:$L$50)</f>
        <v>5073.9000000000005</v>
      </c>
      <c r="M51" s="126">
        <f t="shared" ref="M51" si="2">+L51/I51</f>
        <v>0.57358127967442918</v>
      </c>
      <c r="N51" s="75"/>
    </row>
    <row r="52" spans="2:14" ht="16.5" thickBot="1" x14ac:dyDescent="0.3">
      <c r="B52" s="80"/>
      <c r="C52" s="81"/>
      <c r="D52" s="81"/>
      <c r="E52" s="81"/>
      <c r="F52" s="81"/>
      <c r="G52" s="81"/>
      <c r="H52" s="82"/>
      <c r="I52" s="81"/>
      <c r="J52" s="82"/>
      <c r="K52" s="81"/>
      <c r="L52" s="81"/>
      <c r="M52" s="81"/>
      <c r="N52" s="83"/>
    </row>
    <row r="53" spans="2:14" ht="16.5" thickTop="1" x14ac:dyDescent="0.25">
      <c r="I53" s="127"/>
    </row>
  </sheetData>
  <sortState ref="C23:M50">
    <sortCondition ref="C23"/>
  </sortState>
  <mergeCells count="29">
    <mergeCell ref="L9:M9"/>
    <mergeCell ref="C15:D15"/>
    <mergeCell ref="E15:F15"/>
    <mergeCell ref="C8:D8"/>
    <mergeCell ref="E8:H8"/>
    <mergeCell ref="C9:D9"/>
    <mergeCell ref="E9:H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C21:C22"/>
    <mergeCell ref="D21:D22"/>
    <mergeCell ref="E21:E22"/>
    <mergeCell ref="F21:G21"/>
    <mergeCell ref="H21:H22"/>
    <mergeCell ref="J21:J22"/>
    <mergeCell ref="K21:K22"/>
    <mergeCell ref="L21:L22"/>
    <mergeCell ref="M21:M22"/>
    <mergeCell ref="F51:G51"/>
    <mergeCell ref="I21:I22"/>
  </mergeCells>
  <conditionalFormatting sqref="M23:M50">
    <cfRule type="cellIs" dxfId="2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N45"/>
  <sheetViews>
    <sheetView tabSelected="1" zoomScaleNormal="100" workbookViewId="0">
      <selection activeCell="P9" sqref="P9"/>
    </sheetView>
  </sheetViews>
  <sheetFormatPr baseColWidth="10" defaultColWidth="12.42578125" defaultRowHeight="15.75" x14ac:dyDescent="0.25"/>
  <cols>
    <col min="1" max="1" width="4" style="65" customWidth="1"/>
    <col min="2" max="2" width="3.7109375" style="65" customWidth="1"/>
    <col min="3" max="3" width="9.5703125" style="65" customWidth="1"/>
    <col min="4" max="4" width="9.7109375" style="65" customWidth="1"/>
    <col min="5" max="5" width="7.42578125" style="65" customWidth="1"/>
    <col min="6" max="7" width="12.7109375" style="65" customWidth="1"/>
    <col min="8" max="8" width="17.42578125" style="66" customWidth="1"/>
    <col min="9" max="9" width="12.7109375" style="65" customWidth="1"/>
    <col min="10" max="10" width="14.42578125" style="66" bestFit="1" customWidth="1"/>
    <col min="11" max="12" width="12.7109375" style="65" customWidth="1"/>
    <col min="13" max="13" width="12.42578125" style="65"/>
    <col min="14" max="14" width="3.7109375" style="65" customWidth="1"/>
    <col min="15" max="16384" width="12.42578125" style="65"/>
  </cols>
  <sheetData>
    <row r="1" spans="2:14" ht="16.5" thickBot="1" x14ac:dyDescent="0.3"/>
    <row r="2" spans="2:14" ht="17.25" thickTop="1" thickBot="1" x14ac:dyDescent="0.3">
      <c r="B2" s="67"/>
      <c r="C2" s="68"/>
      <c r="D2" s="68"/>
      <c r="E2" s="68"/>
      <c r="F2" s="68"/>
      <c r="G2" s="68"/>
      <c r="H2" s="69"/>
      <c r="I2" s="68"/>
      <c r="J2" s="69"/>
      <c r="K2" s="68"/>
      <c r="L2" s="68"/>
      <c r="M2" s="68"/>
      <c r="N2" s="70"/>
    </row>
    <row r="3" spans="2:14" ht="17.25" thickTop="1" thickBot="1" x14ac:dyDescent="0.3">
      <c r="B3" s="71"/>
      <c r="D3" s="72"/>
      <c r="E3" s="72"/>
      <c r="F3" s="72"/>
      <c r="G3" s="72" t="s">
        <v>54</v>
      </c>
      <c r="H3" s="72"/>
      <c r="I3" s="72"/>
      <c r="J3" s="72"/>
      <c r="K3" s="73" t="s">
        <v>25</v>
      </c>
      <c r="L3" s="74">
        <f>+M43</f>
        <v>0.56203614291626436</v>
      </c>
      <c r="M3" s="72"/>
      <c r="N3" s="75"/>
    </row>
    <row r="4" spans="2:14" ht="17.25" thickTop="1" thickBot="1" x14ac:dyDescent="0.3">
      <c r="B4" s="71"/>
      <c r="D4" s="72"/>
      <c r="E4" s="72"/>
      <c r="F4" s="72"/>
      <c r="G4" s="76" t="s">
        <v>55</v>
      </c>
      <c r="H4" s="76"/>
      <c r="I4" s="72"/>
      <c r="J4" s="76"/>
      <c r="K4" s="73" t="s">
        <v>26</v>
      </c>
      <c r="L4" s="77">
        <f>+L43/D43</f>
        <v>203.71</v>
      </c>
      <c r="M4" s="72"/>
      <c r="N4" s="75"/>
    </row>
    <row r="5" spans="2:14" ht="16.5" thickTop="1" x14ac:dyDescent="0.25">
      <c r="B5" s="71"/>
      <c r="D5" s="72"/>
      <c r="E5" s="72"/>
      <c r="F5" s="72"/>
      <c r="G5" s="76" t="s">
        <v>56</v>
      </c>
      <c r="I5" s="72"/>
      <c r="K5" s="78"/>
      <c r="L5" s="79"/>
      <c r="M5" s="72"/>
      <c r="N5" s="75"/>
    </row>
    <row r="6" spans="2:14" ht="16.5" thickBot="1" x14ac:dyDescent="0.3">
      <c r="B6" s="80"/>
      <c r="C6" s="81"/>
      <c r="D6" s="81"/>
      <c r="E6" s="81"/>
      <c r="F6" s="81"/>
      <c r="G6" s="81"/>
      <c r="H6" s="82"/>
      <c r="I6" s="81"/>
      <c r="J6" s="82"/>
      <c r="K6" s="81"/>
      <c r="L6" s="81"/>
      <c r="M6" s="81"/>
      <c r="N6" s="83"/>
    </row>
    <row r="7" spans="2:14" ht="12" customHeight="1" thickTop="1" x14ac:dyDescent="0.25">
      <c r="B7" s="67"/>
      <c r="C7" s="68"/>
      <c r="D7" s="68"/>
      <c r="E7" s="68"/>
      <c r="F7" s="68"/>
      <c r="G7" s="68"/>
      <c r="H7" s="69"/>
      <c r="I7" s="67"/>
      <c r="J7" s="69"/>
      <c r="K7" s="68"/>
      <c r="L7" s="68"/>
      <c r="M7" s="68"/>
      <c r="N7" s="70"/>
    </row>
    <row r="8" spans="2:14" x14ac:dyDescent="0.25">
      <c r="B8" s="71"/>
      <c r="C8" s="156" t="s">
        <v>57</v>
      </c>
      <c r="D8" s="156"/>
      <c r="E8" s="157" t="s">
        <v>120</v>
      </c>
      <c r="F8" s="157"/>
      <c r="G8" s="157"/>
      <c r="H8" s="158"/>
      <c r="I8" s="84" t="s">
        <v>58</v>
      </c>
      <c r="J8" s="85" t="s">
        <v>121</v>
      </c>
      <c r="K8" s="85"/>
      <c r="L8" s="72"/>
      <c r="M8" s="72"/>
      <c r="N8" s="75"/>
    </row>
    <row r="9" spans="2:14" x14ac:dyDescent="0.25">
      <c r="B9" s="71"/>
      <c r="C9" s="162" t="s">
        <v>59</v>
      </c>
      <c r="D9" s="162"/>
      <c r="E9" s="157">
        <v>40398</v>
      </c>
      <c r="F9" s="157"/>
      <c r="G9" s="157"/>
      <c r="H9" s="158"/>
      <c r="I9" s="84" t="s">
        <v>60</v>
      </c>
      <c r="J9" s="85" t="s">
        <v>149</v>
      </c>
      <c r="K9" s="131" t="s">
        <v>61</v>
      </c>
      <c r="L9" s="163" t="s">
        <v>122</v>
      </c>
      <c r="M9" s="163"/>
      <c r="N9" s="75"/>
    </row>
    <row r="10" spans="2:14" ht="12" customHeight="1" thickBot="1" x14ac:dyDescent="0.3">
      <c r="B10" s="80"/>
      <c r="C10" s="87"/>
      <c r="D10" s="87"/>
      <c r="E10" s="81"/>
      <c r="F10" s="81"/>
      <c r="G10" s="81"/>
      <c r="H10" s="82"/>
      <c r="I10" s="80"/>
      <c r="J10" s="82"/>
      <c r="K10" s="81"/>
      <c r="L10" s="81"/>
      <c r="M10" s="81"/>
      <c r="N10" s="83"/>
    </row>
    <row r="11" spans="2:14" ht="12" customHeight="1" thickTop="1" x14ac:dyDescent="0.25">
      <c r="B11" s="71"/>
      <c r="C11" s="88"/>
      <c r="D11" s="88"/>
      <c r="E11" s="72"/>
      <c r="F11" s="72"/>
      <c r="G11" s="72"/>
      <c r="H11" s="76"/>
      <c r="I11" s="72"/>
      <c r="J11" s="76"/>
      <c r="K11" s="72"/>
      <c r="L11" s="72"/>
      <c r="M11" s="72"/>
      <c r="N11" s="75"/>
    </row>
    <row r="12" spans="2:14" x14ac:dyDescent="0.25">
      <c r="B12" s="71"/>
      <c r="D12" s="133" t="s">
        <v>78</v>
      </c>
      <c r="E12" s="160">
        <v>46059</v>
      </c>
      <c r="F12" s="161"/>
      <c r="H12" s="65"/>
      <c r="I12" s="89"/>
      <c r="J12" s="65"/>
      <c r="K12" s="132" t="s">
        <v>62</v>
      </c>
      <c r="L12" s="132" t="s">
        <v>63</v>
      </c>
      <c r="N12" s="75"/>
    </row>
    <row r="13" spans="2:14" x14ac:dyDescent="0.25">
      <c r="B13" s="71"/>
      <c r="C13" s="164" t="s">
        <v>64</v>
      </c>
      <c r="D13" s="164"/>
      <c r="E13" s="165">
        <v>61</v>
      </c>
      <c r="F13" s="165"/>
      <c r="H13" s="65"/>
      <c r="I13" s="89"/>
      <c r="J13" s="132" t="s">
        <v>65</v>
      </c>
      <c r="K13" s="134">
        <f>+COUNTIF($G$22:$G$43,"VQ")*2</f>
        <v>6</v>
      </c>
      <c r="L13" s="134">
        <f>+SUMIF($G$23:$G$42,"VQ",$L$23:$L$42)</f>
        <v>547.79999999999995</v>
      </c>
      <c r="N13" s="75"/>
    </row>
    <row r="14" spans="2:14" x14ac:dyDescent="0.25">
      <c r="B14" s="71"/>
      <c r="C14" s="164" t="s">
        <v>66</v>
      </c>
      <c r="D14" s="164"/>
      <c r="E14" s="166">
        <v>20</v>
      </c>
      <c r="F14" s="166"/>
      <c r="H14" s="65"/>
      <c r="I14" s="89"/>
      <c r="J14" s="132" t="s">
        <v>67</v>
      </c>
      <c r="K14" s="134">
        <f>+COUNTIF($G$22:$G$43,"NT")*2</f>
        <v>34</v>
      </c>
      <c r="L14" s="134">
        <f>+SUMIF($G$23:$G$42,"NT",$L$23:$L$42)</f>
        <v>3526.4</v>
      </c>
      <c r="N14" s="75"/>
    </row>
    <row r="15" spans="2:14" x14ac:dyDescent="0.25">
      <c r="B15" s="71"/>
      <c r="C15" s="164" t="s">
        <v>68</v>
      </c>
      <c r="D15" s="164"/>
      <c r="E15" s="167">
        <f>+I43</f>
        <v>7249</v>
      </c>
      <c r="F15" s="166"/>
      <c r="H15" s="65"/>
      <c r="I15" s="89"/>
      <c r="J15" s="132" t="s">
        <v>69</v>
      </c>
      <c r="K15" s="134">
        <f>+COUNTIF($G$22:$G$43,"NO")*2</f>
        <v>0</v>
      </c>
      <c r="L15" s="134">
        <f>+SUMIF($G$23:$G$42,"NO",$L$23:$L$42)</f>
        <v>0</v>
      </c>
      <c r="N15" s="75"/>
    </row>
    <row r="16" spans="2:14" x14ac:dyDescent="0.25">
      <c r="B16" s="71"/>
      <c r="C16" s="164" t="s">
        <v>70</v>
      </c>
      <c r="D16" s="164"/>
      <c r="E16" s="167">
        <f>+L43</f>
        <v>4074.2000000000003</v>
      </c>
      <c r="F16" s="166"/>
      <c r="H16" s="65"/>
      <c r="I16" s="89"/>
      <c r="J16" s="132" t="s">
        <v>71</v>
      </c>
      <c r="K16" s="134">
        <f>+COUNTIF($G$22:$G$43,"TO")*2</f>
        <v>0</v>
      </c>
      <c r="L16" s="134">
        <f>+SUMIF($G$23:$G$42,"TO",$L$23:$L$42)</f>
        <v>0</v>
      </c>
      <c r="N16" s="75"/>
    </row>
    <row r="17" spans="2:14" x14ac:dyDescent="0.25">
      <c r="B17" s="71"/>
      <c r="C17" s="164" t="s">
        <v>72</v>
      </c>
      <c r="D17" s="164"/>
      <c r="E17" s="168">
        <f>+M43</f>
        <v>0.56203614291626436</v>
      </c>
      <c r="F17" s="166"/>
      <c r="G17" s="93"/>
      <c r="H17" s="94"/>
      <c r="I17" s="89"/>
      <c r="J17" s="132" t="s">
        <v>73</v>
      </c>
      <c r="K17" s="134">
        <f>+COUNTIF($G$22:$G$43,"VA")*2</f>
        <v>0</v>
      </c>
      <c r="L17" s="134">
        <f>+SUMIF($G$23:$G$42,"VA",$L$23:$L$42)</f>
        <v>0</v>
      </c>
      <c r="N17" s="75"/>
    </row>
    <row r="18" spans="2:14" x14ac:dyDescent="0.25">
      <c r="B18" s="71"/>
      <c r="C18" s="164" t="s">
        <v>74</v>
      </c>
      <c r="D18" s="164"/>
      <c r="E18" s="169">
        <f>+L43/D43</f>
        <v>203.71</v>
      </c>
      <c r="F18" s="169"/>
      <c r="G18" s="93"/>
      <c r="H18" s="94"/>
      <c r="I18" s="89"/>
      <c r="J18" s="132" t="s">
        <v>75</v>
      </c>
      <c r="K18" s="134">
        <f>+COUNTIF($G$22:$G$43,"MEJ")*2</f>
        <v>0</v>
      </c>
      <c r="L18" s="134">
        <f>+SUMIF($G$23:$G$42,"MEJ",$L$23:$L$42)</f>
        <v>0</v>
      </c>
      <c r="N18" s="75"/>
    </row>
    <row r="19" spans="2:14" ht="9.9499999999999993" customHeight="1" thickBot="1" x14ac:dyDescent="0.3">
      <c r="B19" s="80"/>
      <c r="C19" s="95"/>
      <c r="D19" s="95"/>
      <c r="E19" s="81"/>
      <c r="F19" s="81"/>
      <c r="G19" s="96"/>
      <c r="H19" s="97"/>
      <c r="I19" s="96"/>
      <c r="J19" s="81"/>
      <c r="K19" s="81"/>
      <c r="L19" s="81"/>
      <c r="M19" s="81"/>
      <c r="N19" s="83"/>
    </row>
    <row r="20" spans="2:14" ht="9.9499999999999993" customHeight="1" thickTop="1" x14ac:dyDescent="0.25">
      <c r="B20" s="71"/>
      <c r="N20" s="75"/>
    </row>
    <row r="21" spans="2:14" s="100" customFormat="1" ht="26.25" customHeight="1" x14ac:dyDescent="0.25">
      <c r="B21" s="98"/>
      <c r="C21" s="170" t="s">
        <v>27</v>
      </c>
      <c r="D21" s="170" t="s">
        <v>28</v>
      </c>
      <c r="E21" s="173" t="s">
        <v>52</v>
      </c>
      <c r="F21" s="175" t="s">
        <v>29</v>
      </c>
      <c r="G21" s="176"/>
      <c r="H21" s="181" t="s">
        <v>30</v>
      </c>
      <c r="I21" s="183" t="s">
        <v>31</v>
      </c>
      <c r="J21" s="183" t="s">
        <v>2</v>
      </c>
      <c r="K21" s="173" t="s">
        <v>3</v>
      </c>
      <c r="L21" s="183" t="s">
        <v>32</v>
      </c>
      <c r="M21" s="177" t="s">
        <v>33</v>
      </c>
      <c r="N21" s="99"/>
    </row>
    <row r="22" spans="2:14" x14ac:dyDescent="0.25">
      <c r="B22" s="71"/>
      <c r="C22" s="171"/>
      <c r="D22" s="172"/>
      <c r="E22" s="174"/>
      <c r="F22" s="149" t="s">
        <v>76</v>
      </c>
      <c r="G22" s="102" t="s">
        <v>77</v>
      </c>
      <c r="H22" s="182"/>
      <c r="I22" s="184"/>
      <c r="J22" s="184"/>
      <c r="K22" s="174"/>
      <c r="L22" s="184"/>
      <c r="M22" s="178"/>
      <c r="N22" s="75"/>
    </row>
    <row r="23" spans="2:14" x14ac:dyDescent="0.25">
      <c r="B23" s="71"/>
      <c r="C23" s="104">
        <v>49</v>
      </c>
      <c r="D23" s="104">
        <v>7</v>
      </c>
      <c r="E23" s="155" t="s">
        <v>93</v>
      </c>
      <c r="F23" s="150" t="s">
        <v>147</v>
      </c>
      <c r="G23" s="153" t="s">
        <v>67</v>
      </c>
      <c r="H23" s="105" t="s">
        <v>129</v>
      </c>
      <c r="I23" s="106">
        <v>358</v>
      </c>
      <c r="J23" s="103">
        <v>100.4</v>
      </c>
      <c r="K23" s="107">
        <v>100.4</v>
      </c>
      <c r="L23" s="108">
        <f t="shared" ref="L23:L42" si="0">+J23+K23</f>
        <v>200.8</v>
      </c>
      <c r="M23" s="109">
        <f t="shared" ref="M23:M42" si="1">+L23/I23</f>
        <v>0.56089385474860343</v>
      </c>
      <c r="N23" s="75"/>
    </row>
    <row r="24" spans="2:14" x14ac:dyDescent="0.25">
      <c r="B24" s="71"/>
      <c r="C24" s="110">
        <v>50</v>
      </c>
      <c r="D24" s="110">
        <v>14</v>
      </c>
      <c r="E24" s="144" t="s">
        <v>114</v>
      </c>
      <c r="F24" s="151" t="s">
        <v>147</v>
      </c>
      <c r="G24" s="147" t="s">
        <v>67</v>
      </c>
      <c r="H24" s="112" t="s">
        <v>136</v>
      </c>
      <c r="I24" s="113">
        <v>390</v>
      </c>
      <c r="J24" s="110">
        <v>107.3</v>
      </c>
      <c r="K24" s="114">
        <v>108.9</v>
      </c>
      <c r="L24" s="115">
        <f t="shared" si="0"/>
        <v>216.2</v>
      </c>
      <c r="M24" s="116">
        <f t="shared" si="1"/>
        <v>0.5543589743589743</v>
      </c>
      <c r="N24" s="75"/>
    </row>
    <row r="25" spans="2:14" x14ac:dyDescent="0.25">
      <c r="B25" s="71"/>
      <c r="C25" s="110">
        <v>51</v>
      </c>
      <c r="D25" s="110">
        <v>2</v>
      </c>
      <c r="E25" s="144" t="s">
        <v>114</v>
      </c>
      <c r="F25" s="151" t="s">
        <v>147</v>
      </c>
      <c r="G25" s="147" t="s">
        <v>67</v>
      </c>
      <c r="H25" s="112" t="s">
        <v>124</v>
      </c>
      <c r="I25" s="113">
        <v>386</v>
      </c>
      <c r="J25" s="110">
        <v>104.3</v>
      </c>
      <c r="K25" s="114">
        <v>104.8</v>
      </c>
      <c r="L25" s="115">
        <f t="shared" si="0"/>
        <v>209.1</v>
      </c>
      <c r="M25" s="116">
        <f t="shared" si="1"/>
        <v>0.54170984455958548</v>
      </c>
      <c r="N25" s="75"/>
    </row>
    <row r="26" spans="2:14" x14ac:dyDescent="0.25">
      <c r="B26" s="71"/>
      <c r="C26" s="138">
        <v>52</v>
      </c>
      <c r="D26" s="111">
        <v>19</v>
      </c>
      <c r="E26" s="144" t="s">
        <v>114</v>
      </c>
      <c r="F26" s="151" t="s">
        <v>147</v>
      </c>
      <c r="G26" s="147" t="s">
        <v>67</v>
      </c>
      <c r="H26" s="112" t="s">
        <v>141</v>
      </c>
      <c r="I26" s="113">
        <v>411</v>
      </c>
      <c r="J26" s="110">
        <v>121.9</v>
      </c>
      <c r="K26" s="114">
        <v>122</v>
      </c>
      <c r="L26" s="115">
        <f t="shared" si="0"/>
        <v>243.9</v>
      </c>
      <c r="M26" s="116">
        <f t="shared" si="1"/>
        <v>0.59343065693430663</v>
      </c>
      <c r="N26" s="75"/>
    </row>
    <row r="27" spans="2:14" x14ac:dyDescent="0.25">
      <c r="B27" s="71"/>
      <c r="C27" s="110">
        <v>53</v>
      </c>
      <c r="D27" s="110">
        <v>17</v>
      </c>
      <c r="E27" s="144" t="s">
        <v>114</v>
      </c>
      <c r="F27" s="151" t="s">
        <v>147</v>
      </c>
      <c r="G27" s="147" t="s">
        <v>67</v>
      </c>
      <c r="H27" s="112" t="s">
        <v>139</v>
      </c>
      <c r="I27" s="113">
        <v>357</v>
      </c>
      <c r="J27" s="110">
        <v>107.3</v>
      </c>
      <c r="K27" s="114">
        <v>105.8</v>
      </c>
      <c r="L27" s="115">
        <f t="shared" si="0"/>
        <v>213.1</v>
      </c>
      <c r="M27" s="116">
        <f t="shared" si="1"/>
        <v>0.59691876750700279</v>
      </c>
      <c r="N27" s="75"/>
    </row>
    <row r="28" spans="2:14" x14ac:dyDescent="0.25">
      <c r="B28" s="71"/>
      <c r="C28" s="110">
        <v>54</v>
      </c>
      <c r="D28" s="110">
        <v>9</v>
      </c>
      <c r="E28" s="144" t="s">
        <v>114</v>
      </c>
      <c r="F28" s="151" t="s">
        <v>147</v>
      </c>
      <c r="G28" s="147" t="s">
        <v>67</v>
      </c>
      <c r="H28" s="112" t="s">
        <v>131</v>
      </c>
      <c r="I28" s="113">
        <v>377</v>
      </c>
      <c r="J28" s="110">
        <v>104.2</v>
      </c>
      <c r="K28" s="114">
        <v>104</v>
      </c>
      <c r="L28" s="115">
        <f t="shared" si="0"/>
        <v>208.2</v>
      </c>
      <c r="M28" s="116">
        <f t="shared" si="1"/>
        <v>0.55225464190981433</v>
      </c>
      <c r="N28" s="75"/>
    </row>
    <row r="29" spans="2:14" x14ac:dyDescent="0.25">
      <c r="B29" s="71"/>
      <c r="C29" s="110">
        <v>55</v>
      </c>
      <c r="D29" s="110">
        <v>1</v>
      </c>
      <c r="E29" s="144" t="s">
        <v>93</v>
      </c>
      <c r="F29" s="151" t="s">
        <v>143</v>
      </c>
      <c r="G29" s="147" t="s">
        <v>65</v>
      </c>
      <c r="H29" s="112" t="s">
        <v>123</v>
      </c>
      <c r="I29" s="113">
        <v>367</v>
      </c>
      <c r="J29" s="110">
        <v>102.4</v>
      </c>
      <c r="K29" s="114">
        <v>101.4</v>
      </c>
      <c r="L29" s="115">
        <f t="shared" si="0"/>
        <v>203.8</v>
      </c>
      <c r="M29" s="116">
        <f t="shared" si="1"/>
        <v>0.55531335149863759</v>
      </c>
      <c r="N29" s="75"/>
    </row>
    <row r="30" spans="2:14" x14ac:dyDescent="0.25">
      <c r="B30" s="71"/>
      <c r="C30" s="111">
        <v>56</v>
      </c>
      <c r="D30" s="110">
        <v>11</v>
      </c>
      <c r="E30" s="145" t="s">
        <v>114</v>
      </c>
      <c r="F30" s="151" t="s">
        <v>147</v>
      </c>
      <c r="G30" s="147" t="s">
        <v>67</v>
      </c>
      <c r="H30" s="112" t="s">
        <v>133</v>
      </c>
      <c r="I30" s="113">
        <v>358</v>
      </c>
      <c r="J30" s="110">
        <v>104.6</v>
      </c>
      <c r="K30" s="114">
        <v>104.7</v>
      </c>
      <c r="L30" s="115">
        <f t="shared" si="0"/>
        <v>209.3</v>
      </c>
      <c r="M30" s="116">
        <f t="shared" si="1"/>
        <v>0.58463687150837995</v>
      </c>
      <c r="N30" s="75"/>
    </row>
    <row r="31" spans="2:14" x14ac:dyDescent="0.25">
      <c r="B31" s="71"/>
      <c r="C31" s="110">
        <v>57</v>
      </c>
      <c r="D31" s="110">
        <v>4</v>
      </c>
      <c r="E31" s="144" t="s">
        <v>114</v>
      </c>
      <c r="F31" s="151" t="s">
        <v>147</v>
      </c>
      <c r="G31" s="147" t="s">
        <v>67</v>
      </c>
      <c r="H31" s="112" t="s">
        <v>126</v>
      </c>
      <c r="I31" s="113">
        <v>366</v>
      </c>
      <c r="J31" s="110">
        <v>101.5</v>
      </c>
      <c r="K31" s="114">
        <v>102.1</v>
      </c>
      <c r="L31" s="115">
        <f t="shared" si="0"/>
        <v>203.6</v>
      </c>
      <c r="M31" s="116">
        <f t="shared" si="1"/>
        <v>0.55628415300546441</v>
      </c>
      <c r="N31" s="75"/>
    </row>
    <row r="32" spans="2:14" x14ac:dyDescent="0.25">
      <c r="B32" s="71"/>
      <c r="C32" s="110">
        <v>58</v>
      </c>
      <c r="D32" s="110">
        <v>5</v>
      </c>
      <c r="E32" s="144" t="s">
        <v>93</v>
      </c>
      <c r="F32" s="151" t="s">
        <v>147</v>
      </c>
      <c r="G32" s="147" t="s">
        <v>67</v>
      </c>
      <c r="H32" s="112" t="s">
        <v>127</v>
      </c>
      <c r="I32" s="113">
        <v>352</v>
      </c>
      <c r="J32" s="110">
        <v>97.4</v>
      </c>
      <c r="K32" s="114">
        <v>98.1</v>
      </c>
      <c r="L32" s="115">
        <f t="shared" si="0"/>
        <v>195.5</v>
      </c>
      <c r="M32" s="116">
        <f t="shared" si="1"/>
        <v>0.55539772727272729</v>
      </c>
      <c r="N32" s="75"/>
    </row>
    <row r="33" spans="2:14" x14ac:dyDescent="0.25">
      <c r="B33" s="71"/>
      <c r="C33" s="110">
        <v>59</v>
      </c>
      <c r="D33" s="110">
        <v>15</v>
      </c>
      <c r="E33" s="144" t="s">
        <v>93</v>
      </c>
      <c r="F33" s="151" t="s">
        <v>147</v>
      </c>
      <c r="G33" s="147" t="s">
        <v>67</v>
      </c>
      <c r="H33" s="112" t="s">
        <v>137</v>
      </c>
      <c r="I33" s="113">
        <v>384</v>
      </c>
      <c r="J33" s="110">
        <v>105.4</v>
      </c>
      <c r="K33" s="114">
        <v>106.6</v>
      </c>
      <c r="L33" s="115">
        <f t="shared" si="0"/>
        <v>212</v>
      </c>
      <c r="M33" s="116">
        <f t="shared" si="1"/>
        <v>0.55208333333333337</v>
      </c>
      <c r="N33" s="75"/>
    </row>
    <row r="34" spans="2:14" x14ac:dyDescent="0.25">
      <c r="B34" s="71"/>
      <c r="C34" s="110">
        <v>60</v>
      </c>
      <c r="D34" s="111">
        <v>13</v>
      </c>
      <c r="E34" s="144" t="s">
        <v>93</v>
      </c>
      <c r="F34" s="151" t="s">
        <v>147</v>
      </c>
      <c r="G34" s="147" t="s">
        <v>67</v>
      </c>
      <c r="H34" s="112" t="s">
        <v>135</v>
      </c>
      <c r="I34" s="113">
        <v>321</v>
      </c>
      <c r="J34" s="110">
        <v>90.2</v>
      </c>
      <c r="K34" s="114">
        <v>89.7</v>
      </c>
      <c r="L34" s="115">
        <f t="shared" si="0"/>
        <v>179.9</v>
      </c>
      <c r="M34" s="116">
        <f t="shared" si="1"/>
        <v>0.56043613707165107</v>
      </c>
      <c r="N34" s="75"/>
    </row>
    <row r="35" spans="2:14" x14ac:dyDescent="0.25">
      <c r="B35" s="71"/>
      <c r="C35" s="110">
        <v>61</v>
      </c>
      <c r="D35" s="110">
        <v>10</v>
      </c>
      <c r="E35" s="144" t="s">
        <v>92</v>
      </c>
      <c r="F35" s="151" t="s">
        <v>147</v>
      </c>
      <c r="G35" s="147" t="s">
        <v>67</v>
      </c>
      <c r="H35" s="112" t="s">
        <v>132</v>
      </c>
      <c r="I35" s="113">
        <v>325</v>
      </c>
      <c r="J35" s="110">
        <v>92.6</v>
      </c>
      <c r="K35" s="114">
        <v>93.6</v>
      </c>
      <c r="L35" s="115">
        <f t="shared" si="0"/>
        <v>186.2</v>
      </c>
      <c r="M35" s="116">
        <f t="shared" si="1"/>
        <v>0.57292307692307687</v>
      </c>
      <c r="N35" s="75"/>
    </row>
    <row r="36" spans="2:14" x14ac:dyDescent="0.25">
      <c r="B36" s="71"/>
      <c r="C36" s="110">
        <v>62</v>
      </c>
      <c r="D36" s="110">
        <v>12</v>
      </c>
      <c r="E36" s="144" t="s">
        <v>93</v>
      </c>
      <c r="F36" s="151" t="s">
        <v>147</v>
      </c>
      <c r="G36" s="147" t="s">
        <v>67</v>
      </c>
      <c r="H36" s="112" t="s">
        <v>134</v>
      </c>
      <c r="I36" s="113">
        <v>331</v>
      </c>
      <c r="J36" s="110">
        <v>96.5</v>
      </c>
      <c r="K36" s="117">
        <v>97.3</v>
      </c>
      <c r="L36" s="115">
        <f t="shared" si="0"/>
        <v>193.8</v>
      </c>
      <c r="M36" s="118">
        <f t="shared" si="1"/>
        <v>0.58549848942598193</v>
      </c>
      <c r="N36" s="75"/>
    </row>
    <row r="37" spans="2:14" x14ac:dyDescent="0.25">
      <c r="B37" s="71"/>
      <c r="C37" s="110">
        <v>63</v>
      </c>
      <c r="D37" s="110">
        <v>18</v>
      </c>
      <c r="E37" s="144" t="s">
        <v>93</v>
      </c>
      <c r="F37" s="151" t="s">
        <v>147</v>
      </c>
      <c r="G37" s="147" t="s">
        <v>67</v>
      </c>
      <c r="H37" s="112" t="s">
        <v>140</v>
      </c>
      <c r="I37" s="113">
        <v>422</v>
      </c>
      <c r="J37" s="110">
        <v>122.9</v>
      </c>
      <c r="K37" s="114">
        <v>122.9</v>
      </c>
      <c r="L37" s="115">
        <f t="shared" si="0"/>
        <v>245.8</v>
      </c>
      <c r="M37" s="116">
        <f t="shared" si="1"/>
        <v>0.58246445497630339</v>
      </c>
      <c r="N37" s="75"/>
    </row>
    <row r="38" spans="2:14" x14ac:dyDescent="0.25">
      <c r="B38" s="71"/>
      <c r="C38" s="110">
        <v>64</v>
      </c>
      <c r="D38" s="110">
        <v>6</v>
      </c>
      <c r="E38" s="144" t="s">
        <v>93</v>
      </c>
      <c r="F38" s="151" t="s">
        <v>147</v>
      </c>
      <c r="G38" s="147" t="s">
        <v>67</v>
      </c>
      <c r="H38" s="112" t="s">
        <v>128</v>
      </c>
      <c r="I38" s="113">
        <v>382</v>
      </c>
      <c r="J38" s="110">
        <v>107.6</v>
      </c>
      <c r="K38" s="114">
        <v>107.8</v>
      </c>
      <c r="L38" s="115">
        <f t="shared" si="0"/>
        <v>215.39999999999998</v>
      </c>
      <c r="M38" s="116">
        <f t="shared" si="1"/>
        <v>0.56387434554973814</v>
      </c>
      <c r="N38" s="75"/>
    </row>
    <row r="39" spans="2:14" x14ac:dyDescent="0.25">
      <c r="B39" s="71"/>
      <c r="C39" s="111">
        <v>65</v>
      </c>
      <c r="D39" s="110">
        <v>20</v>
      </c>
      <c r="E39" s="145" t="s">
        <v>114</v>
      </c>
      <c r="F39" s="151" t="s">
        <v>147</v>
      </c>
      <c r="G39" s="147" t="s">
        <v>67</v>
      </c>
      <c r="H39" s="112" t="s">
        <v>142</v>
      </c>
      <c r="I39" s="113">
        <v>320</v>
      </c>
      <c r="J39" s="110">
        <v>88.7</v>
      </c>
      <c r="K39" s="114">
        <v>89.4</v>
      </c>
      <c r="L39" s="115">
        <f t="shared" si="0"/>
        <v>178.10000000000002</v>
      </c>
      <c r="M39" s="116">
        <f t="shared" si="1"/>
        <v>0.55656250000000007</v>
      </c>
      <c r="N39" s="75"/>
    </row>
    <row r="40" spans="2:14" x14ac:dyDescent="0.25">
      <c r="B40" s="71"/>
      <c r="C40" s="110">
        <v>66</v>
      </c>
      <c r="D40" s="110">
        <v>3</v>
      </c>
      <c r="E40" s="144" t="s">
        <v>93</v>
      </c>
      <c r="F40" s="151" t="s">
        <v>143</v>
      </c>
      <c r="G40" s="147" t="s">
        <v>65</v>
      </c>
      <c r="H40" s="112" t="s">
        <v>125</v>
      </c>
      <c r="I40" s="113">
        <v>331</v>
      </c>
      <c r="J40" s="110">
        <v>89.6</v>
      </c>
      <c r="K40" s="114">
        <v>89.3</v>
      </c>
      <c r="L40" s="115">
        <f t="shared" si="0"/>
        <v>178.89999999999998</v>
      </c>
      <c r="M40" s="116">
        <f t="shared" si="1"/>
        <v>0.54048338368580051</v>
      </c>
      <c r="N40" s="75"/>
    </row>
    <row r="41" spans="2:14" x14ac:dyDescent="0.25">
      <c r="B41" s="71"/>
      <c r="C41" s="111">
        <v>67</v>
      </c>
      <c r="D41" s="110">
        <v>8</v>
      </c>
      <c r="E41" s="145" t="s">
        <v>93</v>
      </c>
      <c r="F41" s="151" t="s">
        <v>143</v>
      </c>
      <c r="G41" s="147" t="s">
        <v>65</v>
      </c>
      <c r="H41" s="112" t="s">
        <v>130</v>
      </c>
      <c r="I41" s="113">
        <v>317</v>
      </c>
      <c r="J41" s="110">
        <v>82.7</v>
      </c>
      <c r="K41" s="114">
        <v>82.4</v>
      </c>
      <c r="L41" s="115">
        <f t="shared" si="0"/>
        <v>165.10000000000002</v>
      </c>
      <c r="M41" s="116">
        <f t="shared" si="1"/>
        <v>0.52082018927444806</v>
      </c>
      <c r="N41" s="75"/>
    </row>
    <row r="42" spans="2:14" x14ac:dyDescent="0.25">
      <c r="B42" s="71"/>
      <c r="C42" s="110">
        <v>68</v>
      </c>
      <c r="D42" s="110">
        <v>16</v>
      </c>
      <c r="E42" s="144" t="s">
        <v>92</v>
      </c>
      <c r="F42" s="152" t="s">
        <v>147</v>
      </c>
      <c r="G42" s="154" t="s">
        <v>67</v>
      </c>
      <c r="H42" s="119" t="s">
        <v>138</v>
      </c>
      <c r="I42" s="120">
        <v>394</v>
      </c>
      <c r="J42" s="110">
        <v>106.9</v>
      </c>
      <c r="K42" s="114">
        <v>108.6</v>
      </c>
      <c r="L42" s="115">
        <f t="shared" si="0"/>
        <v>215.5</v>
      </c>
      <c r="M42" s="116">
        <f t="shared" si="1"/>
        <v>0.54695431472081213</v>
      </c>
      <c r="N42" s="75"/>
    </row>
    <row r="43" spans="2:14" x14ac:dyDescent="0.25">
      <c r="B43" s="71"/>
      <c r="C43" s="135"/>
      <c r="D43" s="135">
        <f>+COUNT($D$22:$D$42)</f>
        <v>20</v>
      </c>
      <c r="E43" s="135"/>
      <c r="F43" s="179"/>
      <c r="G43" s="180"/>
      <c r="H43" s="122"/>
      <c r="I43" s="123">
        <f>SUM($I$22:$I$42)</f>
        <v>7249</v>
      </c>
      <c r="J43" s="124">
        <f>SUM($J$22:$J$42)</f>
        <v>2034.4</v>
      </c>
      <c r="K43" s="125">
        <f>SUM($K$22:$K$42)</f>
        <v>2039.8</v>
      </c>
      <c r="L43" s="123">
        <f>SUM($L$22:$L$42)</f>
        <v>4074.2000000000003</v>
      </c>
      <c r="M43" s="126">
        <f t="shared" ref="M43" si="2">+L43/I43</f>
        <v>0.56203614291626436</v>
      </c>
      <c r="N43" s="75"/>
    </row>
    <row r="44" spans="2:14" ht="16.5" thickBot="1" x14ac:dyDescent="0.3">
      <c r="B44" s="80"/>
      <c r="C44" s="81"/>
      <c r="D44" s="81"/>
      <c r="E44" s="81"/>
      <c r="F44" s="81"/>
      <c r="G44" s="81"/>
      <c r="H44" s="82"/>
      <c r="I44" s="81"/>
      <c r="J44" s="82"/>
      <c r="K44" s="81"/>
      <c r="L44" s="81"/>
      <c r="M44" s="81"/>
      <c r="N44" s="83"/>
    </row>
    <row r="45" spans="2:14" ht="16.5" thickTop="1" x14ac:dyDescent="0.25">
      <c r="I45" s="127"/>
    </row>
  </sheetData>
  <mergeCells count="29">
    <mergeCell ref="L9:M9"/>
    <mergeCell ref="C15:D15"/>
    <mergeCell ref="E15:F15"/>
    <mergeCell ref="C8:D8"/>
    <mergeCell ref="E8:H8"/>
    <mergeCell ref="C9:D9"/>
    <mergeCell ref="E9:H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C21:C22"/>
    <mergeCell ref="D21:D22"/>
    <mergeCell ref="E21:E22"/>
    <mergeCell ref="F21:G21"/>
    <mergeCell ref="H21:H22"/>
    <mergeCell ref="J21:J22"/>
    <mergeCell ref="K21:K22"/>
    <mergeCell ref="L21:L22"/>
    <mergeCell ref="M21:M22"/>
    <mergeCell ref="F43:G43"/>
    <mergeCell ref="I21:I22"/>
  </mergeCells>
  <conditionalFormatting sqref="M23:M42">
    <cfRule type="cellIs" dxfId="1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N26"/>
  <sheetViews>
    <sheetView zoomScaleNormal="100" workbookViewId="0">
      <selection activeCell="G15" sqref="G15"/>
    </sheetView>
  </sheetViews>
  <sheetFormatPr baseColWidth="10" defaultColWidth="12.42578125" defaultRowHeight="15.75" x14ac:dyDescent="0.25"/>
  <cols>
    <col min="1" max="1" width="4" style="65" customWidth="1"/>
    <col min="2" max="2" width="3.7109375" style="65" customWidth="1"/>
    <col min="3" max="3" width="9.5703125" style="65" customWidth="1"/>
    <col min="4" max="4" width="9.7109375" style="65" customWidth="1"/>
    <col min="5" max="5" width="7.42578125" style="65" customWidth="1"/>
    <col min="6" max="7" width="12.7109375" style="65" customWidth="1"/>
    <col min="8" max="8" width="17.42578125" style="66" customWidth="1"/>
    <col min="9" max="9" width="12.7109375" style="65" customWidth="1"/>
    <col min="10" max="10" width="14.42578125" style="66" bestFit="1" customWidth="1"/>
    <col min="11" max="12" width="12.7109375" style="65" customWidth="1"/>
    <col min="13" max="13" width="12.42578125" style="65"/>
    <col min="14" max="14" width="3.7109375" style="65" customWidth="1"/>
    <col min="15" max="16384" width="12.42578125" style="65"/>
  </cols>
  <sheetData>
    <row r="1" spans="2:14" ht="16.5" thickBot="1" x14ac:dyDescent="0.3"/>
    <row r="2" spans="2:14" ht="17.25" thickTop="1" thickBot="1" x14ac:dyDescent="0.3">
      <c r="B2" s="67"/>
      <c r="C2" s="68"/>
      <c r="D2" s="68"/>
      <c r="E2" s="68"/>
      <c r="F2" s="68"/>
      <c r="G2" s="68"/>
      <c r="H2" s="69"/>
      <c r="I2" s="68"/>
      <c r="J2" s="69"/>
      <c r="K2" s="68"/>
      <c r="L2" s="68"/>
      <c r="M2" s="68"/>
      <c r="N2" s="70"/>
    </row>
    <row r="3" spans="2:14" ht="17.25" thickTop="1" thickBot="1" x14ac:dyDescent="0.3">
      <c r="B3" s="71"/>
      <c r="D3" s="72"/>
      <c r="E3" s="72"/>
      <c r="F3" s="72"/>
      <c r="G3" s="72" t="s">
        <v>54</v>
      </c>
      <c r="H3" s="72"/>
      <c r="I3" s="72"/>
      <c r="J3" s="72"/>
      <c r="K3" s="73" t="s">
        <v>25</v>
      </c>
      <c r="L3" s="74">
        <f>+M24</f>
        <v>0.58913043478260863</v>
      </c>
      <c r="M3" s="72"/>
      <c r="N3" s="75"/>
    </row>
    <row r="4" spans="2:14" ht="17.25" thickTop="1" thickBot="1" x14ac:dyDescent="0.3">
      <c r="B4" s="71"/>
      <c r="D4" s="72"/>
      <c r="E4" s="72"/>
      <c r="F4" s="72"/>
      <c r="G4" s="76" t="s">
        <v>55</v>
      </c>
      <c r="H4" s="76"/>
      <c r="I4" s="72"/>
      <c r="J4" s="76"/>
      <c r="K4" s="73" t="s">
        <v>26</v>
      </c>
      <c r="L4" s="77">
        <f>+L24/D24</f>
        <v>189.7</v>
      </c>
      <c r="M4" s="72"/>
      <c r="N4" s="75"/>
    </row>
    <row r="5" spans="2:14" ht="16.5" thickTop="1" x14ac:dyDescent="0.25">
      <c r="B5" s="71"/>
      <c r="D5" s="72"/>
      <c r="E5" s="72"/>
      <c r="F5" s="72"/>
      <c r="G5" s="76" t="s">
        <v>56</v>
      </c>
      <c r="I5" s="72"/>
      <c r="K5" s="78"/>
      <c r="L5" s="79"/>
      <c r="M5" s="72"/>
      <c r="N5" s="75"/>
    </row>
    <row r="6" spans="2:14" ht="16.5" thickBot="1" x14ac:dyDescent="0.3">
      <c r="B6" s="80"/>
      <c r="C6" s="81"/>
      <c r="D6" s="81"/>
      <c r="E6" s="81"/>
      <c r="F6" s="81"/>
      <c r="G6" s="81"/>
      <c r="H6" s="82"/>
      <c r="I6" s="81"/>
      <c r="J6" s="82"/>
      <c r="K6" s="81"/>
      <c r="L6" s="81"/>
      <c r="M6" s="81"/>
      <c r="N6" s="83"/>
    </row>
    <row r="7" spans="2:14" ht="12" customHeight="1" thickTop="1" x14ac:dyDescent="0.25">
      <c r="B7" s="67"/>
      <c r="C7" s="68"/>
      <c r="D7" s="68"/>
      <c r="E7" s="68"/>
      <c r="F7" s="68"/>
      <c r="G7" s="68"/>
      <c r="H7" s="69"/>
      <c r="I7" s="67"/>
      <c r="J7" s="69"/>
      <c r="K7" s="68"/>
      <c r="L7" s="68"/>
      <c r="M7" s="68"/>
      <c r="N7" s="70"/>
    </row>
    <row r="8" spans="2:14" x14ac:dyDescent="0.25">
      <c r="B8" s="71"/>
      <c r="C8" s="156" t="s">
        <v>57</v>
      </c>
      <c r="D8" s="156"/>
      <c r="E8" s="157" t="s">
        <v>87</v>
      </c>
      <c r="F8" s="157"/>
      <c r="G8" s="157"/>
      <c r="H8" s="158"/>
      <c r="I8" s="84" t="s">
        <v>58</v>
      </c>
      <c r="J8" s="85" t="s">
        <v>115</v>
      </c>
      <c r="K8" s="85"/>
      <c r="L8" s="72"/>
      <c r="M8" s="72"/>
      <c r="N8" s="75"/>
    </row>
    <row r="9" spans="2:14" x14ac:dyDescent="0.25">
      <c r="B9" s="71"/>
      <c r="C9" s="162" t="s">
        <v>59</v>
      </c>
      <c r="D9" s="162"/>
      <c r="E9" s="157">
        <v>69057</v>
      </c>
      <c r="F9" s="157"/>
      <c r="G9" s="157"/>
      <c r="H9" s="158"/>
      <c r="I9" s="84" t="s">
        <v>60</v>
      </c>
      <c r="J9" s="85" t="s">
        <v>118</v>
      </c>
      <c r="K9" s="131" t="s">
        <v>61</v>
      </c>
      <c r="L9" s="163" t="s">
        <v>119</v>
      </c>
      <c r="M9" s="163"/>
      <c r="N9" s="75"/>
    </row>
    <row r="10" spans="2:14" ht="12" customHeight="1" thickBot="1" x14ac:dyDescent="0.3">
      <c r="B10" s="80"/>
      <c r="C10" s="87"/>
      <c r="D10" s="87"/>
      <c r="E10" s="81"/>
      <c r="F10" s="81"/>
      <c r="G10" s="81"/>
      <c r="H10" s="82"/>
      <c r="I10" s="80"/>
      <c r="J10" s="82"/>
      <c r="K10" s="81"/>
      <c r="L10" s="81"/>
      <c r="M10" s="81"/>
      <c r="N10" s="83"/>
    </row>
    <row r="11" spans="2:14" ht="12" customHeight="1" thickTop="1" x14ac:dyDescent="0.25">
      <c r="B11" s="71"/>
      <c r="C11" s="88"/>
      <c r="D11" s="88"/>
      <c r="E11" s="72"/>
      <c r="F11" s="72"/>
      <c r="G11" s="72"/>
      <c r="H11" s="76"/>
      <c r="I11" s="72"/>
      <c r="J11" s="76"/>
      <c r="K11" s="72"/>
      <c r="L11" s="72"/>
      <c r="M11" s="72"/>
      <c r="N11" s="75"/>
    </row>
    <row r="12" spans="2:14" x14ac:dyDescent="0.25">
      <c r="B12" s="71"/>
      <c r="D12" s="133" t="s">
        <v>78</v>
      </c>
      <c r="E12" s="160">
        <v>46059</v>
      </c>
      <c r="F12" s="161"/>
      <c r="H12" s="65"/>
      <c r="I12" s="89"/>
      <c r="J12" s="65"/>
      <c r="K12" s="132" t="s">
        <v>62</v>
      </c>
      <c r="L12" s="132" t="s">
        <v>63</v>
      </c>
      <c r="N12" s="75"/>
    </row>
    <row r="13" spans="2:14" x14ac:dyDescent="0.25">
      <c r="B13" s="71"/>
      <c r="C13" s="164" t="s">
        <v>64</v>
      </c>
      <c r="D13" s="164"/>
      <c r="E13" s="165">
        <v>62</v>
      </c>
      <c r="F13" s="165"/>
      <c r="H13" s="65"/>
      <c r="I13" s="89"/>
      <c r="J13" s="132" t="s">
        <v>65</v>
      </c>
      <c r="K13" s="134">
        <f>+COUNTIF($G$22:$G$24,"VQ")*2</f>
        <v>0</v>
      </c>
      <c r="L13" s="134">
        <f>+SUMIF($G$23:$G$23,"VQ",$L$23:$L$23)</f>
        <v>0</v>
      </c>
      <c r="N13" s="75"/>
    </row>
    <row r="14" spans="2:14" x14ac:dyDescent="0.25">
      <c r="B14" s="71"/>
      <c r="C14" s="164" t="s">
        <v>66</v>
      </c>
      <c r="D14" s="164"/>
      <c r="E14" s="166">
        <v>1</v>
      </c>
      <c r="F14" s="166"/>
      <c r="H14" s="65"/>
      <c r="I14" s="89"/>
      <c r="J14" s="132" t="s">
        <v>67</v>
      </c>
      <c r="K14" s="134">
        <f>+COUNTIF($G$22:$G$24,"NT")*2</f>
        <v>2</v>
      </c>
      <c r="L14" s="134">
        <f>+SUMIF($G$23:$G$23,"NT",$L$23:$L$23)</f>
        <v>189.7</v>
      </c>
      <c r="N14" s="75"/>
    </row>
    <row r="15" spans="2:14" x14ac:dyDescent="0.25">
      <c r="B15" s="71"/>
      <c r="C15" s="164" t="s">
        <v>68</v>
      </c>
      <c r="D15" s="164"/>
      <c r="E15" s="167">
        <f>+I24</f>
        <v>322</v>
      </c>
      <c r="F15" s="166"/>
      <c r="H15" s="65"/>
      <c r="I15" s="89"/>
      <c r="J15" s="132" t="s">
        <v>69</v>
      </c>
      <c r="K15" s="134">
        <f>+COUNTIF($G$22:$G$24,"NO")*2</f>
        <v>0</v>
      </c>
      <c r="L15" s="134">
        <f>+SUMIF($G$23:$G$23,"NO",$L$23:$L$23)</f>
        <v>0</v>
      </c>
      <c r="N15" s="75"/>
    </row>
    <row r="16" spans="2:14" ht="17.25" customHeight="1" x14ac:dyDescent="0.25">
      <c r="B16" s="71"/>
      <c r="C16" s="164" t="s">
        <v>70</v>
      </c>
      <c r="D16" s="164"/>
      <c r="E16" s="167">
        <f>+L24</f>
        <v>189.7</v>
      </c>
      <c r="F16" s="166"/>
      <c r="H16" s="65"/>
      <c r="I16" s="89"/>
      <c r="J16" s="132" t="s">
        <v>71</v>
      </c>
      <c r="K16" s="134">
        <f>+COUNTIF($G$22:$G$24,"TO")*2</f>
        <v>0</v>
      </c>
      <c r="L16" s="134">
        <f>+SUMIF($G$23:$G$23,"TO",$L$23:$L$23)</f>
        <v>0</v>
      </c>
      <c r="N16" s="75"/>
    </row>
    <row r="17" spans="2:14" x14ac:dyDescent="0.25">
      <c r="B17" s="71"/>
      <c r="C17" s="164" t="s">
        <v>72</v>
      </c>
      <c r="D17" s="164"/>
      <c r="E17" s="168">
        <f>+M24</f>
        <v>0.58913043478260863</v>
      </c>
      <c r="F17" s="166"/>
      <c r="G17" s="93"/>
      <c r="H17" s="94"/>
      <c r="I17" s="89"/>
      <c r="J17" s="132" t="s">
        <v>73</v>
      </c>
      <c r="K17" s="134">
        <f>+COUNTIF($G$22:$G$24,"VA")*2</f>
        <v>0</v>
      </c>
      <c r="L17" s="134">
        <f>+SUMIF($G$23:$G$23,"VA",$L$23:$L$23)</f>
        <v>0</v>
      </c>
      <c r="N17" s="75"/>
    </row>
    <row r="18" spans="2:14" x14ac:dyDescent="0.25">
      <c r="B18" s="71"/>
      <c r="C18" s="164" t="s">
        <v>74</v>
      </c>
      <c r="D18" s="164"/>
      <c r="E18" s="169">
        <f>+L24/D24</f>
        <v>189.7</v>
      </c>
      <c r="F18" s="169"/>
      <c r="G18" s="93"/>
      <c r="H18" s="94"/>
      <c r="I18" s="89"/>
      <c r="J18" s="132" t="s">
        <v>75</v>
      </c>
      <c r="K18" s="134">
        <f>+COUNTIF($G$22:$G$24,"MEJ")*2</f>
        <v>0</v>
      </c>
      <c r="L18" s="134">
        <f>+SUMIF($G$23:$G$23,"MEJ",$L$23:$L$23)</f>
        <v>0</v>
      </c>
      <c r="N18" s="75"/>
    </row>
    <row r="19" spans="2:14" ht="9.9499999999999993" customHeight="1" thickBot="1" x14ac:dyDescent="0.3">
      <c r="B19" s="80"/>
      <c r="C19" s="95"/>
      <c r="D19" s="95"/>
      <c r="E19" s="81"/>
      <c r="F19" s="81"/>
      <c r="G19" s="96"/>
      <c r="H19" s="97"/>
      <c r="I19" s="96"/>
      <c r="J19" s="81"/>
      <c r="K19" s="81"/>
      <c r="L19" s="81"/>
      <c r="M19" s="81"/>
      <c r="N19" s="83"/>
    </row>
    <row r="20" spans="2:14" ht="9.9499999999999993" customHeight="1" thickTop="1" x14ac:dyDescent="0.25">
      <c r="B20" s="71"/>
      <c r="N20" s="75"/>
    </row>
    <row r="21" spans="2:14" s="100" customFormat="1" ht="26.25" customHeight="1" x14ac:dyDescent="0.25">
      <c r="B21" s="98"/>
      <c r="C21" s="170" t="s">
        <v>27</v>
      </c>
      <c r="D21" s="170" t="s">
        <v>28</v>
      </c>
      <c r="E21" s="173" t="s">
        <v>52</v>
      </c>
      <c r="F21" s="175" t="s">
        <v>29</v>
      </c>
      <c r="G21" s="176"/>
      <c r="H21" s="181" t="s">
        <v>30</v>
      </c>
      <c r="I21" s="183" t="s">
        <v>31</v>
      </c>
      <c r="J21" s="183" t="s">
        <v>2</v>
      </c>
      <c r="K21" s="173" t="s">
        <v>3</v>
      </c>
      <c r="L21" s="183" t="s">
        <v>32</v>
      </c>
      <c r="M21" s="177" t="s">
        <v>33</v>
      </c>
      <c r="N21" s="99"/>
    </row>
    <row r="22" spans="2:14" x14ac:dyDescent="0.25">
      <c r="B22" s="71"/>
      <c r="C22" s="171"/>
      <c r="D22" s="172"/>
      <c r="E22" s="174"/>
      <c r="F22" s="101" t="s">
        <v>76</v>
      </c>
      <c r="G22" s="102" t="s">
        <v>77</v>
      </c>
      <c r="H22" s="182"/>
      <c r="I22" s="184"/>
      <c r="J22" s="184"/>
      <c r="K22" s="174"/>
      <c r="L22" s="184"/>
      <c r="M22" s="178"/>
      <c r="N22" s="75"/>
    </row>
    <row r="23" spans="2:14" x14ac:dyDescent="0.25">
      <c r="B23" s="71"/>
      <c r="C23" s="103">
        <v>69</v>
      </c>
      <c r="D23" s="103">
        <v>1</v>
      </c>
      <c r="E23" s="103" t="s">
        <v>93</v>
      </c>
      <c r="F23" s="103" t="s">
        <v>147</v>
      </c>
      <c r="G23" s="104" t="s">
        <v>67</v>
      </c>
      <c r="H23" s="105">
        <v>7404</v>
      </c>
      <c r="I23" s="106">
        <v>322</v>
      </c>
      <c r="J23" s="103">
        <v>94.5</v>
      </c>
      <c r="K23" s="107">
        <v>95.2</v>
      </c>
      <c r="L23" s="108">
        <f t="shared" ref="L23" si="0">+J23+K23</f>
        <v>189.7</v>
      </c>
      <c r="M23" s="109">
        <f t="shared" ref="M23:M24" si="1">+L23/I23</f>
        <v>0.58913043478260863</v>
      </c>
      <c r="N23" s="75"/>
    </row>
    <row r="24" spans="2:14" x14ac:dyDescent="0.25">
      <c r="B24" s="71"/>
      <c r="C24" s="135"/>
      <c r="D24" s="135">
        <f>+COUNT($D$22:$D$23)</f>
        <v>1</v>
      </c>
      <c r="E24" s="135"/>
      <c r="F24" s="180"/>
      <c r="G24" s="180"/>
      <c r="H24" s="122"/>
      <c r="I24" s="123">
        <f>SUM($I$22:$I$23)</f>
        <v>322</v>
      </c>
      <c r="J24" s="124">
        <f>SUM($J$22:$J$23)</f>
        <v>94.5</v>
      </c>
      <c r="K24" s="125">
        <f>SUM($K$22:$K$23)</f>
        <v>95.2</v>
      </c>
      <c r="L24" s="123">
        <f>SUM($L$22:$L$23)</f>
        <v>189.7</v>
      </c>
      <c r="M24" s="126">
        <f t="shared" si="1"/>
        <v>0.58913043478260863</v>
      </c>
      <c r="N24" s="75"/>
    </row>
    <row r="25" spans="2:14" ht="16.5" thickBot="1" x14ac:dyDescent="0.3">
      <c r="B25" s="80"/>
      <c r="C25" s="81"/>
      <c r="D25" s="81"/>
      <c r="E25" s="81"/>
      <c r="F25" s="81"/>
      <c r="G25" s="81"/>
      <c r="H25" s="82"/>
      <c r="I25" s="81"/>
      <c r="J25" s="82"/>
      <c r="K25" s="81"/>
      <c r="L25" s="81"/>
      <c r="M25" s="81"/>
      <c r="N25" s="83"/>
    </row>
    <row r="26" spans="2:14" ht="16.5" thickTop="1" x14ac:dyDescent="0.25">
      <c r="I26" s="127"/>
    </row>
  </sheetData>
  <mergeCells count="29">
    <mergeCell ref="L9:M9"/>
    <mergeCell ref="C15:D15"/>
    <mergeCell ref="E15:F15"/>
    <mergeCell ref="C8:D8"/>
    <mergeCell ref="E8:H8"/>
    <mergeCell ref="C9:D9"/>
    <mergeCell ref="E9:H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C21:C22"/>
    <mergeCell ref="D21:D22"/>
    <mergeCell ref="E21:E22"/>
    <mergeCell ref="F21:G21"/>
    <mergeCell ref="H21:H22"/>
    <mergeCell ref="J21:J22"/>
    <mergeCell ref="K21:K22"/>
    <mergeCell ref="L21:L22"/>
    <mergeCell ref="M21:M22"/>
    <mergeCell ref="F24:G24"/>
    <mergeCell ref="I21:I22"/>
  </mergeCells>
  <conditionalFormatting sqref="M23">
    <cfRule type="cellIs" dxfId="0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opLeftCell="A3" zoomScaleNormal="100" workbookViewId="0">
      <selection activeCell="E34" sqref="E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3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187"/>
      <c r="C2" s="188"/>
      <c r="D2" s="189"/>
      <c r="E2" s="185" t="s">
        <v>4</v>
      </c>
      <c r="F2" s="186"/>
    </row>
    <row r="3" spans="2:9" ht="18" customHeight="1" thickBot="1" x14ac:dyDescent="0.3">
      <c r="B3" s="190"/>
      <c r="C3" s="191"/>
      <c r="D3" s="192"/>
      <c r="E3" s="51" t="s">
        <v>45</v>
      </c>
      <c r="F3" s="63">
        <v>46059</v>
      </c>
    </row>
    <row r="4" spans="2:9" ht="15.75" thickBot="1" x14ac:dyDescent="0.3">
      <c r="B4" s="3" t="s">
        <v>0</v>
      </c>
      <c r="C4" s="3" t="s">
        <v>1</v>
      </c>
      <c r="D4" s="4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129">
        <v>1</v>
      </c>
      <c r="C5" s="14">
        <v>59</v>
      </c>
      <c r="D5" s="140" t="s">
        <v>144</v>
      </c>
      <c r="E5" s="130">
        <v>80.8</v>
      </c>
      <c r="F5" s="130">
        <v>81.099999999999994</v>
      </c>
    </row>
    <row r="6" spans="2:9" ht="20.45" customHeight="1" x14ac:dyDescent="0.25">
      <c r="B6" s="7">
        <f>+B5+1</f>
        <v>2</v>
      </c>
      <c r="C6" s="57">
        <v>59</v>
      </c>
      <c r="D6" s="141" t="s">
        <v>143</v>
      </c>
      <c r="E6" s="54">
        <v>81.599999999999994</v>
      </c>
      <c r="F6" s="54">
        <v>82</v>
      </c>
    </row>
    <row r="7" spans="2:9" ht="20.45" customHeight="1" x14ac:dyDescent="0.25">
      <c r="B7" s="7">
        <f t="shared" ref="B7:B34" si="0">+B6+1</f>
        <v>3</v>
      </c>
      <c r="C7" s="57">
        <v>59</v>
      </c>
      <c r="D7" s="141" t="s">
        <v>144</v>
      </c>
      <c r="E7" s="54">
        <v>80.2</v>
      </c>
      <c r="F7" s="54">
        <v>80.3</v>
      </c>
    </row>
    <row r="8" spans="2:9" ht="20.45" customHeight="1" x14ac:dyDescent="0.25">
      <c r="B8" s="7">
        <f t="shared" si="0"/>
        <v>4</v>
      </c>
      <c r="C8" s="57">
        <v>59</v>
      </c>
      <c r="D8" s="141" t="s">
        <v>143</v>
      </c>
      <c r="E8" s="54">
        <v>65.5</v>
      </c>
      <c r="F8" s="54">
        <v>63.2</v>
      </c>
    </row>
    <row r="9" spans="2:9" ht="20.45" customHeight="1" x14ac:dyDescent="0.25">
      <c r="B9" s="7">
        <f t="shared" si="0"/>
        <v>5</v>
      </c>
      <c r="C9" s="57">
        <v>59</v>
      </c>
      <c r="D9" s="141" t="s">
        <v>143</v>
      </c>
      <c r="E9" s="54">
        <v>74.900000000000006</v>
      </c>
      <c r="F9" s="54">
        <v>75</v>
      </c>
    </row>
    <row r="10" spans="2:9" ht="20.45" customHeight="1" x14ac:dyDescent="0.25">
      <c r="B10" s="7">
        <f t="shared" si="0"/>
        <v>6</v>
      </c>
      <c r="C10" s="57">
        <v>59</v>
      </c>
      <c r="D10" s="141" t="s">
        <v>144</v>
      </c>
      <c r="E10" s="54">
        <v>91.3</v>
      </c>
      <c r="F10" s="54">
        <v>91.9</v>
      </c>
    </row>
    <row r="11" spans="2:9" ht="20.45" customHeight="1" x14ac:dyDescent="0.25">
      <c r="B11" s="7">
        <f t="shared" si="0"/>
        <v>7</v>
      </c>
      <c r="C11" s="57">
        <v>59</v>
      </c>
      <c r="D11" s="141" t="s">
        <v>144</v>
      </c>
      <c r="E11" s="54">
        <v>85.1</v>
      </c>
      <c r="F11" s="54">
        <v>85.3</v>
      </c>
    </row>
    <row r="12" spans="2:9" ht="20.45" customHeight="1" x14ac:dyDescent="0.25">
      <c r="B12" s="7">
        <f t="shared" si="0"/>
        <v>8</v>
      </c>
      <c r="C12" s="57">
        <v>59</v>
      </c>
      <c r="D12" s="141" t="s">
        <v>144</v>
      </c>
      <c r="E12" s="54">
        <v>69.7</v>
      </c>
      <c r="F12" s="54">
        <v>69.3</v>
      </c>
    </row>
    <row r="13" spans="2:9" ht="20.45" customHeight="1" x14ac:dyDescent="0.25">
      <c r="B13" s="7">
        <f t="shared" si="0"/>
        <v>9</v>
      </c>
      <c r="C13" s="57">
        <v>59</v>
      </c>
      <c r="D13" s="141" t="s">
        <v>143</v>
      </c>
      <c r="E13" s="54">
        <v>70.599999999999994</v>
      </c>
      <c r="F13" s="54">
        <v>70.8</v>
      </c>
    </row>
    <row r="14" spans="2:9" ht="20.45" customHeight="1" x14ac:dyDescent="0.25">
      <c r="B14" s="7">
        <f t="shared" si="0"/>
        <v>10</v>
      </c>
      <c r="C14" s="57">
        <v>59</v>
      </c>
      <c r="D14" s="141" t="s">
        <v>143</v>
      </c>
      <c r="E14" s="54">
        <v>102</v>
      </c>
      <c r="F14" s="54">
        <v>100.8</v>
      </c>
    </row>
    <row r="15" spans="2:9" ht="20.45" customHeight="1" x14ac:dyDescent="0.25">
      <c r="B15" s="7">
        <f t="shared" si="0"/>
        <v>11</v>
      </c>
      <c r="C15" s="57">
        <v>59</v>
      </c>
      <c r="D15" s="141" t="s">
        <v>143</v>
      </c>
      <c r="E15" s="55">
        <v>70.5</v>
      </c>
      <c r="F15" s="55">
        <v>69.900000000000006</v>
      </c>
    </row>
    <row r="16" spans="2:9" ht="20.45" customHeight="1" x14ac:dyDescent="0.25">
      <c r="B16" s="7">
        <f t="shared" si="0"/>
        <v>12</v>
      </c>
      <c r="C16" s="57">
        <v>59</v>
      </c>
      <c r="D16" s="141" t="s">
        <v>143</v>
      </c>
      <c r="E16" s="55">
        <v>79.5</v>
      </c>
      <c r="F16" s="55">
        <v>79.400000000000006</v>
      </c>
    </row>
    <row r="17" spans="2:6" ht="20.45" customHeight="1" x14ac:dyDescent="0.25">
      <c r="B17" s="7">
        <f t="shared" si="0"/>
        <v>13</v>
      </c>
      <c r="C17" s="57">
        <v>59</v>
      </c>
      <c r="D17" s="141" t="s">
        <v>143</v>
      </c>
      <c r="E17" s="54">
        <v>71.8</v>
      </c>
      <c r="F17" s="54">
        <v>70.8</v>
      </c>
    </row>
    <row r="18" spans="2:6" ht="20.45" customHeight="1" x14ac:dyDescent="0.25">
      <c r="B18" s="7">
        <f t="shared" si="0"/>
        <v>14</v>
      </c>
      <c r="C18" s="57">
        <v>59</v>
      </c>
      <c r="D18" s="141" t="s">
        <v>143</v>
      </c>
      <c r="E18" s="54">
        <v>75.5</v>
      </c>
      <c r="F18" s="54">
        <v>76</v>
      </c>
    </row>
    <row r="19" spans="2:6" ht="20.45" customHeight="1" x14ac:dyDescent="0.25">
      <c r="B19" s="7">
        <f t="shared" si="0"/>
        <v>15</v>
      </c>
      <c r="C19" s="57">
        <v>59</v>
      </c>
      <c r="D19" s="141" t="s">
        <v>143</v>
      </c>
      <c r="E19" s="54">
        <v>68.099999999999994</v>
      </c>
      <c r="F19" s="54">
        <v>68.2</v>
      </c>
    </row>
    <row r="20" spans="2:6" ht="20.45" customHeight="1" x14ac:dyDescent="0.25">
      <c r="B20" s="7">
        <f t="shared" si="0"/>
        <v>16</v>
      </c>
      <c r="C20" s="57">
        <v>59</v>
      </c>
      <c r="D20" s="141" t="s">
        <v>143</v>
      </c>
      <c r="E20" s="54">
        <v>83</v>
      </c>
      <c r="F20" s="54">
        <v>82.3</v>
      </c>
    </row>
    <row r="21" spans="2:6" ht="20.45" customHeight="1" x14ac:dyDescent="0.25">
      <c r="B21" s="7">
        <f t="shared" si="0"/>
        <v>17</v>
      </c>
      <c r="C21" s="57">
        <v>59</v>
      </c>
      <c r="D21" s="141" t="s">
        <v>143</v>
      </c>
      <c r="E21" s="54">
        <v>73.3</v>
      </c>
      <c r="F21" s="54">
        <v>73.099999999999994</v>
      </c>
    </row>
    <row r="22" spans="2:6" ht="20.45" customHeight="1" x14ac:dyDescent="0.25">
      <c r="B22" s="7">
        <f t="shared" si="0"/>
        <v>18</v>
      </c>
      <c r="C22" s="57">
        <v>59</v>
      </c>
      <c r="D22" s="141" t="s">
        <v>143</v>
      </c>
      <c r="E22" s="54">
        <v>83.2</v>
      </c>
      <c r="F22" s="54">
        <v>82.8</v>
      </c>
    </row>
    <row r="23" spans="2:6" ht="20.45" customHeight="1" x14ac:dyDescent="0.25">
      <c r="B23" s="7">
        <f t="shared" si="0"/>
        <v>19</v>
      </c>
      <c r="C23" s="57">
        <v>59</v>
      </c>
      <c r="D23" s="141" t="s">
        <v>143</v>
      </c>
      <c r="E23" s="54">
        <v>81.900000000000006</v>
      </c>
      <c r="F23" s="54">
        <v>82.4</v>
      </c>
    </row>
    <row r="24" spans="2:6" ht="20.45" customHeight="1" x14ac:dyDescent="0.25">
      <c r="B24" s="7">
        <f t="shared" si="0"/>
        <v>20</v>
      </c>
      <c r="C24" s="57">
        <v>59</v>
      </c>
      <c r="D24" s="141" t="s">
        <v>143</v>
      </c>
      <c r="E24" s="54">
        <v>89.1</v>
      </c>
      <c r="F24" s="54">
        <v>88.5</v>
      </c>
    </row>
    <row r="25" spans="2:6" ht="20.45" customHeight="1" x14ac:dyDescent="0.25">
      <c r="B25" s="7">
        <f t="shared" si="0"/>
        <v>21</v>
      </c>
      <c r="C25" s="16">
        <v>60</v>
      </c>
      <c r="D25" s="141" t="s">
        <v>148</v>
      </c>
      <c r="E25" s="54">
        <v>112.6</v>
      </c>
      <c r="F25" s="54">
        <v>114.4</v>
      </c>
    </row>
    <row r="26" spans="2:6" ht="20.45" customHeight="1" x14ac:dyDescent="0.25">
      <c r="B26" s="7">
        <f t="shared" si="0"/>
        <v>22</v>
      </c>
      <c r="C26" s="16">
        <v>60</v>
      </c>
      <c r="D26" s="141" t="s">
        <v>143</v>
      </c>
      <c r="E26" s="54">
        <v>93.4</v>
      </c>
      <c r="F26" s="54">
        <v>94</v>
      </c>
    </row>
    <row r="27" spans="2:6" ht="20.45" customHeight="1" x14ac:dyDescent="0.25">
      <c r="B27" s="7">
        <f t="shared" si="0"/>
        <v>23</v>
      </c>
      <c r="C27" s="16">
        <v>60</v>
      </c>
      <c r="D27" s="141" t="s">
        <v>148</v>
      </c>
      <c r="E27" s="54">
        <v>104.5</v>
      </c>
      <c r="F27" s="54">
        <v>103.9</v>
      </c>
    </row>
    <row r="28" spans="2:6" ht="20.45" customHeight="1" x14ac:dyDescent="0.25">
      <c r="B28" s="7">
        <f t="shared" si="0"/>
        <v>24</v>
      </c>
      <c r="C28" s="16">
        <v>60</v>
      </c>
      <c r="D28" s="141" t="s">
        <v>148</v>
      </c>
      <c r="E28" s="54">
        <v>66.900000000000006</v>
      </c>
      <c r="F28" s="54">
        <v>67.099999999999994</v>
      </c>
    </row>
    <row r="29" spans="2:6" ht="20.45" customHeight="1" x14ac:dyDescent="0.25">
      <c r="B29" s="7">
        <f t="shared" si="0"/>
        <v>25</v>
      </c>
      <c r="C29" s="16">
        <v>60</v>
      </c>
      <c r="D29" s="141" t="s">
        <v>148</v>
      </c>
      <c r="E29" s="54">
        <v>115.7</v>
      </c>
      <c r="F29" s="54">
        <v>115.7</v>
      </c>
    </row>
    <row r="30" spans="2:6" ht="20.45" customHeight="1" x14ac:dyDescent="0.25">
      <c r="B30" s="7">
        <f t="shared" si="0"/>
        <v>26</v>
      </c>
      <c r="C30" s="16">
        <v>60</v>
      </c>
      <c r="D30" s="141" t="s">
        <v>148</v>
      </c>
      <c r="E30" s="54">
        <v>80.8</v>
      </c>
      <c r="F30" s="54">
        <v>80.5</v>
      </c>
    </row>
    <row r="31" spans="2:6" ht="20.45" customHeight="1" x14ac:dyDescent="0.25">
      <c r="B31" s="7">
        <f t="shared" si="0"/>
        <v>27</v>
      </c>
      <c r="C31" s="16">
        <v>60</v>
      </c>
      <c r="D31" s="141" t="s">
        <v>143</v>
      </c>
      <c r="E31" s="54">
        <v>83.4</v>
      </c>
      <c r="F31" s="54">
        <v>83.1</v>
      </c>
    </row>
    <row r="32" spans="2:6" ht="20.45" customHeight="1" x14ac:dyDescent="0.25">
      <c r="B32" s="7">
        <f t="shared" si="0"/>
        <v>28</v>
      </c>
      <c r="C32" s="16">
        <v>60</v>
      </c>
      <c r="D32" s="141" t="s">
        <v>148</v>
      </c>
      <c r="E32" s="54">
        <v>78.599999999999994</v>
      </c>
      <c r="F32" s="54">
        <v>79.400000000000006</v>
      </c>
    </row>
    <row r="33" spans="2:6" ht="20.45" customHeight="1" x14ac:dyDescent="0.25">
      <c r="B33" s="7">
        <f t="shared" si="0"/>
        <v>29</v>
      </c>
      <c r="C33" s="16">
        <v>60</v>
      </c>
      <c r="D33" s="141" t="s">
        <v>148</v>
      </c>
      <c r="E33" s="54">
        <v>89.2</v>
      </c>
      <c r="F33" s="54">
        <v>91</v>
      </c>
    </row>
    <row r="34" spans="2:6" ht="20.45" customHeight="1" thickBot="1" x14ac:dyDescent="0.3">
      <c r="B34" s="8">
        <f t="shared" si="0"/>
        <v>30</v>
      </c>
      <c r="C34" s="128">
        <v>60</v>
      </c>
      <c r="D34" s="142" t="s">
        <v>143</v>
      </c>
      <c r="E34" s="56">
        <v>75.099999999999994</v>
      </c>
      <c r="F34" s="56">
        <v>73.2</v>
      </c>
    </row>
    <row r="35" spans="2:6" ht="20.45" customHeight="1" x14ac:dyDescent="0.25"/>
    <row r="36" spans="2:6" x14ac:dyDescent="0.25">
      <c r="B36" s="29" t="s">
        <v>49</v>
      </c>
      <c r="C36" s="31" t="s">
        <v>34</v>
      </c>
      <c r="D36" s="30" t="s">
        <v>50</v>
      </c>
      <c r="E36" s="31" t="s">
        <v>34</v>
      </c>
      <c r="F36" s="30" t="s">
        <v>50</v>
      </c>
    </row>
    <row r="37" spans="2:6" x14ac:dyDescent="0.25">
      <c r="B37" s="29">
        <v>59</v>
      </c>
      <c r="C37" s="31">
        <v>15</v>
      </c>
      <c r="D37" s="31" t="s">
        <v>79</v>
      </c>
      <c r="E37" s="30">
        <v>5</v>
      </c>
      <c r="F37" s="30" t="s">
        <v>80</v>
      </c>
    </row>
    <row r="38" spans="2:6" x14ac:dyDescent="0.25">
      <c r="B38" s="29">
        <v>60</v>
      </c>
      <c r="C38" s="31">
        <v>25</v>
      </c>
      <c r="D38" s="31" t="s">
        <v>81</v>
      </c>
      <c r="E38" s="30">
        <v>3</v>
      </c>
      <c r="F38" s="30" t="s">
        <v>82</v>
      </c>
    </row>
    <row r="39" spans="2:6" x14ac:dyDescent="0.25">
      <c r="B39" s="29"/>
      <c r="C39" s="31"/>
      <c r="D39" s="31"/>
      <c r="E39" s="30"/>
      <c r="F39" s="30"/>
    </row>
  </sheetData>
  <mergeCells count="2">
    <mergeCell ref="E2:F2"/>
    <mergeCell ref="B2:D3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opLeftCell="A18" zoomScaleNormal="100" workbookViewId="0">
      <selection activeCell="D23" sqref="D23:D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3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187"/>
      <c r="C2" s="188"/>
      <c r="D2" s="189"/>
      <c r="E2" s="185" t="s">
        <v>4</v>
      </c>
      <c r="F2" s="186"/>
    </row>
    <row r="3" spans="2:9" ht="18" customHeight="1" thickBot="1" x14ac:dyDescent="0.3">
      <c r="B3" s="190"/>
      <c r="C3" s="191"/>
      <c r="D3" s="192"/>
      <c r="E3" s="50" t="s">
        <v>45</v>
      </c>
      <c r="F3" s="64">
        <f>+'ROMANEO 1'!F3</f>
        <v>46059</v>
      </c>
    </row>
    <row r="4" spans="2:9" ht="15.75" thickBot="1" x14ac:dyDescent="0.3">
      <c r="B4" s="3" t="s">
        <v>0</v>
      </c>
      <c r="C4" s="3" t="s">
        <v>1</v>
      </c>
      <c r="D4" s="4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6">
        <v>31</v>
      </c>
      <c r="C5" s="18">
        <v>60</v>
      </c>
      <c r="D5" s="140" t="s">
        <v>148</v>
      </c>
      <c r="E5" s="53">
        <v>113.2</v>
      </c>
      <c r="F5" s="53">
        <v>111.4</v>
      </c>
    </row>
    <row r="6" spans="2:9" ht="20.45" customHeight="1" x14ac:dyDescent="0.25">
      <c r="B6" s="7">
        <f>+B5+1</f>
        <v>32</v>
      </c>
      <c r="C6" s="18">
        <v>60</v>
      </c>
      <c r="D6" s="141" t="s">
        <v>148</v>
      </c>
      <c r="E6" s="54">
        <v>112.1</v>
      </c>
      <c r="F6" s="54">
        <v>113.6</v>
      </c>
    </row>
    <row r="7" spans="2:9" ht="20.45" customHeight="1" x14ac:dyDescent="0.25">
      <c r="B7" s="7">
        <f t="shared" ref="B7:B34" si="0">+B6+1</f>
        <v>33</v>
      </c>
      <c r="C7" s="18">
        <v>60</v>
      </c>
      <c r="D7" s="141" t="s">
        <v>148</v>
      </c>
      <c r="E7" s="54">
        <v>92.5</v>
      </c>
      <c r="F7" s="54">
        <v>91.6</v>
      </c>
    </row>
    <row r="8" spans="2:9" ht="20.45" customHeight="1" x14ac:dyDescent="0.25">
      <c r="B8" s="7">
        <f t="shared" si="0"/>
        <v>34</v>
      </c>
      <c r="C8" s="18">
        <v>60</v>
      </c>
      <c r="D8" s="141" t="s">
        <v>148</v>
      </c>
      <c r="E8" s="54">
        <v>61.7</v>
      </c>
      <c r="F8" s="54">
        <v>62</v>
      </c>
    </row>
    <row r="9" spans="2:9" ht="20.45" customHeight="1" x14ac:dyDescent="0.25">
      <c r="B9" s="7">
        <f t="shared" si="0"/>
        <v>35</v>
      </c>
      <c r="C9" s="18">
        <v>60</v>
      </c>
      <c r="D9" s="141" t="s">
        <v>148</v>
      </c>
      <c r="E9" s="54">
        <v>101.1</v>
      </c>
      <c r="F9" s="54">
        <v>100.5</v>
      </c>
    </row>
    <row r="10" spans="2:9" ht="20.45" customHeight="1" x14ac:dyDescent="0.25">
      <c r="B10" s="7">
        <f t="shared" si="0"/>
        <v>36</v>
      </c>
      <c r="C10" s="18">
        <v>60</v>
      </c>
      <c r="D10" s="141" t="s">
        <v>148</v>
      </c>
      <c r="E10" s="54">
        <v>71.8</v>
      </c>
      <c r="F10" s="54">
        <v>72.599999999999994</v>
      </c>
    </row>
    <row r="11" spans="2:9" ht="20.45" customHeight="1" x14ac:dyDescent="0.25">
      <c r="B11" s="7">
        <f t="shared" si="0"/>
        <v>37</v>
      </c>
      <c r="C11" s="18">
        <v>60</v>
      </c>
      <c r="D11" s="141" t="s">
        <v>148</v>
      </c>
      <c r="E11" s="54">
        <v>87.4</v>
      </c>
      <c r="F11" s="54">
        <v>88.3</v>
      </c>
    </row>
    <row r="12" spans="2:9" ht="20.45" customHeight="1" x14ac:dyDescent="0.25">
      <c r="B12" s="7">
        <f t="shared" si="0"/>
        <v>38</v>
      </c>
      <c r="C12" s="18">
        <v>60</v>
      </c>
      <c r="D12" s="141" t="s">
        <v>148</v>
      </c>
      <c r="E12" s="54">
        <v>107.7</v>
      </c>
      <c r="F12" s="54">
        <v>107.3</v>
      </c>
    </row>
    <row r="13" spans="2:9" ht="20.45" customHeight="1" x14ac:dyDescent="0.25">
      <c r="B13" s="7">
        <f t="shared" si="0"/>
        <v>39</v>
      </c>
      <c r="C13" s="18">
        <v>60</v>
      </c>
      <c r="D13" s="141" t="s">
        <v>148</v>
      </c>
      <c r="E13" s="54">
        <v>106.5</v>
      </c>
      <c r="F13" s="54">
        <v>106.5</v>
      </c>
    </row>
    <row r="14" spans="2:9" ht="20.45" customHeight="1" x14ac:dyDescent="0.25">
      <c r="B14" s="7">
        <f t="shared" si="0"/>
        <v>40</v>
      </c>
      <c r="C14" s="18">
        <v>60</v>
      </c>
      <c r="D14" s="141" t="s">
        <v>148</v>
      </c>
      <c r="E14" s="54">
        <v>90.2</v>
      </c>
      <c r="F14" s="54">
        <v>90.4</v>
      </c>
    </row>
    <row r="15" spans="2:9" ht="20.45" customHeight="1" x14ac:dyDescent="0.25">
      <c r="B15" s="7">
        <f t="shared" si="0"/>
        <v>41</v>
      </c>
      <c r="C15" s="18">
        <v>60</v>
      </c>
      <c r="D15" s="141" t="s">
        <v>148</v>
      </c>
      <c r="E15" s="55">
        <v>101.2</v>
      </c>
      <c r="F15" s="55">
        <v>102.1</v>
      </c>
    </row>
    <row r="16" spans="2:9" ht="20.45" customHeight="1" x14ac:dyDescent="0.25">
      <c r="B16" s="7">
        <f t="shared" si="0"/>
        <v>42</v>
      </c>
      <c r="C16" s="18">
        <v>60</v>
      </c>
      <c r="D16" s="141" t="s">
        <v>148</v>
      </c>
      <c r="E16" s="55">
        <v>83.8</v>
      </c>
      <c r="F16" s="55">
        <v>83</v>
      </c>
    </row>
    <row r="17" spans="2:6" ht="20.45" customHeight="1" x14ac:dyDescent="0.25">
      <c r="B17" s="7">
        <f t="shared" si="0"/>
        <v>43</v>
      </c>
      <c r="C17" s="18">
        <v>60</v>
      </c>
      <c r="D17" s="141" t="s">
        <v>148</v>
      </c>
      <c r="E17" s="54">
        <v>71.400000000000006</v>
      </c>
      <c r="F17" s="54">
        <v>71.2</v>
      </c>
    </row>
    <row r="18" spans="2:6" ht="20.45" customHeight="1" x14ac:dyDescent="0.25">
      <c r="B18" s="7">
        <f t="shared" si="0"/>
        <v>44</v>
      </c>
      <c r="C18" s="18">
        <v>60</v>
      </c>
      <c r="D18" s="141" t="s">
        <v>148</v>
      </c>
      <c r="E18" s="54">
        <v>95.2</v>
      </c>
      <c r="F18" s="54">
        <v>95.9</v>
      </c>
    </row>
    <row r="19" spans="2:6" ht="20.45" customHeight="1" x14ac:dyDescent="0.25">
      <c r="B19" s="7">
        <f t="shared" si="0"/>
        <v>45</v>
      </c>
      <c r="C19" s="18">
        <v>60</v>
      </c>
      <c r="D19" s="141" t="s">
        <v>148</v>
      </c>
      <c r="E19" s="54">
        <v>95.5</v>
      </c>
      <c r="F19" s="54">
        <v>94.3</v>
      </c>
    </row>
    <row r="20" spans="2:6" ht="20.45" customHeight="1" x14ac:dyDescent="0.25">
      <c r="B20" s="7">
        <f t="shared" si="0"/>
        <v>46</v>
      </c>
      <c r="C20" s="18">
        <v>60</v>
      </c>
      <c r="D20" s="141" t="s">
        <v>148</v>
      </c>
      <c r="E20" s="54">
        <v>83</v>
      </c>
      <c r="F20" s="54">
        <v>83.3</v>
      </c>
    </row>
    <row r="21" spans="2:6" ht="20.45" customHeight="1" x14ac:dyDescent="0.25">
      <c r="B21" s="7">
        <f t="shared" si="0"/>
        <v>47</v>
      </c>
      <c r="C21" s="18">
        <v>60</v>
      </c>
      <c r="D21" s="141" t="s">
        <v>148</v>
      </c>
      <c r="E21" s="54">
        <v>62.4</v>
      </c>
      <c r="F21" s="54">
        <v>61.7</v>
      </c>
    </row>
    <row r="22" spans="2:6" ht="20.45" customHeight="1" x14ac:dyDescent="0.25">
      <c r="B22" s="7">
        <f t="shared" si="0"/>
        <v>48</v>
      </c>
      <c r="C22" s="18">
        <v>60</v>
      </c>
      <c r="D22" s="141" t="s">
        <v>148</v>
      </c>
      <c r="E22" s="54">
        <v>98.8</v>
      </c>
      <c r="F22" s="54">
        <v>100.2</v>
      </c>
    </row>
    <row r="23" spans="2:6" ht="20.45" customHeight="1" x14ac:dyDescent="0.25">
      <c r="B23" s="7">
        <f t="shared" si="0"/>
        <v>49</v>
      </c>
      <c r="C23" s="18">
        <v>61</v>
      </c>
      <c r="D23" s="141" t="s">
        <v>147</v>
      </c>
      <c r="E23" s="54">
        <v>100.4</v>
      </c>
      <c r="F23" s="54">
        <v>100.4</v>
      </c>
    </row>
    <row r="24" spans="2:6" ht="20.45" customHeight="1" x14ac:dyDescent="0.25">
      <c r="B24" s="7">
        <f t="shared" si="0"/>
        <v>50</v>
      </c>
      <c r="C24" s="18">
        <v>61</v>
      </c>
      <c r="D24" s="141" t="s">
        <v>147</v>
      </c>
      <c r="E24" s="54">
        <v>107.3</v>
      </c>
      <c r="F24" s="54">
        <v>108.9</v>
      </c>
    </row>
    <row r="25" spans="2:6" ht="20.45" customHeight="1" x14ac:dyDescent="0.25">
      <c r="B25" s="7">
        <f t="shared" si="0"/>
        <v>51</v>
      </c>
      <c r="C25" s="18">
        <v>61</v>
      </c>
      <c r="D25" s="141" t="s">
        <v>147</v>
      </c>
      <c r="E25" s="54">
        <v>104.3</v>
      </c>
      <c r="F25" s="54">
        <v>104.8</v>
      </c>
    </row>
    <row r="26" spans="2:6" ht="20.45" customHeight="1" x14ac:dyDescent="0.25">
      <c r="B26" s="7">
        <f t="shared" si="0"/>
        <v>52</v>
      </c>
      <c r="C26" s="18">
        <v>61</v>
      </c>
      <c r="D26" s="141" t="s">
        <v>147</v>
      </c>
      <c r="E26" s="54">
        <v>121.9</v>
      </c>
      <c r="F26" s="54">
        <v>122</v>
      </c>
    </row>
    <row r="27" spans="2:6" ht="20.45" customHeight="1" x14ac:dyDescent="0.25">
      <c r="B27" s="7">
        <f t="shared" si="0"/>
        <v>53</v>
      </c>
      <c r="C27" s="18">
        <v>61</v>
      </c>
      <c r="D27" s="141" t="s">
        <v>147</v>
      </c>
      <c r="E27" s="54">
        <v>107.3</v>
      </c>
      <c r="F27" s="54">
        <v>105.8</v>
      </c>
    </row>
    <row r="28" spans="2:6" ht="20.45" customHeight="1" x14ac:dyDescent="0.25">
      <c r="B28" s="7">
        <f t="shared" si="0"/>
        <v>54</v>
      </c>
      <c r="C28" s="18">
        <v>61</v>
      </c>
      <c r="D28" s="141" t="s">
        <v>147</v>
      </c>
      <c r="E28" s="54">
        <v>104.2</v>
      </c>
      <c r="F28" s="54">
        <v>104</v>
      </c>
    </row>
    <row r="29" spans="2:6" ht="20.45" customHeight="1" x14ac:dyDescent="0.25">
      <c r="B29" s="7">
        <f t="shared" si="0"/>
        <v>55</v>
      </c>
      <c r="C29" s="18">
        <v>61</v>
      </c>
      <c r="D29" s="141" t="s">
        <v>143</v>
      </c>
      <c r="E29" s="54">
        <v>102.4</v>
      </c>
      <c r="F29" s="54">
        <v>101.4</v>
      </c>
    </row>
    <row r="30" spans="2:6" ht="20.45" customHeight="1" x14ac:dyDescent="0.25">
      <c r="B30" s="7">
        <f t="shared" si="0"/>
        <v>56</v>
      </c>
      <c r="C30" s="18">
        <v>61</v>
      </c>
      <c r="D30" s="141" t="s">
        <v>147</v>
      </c>
      <c r="E30" s="54">
        <v>104.6</v>
      </c>
      <c r="F30" s="54">
        <v>104.7</v>
      </c>
    </row>
    <row r="31" spans="2:6" ht="20.45" customHeight="1" x14ac:dyDescent="0.25">
      <c r="B31" s="7">
        <f t="shared" si="0"/>
        <v>57</v>
      </c>
      <c r="C31" s="18">
        <v>61</v>
      </c>
      <c r="D31" s="141" t="s">
        <v>147</v>
      </c>
      <c r="E31" s="54">
        <v>101.5</v>
      </c>
      <c r="F31" s="54">
        <v>102.1</v>
      </c>
    </row>
    <row r="32" spans="2:6" ht="20.45" customHeight="1" x14ac:dyDescent="0.25">
      <c r="B32" s="7">
        <f t="shared" si="0"/>
        <v>58</v>
      </c>
      <c r="C32" s="18">
        <v>61</v>
      </c>
      <c r="D32" s="141" t="s">
        <v>147</v>
      </c>
      <c r="E32" s="54">
        <v>97.4</v>
      </c>
      <c r="F32" s="54">
        <v>98.1</v>
      </c>
    </row>
    <row r="33" spans="2:6" ht="20.45" customHeight="1" x14ac:dyDescent="0.25">
      <c r="B33" s="7">
        <f t="shared" si="0"/>
        <v>59</v>
      </c>
      <c r="C33" s="18">
        <v>61</v>
      </c>
      <c r="D33" s="141" t="s">
        <v>147</v>
      </c>
      <c r="E33" s="54">
        <v>105.4</v>
      </c>
      <c r="F33" s="54">
        <v>106.6</v>
      </c>
    </row>
    <row r="34" spans="2:6" ht="20.45" customHeight="1" thickBot="1" x14ac:dyDescent="0.3">
      <c r="B34" s="8">
        <f t="shared" si="0"/>
        <v>60</v>
      </c>
      <c r="C34" s="18">
        <v>61</v>
      </c>
      <c r="D34" s="142" t="s">
        <v>147</v>
      </c>
      <c r="E34" s="56">
        <v>90.2</v>
      </c>
      <c r="F34" s="56">
        <v>89.7</v>
      </c>
    </row>
    <row r="35" spans="2:6" ht="20.45" customHeight="1" x14ac:dyDescent="0.25"/>
    <row r="36" spans="2:6" x14ac:dyDescent="0.25">
      <c r="B36" s="29" t="s">
        <v>49</v>
      </c>
      <c r="C36" s="31" t="s">
        <v>34</v>
      </c>
      <c r="D36" s="30" t="s">
        <v>50</v>
      </c>
      <c r="E36" s="31" t="s">
        <v>34</v>
      </c>
      <c r="F36" s="30" t="s">
        <v>50</v>
      </c>
    </row>
    <row r="37" spans="2:6" x14ac:dyDescent="0.25">
      <c r="B37" s="29">
        <v>60</v>
      </c>
      <c r="C37" s="31">
        <v>25</v>
      </c>
      <c r="D37" s="31" t="s">
        <v>81</v>
      </c>
      <c r="E37" s="30">
        <v>3</v>
      </c>
      <c r="F37" s="30" t="s">
        <v>82</v>
      </c>
    </row>
    <row r="38" spans="2:6" x14ac:dyDescent="0.25">
      <c r="B38" s="29">
        <v>61</v>
      </c>
      <c r="C38" s="31">
        <v>17</v>
      </c>
      <c r="D38" s="31" t="s">
        <v>83</v>
      </c>
      <c r="E38" s="30">
        <v>3</v>
      </c>
      <c r="F38" s="30" t="s">
        <v>82</v>
      </c>
    </row>
    <row r="39" spans="2:6" x14ac:dyDescent="0.25">
      <c r="B39" s="29"/>
      <c r="C39" s="31"/>
      <c r="D39" s="31"/>
      <c r="E39" s="30"/>
      <c r="F39" s="30"/>
    </row>
  </sheetData>
  <mergeCells count="2">
    <mergeCell ref="B2:D3"/>
    <mergeCell ref="E2:F2"/>
  </mergeCells>
  <pageMargins left="0.31496062992125984" right="0.31496062992125984" top="0.74803149606299213" bottom="0.74803149606299213" header="0.31496062992125984" footer="0.31496062992125984"/>
  <pageSetup paperSize="9" scale="9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zoomScaleNormal="100" workbookViewId="0">
      <selection activeCell="D5" sqref="D5:D12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3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187"/>
      <c r="C2" s="188"/>
      <c r="D2" s="189"/>
      <c r="E2" s="185" t="s">
        <v>4</v>
      </c>
      <c r="F2" s="186"/>
    </row>
    <row r="3" spans="2:9" ht="18" customHeight="1" thickBot="1" x14ac:dyDescent="0.3">
      <c r="B3" s="190"/>
      <c r="C3" s="191"/>
      <c r="D3" s="192"/>
      <c r="E3" s="58" t="s">
        <v>45</v>
      </c>
      <c r="F3" s="52">
        <f>+'ROMANEO (2)'!F3</f>
        <v>46059</v>
      </c>
    </row>
    <row r="4" spans="2:9" ht="15.75" thickBot="1" x14ac:dyDescent="0.3">
      <c r="B4" s="3" t="s">
        <v>0</v>
      </c>
      <c r="C4" s="3" t="s">
        <v>1</v>
      </c>
      <c r="D4" s="4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6">
        <v>61</v>
      </c>
      <c r="C5" s="18">
        <v>61</v>
      </c>
      <c r="D5" s="140" t="s">
        <v>147</v>
      </c>
      <c r="E5" s="53">
        <v>92.6</v>
      </c>
      <c r="F5" s="53">
        <v>93.6</v>
      </c>
    </row>
    <row r="6" spans="2:9" ht="20.45" customHeight="1" x14ac:dyDescent="0.25">
      <c r="B6" s="7">
        <f>+B5+1</f>
        <v>62</v>
      </c>
      <c r="C6" s="15">
        <v>61</v>
      </c>
      <c r="D6" s="141" t="s">
        <v>147</v>
      </c>
      <c r="E6" s="54">
        <v>96.5</v>
      </c>
      <c r="F6" s="54">
        <v>97.3</v>
      </c>
    </row>
    <row r="7" spans="2:9" ht="20.45" customHeight="1" x14ac:dyDescent="0.25">
      <c r="B7" s="7">
        <f t="shared" ref="B7:B34" si="0">+B6+1</f>
        <v>63</v>
      </c>
      <c r="C7" s="15">
        <v>61</v>
      </c>
      <c r="D7" s="141" t="s">
        <v>147</v>
      </c>
      <c r="E7" s="54">
        <v>122.9</v>
      </c>
      <c r="F7" s="54">
        <v>122.9</v>
      </c>
    </row>
    <row r="8" spans="2:9" ht="20.45" customHeight="1" x14ac:dyDescent="0.25">
      <c r="B8" s="7">
        <f t="shared" si="0"/>
        <v>64</v>
      </c>
      <c r="C8" s="15">
        <v>61</v>
      </c>
      <c r="D8" s="141" t="s">
        <v>147</v>
      </c>
      <c r="E8" s="54">
        <v>107.6</v>
      </c>
      <c r="F8" s="54">
        <v>107.8</v>
      </c>
    </row>
    <row r="9" spans="2:9" ht="20.45" customHeight="1" x14ac:dyDescent="0.25">
      <c r="B9" s="7">
        <f t="shared" si="0"/>
        <v>65</v>
      </c>
      <c r="C9" s="15">
        <v>61</v>
      </c>
      <c r="D9" s="141" t="s">
        <v>147</v>
      </c>
      <c r="E9" s="54">
        <v>88.7</v>
      </c>
      <c r="F9" s="54">
        <v>89.4</v>
      </c>
    </row>
    <row r="10" spans="2:9" ht="20.45" customHeight="1" x14ac:dyDescent="0.25">
      <c r="B10" s="7">
        <f t="shared" si="0"/>
        <v>66</v>
      </c>
      <c r="C10" s="15">
        <v>61</v>
      </c>
      <c r="D10" s="141" t="s">
        <v>143</v>
      </c>
      <c r="E10" s="54">
        <v>89.6</v>
      </c>
      <c r="F10" s="54">
        <v>89.3</v>
      </c>
    </row>
    <row r="11" spans="2:9" ht="20.45" customHeight="1" x14ac:dyDescent="0.25">
      <c r="B11" s="7">
        <f t="shared" si="0"/>
        <v>67</v>
      </c>
      <c r="C11" s="15">
        <v>61</v>
      </c>
      <c r="D11" s="141" t="s">
        <v>143</v>
      </c>
      <c r="E11" s="54">
        <v>82.7</v>
      </c>
      <c r="F11" s="54">
        <v>82.4</v>
      </c>
    </row>
    <row r="12" spans="2:9" ht="20.45" customHeight="1" x14ac:dyDescent="0.25">
      <c r="B12" s="7">
        <f t="shared" si="0"/>
        <v>68</v>
      </c>
      <c r="C12" s="15">
        <v>61</v>
      </c>
      <c r="D12" s="141" t="s">
        <v>147</v>
      </c>
      <c r="E12" s="54">
        <v>106.9</v>
      </c>
      <c r="F12" s="54">
        <v>108.6</v>
      </c>
    </row>
    <row r="13" spans="2:9" ht="20.45" customHeight="1" x14ac:dyDescent="0.25">
      <c r="B13" s="7">
        <f t="shared" si="0"/>
        <v>69</v>
      </c>
      <c r="C13" s="15">
        <v>62</v>
      </c>
      <c r="D13" s="141" t="s">
        <v>147</v>
      </c>
      <c r="E13" s="54">
        <v>94.5</v>
      </c>
      <c r="F13" s="54">
        <v>95.2</v>
      </c>
    </row>
    <row r="14" spans="2:9" ht="20.45" customHeight="1" x14ac:dyDescent="0.25">
      <c r="B14" s="7">
        <f t="shared" si="0"/>
        <v>70</v>
      </c>
      <c r="C14" s="15"/>
      <c r="D14" s="16"/>
      <c r="E14" s="54"/>
      <c r="F14" s="54"/>
    </row>
    <row r="15" spans="2:9" ht="20.45" customHeight="1" x14ac:dyDescent="0.25">
      <c r="B15" s="7">
        <f t="shared" si="0"/>
        <v>71</v>
      </c>
      <c r="C15" s="15"/>
      <c r="D15" s="16"/>
      <c r="E15" s="55"/>
      <c r="F15" s="55"/>
    </row>
    <row r="16" spans="2:9" ht="20.45" customHeight="1" x14ac:dyDescent="0.25">
      <c r="B16" s="7">
        <f t="shared" si="0"/>
        <v>72</v>
      </c>
      <c r="C16" s="15"/>
      <c r="D16" s="16"/>
      <c r="E16" s="55"/>
      <c r="F16" s="55"/>
    </row>
    <row r="17" spans="2:6" ht="20.45" customHeight="1" x14ac:dyDescent="0.25">
      <c r="B17" s="7">
        <f t="shared" si="0"/>
        <v>73</v>
      </c>
      <c r="C17" s="15"/>
      <c r="D17" s="16"/>
      <c r="E17" s="54"/>
      <c r="F17" s="54"/>
    </row>
    <row r="18" spans="2:6" ht="20.45" customHeight="1" x14ac:dyDescent="0.25">
      <c r="B18" s="7">
        <f t="shared" si="0"/>
        <v>74</v>
      </c>
      <c r="C18" s="15"/>
      <c r="D18" s="16"/>
      <c r="E18" s="54"/>
      <c r="F18" s="54"/>
    </row>
    <row r="19" spans="2:6" ht="20.45" customHeight="1" x14ac:dyDescent="0.25">
      <c r="B19" s="7">
        <f t="shared" si="0"/>
        <v>75</v>
      </c>
      <c r="C19" s="15"/>
      <c r="D19" s="16"/>
      <c r="E19" s="54"/>
      <c r="F19" s="54"/>
    </row>
    <row r="20" spans="2:6" ht="20.45" customHeight="1" x14ac:dyDescent="0.25">
      <c r="B20" s="7">
        <f t="shared" si="0"/>
        <v>76</v>
      </c>
      <c r="C20" s="15"/>
      <c r="D20" s="16"/>
      <c r="E20" s="54"/>
      <c r="F20" s="54"/>
    </row>
    <row r="21" spans="2:6" ht="20.45" customHeight="1" x14ac:dyDescent="0.25">
      <c r="B21" s="7">
        <f t="shared" si="0"/>
        <v>77</v>
      </c>
      <c r="C21" s="15"/>
      <c r="D21" s="16"/>
      <c r="E21" s="54"/>
      <c r="F21" s="54"/>
    </row>
    <row r="22" spans="2:6" ht="20.45" customHeight="1" x14ac:dyDescent="0.25">
      <c r="B22" s="7">
        <f t="shared" si="0"/>
        <v>78</v>
      </c>
      <c r="C22" s="15"/>
      <c r="D22" s="16"/>
      <c r="E22" s="54"/>
      <c r="F22" s="54"/>
    </row>
    <row r="23" spans="2:6" ht="20.45" customHeight="1" x14ac:dyDescent="0.25">
      <c r="B23" s="7">
        <f t="shared" si="0"/>
        <v>79</v>
      </c>
      <c r="C23" s="15"/>
      <c r="D23" s="16"/>
      <c r="E23" s="54"/>
      <c r="F23" s="54"/>
    </row>
    <row r="24" spans="2:6" ht="20.45" customHeight="1" x14ac:dyDescent="0.25">
      <c r="B24" s="7">
        <f t="shared" si="0"/>
        <v>80</v>
      </c>
      <c r="C24" s="15"/>
      <c r="D24" s="16"/>
      <c r="E24" s="54"/>
      <c r="F24" s="54"/>
    </row>
    <row r="25" spans="2:6" ht="20.45" customHeight="1" x14ac:dyDescent="0.25">
      <c r="B25" s="7">
        <f t="shared" si="0"/>
        <v>81</v>
      </c>
      <c r="C25" s="15"/>
      <c r="D25" s="16"/>
      <c r="E25" s="54"/>
      <c r="F25" s="54"/>
    </row>
    <row r="26" spans="2:6" ht="20.45" customHeight="1" x14ac:dyDescent="0.25">
      <c r="B26" s="7">
        <f t="shared" si="0"/>
        <v>82</v>
      </c>
      <c r="C26" s="15"/>
      <c r="D26" s="16"/>
      <c r="E26" s="54"/>
      <c r="F26" s="54"/>
    </row>
    <row r="27" spans="2:6" ht="20.45" customHeight="1" x14ac:dyDescent="0.25">
      <c r="B27" s="7">
        <f t="shared" si="0"/>
        <v>83</v>
      </c>
      <c r="C27" s="15"/>
      <c r="D27" s="16"/>
      <c r="E27" s="54"/>
      <c r="F27" s="54"/>
    </row>
    <row r="28" spans="2:6" ht="20.45" customHeight="1" x14ac:dyDescent="0.25">
      <c r="B28" s="7">
        <f t="shared" si="0"/>
        <v>84</v>
      </c>
      <c r="C28" s="15"/>
      <c r="D28" s="16"/>
      <c r="E28" s="54"/>
      <c r="F28" s="54"/>
    </row>
    <row r="29" spans="2:6" ht="20.45" customHeight="1" x14ac:dyDescent="0.25">
      <c r="B29" s="7">
        <f t="shared" si="0"/>
        <v>85</v>
      </c>
      <c r="C29" s="15"/>
      <c r="D29" s="16"/>
      <c r="E29" s="54"/>
      <c r="F29" s="54"/>
    </row>
    <row r="30" spans="2:6" ht="20.45" customHeight="1" x14ac:dyDescent="0.25">
      <c r="B30" s="7">
        <f t="shared" si="0"/>
        <v>86</v>
      </c>
      <c r="C30" s="15"/>
      <c r="D30" s="16"/>
      <c r="E30" s="54"/>
      <c r="F30" s="54"/>
    </row>
    <row r="31" spans="2:6" ht="20.45" customHeight="1" x14ac:dyDescent="0.25">
      <c r="B31" s="7">
        <f t="shared" si="0"/>
        <v>87</v>
      </c>
      <c r="C31" s="15"/>
      <c r="D31" s="16"/>
      <c r="E31" s="54"/>
      <c r="F31" s="54"/>
    </row>
    <row r="32" spans="2:6" ht="20.45" customHeight="1" x14ac:dyDescent="0.25">
      <c r="B32" s="7">
        <f t="shared" si="0"/>
        <v>88</v>
      </c>
      <c r="C32" s="15"/>
      <c r="D32" s="16"/>
      <c r="E32" s="54"/>
      <c r="F32" s="54"/>
    </row>
    <row r="33" spans="2:6" ht="20.45" customHeight="1" x14ac:dyDescent="0.25">
      <c r="B33" s="7">
        <f t="shared" si="0"/>
        <v>89</v>
      </c>
      <c r="C33" s="15"/>
      <c r="D33" s="16"/>
      <c r="E33" s="54"/>
      <c r="F33" s="54"/>
    </row>
    <row r="34" spans="2:6" ht="20.45" customHeight="1" thickBot="1" x14ac:dyDescent="0.3">
      <c r="B34" s="8">
        <f t="shared" si="0"/>
        <v>90</v>
      </c>
      <c r="C34" s="17"/>
      <c r="D34" s="128"/>
      <c r="E34" s="56"/>
      <c r="F34" s="56"/>
    </row>
    <row r="35" spans="2:6" ht="20.45" customHeight="1" x14ac:dyDescent="0.25"/>
    <row r="36" spans="2:6" x14ac:dyDescent="0.25">
      <c r="B36" s="29" t="s">
        <v>49</v>
      </c>
      <c r="C36" s="31" t="s">
        <v>34</v>
      </c>
      <c r="D36" s="30" t="s">
        <v>50</v>
      </c>
      <c r="E36" s="31" t="s">
        <v>34</v>
      </c>
      <c r="F36" s="30" t="s">
        <v>50</v>
      </c>
    </row>
    <row r="37" spans="2:6" x14ac:dyDescent="0.25">
      <c r="B37" s="29">
        <v>61</v>
      </c>
      <c r="C37" s="31">
        <v>17</v>
      </c>
      <c r="D37" s="31" t="s">
        <v>83</v>
      </c>
      <c r="E37" s="30">
        <v>3</v>
      </c>
      <c r="F37" s="30" t="s">
        <v>82</v>
      </c>
    </row>
    <row r="38" spans="2:6" x14ac:dyDescent="0.25">
      <c r="B38" s="29"/>
      <c r="C38" s="31"/>
      <c r="D38" s="31"/>
      <c r="E38" s="30"/>
      <c r="F38" s="30"/>
    </row>
    <row r="39" spans="2:6" x14ac:dyDescent="0.25">
      <c r="B39" s="29"/>
      <c r="C39" s="31"/>
      <c r="D39" s="31"/>
      <c r="E39" s="30"/>
      <c r="F39" s="30"/>
    </row>
  </sheetData>
  <mergeCells count="2">
    <mergeCell ref="B2:D3"/>
    <mergeCell ref="E2:F2"/>
  </mergeCells>
  <pageMargins left="0.7" right="0.7" top="0.75" bottom="0.75" header="0.3" footer="0.3"/>
  <pageSetup scale="9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topLeftCell="A18" zoomScaleNormal="100" workbookViewId="0">
      <selection activeCell="E27" sqref="E27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3" customWidth="1"/>
    <col min="6" max="6" width="10.85546875" bestFit="1" customWidth="1"/>
    <col min="7" max="7" width="14.42578125" bestFit="1" customWidth="1"/>
    <col min="8" max="8" width="12.85546875" bestFit="1" customWidth="1"/>
  </cols>
  <sheetData>
    <row r="1" spans="2:8" ht="10.5" customHeight="1" thickBot="1" x14ac:dyDescent="0.3"/>
    <row r="2" spans="2:8" ht="33.75" customHeight="1" thickBot="1" x14ac:dyDescent="0.3">
      <c r="B2" s="187"/>
      <c r="C2" s="188"/>
      <c r="D2" s="189"/>
      <c r="E2" s="59" t="s">
        <v>4</v>
      </c>
    </row>
    <row r="3" spans="2:8" ht="18" customHeight="1" thickBot="1" x14ac:dyDescent="0.3">
      <c r="B3" s="190"/>
      <c r="C3" s="191"/>
      <c r="D3" s="192"/>
      <c r="E3" s="60" t="s">
        <v>84</v>
      </c>
    </row>
    <row r="4" spans="2:8" ht="15.75" thickBot="1" x14ac:dyDescent="0.3">
      <c r="B4" s="3" t="s">
        <v>42</v>
      </c>
      <c r="C4" s="3" t="s">
        <v>1</v>
      </c>
      <c r="D4" s="139" t="s">
        <v>14</v>
      </c>
      <c r="E4" s="5" t="s">
        <v>43</v>
      </c>
      <c r="F4" s="1"/>
      <c r="G4" s="1"/>
      <c r="H4" s="1"/>
    </row>
    <row r="5" spans="2:8" ht="20.45" customHeight="1" x14ac:dyDescent="0.25">
      <c r="B5" s="6">
        <v>1</v>
      </c>
      <c r="C5" s="18">
        <v>59</v>
      </c>
      <c r="D5" s="140" t="s">
        <v>144</v>
      </c>
      <c r="E5" s="53">
        <v>2</v>
      </c>
    </row>
    <row r="6" spans="2:8" ht="20.45" customHeight="1" x14ac:dyDescent="0.25">
      <c r="B6" s="7">
        <f>+B5+1</f>
        <v>2</v>
      </c>
      <c r="C6" s="18">
        <v>59</v>
      </c>
      <c r="D6" s="141" t="s">
        <v>143</v>
      </c>
      <c r="E6" s="54">
        <v>2</v>
      </c>
    </row>
    <row r="7" spans="2:8" ht="20.45" customHeight="1" x14ac:dyDescent="0.25">
      <c r="B7" s="7">
        <f t="shared" ref="B7:B33" si="0">+B6+1</f>
        <v>3</v>
      </c>
      <c r="C7" s="18">
        <v>59</v>
      </c>
      <c r="D7" s="141" t="s">
        <v>144</v>
      </c>
      <c r="E7" s="54">
        <v>2</v>
      </c>
    </row>
    <row r="8" spans="2:8" ht="20.45" customHeight="1" x14ac:dyDescent="0.25">
      <c r="B8" s="7">
        <f t="shared" si="0"/>
        <v>4</v>
      </c>
      <c r="C8" s="18">
        <v>59</v>
      </c>
      <c r="D8" s="141" t="s">
        <v>143</v>
      </c>
      <c r="E8" s="54">
        <v>2</v>
      </c>
    </row>
    <row r="9" spans="2:8" ht="20.45" customHeight="1" x14ac:dyDescent="0.25">
      <c r="B9" s="7">
        <f t="shared" si="0"/>
        <v>5</v>
      </c>
      <c r="C9" s="18">
        <v>59</v>
      </c>
      <c r="D9" s="141" t="s">
        <v>143</v>
      </c>
      <c r="E9" s="54">
        <v>2</v>
      </c>
    </row>
    <row r="10" spans="2:8" ht="20.45" customHeight="1" x14ac:dyDescent="0.25">
      <c r="B10" s="7">
        <f t="shared" si="0"/>
        <v>6</v>
      </c>
      <c r="C10" s="18">
        <v>59</v>
      </c>
      <c r="D10" s="141" t="s">
        <v>144</v>
      </c>
      <c r="E10" s="54">
        <v>2</v>
      </c>
    </row>
    <row r="11" spans="2:8" ht="20.45" customHeight="1" x14ac:dyDescent="0.25">
      <c r="B11" s="7">
        <f t="shared" si="0"/>
        <v>7</v>
      </c>
      <c r="C11" s="18">
        <v>59</v>
      </c>
      <c r="D11" s="141" t="s">
        <v>144</v>
      </c>
      <c r="E11" s="54">
        <v>2</v>
      </c>
    </row>
    <row r="12" spans="2:8" ht="20.45" customHeight="1" x14ac:dyDescent="0.25">
      <c r="B12" s="7">
        <f t="shared" si="0"/>
        <v>8</v>
      </c>
      <c r="C12" s="18">
        <v>59</v>
      </c>
      <c r="D12" s="141" t="s">
        <v>144</v>
      </c>
      <c r="E12" s="54">
        <v>2</v>
      </c>
    </row>
    <row r="13" spans="2:8" ht="20.45" customHeight="1" x14ac:dyDescent="0.25">
      <c r="B13" s="7">
        <f t="shared" si="0"/>
        <v>9</v>
      </c>
      <c r="C13" s="18">
        <v>59</v>
      </c>
      <c r="D13" s="141" t="s">
        <v>143</v>
      </c>
      <c r="E13" s="54">
        <v>2</v>
      </c>
    </row>
    <row r="14" spans="2:8" ht="20.45" customHeight="1" x14ac:dyDescent="0.25">
      <c r="B14" s="7">
        <f t="shared" si="0"/>
        <v>10</v>
      </c>
      <c r="C14" s="18">
        <v>59</v>
      </c>
      <c r="D14" s="141" t="s">
        <v>143</v>
      </c>
      <c r="E14" s="54">
        <v>2</v>
      </c>
    </row>
    <row r="15" spans="2:8" ht="20.45" customHeight="1" x14ac:dyDescent="0.25">
      <c r="B15" s="7">
        <f t="shared" si="0"/>
        <v>11</v>
      </c>
      <c r="C15" s="18">
        <v>59</v>
      </c>
      <c r="D15" s="141" t="s">
        <v>143</v>
      </c>
      <c r="E15" s="54">
        <v>2</v>
      </c>
    </row>
    <row r="16" spans="2:8" ht="20.45" customHeight="1" x14ac:dyDescent="0.25">
      <c r="B16" s="7">
        <f t="shared" si="0"/>
        <v>12</v>
      </c>
      <c r="C16" s="18">
        <v>59</v>
      </c>
      <c r="D16" s="141" t="s">
        <v>143</v>
      </c>
      <c r="E16" s="54">
        <v>2</v>
      </c>
    </row>
    <row r="17" spans="2:5" ht="20.45" customHeight="1" x14ac:dyDescent="0.25">
      <c r="B17" s="7">
        <f t="shared" si="0"/>
        <v>13</v>
      </c>
      <c r="C17" s="18">
        <v>59</v>
      </c>
      <c r="D17" s="141" t="s">
        <v>143</v>
      </c>
      <c r="E17" s="54">
        <v>2</v>
      </c>
    </row>
    <row r="18" spans="2:5" ht="20.45" customHeight="1" x14ac:dyDescent="0.25">
      <c r="B18" s="7">
        <f t="shared" si="0"/>
        <v>14</v>
      </c>
      <c r="C18" s="18">
        <v>59</v>
      </c>
      <c r="D18" s="141" t="s">
        <v>143</v>
      </c>
      <c r="E18" s="54">
        <v>2</v>
      </c>
    </row>
    <row r="19" spans="2:5" ht="20.45" customHeight="1" x14ac:dyDescent="0.25">
      <c r="B19" s="7">
        <f t="shared" si="0"/>
        <v>15</v>
      </c>
      <c r="C19" s="18">
        <v>59</v>
      </c>
      <c r="D19" s="141" t="s">
        <v>143</v>
      </c>
      <c r="E19" s="54">
        <v>2</v>
      </c>
    </row>
    <row r="20" spans="2:5" ht="20.45" customHeight="1" x14ac:dyDescent="0.25">
      <c r="B20" s="7">
        <f t="shared" si="0"/>
        <v>16</v>
      </c>
      <c r="C20" s="18">
        <v>59</v>
      </c>
      <c r="D20" s="141" t="s">
        <v>143</v>
      </c>
      <c r="E20" s="54">
        <v>2</v>
      </c>
    </row>
    <row r="21" spans="2:5" ht="20.45" customHeight="1" x14ac:dyDescent="0.25">
      <c r="B21" s="7">
        <f t="shared" si="0"/>
        <v>17</v>
      </c>
      <c r="C21" s="18">
        <v>59</v>
      </c>
      <c r="D21" s="141" t="s">
        <v>143</v>
      </c>
      <c r="E21" s="54">
        <v>2</v>
      </c>
    </row>
    <row r="22" spans="2:5" ht="20.45" customHeight="1" x14ac:dyDescent="0.25">
      <c r="B22" s="7">
        <f t="shared" si="0"/>
        <v>18</v>
      </c>
      <c r="C22" s="18">
        <v>59</v>
      </c>
      <c r="D22" s="141" t="s">
        <v>143</v>
      </c>
      <c r="E22" s="54">
        <v>2</v>
      </c>
    </row>
    <row r="23" spans="2:5" ht="20.45" customHeight="1" x14ac:dyDescent="0.25">
      <c r="B23" s="7">
        <f t="shared" si="0"/>
        <v>19</v>
      </c>
      <c r="C23" s="18">
        <v>59</v>
      </c>
      <c r="D23" s="141" t="s">
        <v>143</v>
      </c>
      <c r="E23" s="54">
        <v>2</v>
      </c>
    </row>
    <row r="24" spans="2:5" ht="20.45" customHeight="1" x14ac:dyDescent="0.25">
      <c r="B24" s="7">
        <f t="shared" si="0"/>
        <v>20</v>
      </c>
      <c r="C24" s="18">
        <v>59</v>
      </c>
      <c r="D24" s="141" t="s">
        <v>143</v>
      </c>
      <c r="E24" s="54">
        <v>2</v>
      </c>
    </row>
    <row r="25" spans="2:5" ht="20.45" customHeight="1" x14ac:dyDescent="0.25">
      <c r="B25" s="7">
        <f t="shared" si="0"/>
        <v>21</v>
      </c>
      <c r="C25" s="15">
        <v>60</v>
      </c>
      <c r="D25" s="141" t="s">
        <v>148</v>
      </c>
      <c r="E25" s="54">
        <v>2</v>
      </c>
    </row>
    <row r="26" spans="2:5" ht="20.45" customHeight="1" x14ac:dyDescent="0.25">
      <c r="B26" s="7">
        <f t="shared" si="0"/>
        <v>22</v>
      </c>
      <c r="C26" s="15">
        <v>60</v>
      </c>
      <c r="D26" s="141" t="s">
        <v>143</v>
      </c>
      <c r="E26" s="54">
        <v>2</v>
      </c>
    </row>
    <row r="27" spans="2:5" ht="20.45" customHeight="1" x14ac:dyDescent="0.25">
      <c r="B27" s="7">
        <f t="shared" si="0"/>
        <v>23</v>
      </c>
      <c r="C27" s="15">
        <v>60</v>
      </c>
      <c r="D27" s="141" t="s">
        <v>148</v>
      </c>
      <c r="E27" s="54">
        <v>2</v>
      </c>
    </row>
    <row r="28" spans="2:5" ht="20.45" customHeight="1" x14ac:dyDescent="0.25">
      <c r="B28" s="7">
        <f t="shared" si="0"/>
        <v>24</v>
      </c>
      <c r="C28" s="15">
        <v>60</v>
      </c>
      <c r="D28" s="141" t="s">
        <v>148</v>
      </c>
      <c r="E28" s="54">
        <v>4</v>
      </c>
    </row>
    <row r="29" spans="2:5" ht="20.45" customHeight="1" x14ac:dyDescent="0.25">
      <c r="B29" s="7">
        <f t="shared" si="0"/>
        <v>25</v>
      </c>
      <c r="C29" s="15">
        <v>60</v>
      </c>
      <c r="D29" s="141" t="s">
        <v>148</v>
      </c>
      <c r="E29" s="54">
        <v>2</v>
      </c>
    </row>
    <row r="30" spans="2:5" ht="20.45" customHeight="1" x14ac:dyDescent="0.25">
      <c r="B30" s="7">
        <f t="shared" si="0"/>
        <v>26</v>
      </c>
      <c r="C30" s="15">
        <v>60</v>
      </c>
      <c r="D30" s="141" t="s">
        <v>148</v>
      </c>
      <c r="E30" s="54">
        <v>2</v>
      </c>
    </row>
    <row r="31" spans="2:5" ht="20.45" customHeight="1" x14ac:dyDescent="0.25">
      <c r="B31" s="7">
        <f t="shared" si="0"/>
        <v>27</v>
      </c>
      <c r="C31" s="15">
        <v>60</v>
      </c>
      <c r="D31" s="141" t="s">
        <v>143</v>
      </c>
      <c r="E31" s="54">
        <v>2</v>
      </c>
    </row>
    <row r="32" spans="2:5" ht="20.45" customHeight="1" x14ac:dyDescent="0.25">
      <c r="B32" s="7">
        <f t="shared" si="0"/>
        <v>28</v>
      </c>
      <c r="C32" s="15">
        <v>60</v>
      </c>
      <c r="D32" s="141" t="s">
        <v>148</v>
      </c>
      <c r="E32" s="54">
        <v>2</v>
      </c>
    </row>
    <row r="33" spans="2:5" ht="20.45" customHeight="1" x14ac:dyDescent="0.25">
      <c r="B33" s="7">
        <f t="shared" si="0"/>
        <v>29</v>
      </c>
      <c r="C33" s="15">
        <v>60</v>
      </c>
      <c r="D33" s="141" t="s">
        <v>148</v>
      </c>
      <c r="E33" s="54">
        <v>2</v>
      </c>
    </row>
    <row r="34" spans="2:5" ht="20.45" customHeight="1" thickBot="1" x14ac:dyDescent="0.3">
      <c r="B34" s="8">
        <f>+B33+1</f>
        <v>30</v>
      </c>
      <c r="C34" s="15">
        <v>60</v>
      </c>
      <c r="D34" s="142" t="s">
        <v>143</v>
      </c>
      <c r="E34" s="56">
        <v>2</v>
      </c>
    </row>
    <row r="35" spans="2:5" ht="20.45" customHeight="1" x14ac:dyDescent="0.25"/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5"/>
  <sheetViews>
    <sheetView topLeftCell="A18" zoomScaleNormal="100" workbookViewId="0">
      <selection activeCell="D5" sqref="D5:D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3" customWidth="1"/>
    <col min="6" max="6" width="14.42578125" bestFit="1" customWidth="1"/>
    <col min="7" max="7" width="12.85546875" bestFit="1" customWidth="1"/>
  </cols>
  <sheetData>
    <row r="1" spans="2:7" ht="10.5" customHeight="1" thickBot="1" x14ac:dyDescent="0.3"/>
    <row r="2" spans="2:7" ht="33.75" customHeight="1" thickBot="1" x14ac:dyDescent="0.3">
      <c r="B2" s="187"/>
      <c r="C2" s="188"/>
      <c r="D2" s="189"/>
      <c r="E2" s="59" t="s">
        <v>4</v>
      </c>
    </row>
    <row r="3" spans="2:7" ht="18" customHeight="1" thickBot="1" x14ac:dyDescent="0.3">
      <c r="B3" s="190"/>
      <c r="C3" s="191"/>
      <c r="D3" s="192"/>
      <c r="E3" s="60" t="s">
        <v>53</v>
      </c>
    </row>
    <row r="4" spans="2:7" ht="15.75" thickBot="1" x14ac:dyDescent="0.3">
      <c r="B4" s="3" t="s">
        <v>42</v>
      </c>
      <c r="C4" s="3" t="s">
        <v>1</v>
      </c>
      <c r="D4" s="139" t="s">
        <v>14</v>
      </c>
      <c r="E4" s="5" t="s">
        <v>43</v>
      </c>
      <c r="F4" s="1"/>
      <c r="G4" s="1"/>
    </row>
    <row r="5" spans="2:7" ht="20.45" customHeight="1" x14ac:dyDescent="0.25">
      <c r="B5" s="6">
        <v>31</v>
      </c>
      <c r="C5" s="18">
        <v>60</v>
      </c>
      <c r="D5" s="140" t="s">
        <v>148</v>
      </c>
      <c r="E5" s="53">
        <v>2</v>
      </c>
    </row>
    <row r="6" spans="2:7" ht="20.45" customHeight="1" x14ac:dyDescent="0.25">
      <c r="B6" s="7">
        <f>+B5+1</f>
        <v>32</v>
      </c>
      <c r="C6" s="18">
        <v>60</v>
      </c>
      <c r="D6" s="141" t="s">
        <v>148</v>
      </c>
      <c r="E6" s="54">
        <v>2</v>
      </c>
    </row>
    <row r="7" spans="2:7" ht="20.45" customHeight="1" x14ac:dyDescent="0.25">
      <c r="B7" s="7">
        <f t="shared" ref="B7:B33" si="0">+B6+1</f>
        <v>33</v>
      </c>
      <c r="C7" s="18">
        <v>60</v>
      </c>
      <c r="D7" s="141" t="s">
        <v>148</v>
      </c>
      <c r="E7" s="54">
        <v>2</v>
      </c>
    </row>
    <row r="8" spans="2:7" ht="20.45" customHeight="1" x14ac:dyDescent="0.25">
      <c r="B8" s="7">
        <f t="shared" si="0"/>
        <v>34</v>
      </c>
      <c r="C8" s="18">
        <v>60</v>
      </c>
      <c r="D8" s="141" t="s">
        <v>148</v>
      </c>
      <c r="E8" s="54">
        <v>2</v>
      </c>
    </row>
    <row r="9" spans="2:7" ht="20.45" customHeight="1" x14ac:dyDescent="0.25">
      <c r="B9" s="7">
        <f t="shared" si="0"/>
        <v>35</v>
      </c>
      <c r="C9" s="18">
        <v>60</v>
      </c>
      <c r="D9" s="141" t="s">
        <v>148</v>
      </c>
      <c r="E9" s="54">
        <v>4</v>
      </c>
    </row>
    <row r="10" spans="2:7" ht="20.45" customHeight="1" x14ac:dyDescent="0.25">
      <c r="B10" s="7">
        <f t="shared" si="0"/>
        <v>36</v>
      </c>
      <c r="C10" s="18">
        <v>60</v>
      </c>
      <c r="D10" s="141" t="s">
        <v>148</v>
      </c>
      <c r="E10" s="54">
        <v>2</v>
      </c>
    </row>
    <row r="11" spans="2:7" ht="20.45" customHeight="1" x14ac:dyDescent="0.25">
      <c r="B11" s="7">
        <f t="shared" si="0"/>
        <v>37</v>
      </c>
      <c r="C11" s="18">
        <v>60</v>
      </c>
      <c r="D11" s="141" t="s">
        <v>148</v>
      </c>
      <c r="E11" s="54">
        <v>2</v>
      </c>
    </row>
    <row r="12" spans="2:7" ht="20.45" customHeight="1" x14ac:dyDescent="0.25">
      <c r="B12" s="7">
        <f t="shared" si="0"/>
        <v>38</v>
      </c>
      <c r="C12" s="18">
        <v>60</v>
      </c>
      <c r="D12" s="141" t="s">
        <v>148</v>
      </c>
      <c r="E12" s="54">
        <v>2</v>
      </c>
    </row>
    <row r="13" spans="2:7" ht="20.45" customHeight="1" x14ac:dyDescent="0.25">
      <c r="B13" s="7">
        <f t="shared" si="0"/>
        <v>39</v>
      </c>
      <c r="C13" s="18">
        <v>60</v>
      </c>
      <c r="D13" s="141" t="s">
        <v>148</v>
      </c>
      <c r="E13" s="54">
        <v>4</v>
      </c>
    </row>
    <row r="14" spans="2:7" ht="20.45" customHeight="1" x14ac:dyDescent="0.25">
      <c r="B14" s="7">
        <f t="shared" si="0"/>
        <v>40</v>
      </c>
      <c r="C14" s="18">
        <v>60</v>
      </c>
      <c r="D14" s="141" t="s">
        <v>148</v>
      </c>
      <c r="E14" s="54">
        <v>2</v>
      </c>
    </row>
    <row r="15" spans="2:7" ht="20.45" customHeight="1" x14ac:dyDescent="0.25">
      <c r="B15" s="7">
        <f t="shared" si="0"/>
        <v>41</v>
      </c>
      <c r="C15" s="18">
        <v>60</v>
      </c>
      <c r="D15" s="141" t="s">
        <v>148</v>
      </c>
      <c r="E15" s="55">
        <v>2</v>
      </c>
    </row>
    <row r="16" spans="2:7" ht="20.45" customHeight="1" x14ac:dyDescent="0.25">
      <c r="B16" s="7">
        <f t="shared" si="0"/>
        <v>42</v>
      </c>
      <c r="C16" s="18">
        <v>60</v>
      </c>
      <c r="D16" s="141" t="s">
        <v>148</v>
      </c>
      <c r="E16" s="55">
        <v>2</v>
      </c>
    </row>
    <row r="17" spans="2:5" ht="20.45" customHeight="1" x14ac:dyDescent="0.25">
      <c r="B17" s="7">
        <f t="shared" si="0"/>
        <v>43</v>
      </c>
      <c r="C17" s="18">
        <v>60</v>
      </c>
      <c r="D17" s="141" t="s">
        <v>148</v>
      </c>
      <c r="E17" s="54">
        <v>2</v>
      </c>
    </row>
    <row r="18" spans="2:5" ht="20.45" customHeight="1" x14ac:dyDescent="0.25">
      <c r="B18" s="7">
        <f t="shared" si="0"/>
        <v>44</v>
      </c>
      <c r="C18" s="18">
        <v>60</v>
      </c>
      <c r="D18" s="141" t="s">
        <v>148</v>
      </c>
      <c r="E18" s="54">
        <v>2</v>
      </c>
    </row>
    <row r="19" spans="2:5" ht="20.45" customHeight="1" x14ac:dyDescent="0.25">
      <c r="B19" s="7">
        <f t="shared" si="0"/>
        <v>45</v>
      </c>
      <c r="C19" s="18">
        <v>60</v>
      </c>
      <c r="D19" s="141" t="s">
        <v>148</v>
      </c>
      <c r="E19" s="54">
        <v>2</v>
      </c>
    </row>
    <row r="20" spans="2:5" ht="20.45" customHeight="1" x14ac:dyDescent="0.25">
      <c r="B20" s="7">
        <f t="shared" si="0"/>
        <v>46</v>
      </c>
      <c r="C20" s="18">
        <v>60</v>
      </c>
      <c r="D20" s="141" t="s">
        <v>148</v>
      </c>
      <c r="E20" s="54">
        <v>2</v>
      </c>
    </row>
    <row r="21" spans="2:5" ht="20.45" customHeight="1" x14ac:dyDescent="0.25">
      <c r="B21" s="7">
        <f t="shared" si="0"/>
        <v>47</v>
      </c>
      <c r="C21" s="18">
        <v>60</v>
      </c>
      <c r="D21" s="141" t="s">
        <v>148</v>
      </c>
      <c r="E21" s="54">
        <v>2</v>
      </c>
    </row>
    <row r="22" spans="2:5" ht="20.45" customHeight="1" x14ac:dyDescent="0.25">
      <c r="B22" s="7">
        <f t="shared" si="0"/>
        <v>48</v>
      </c>
      <c r="C22" s="18">
        <v>60</v>
      </c>
      <c r="D22" s="141" t="s">
        <v>148</v>
      </c>
      <c r="E22" s="54">
        <v>2</v>
      </c>
    </row>
    <row r="23" spans="2:5" ht="20.45" customHeight="1" x14ac:dyDescent="0.25">
      <c r="B23" s="7">
        <f t="shared" si="0"/>
        <v>49</v>
      </c>
      <c r="C23" s="18">
        <v>61</v>
      </c>
      <c r="D23" s="141" t="s">
        <v>147</v>
      </c>
      <c r="E23" s="54">
        <v>2</v>
      </c>
    </row>
    <row r="24" spans="2:5" ht="20.45" customHeight="1" x14ac:dyDescent="0.25">
      <c r="B24" s="7">
        <f t="shared" si="0"/>
        <v>50</v>
      </c>
      <c r="C24" s="18">
        <v>61</v>
      </c>
      <c r="D24" s="141" t="s">
        <v>147</v>
      </c>
      <c r="E24" s="54">
        <v>6</v>
      </c>
    </row>
    <row r="25" spans="2:5" ht="20.45" customHeight="1" x14ac:dyDescent="0.25">
      <c r="B25" s="7">
        <f t="shared" si="0"/>
        <v>51</v>
      </c>
      <c r="C25" s="18">
        <v>61</v>
      </c>
      <c r="D25" s="141" t="s">
        <v>147</v>
      </c>
      <c r="E25" s="54">
        <v>2</v>
      </c>
    </row>
    <row r="26" spans="2:5" ht="20.45" customHeight="1" x14ac:dyDescent="0.25">
      <c r="B26" s="7">
        <f t="shared" si="0"/>
        <v>52</v>
      </c>
      <c r="C26" s="18">
        <v>61</v>
      </c>
      <c r="D26" s="141" t="s">
        <v>147</v>
      </c>
      <c r="E26" s="54">
        <v>4</v>
      </c>
    </row>
    <row r="27" spans="2:5" ht="20.45" customHeight="1" x14ac:dyDescent="0.25">
      <c r="B27" s="7">
        <f t="shared" si="0"/>
        <v>53</v>
      </c>
      <c r="C27" s="18">
        <v>61</v>
      </c>
      <c r="D27" s="141" t="s">
        <v>147</v>
      </c>
      <c r="E27" s="54">
        <v>2</v>
      </c>
    </row>
    <row r="28" spans="2:5" ht="20.45" customHeight="1" x14ac:dyDescent="0.25">
      <c r="B28" s="7">
        <f t="shared" si="0"/>
        <v>54</v>
      </c>
      <c r="C28" s="18">
        <v>61</v>
      </c>
      <c r="D28" s="141" t="s">
        <v>147</v>
      </c>
      <c r="E28" s="54">
        <v>2</v>
      </c>
    </row>
    <row r="29" spans="2:5" ht="20.45" customHeight="1" x14ac:dyDescent="0.25">
      <c r="B29" s="7">
        <f t="shared" si="0"/>
        <v>55</v>
      </c>
      <c r="C29" s="18">
        <v>61</v>
      </c>
      <c r="D29" s="141" t="s">
        <v>143</v>
      </c>
      <c r="E29" s="54">
        <v>2</v>
      </c>
    </row>
    <row r="30" spans="2:5" ht="20.45" customHeight="1" x14ac:dyDescent="0.25">
      <c r="B30" s="7">
        <f t="shared" si="0"/>
        <v>56</v>
      </c>
      <c r="C30" s="18">
        <v>61</v>
      </c>
      <c r="D30" s="141" t="s">
        <v>147</v>
      </c>
      <c r="E30" s="54">
        <v>2</v>
      </c>
    </row>
    <row r="31" spans="2:5" ht="20.45" customHeight="1" x14ac:dyDescent="0.25">
      <c r="B31" s="7">
        <f t="shared" si="0"/>
        <v>57</v>
      </c>
      <c r="C31" s="18">
        <v>61</v>
      </c>
      <c r="D31" s="141" t="s">
        <v>147</v>
      </c>
      <c r="E31" s="54">
        <v>2</v>
      </c>
    </row>
    <row r="32" spans="2:5" ht="20.45" customHeight="1" x14ac:dyDescent="0.25">
      <c r="B32" s="7">
        <f t="shared" si="0"/>
        <v>58</v>
      </c>
      <c r="C32" s="18">
        <v>61</v>
      </c>
      <c r="D32" s="141" t="s">
        <v>147</v>
      </c>
      <c r="E32" s="54">
        <v>2</v>
      </c>
    </row>
    <row r="33" spans="2:5" ht="20.45" customHeight="1" x14ac:dyDescent="0.25">
      <c r="B33" s="7">
        <f t="shared" si="0"/>
        <v>59</v>
      </c>
      <c r="C33" s="18">
        <v>61</v>
      </c>
      <c r="D33" s="141" t="s">
        <v>147</v>
      </c>
      <c r="E33" s="54">
        <v>2</v>
      </c>
    </row>
    <row r="34" spans="2:5" ht="20.45" customHeight="1" thickBot="1" x14ac:dyDescent="0.3">
      <c r="B34" s="8">
        <f>+B33+1</f>
        <v>60</v>
      </c>
      <c r="C34" s="18">
        <v>61</v>
      </c>
      <c r="D34" s="142" t="s">
        <v>147</v>
      </c>
      <c r="E34" s="56">
        <v>2</v>
      </c>
    </row>
    <row r="35" spans="2:5" ht="20.45" customHeight="1" x14ac:dyDescent="0.25"/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zoomScaleNormal="100" workbookViewId="0">
      <selection activeCell="D5" sqref="D5:D13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3" customWidth="1"/>
    <col min="6" max="6" width="10.85546875" bestFit="1" customWidth="1"/>
    <col min="7" max="7" width="14.42578125" bestFit="1" customWidth="1"/>
    <col min="8" max="8" width="12.85546875" bestFit="1" customWidth="1"/>
  </cols>
  <sheetData>
    <row r="1" spans="2:8" ht="10.5" customHeight="1" thickBot="1" x14ac:dyDescent="0.3"/>
    <row r="2" spans="2:8" ht="33.75" customHeight="1" thickBot="1" x14ac:dyDescent="0.3">
      <c r="B2" s="187"/>
      <c r="C2" s="188"/>
      <c r="D2" s="189"/>
      <c r="E2" s="59" t="s">
        <v>4</v>
      </c>
    </row>
    <row r="3" spans="2:8" ht="18" customHeight="1" thickBot="1" x14ac:dyDescent="0.3">
      <c r="B3" s="190"/>
      <c r="C3" s="191"/>
      <c r="D3" s="192"/>
      <c r="E3" s="61" t="s">
        <v>85</v>
      </c>
    </row>
    <row r="4" spans="2:8" ht="15.75" thickBot="1" x14ac:dyDescent="0.3">
      <c r="B4" s="3" t="s">
        <v>42</v>
      </c>
      <c r="C4" s="3" t="s">
        <v>1</v>
      </c>
      <c r="D4" s="139" t="s">
        <v>14</v>
      </c>
      <c r="E4" s="5" t="s">
        <v>43</v>
      </c>
      <c r="F4" s="1"/>
      <c r="G4" s="1"/>
      <c r="H4" s="1"/>
    </row>
    <row r="5" spans="2:8" ht="20.45" customHeight="1" x14ac:dyDescent="0.25">
      <c r="B5" s="6">
        <v>61</v>
      </c>
      <c r="C5" s="18">
        <v>61</v>
      </c>
      <c r="D5" s="140" t="s">
        <v>147</v>
      </c>
      <c r="E5" s="53">
        <v>2</v>
      </c>
    </row>
    <row r="6" spans="2:8" ht="20.45" customHeight="1" x14ac:dyDescent="0.25">
      <c r="B6" s="7">
        <f>+B5+1</f>
        <v>62</v>
      </c>
      <c r="C6" s="15">
        <v>61</v>
      </c>
      <c r="D6" s="141" t="s">
        <v>147</v>
      </c>
      <c r="E6" s="54">
        <v>2</v>
      </c>
    </row>
    <row r="7" spans="2:8" ht="20.45" customHeight="1" x14ac:dyDescent="0.25">
      <c r="B7" s="7">
        <f t="shared" ref="B7:B33" si="0">+B6+1</f>
        <v>63</v>
      </c>
      <c r="C7" s="15">
        <v>61</v>
      </c>
      <c r="D7" s="141" t="s">
        <v>147</v>
      </c>
      <c r="E7" s="54">
        <v>2</v>
      </c>
    </row>
    <row r="8" spans="2:8" ht="20.45" customHeight="1" x14ac:dyDescent="0.25">
      <c r="B8" s="7">
        <f t="shared" si="0"/>
        <v>64</v>
      </c>
      <c r="C8" s="15">
        <v>61</v>
      </c>
      <c r="D8" s="141" t="s">
        <v>147</v>
      </c>
      <c r="E8" s="54">
        <v>2</v>
      </c>
    </row>
    <row r="9" spans="2:8" ht="20.45" customHeight="1" x14ac:dyDescent="0.25">
      <c r="B9" s="7">
        <f t="shared" si="0"/>
        <v>65</v>
      </c>
      <c r="C9" s="15">
        <v>61</v>
      </c>
      <c r="D9" s="141" t="s">
        <v>147</v>
      </c>
      <c r="E9" s="54">
        <v>2</v>
      </c>
    </row>
    <row r="10" spans="2:8" ht="20.45" customHeight="1" x14ac:dyDescent="0.25">
      <c r="B10" s="7">
        <f t="shared" si="0"/>
        <v>66</v>
      </c>
      <c r="C10" s="15">
        <v>61</v>
      </c>
      <c r="D10" s="141" t="s">
        <v>143</v>
      </c>
      <c r="E10" s="54">
        <v>2</v>
      </c>
    </row>
    <row r="11" spans="2:8" ht="20.45" customHeight="1" x14ac:dyDescent="0.25">
      <c r="B11" s="7">
        <f t="shared" si="0"/>
        <v>67</v>
      </c>
      <c r="C11" s="15">
        <v>61</v>
      </c>
      <c r="D11" s="141" t="s">
        <v>143</v>
      </c>
      <c r="E11" s="54">
        <v>2</v>
      </c>
    </row>
    <row r="12" spans="2:8" ht="20.45" customHeight="1" x14ac:dyDescent="0.25">
      <c r="B12" s="7">
        <f t="shared" si="0"/>
        <v>68</v>
      </c>
      <c r="C12" s="15">
        <v>61</v>
      </c>
      <c r="D12" s="141" t="s">
        <v>147</v>
      </c>
      <c r="E12" s="54">
        <v>2</v>
      </c>
    </row>
    <row r="13" spans="2:8" ht="20.45" customHeight="1" x14ac:dyDescent="0.25">
      <c r="B13" s="7">
        <f t="shared" si="0"/>
        <v>69</v>
      </c>
      <c r="C13" s="15">
        <v>62</v>
      </c>
      <c r="D13" s="141" t="s">
        <v>147</v>
      </c>
      <c r="E13" s="54">
        <v>2</v>
      </c>
    </row>
    <row r="14" spans="2:8" ht="20.45" customHeight="1" x14ac:dyDescent="0.25">
      <c r="B14" s="7">
        <f t="shared" si="0"/>
        <v>70</v>
      </c>
      <c r="C14" s="15"/>
      <c r="D14" s="16"/>
      <c r="E14" s="54"/>
    </row>
    <row r="15" spans="2:8" ht="20.45" customHeight="1" x14ac:dyDescent="0.25">
      <c r="B15" s="7">
        <f t="shared" si="0"/>
        <v>71</v>
      </c>
      <c r="C15" s="15"/>
      <c r="D15" s="16"/>
      <c r="E15" s="55"/>
    </row>
    <row r="16" spans="2:8" ht="20.45" customHeight="1" x14ac:dyDescent="0.25">
      <c r="B16" s="7">
        <f t="shared" si="0"/>
        <v>72</v>
      </c>
      <c r="C16" s="15"/>
      <c r="D16" s="16"/>
      <c r="E16" s="55"/>
    </row>
    <row r="17" spans="2:5" ht="20.45" customHeight="1" x14ac:dyDescent="0.25">
      <c r="B17" s="7">
        <f t="shared" si="0"/>
        <v>73</v>
      </c>
      <c r="C17" s="15"/>
      <c r="D17" s="16"/>
      <c r="E17" s="54"/>
    </row>
    <row r="18" spans="2:5" ht="20.45" customHeight="1" x14ac:dyDescent="0.25">
      <c r="B18" s="7">
        <f t="shared" si="0"/>
        <v>74</v>
      </c>
      <c r="C18" s="15"/>
      <c r="D18" s="16"/>
      <c r="E18" s="54"/>
    </row>
    <row r="19" spans="2:5" ht="20.45" customHeight="1" x14ac:dyDescent="0.25">
      <c r="B19" s="7">
        <f t="shared" si="0"/>
        <v>75</v>
      </c>
      <c r="C19" s="15"/>
      <c r="D19" s="16"/>
      <c r="E19" s="54"/>
    </row>
    <row r="20" spans="2:5" ht="20.45" customHeight="1" x14ac:dyDescent="0.25">
      <c r="B20" s="7">
        <f t="shared" si="0"/>
        <v>76</v>
      </c>
      <c r="C20" s="15"/>
      <c r="D20" s="16"/>
      <c r="E20" s="54"/>
    </row>
    <row r="21" spans="2:5" ht="20.45" customHeight="1" x14ac:dyDescent="0.25">
      <c r="B21" s="7">
        <f t="shared" si="0"/>
        <v>77</v>
      </c>
      <c r="C21" s="15"/>
      <c r="D21" s="16"/>
      <c r="E21" s="54"/>
    </row>
    <row r="22" spans="2:5" ht="20.45" customHeight="1" x14ac:dyDescent="0.25">
      <c r="B22" s="7">
        <f t="shared" si="0"/>
        <v>78</v>
      </c>
      <c r="C22" s="15"/>
      <c r="D22" s="16"/>
      <c r="E22" s="54"/>
    </row>
    <row r="23" spans="2:5" ht="20.45" customHeight="1" x14ac:dyDescent="0.25">
      <c r="B23" s="7">
        <f t="shared" si="0"/>
        <v>79</v>
      </c>
      <c r="C23" s="15"/>
      <c r="D23" s="16"/>
      <c r="E23" s="54"/>
    </row>
    <row r="24" spans="2:5" ht="20.45" customHeight="1" x14ac:dyDescent="0.25">
      <c r="B24" s="7">
        <f t="shared" si="0"/>
        <v>80</v>
      </c>
      <c r="C24" s="15"/>
      <c r="D24" s="16"/>
      <c r="E24" s="54"/>
    </row>
    <row r="25" spans="2:5" ht="20.45" customHeight="1" x14ac:dyDescent="0.25">
      <c r="B25" s="7">
        <f t="shared" si="0"/>
        <v>81</v>
      </c>
      <c r="C25" s="15"/>
      <c r="D25" s="16"/>
      <c r="E25" s="54"/>
    </row>
    <row r="26" spans="2:5" ht="20.45" customHeight="1" x14ac:dyDescent="0.25">
      <c r="B26" s="7">
        <f t="shared" si="0"/>
        <v>82</v>
      </c>
      <c r="C26" s="15"/>
      <c r="D26" s="16"/>
      <c r="E26" s="54"/>
    </row>
    <row r="27" spans="2:5" ht="20.45" customHeight="1" x14ac:dyDescent="0.25">
      <c r="B27" s="7">
        <f t="shared" si="0"/>
        <v>83</v>
      </c>
      <c r="C27" s="15"/>
      <c r="D27" s="16"/>
      <c r="E27" s="54"/>
    </row>
    <row r="28" spans="2:5" ht="20.45" customHeight="1" x14ac:dyDescent="0.25">
      <c r="B28" s="7">
        <f t="shared" si="0"/>
        <v>84</v>
      </c>
      <c r="C28" s="15"/>
      <c r="D28" s="16"/>
      <c r="E28" s="54"/>
    </row>
    <row r="29" spans="2:5" ht="20.45" customHeight="1" x14ac:dyDescent="0.25">
      <c r="B29" s="7">
        <f t="shared" si="0"/>
        <v>85</v>
      </c>
      <c r="C29" s="15"/>
      <c r="D29" s="16"/>
      <c r="E29" s="54"/>
    </row>
    <row r="30" spans="2:5" ht="20.45" customHeight="1" x14ac:dyDescent="0.25">
      <c r="B30" s="7">
        <f t="shared" si="0"/>
        <v>86</v>
      </c>
      <c r="C30" s="15"/>
      <c r="D30" s="16"/>
      <c r="E30" s="54"/>
    </row>
    <row r="31" spans="2:5" ht="20.45" customHeight="1" x14ac:dyDescent="0.25">
      <c r="B31" s="7">
        <f t="shared" si="0"/>
        <v>87</v>
      </c>
      <c r="C31" s="15"/>
      <c r="D31" s="16"/>
      <c r="E31" s="54"/>
    </row>
    <row r="32" spans="2:5" ht="20.45" customHeight="1" x14ac:dyDescent="0.25">
      <c r="B32" s="7">
        <f t="shared" si="0"/>
        <v>88</v>
      </c>
      <c r="C32" s="15"/>
      <c r="D32" s="16"/>
      <c r="E32" s="54"/>
    </row>
    <row r="33" spans="2:5" ht="20.45" customHeight="1" x14ac:dyDescent="0.25">
      <c r="B33" s="7">
        <f t="shared" si="0"/>
        <v>89</v>
      </c>
      <c r="C33" s="15"/>
      <c r="D33" s="16"/>
      <c r="E33" s="54"/>
    </row>
    <row r="34" spans="2:5" ht="20.45" customHeight="1" thickBot="1" x14ac:dyDescent="0.3">
      <c r="B34" s="8">
        <f>+B33+1</f>
        <v>90</v>
      </c>
      <c r="C34" s="17"/>
      <c r="D34" s="128"/>
      <c r="E34" s="56"/>
    </row>
    <row r="35" spans="2:5" ht="20.45" customHeight="1" x14ac:dyDescent="0.25"/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8"/>
  <sheetViews>
    <sheetView view="pageBreakPreview" zoomScale="60" zoomScaleNormal="90" workbookViewId="0">
      <selection activeCell="D4" sqref="D4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1.42578125" style="28"/>
  </cols>
  <sheetData>
    <row r="1" spans="2:6" x14ac:dyDescent="0.25">
      <c r="C1" s="32" t="s">
        <v>46</v>
      </c>
      <c r="D1" s="33">
        <v>46059</v>
      </c>
    </row>
    <row r="2" spans="2:6" x14ac:dyDescent="0.25">
      <c r="C2" s="34" t="s">
        <v>47</v>
      </c>
      <c r="D2" s="31" t="s">
        <v>86</v>
      </c>
    </row>
    <row r="3" spans="2:6" x14ac:dyDescent="0.25">
      <c r="C3" s="35" t="s">
        <v>51</v>
      </c>
      <c r="D3" s="36">
        <v>22</v>
      </c>
    </row>
    <row r="4" spans="2:6" ht="15.75" x14ac:dyDescent="0.25">
      <c r="B4" s="37" t="s">
        <v>16</v>
      </c>
      <c r="C4" s="37" t="s">
        <v>15</v>
      </c>
      <c r="D4" s="37" t="s">
        <v>17</v>
      </c>
      <c r="E4" s="38" t="s">
        <v>18</v>
      </c>
      <c r="F4" s="39" t="s">
        <v>19</v>
      </c>
    </row>
    <row r="5" spans="2:6" ht="26.1" customHeight="1" x14ac:dyDescent="0.25">
      <c r="B5" s="193" t="s">
        <v>87</v>
      </c>
      <c r="C5" s="40" t="s">
        <v>20</v>
      </c>
      <c r="D5" s="29">
        <f>22.12+18.68+20.76+24.6+22.26</f>
        <v>108.42</v>
      </c>
      <c r="E5" s="41">
        <f>21.68+21.8+21.62+24.14+17.9</f>
        <v>107.14000000000001</v>
      </c>
      <c r="F5" s="42">
        <v>5</v>
      </c>
    </row>
    <row r="6" spans="2:6" ht="26.1" customHeight="1" x14ac:dyDescent="0.25">
      <c r="B6" s="194"/>
      <c r="C6" s="40" t="s">
        <v>7</v>
      </c>
      <c r="D6" s="29">
        <v>49</v>
      </c>
      <c r="E6" s="41">
        <f>22.96+20.62+19.46</f>
        <v>63.04</v>
      </c>
      <c r="F6" s="42">
        <v>3</v>
      </c>
    </row>
    <row r="7" spans="2:6" ht="26.1" customHeight="1" x14ac:dyDescent="0.25">
      <c r="B7" s="194"/>
      <c r="C7" s="40" t="s">
        <v>6</v>
      </c>
      <c r="D7" s="29" t="s">
        <v>145</v>
      </c>
      <c r="E7" s="41">
        <f>18.32+19.36+19.88+19.22+19.66+19.38+18.84+18.6+13.68+16.55</f>
        <v>183.49</v>
      </c>
      <c r="F7" s="42">
        <v>10</v>
      </c>
    </row>
    <row r="8" spans="2:6" ht="26.1" customHeight="1" x14ac:dyDescent="0.25">
      <c r="B8" s="194"/>
      <c r="C8" s="40" t="s">
        <v>10</v>
      </c>
      <c r="D8" s="29">
        <v>49</v>
      </c>
      <c r="E8" s="41">
        <f>15.2+16.78+15.14</f>
        <v>47.120000000000005</v>
      </c>
      <c r="F8" s="42">
        <v>3</v>
      </c>
    </row>
    <row r="9" spans="2:6" ht="26.1" customHeight="1" x14ac:dyDescent="0.25">
      <c r="B9" s="194"/>
      <c r="C9" s="40" t="s">
        <v>21</v>
      </c>
      <c r="D9" s="29">
        <v>23.72</v>
      </c>
      <c r="E9" s="41">
        <f>11.6+11.32</f>
        <v>22.92</v>
      </c>
      <c r="F9" s="42">
        <v>2</v>
      </c>
    </row>
    <row r="10" spans="2:6" ht="26.1" customHeight="1" x14ac:dyDescent="0.25">
      <c r="B10" s="194"/>
      <c r="C10" s="40" t="s">
        <v>5</v>
      </c>
      <c r="D10" s="29">
        <f>192+4</f>
        <v>196</v>
      </c>
      <c r="E10" s="41">
        <f>19.06+18.92</f>
        <v>37.980000000000004</v>
      </c>
      <c r="F10" s="42">
        <v>2</v>
      </c>
    </row>
    <row r="11" spans="2:6" ht="26.1" customHeight="1" x14ac:dyDescent="0.25">
      <c r="B11" s="194"/>
      <c r="C11" s="40" t="s">
        <v>22</v>
      </c>
      <c r="D11" s="29">
        <f>96+2</f>
        <v>98</v>
      </c>
      <c r="E11" s="41">
        <f>16+11.39</f>
        <v>27.39</v>
      </c>
      <c r="F11" s="42">
        <v>2</v>
      </c>
    </row>
    <row r="12" spans="2:6" ht="26.1" customHeight="1" x14ac:dyDescent="0.25">
      <c r="B12" s="194"/>
      <c r="C12" s="40" t="s">
        <v>8</v>
      </c>
      <c r="D12" s="29">
        <v>49</v>
      </c>
      <c r="E12" s="41">
        <f>14.5+14.6</f>
        <v>29.1</v>
      </c>
      <c r="F12" s="42">
        <v>2</v>
      </c>
    </row>
    <row r="13" spans="2:6" ht="26.1" customHeight="1" x14ac:dyDescent="0.25">
      <c r="B13" s="194"/>
      <c r="C13" s="40" t="s">
        <v>23</v>
      </c>
      <c r="D13" s="29">
        <v>49</v>
      </c>
      <c r="E13" s="41">
        <f>19.46+19.38</f>
        <v>38.840000000000003</v>
      </c>
      <c r="F13" s="42">
        <v>2</v>
      </c>
    </row>
    <row r="14" spans="2:6" ht="26.1" customHeight="1" x14ac:dyDescent="0.25">
      <c r="B14" s="194"/>
      <c r="C14" s="40" t="s">
        <v>36</v>
      </c>
      <c r="D14" s="29">
        <f>28.24+27.24</f>
        <v>55.48</v>
      </c>
      <c r="E14" s="41">
        <f>18+18.4+17.1</f>
        <v>53.5</v>
      </c>
      <c r="F14" s="42">
        <v>3</v>
      </c>
    </row>
    <row r="15" spans="2:6" ht="26.1" customHeight="1" x14ac:dyDescent="0.25">
      <c r="B15" s="194"/>
      <c r="C15" s="40" t="s">
        <v>9</v>
      </c>
      <c r="D15" s="29">
        <v>49</v>
      </c>
      <c r="E15" s="41">
        <f>13.36+13.34+11.72</f>
        <v>38.42</v>
      </c>
      <c r="F15" s="42">
        <v>3</v>
      </c>
    </row>
    <row r="16" spans="2:6" ht="26.1" customHeight="1" x14ac:dyDescent="0.25">
      <c r="B16" s="194"/>
      <c r="C16" s="40" t="s">
        <v>24</v>
      </c>
      <c r="D16" s="29">
        <v>49</v>
      </c>
      <c r="E16" s="41">
        <f>7.82+7.36</f>
        <v>15.18</v>
      </c>
      <c r="F16" s="42">
        <v>2</v>
      </c>
    </row>
    <row r="17" spans="2:6" ht="26.1" customHeight="1" x14ac:dyDescent="0.25">
      <c r="B17" s="195"/>
      <c r="C17" s="40" t="s">
        <v>37</v>
      </c>
      <c r="D17" s="29">
        <v>20.92</v>
      </c>
      <c r="E17" s="41">
        <v>19.36</v>
      </c>
      <c r="F17" s="42">
        <v>1</v>
      </c>
    </row>
    <row r="18" spans="2:6" x14ac:dyDescent="0.25">
      <c r="C18" s="62"/>
      <c r="D18" s="43" t="s">
        <v>11</v>
      </c>
      <c r="E18" s="43">
        <f>SUM(E5:E17)</f>
        <v>683.48</v>
      </c>
      <c r="F18" s="43">
        <f>SUM(F5:F17)</f>
        <v>40</v>
      </c>
    </row>
    <row r="19" spans="2:6" ht="15.75" thickBot="1" x14ac:dyDescent="0.3"/>
    <row r="20" spans="2:6" ht="15.75" thickBot="1" x14ac:dyDescent="0.3">
      <c r="B20" s="196" t="s">
        <v>41</v>
      </c>
      <c r="C20" s="197"/>
      <c r="D20" s="197"/>
      <c r="E20" s="197"/>
      <c r="F20" s="197"/>
    </row>
    <row r="21" spans="2:6" ht="26.1" customHeight="1" x14ac:dyDescent="0.25">
      <c r="B21" s="24" t="s">
        <v>38</v>
      </c>
      <c r="C21" s="19"/>
      <c r="D21" s="20"/>
      <c r="E21" s="20"/>
      <c r="F21" s="44"/>
    </row>
    <row r="22" spans="2:6" ht="26.1" customHeight="1" x14ac:dyDescent="0.25">
      <c r="B22" s="25" t="s">
        <v>48</v>
      </c>
      <c r="C22" s="9"/>
      <c r="D22" s="11"/>
      <c r="E22" s="11"/>
      <c r="F22" s="45"/>
    </row>
    <row r="23" spans="2:6" ht="26.1" customHeight="1" thickBot="1" x14ac:dyDescent="0.3">
      <c r="B23" s="26" t="s">
        <v>40</v>
      </c>
      <c r="C23" s="10"/>
      <c r="D23" s="12"/>
      <c r="E23" s="12"/>
      <c r="F23" s="46"/>
    </row>
    <row r="24" spans="2:6" ht="15.75" thickBot="1" x14ac:dyDescent="0.3"/>
    <row r="25" spans="2:6" ht="15.75" thickBot="1" x14ac:dyDescent="0.3">
      <c r="B25" s="198" t="s">
        <v>44</v>
      </c>
      <c r="C25" s="199"/>
      <c r="D25" s="199"/>
      <c r="E25" s="199"/>
      <c r="F25" s="199"/>
    </row>
    <row r="26" spans="2:6" ht="26.1" customHeight="1" x14ac:dyDescent="0.25">
      <c r="B26" s="21" t="s">
        <v>35</v>
      </c>
      <c r="C26" s="19"/>
      <c r="D26" s="20"/>
      <c r="E26" s="20"/>
      <c r="F26" s="47"/>
    </row>
    <row r="27" spans="2:6" ht="26.1" customHeight="1" x14ac:dyDescent="0.25">
      <c r="B27" s="22" t="s">
        <v>38</v>
      </c>
      <c r="C27" s="9"/>
      <c r="D27" s="11"/>
      <c r="E27" s="11"/>
      <c r="F27" s="48"/>
    </row>
    <row r="28" spans="2:6" ht="26.1" customHeight="1" thickBot="1" x14ac:dyDescent="0.3">
      <c r="B28" s="23" t="s">
        <v>39</v>
      </c>
      <c r="C28" s="10"/>
      <c r="D28" s="12"/>
      <c r="E28" s="12"/>
      <c r="F28" s="49"/>
    </row>
  </sheetData>
  <mergeCells count="3">
    <mergeCell ref="B5:B17"/>
    <mergeCell ref="B20:F20"/>
    <mergeCell ref="B25:F25"/>
  </mergeCells>
  <pageMargins left="0.7" right="0.7" top="0.75" bottom="0.75" header="0.3" footer="0.3"/>
  <pageSetup scale="7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8"/>
  <sheetViews>
    <sheetView view="pageBreakPreview" topLeftCell="A2" zoomScale="60" zoomScaleNormal="90" workbookViewId="0">
      <selection activeCell="H17" sqref="H17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1.42578125" style="28"/>
  </cols>
  <sheetData>
    <row r="1" spans="2:6" x14ac:dyDescent="0.25">
      <c r="C1" s="32" t="s">
        <v>46</v>
      </c>
      <c r="D1" s="33">
        <v>46059</v>
      </c>
    </row>
    <row r="2" spans="2:6" x14ac:dyDescent="0.25">
      <c r="C2" s="34" t="s">
        <v>47</v>
      </c>
      <c r="D2" s="31">
        <v>61</v>
      </c>
    </row>
    <row r="3" spans="2:6" x14ac:dyDescent="0.25">
      <c r="C3" s="35" t="s">
        <v>51</v>
      </c>
      <c r="D3" s="36">
        <v>22</v>
      </c>
    </row>
    <row r="4" spans="2:6" ht="15.75" x14ac:dyDescent="0.25">
      <c r="B4" s="37" t="s">
        <v>16</v>
      </c>
      <c r="C4" s="37" t="s">
        <v>15</v>
      </c>
      <c r="D4" s="37" t="s">
        <v>17</v>
      </c>
      <c r="E4" s="38" t="s">
        <v>18</v>
      </c>
      <c r="F4" s="39" t="s">
        <v>19</v>
      </c>
    </row>
    <row r="5" spans="2:6" ht="26.1" customHeight="1" x14ac:dyDescent="0.25">
      <c r="B5" s="193" t="s">
        <v>88</v>
      </c>
      <c r="C5" s="40" t="s">
        <v>20</v>
      </c>
      <c r="D5" s="29">
        <f>20.12+19.28</f>
        <v>39.400000000000006</v>
      </c>
      <c r="E5" s="41">
        <f>19.24+18.34</f>
        <v>37.58</v>
      </c>
      <c r="F5" s="42">
        <v>2</v>
      </c>
    </row>
    <row r="6" spans="2:6" ht="26.1" customHeight="1" x14ac:dyDescent="0.25">
      <c r="B6" s="194"/>
      <c r="C6" s="40" t="s">
        <v>7</v>
      </c>
      <c r="D6" s="29">
        <v>20</v>
      </c>
      <c r="E6" s="41">
        <f>14.74+15.14</f>
        <v>29.880000000000003</v>
      </c>
      <c r="F6" s="42">
        <v>2</v>
      </c>
    </row>
    <row r="7" spans="2:6" ht="26.1" customHeight="1" x14ac:dyDescent="0.25">
      <c r="B7" s="194"/>
      <c r="C7" s="40" t="s">
        <v>6</v>
      </c>
      <c r="D7" s="29" t="s">
        <v>146</v>
      </c>
      <c r="E7" s="41">
        <f>23.54+21.92+22.06+19.22</f>
        <v>86.74</v>
      </c>
      <c r="F7" s="42">
        <v>4</v>
      </c>
    </row>
    <row r="8" spans="2:6" ht="26.1" customHeight="1" x14ac:dyDescent="0.25">
      <c r="B8" s="194"/>
      <c r="C8" s="40" t="s">
        <v>10</v>
      </c>
      <c r="D8" s="29">
        <v>20</v>
      </c>
      <c r="E8" s="41">
        <v>19.440000000000001</v>
      </c>
      <c r="F8" s="42">
        <v>1</v>
      </c>
    </row>
    <row r="9" spans="2:6" ht="26.1" customHeight="1" x14ac:dyDescent="0.25">
      <c r="B9" s="194"/>
      <c r="C9" s="40" t="s">
        <v>21</v>
      </c>
      <c r="D9" s="29">
        <v>14.38</v>
      </c>
      <c r="E9" s="41">
        <v>13.76</v>
      </c>
      <c r="F9" s="42">
        <v>1</v>
      </c>
    </row>
    <row r="10" spans="2:6" ht="26.1" customHeight="1" x14ac:dyDescent="0.25">
      <c r="B10" s="194"/>
      <c r="C10" s="40" t="s">
        <v>5</v>
      </c>
      <c r="D10" s="29">
        <v>40</v>
      </c>
      <c r="E10" s="41">
        <v>17.059999999999999</v>
      </c>
      <c r="F10" s="42">
        <v>1</v>
      </c>
    </row>
    <row r="11" spans="2:6" ht="26.1" customHeight="1" x14ac:dyDescent="0.25">
      <c r="B11" s="194"/>
      <c r="C11" s="40" t="s">
        <v>22</v>
      </c>
      <c r="D11" s="29">
        <v>80</v>
      </c>
      <c r="E11" s="41">
        <v>12.14</v>
      </c>
      <c r="F11" s="42">
        <v>1</v>
      </c>
    </row>
    <row r="12" spans="2:6" ht="26.1" customHeight="1" x14ac:dyDescent="0.25">
      <c r="B12" s="194"/>
      <c r="C12" s="40" t="s">
        <v>8</v>
      </c>
      <c r="D12" s="29">
        <v>20</v>
      </c>
      <c r="E12" s="41">
        <v>13.04</v>
      </c>
      <c r="F12" s="42">
        <v>1</v>
      </c>
    </row>
    <row r="13" spans="2:6" ht="26.1" customHeight="1" x14ac:dyDescent="0.25">
      <c r="B13" s="194"/>
      <c r="C13" s="40" t="s">
        <v>23</v>
      </c>
      <c r="D13" s="29">
        <v>20</v>
      </c>
      <c r="E13" s="41">
        <v>13.56</v>
      </c>
      <c r="F13" s="42">
        <v>1</v>
      </c>
    </row>
    <row r="14" spans="2:6" ht="26.1" customHeight="1" x14ac:dyDescent="0.25">
      <c r="B14" s="194"/>
      <c r="C14" s="40" t="s">
        <v>36</v>
      </c>
      <c r="D14" s="29">
        <v>26.24</v>
      </c>
      <c r="E14" s="41">
        <f>13.38+12.9</f>
        <v>26.28</v>
      </c>
      <c r="F14" s="42">
        <v>2</v>
      </c>
    </row>
    <row r="15" spans="2:6" ht="26.1" customHeight="1" x14ac:dyDescent="0.25">
      <c r="B15" s="194"/>
      <c r="C15" s="40" t="s">
        <v>9</v>
      </c>
      <c r="D15" s="29">
        <v>20</v>
      </c>
      <c r="E15" s="41">
        <v>17.52</v>
      </c>
      <c r="F15" s="42">
        <v>1</v>
      </c>
    </row>
    <row r="16" spans="2:6" ht="26.1" customHeight="1" x14ac:dyDescent="0.25">
      <c r="B16" s="194"/>
      <c r="C16" s="40" t="s">
        <v>24</v>
      </c>
      <c r="D16" s="29">
        <v>20</v>
      </c>
      <c r="E16" s="41">
        <v>6.48</v>
      </c>
      <c r="F16" s="42">
        <v>1</v>
      </c>
    </row>
    <row r="17" spans="2:6" ht="26.1" customHeight="1" x14ac:dyDescent="0.25">
      <c r="B17" s="195"/>
      <c r="C17" s="40" t="s">
        <v>37</v>
      </c>
      <c r="D17" s="29">
        <v>12.44</v>
      </c>
      <c r="E17" s="41">
        <v>11.52</v>
      </c>
      <c r="F17" s="42">
        <v>1</v>
      </c>
    </row>
    <row r="18" spans="2:6" x14ac:dyDescent="0.25">
      <c r="C18" s="27"/>
      <c r="D18" s="43" t="s">
        <v>11</v>
      </c>
      <c r="E18" s="43">
        <f>SUM(E5:E17)</f>
        <v>304.99999999999994</v>
      </c>
      <c r="F18" s="43">
        <f>SUM(F5:F17)</f>
        <v>19</v>
      </c>
    </row>
    <row r="19" spans="2:6" ht="15.75" thickBot="1" x14ac:dyDescent="0.3"/>
    <row r="20" spans="2:6" ht="15.75" thickBot="1" x14ac:dyDescent="0.3">
      <c r="B20" s="196" t="s">
        <v>41</v>
      </c>
      <c r="C20" s="197"/>
      <c r="D20" s="197"/>
      <c r="E20" s="197"/>
      <c r="F20" s="197"/>
    </row>
    <row r="21" spans="2:6" ht="26.1" customHeight="1" x14ac:dyDescent="0.25">
      <c r="B21" s="24" t="s">
        <v>38</v>
      </c>
      <c r="C21" s="19"/>
      <c r="D21" s="20"/>
      <c r="E21" s="20"/>
      <c r="F21" s="44"/>
    </row>
    <row r="22" spans="2:6" ht="26.1" customHeight="1" x14ac:dyDescent="0.25">
      <c r="B22" s="25" t="s">
        <v>48</v>
      </c>
      <c r="C22" s="9"/>
      <c r="D22" s="11"/>
      <c r="E22" s="11"/>
      <c r="F22" s="45"/>
    </row>
    <row r="23" spans="2:6" ht="26.1" customHeight="1" thickBot="1" x14ac:dyDescent="0.3">
      <c r="B23" s="26" t="s">
        <v>40</v>
      </c>
      <c r="C23" s="10"/>
      <c r="D23" s="12"/>
      <c r="E23" s="12"/>
      <c r="F23" s="46"/>
    </row>
    <row r="24" spans="2:6" ht="15.75" thickBot="1" x14ac:dyDescent="0.3"/>
    <row r="25" spans="2:6" ht="15.75" thickBot="1" x14ac:dyDescent="0.3">
      <c r="B25" s="198" t="s">
        <v>44</v>
      </c>
      <c r="C25" s="199"/>
      <c r="D25" s="199"/>
      <c r="E25" s="199"/>
      <c r="F25" s="199"/>
    </row>
    <row r="26" spans="2:6" ht="26.1" customHeight="1" x14ac:dyDescent="0.25">
      <c r="B26" s="21" t="s">
        <v>35</v>
      </c>
      <c r="C26" s="19"/>
      <c r="D26" s="20"/>
      <c r="E26" s="20"/>
      <c r="F26" s="47"/>
    </row>
    <row r="27" spans="2:6" ht="26.1" customHeight="1" x14ac:dyDescent="0.25">
      <c r="B27" s="22" t="s">
        <v>38</v>
      </c>
      <c r="C27" s="9"/>
      <c r="D27" s="11"/>
      <c r="E27" s="11"/>
      <c r="F27" s="48"/>
    </row>
    <row r="28" spans="2:6" ht="26.1" customHeight="1" thickBot="1" x14ac:dyDescent="0.3">
      <c r="B28" s="23" t="s">
        <v>39</v>
      </c>
      <c r="C28" s="10"/>
      <c r="D28" s="12"/>
      <c r="E28" s="12"/>
      <c r="F28" s="49"/>
    </row>
  </sheetData>
  <mergeCells count="3">
    <mergeCell ref="B20:F20"/>
    <mergeCell ref="B25:F25"/>
    <mergeCell ref="B5:B17"/>
  </mergeCells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6</vt:i4>
      </vt:variant>
    </vt:vector>
  </HeadingPairs>
  <TitlesOfParts>
    <vt:vector size="18" baseType="lpstr">
      <vt:lpstr>TROPA 59 </vt:lpstr>
      <vt:lpstr>TROPA 60</vt:lpstr>
      <vt:lpstr>TROPA 61</vt:lpstr>
      <vt:lpstr>TROPA 62</vt:lpstr>
      <vt:lpstr>ROMANEO 1</vt:lpstr>
      <vt:lpstr>ROMANEO (2)</vt:lpstr>
      <vt:lpstr>ROMANEO (3)</vt:lpstr>
      <vt:lpstr>denticion 1</vt:lpstr>
      <vt:lpstr>denticion(2)</vt:lpstr>
      <vt:lpstr>denticion(3)</vt:lpstr>
      <vt:lpstr>menudencias (3)</vt:lpstr>
      <vt:lpstr>menudencias</vt:lpstr>
      <vt:lpstr>menudencias!Área_de_impresión</vt:lpstr>
      <vt:lpstr>'menudencias (3)'!Área_de_impresión</vt:lpstr>
      <vt:lpstr>'TROPA 59 '!Área_de_impresión</vt:lpstr>
      <vt:lpstr>'TROPA 60'!Área_de_impresión</vt:lpstr>
      <vt:lpstr>'TROPA 61'!Área_de_impresión</vt:lpstr>
      <vt:lpstr>'TROPA 62'!Área_de_impresión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ARES CALVO</dc:creator>
  <cp:lastModifiedBy>ALAN ARES CALVO</cp:lastModifiedBy>
  <cp:lastPrinted>2026-02-11T13:35:37Z</cp:lastPrinted>
  <dcterms:created xsi:type="dcterms:W3CDTF">2025-06-18T19:04:42Z</dcterms:created>
  <dcterms:modified xsi:type="dcterms:W3CDTF">2026-02-13T14:41:11Z</dcterms:modified>
</cp:coreProperties>
</file>